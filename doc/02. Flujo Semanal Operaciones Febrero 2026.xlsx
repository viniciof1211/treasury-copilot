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mobilia-my.sharepoint.com/personal/vinicio_flores_aragroupcr_com/Documents/Documentos/"/>
    </mc:Choice>
  </mc:AlternateContent>
  <xr:revisionPtr revIDLastSave="0" documentId="8_{6914305F-5B30-4370-A25C-1BFFD68AB3DC}" xr6:coauthVersionLast="47" xr6:coauthVersionMax="47" xr10:uidLastSave="{00000000-0000-0000-0000-000000000000}"/>
  <bookViews>
    <workbookView xWindow="2892" yWindow="2880" windowWidth="11520" windowHeight="8448" tabRatio="596" xr2:uid="{00000000-000D-0000-FFFF-FFFF00000000}"/>
  </bookViews>
  <sheets>
    <sheet name="Listado" sheetId="4" r:id="rId1"/>
  </sheets>
  <definedNames>
    <definedName name="_xlnm._FilterDatabase" localSheetId="0" hidden="1">Listado!$A$11:$W$58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0" i="4" l="1"/>
  <c r="U57" i="4" l="1"/>
  <c r="Q57" i="4"/>
  <c r="R57" i="4" s="1"/>
  <c r="C57" i="4"/>
  <c r="U71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29" i="4"/>
  <c r="Q28" i="4"/>
  <c r="Q25" i="4"/>
  <c r="Q24" i="4"/>
  <c r="Q22" i="4"/>
  <c r="U21" i="4"/>
  <c r="Q20" i="4"/>
  <c r="Q30" i="4"/>
  <c r="Q19" i="4"/>
  <c r="Q18" i="4"/>
  <c r="Q17" i="4"/>
  <c r="Q15" i="4"/>
  <c r="Q16" i="4"/>
  <c r="Q14" i="4"/>
  <c r="Q13" i="4"/>
  <c r="Q12" i="4"/>
  <c r="Q7" i="4" l="1"/>
  <c r="Q56" i="4"/>
  <c r="R56" i="4" s="1"/>
  <c r="U56" i="4"/>
  <c r="C56" i="4"/>
  <c r="U87" i="4" l="1"/>
  <c r="P58" i="4" l="1"/>
  <c r="S68" i="4" l="1"/>
  <c r="Q68" i="4"/>
  <c r="P68" i="4"/>
  <c r="U67" i="4"/>
  <c r="R67" i="4"/>
  <c r="R66" i="4" l="1"/>
  <c r="R68" i="4" s="1"/>
  <c r="U106" i="4"/>
  <c r="S107" i="4"/>
  <c r="Q106" i="4"/>
  <c r="R106" i="4" s="1"/>
  <c r="P107" i="4"/>
  <c r="C106" i="4"/>
  <c r="Q119" i="4"/>
  <c r="Q118" i="4"/>
  <c r="U48" i="4" l="1"/>
  <c r="U72" i="4" l="1"/>
  <c r="U86" i="4"/>
  <c r="R55" i="4" l="1"/>
  <c r="U55" i="4"/>
  <c r="U54" i="4"/>
  <c r="R54" i="4"/>
  <c r="C55" i="4"/>
  <c r="C54" i="4"/>
  <c r="S92" i="4" l="1"/>
  <c r="Q92" i="4"/>
  <c r="P92" i="4"/>
  <c r="R71" i="4" l="1"/>
  <c r="U91" i="4"/>
  <c r="R91" i="4"/>
  <c r="C91" i="4"/>
  <c r="U53" i="4" l="1"/>
  <c r="U52" i="4"/>
  <c r="R52" i="4"/>
  <c r="R53" i="4"/>
  <c r="U51" i="4"/>
  <c r="R51" i="4"/>
  <c r="U50" i="4"/>
  <c r="R50" i="4"/>
  <c r="C51" i="4"/>
  <c r="C53" i="4"/>
  <c r="C52" i="4"/>
  <c r="C50" i="4"/>
  <c r="U18" i="4" l="1"/>
  <c r="R88" i="4"/>
  <c r="Q75" i="4" l="1"/>
  <c r="P75" i="4"/>
  <c r="R47" i="4"/>
  <c r="R46" i="4"/>
  <c r="R45" i="4"/>
  <c r="R44" i="4"/>
  <c r="R43" i="4"/>
  <c r="R42" i="4"/>
  <c r="R41" i="4"/>
  <c r="R38" i="4"/>
  <c r="R36" i="4"/>
  <c r="R35" i="4"/>
  <c r="R34" i="4"/>
  <c r="R33" i="4"/>
  <c r="R32" i="4"/>
  <c r="R31" i="4"/>
  <c r="R30" i="4"/>
  <c r="R29" i="4"/>
  <c r="R27" i="4"/>
  <c r="R26" i="4"/>
  <c r="R23" i="4"/>
  <c r="R21" i="4"/>
  <c r="R19" i="4"/>
  <c r="R16" i="4"/>
  <c r="R15" i="4"/>
  <c r="R14" i="4"/>
  <c r="R13" i="4"/>
  <c r="R12" i="4"/>
  <c r="R40" i="4"/>
  <c r="R39" i="4"/>
  <c r="R20" i="4"/>
  <c r="R18" i="4"/>
  <c r="R49" i="4"/>
  <c r="R48" i="4"/>
  <c r="R37" i="4"/>
  <c r="R28" i="4"/>
  <c r="R25" i="4"/>
  <c r="R24" i="4"/>
  <c r="R22" i="4"/>
  <c r="R17" i="4"/>
  <c r="Q58" i="4" l="1"/>
  <c r="R58" i="4"/>
  <c r="U45" i="4" l="1"/>
  <c r="U44" i="4"/>
  <c r="C45" i="4"/>
  <c r="C44" i="4"/>
  <c r="C18" i="4"/>
  <c r="U74" i="4" l="1"/>
  <c r="R74" i="4" l="1"/>
  <c r="C74" i="4"/>
  <c r="U90" i="4" l="1"/>
  <c r="R90" i="4"/>
  <c r="C90" i="4"/>
  <c r="U49" i="4"/>
  <c r="C49" i="4"/>
  <c r="C48" i="4"/>
  <c r="U47" i="4" l="1"/>
  <c r="U46" i="4"/>
  <c r="C47" i="4"/>
  <c r="C46" i="4"/>
  <c r="U42" i="4" l="1"/>
  <c r="U89" i="4" l="1"/>
  <c r="R89" i="4"/>
  <c r="C89" i="4"/>
  <c r="S75" i="4"/>
  <c r="R73" i="4"/>
  <c r="C73" i="4"/>
  <c r="U73" i="4" l="1"/>
  <c r="U75" i="4" s="1"/>
  <c r="U29" i="4" l="1"/>
  <c r="U43" i="4"/>
  <c r="U41" i="4"/>
  <c r="U40" i="4"/>
  <c r="U39" i="4"/>
  <c r="U6" i="4"/>
  <c r="U25" i="4" l="1"/>
  <c r="C25" i="4"/>
  <c r="U30" i="4" l="1"/>
  <c r="R83" i="4" l="1"/>
  <c r="C83" i="4"/>
  <c r="C37" i="4" l="1"/>
  <c r="U33" i="4"/>
  <c r="C35" i="4"/>
  <c r="C28" i="4"/>
  <c r="U27" i="4"/>
  <c r="C27" i="4"/>
  <c r="U26" i="4"/>
  <c r="C26" i="4"/>
  <c r="C24" i="4"/>
  <c r="U23" i="4"/>
  <c r="C23" i="4"/>
  <c r="C22" i="4"/>
  <c r="C17" i="4"/>
  <c r="U88" i="4" l="1"/>
  <c r="C88" i="4"/>
  <c r="C43" i="4"/>
  <c r="C42" i="4"/>
  <c r="C41" i="4"/>
  <c r="C40" i="4" l="1"/>
  <c r="C39" i="4"/>
  <c r="U32" i="4" l="1"/>
  <c r="U31" i="4"/>
  <c r="C33" i="4"/>
  <c r="C32" i="4"/>
  <c r="C31" i="4"/>
  <c r="U84" i="4"/>
  <c r="R84" i="4"/>
  <c r="C84" i="4"/>
  <c r="Q105" i="4" l="1"/>
  <c r="Q104" i="4"/>
  <c r="Q103" i="4"/>
  <c r="Q102" i="4"/>
  <c r="Q101" i="4"/>
  <c r="U83" i="4" l="1"/>
  <c r="C30" i="4"/>
  <c r="C29" i="4"/>
  <c r="U28" i="4" l="1"/>
  <c r="U24" i="4" l="1"/>
  <c r="U20" i="4" l="1"/>
  <c r="U19" i="4"/>
  <c r="U22" i="4" l="1"/>
  <c r="U17" i="4"/>
  <c r="C21" i="4" l="1"/>
  <c r="C20" i="4"/>
  <c r="C19" i="4" l="1"/>
  <c r="R87" i="4" l="1"/>
  <c r="C87" i="4"/>
  <c r="U16" i="4" l="1"/>
  <c r="U15" i="4"/>
  <c r="C16" i="4" l="1"/>
  <c r="C15" i="4"/>
  <c r="U14" i="4" l="1"/>
  <c r="U13" i="4"/>
  <c r="C14" i="4"/>
  <c r="C13" i="4"/>
  <c r="C102" i="4" l="1"/>
  <c r="C101" i="4"/>
  <c r="U12" i="4" l="1"/>
  <c r="C12" i="4"/>
  <c r="R105" i="4" l="1"/>
  <c r="C105" i="4"/>
  <c r="R104" i="4"/>
  <c r="C104" i="4"/>
  <c r="R103" i="4"/>
  <c r="U38" i="4"/>
  <c r="C38" i="4"/>
  <c r="Q107" i="4" l="1"/>
  <c r="Q114" i="4" l="1"/>
  <c r="R6" i="4"/>
  <c r="U114" i="4" l="1"/>
  <c r="U119" i="4"/>
  <c r="U118" i="4"/>
  <c r="C110" i="4"/>
  <c r="U37" i="4"/>
  <c r="S120" i="4" l="1"/>
  <c r="Q120" i="4"/>
  <c r="P120" i="4"/>
  <c r="R118" i="4" l="1"/>
  <c r="R119" i="4"/>
  <c r="R120" i="4" l="1"/>
  <c r="U120" i="4"/>
  <c r="P8" i="4"/>
  <c r="U7" i="4" l="1"/>
  <c r="U8" i="4" s="1"/>
  <c r="U9" i="4" s="1"/>
  <c r="C72" i="4" l="1"/>
  <c r="U103" i="4" l="1"/>
  <c r="C103" i="4"/>
  <c r="R72" i="4"/>
  <c r="R75" i="4" s="1"/>
  <c r="C71" i="4"/>
  <c r="U35" i="4" l="1"/>
  <c r="C86" i="4"/>
  <c r="C85" i="4"/>
  <c r="C36" i="4" l="1"/>
  <c r="C34" i="4"/>
  <c r="R114" i="4" l="1"/>
  <c r="S115" i="4"/>
  <c r="R115" i="4" l="1"/>
  <c r="S8" i="4"/>
  <c r="U34" i="4"/>
  <c r="U36" i="4"/>
  <c r="R86" i="4" l="1"/>
  <c r="U85" i="4"/>
  <c r="U92" i="4" s="1"/>
  <c r="R85" i="4"/>
  <c r="R92" i="4" l="1"/>
  <c r="U102" i="4"/>
  <c r="R102" i="4"/>
  <c r="U63" i="4" l="1"/>
  <c r="R62" i="4" l="1"/>
  <c r="Q8" i="4" l="1"/>
  <c r="U101" i="4" l="1"/>
  <c r="U107" i="4" s="1"/>
  <c r="U115" i="4" l="1"/>
  <c r="Q63" i="4" l="1"/>
  <c r="Q79" i="4"/>
  <c r="Q115" i="4" l="1"/>
  <c r="Q111" i="4"/>
  <c r="R101" i="4" l="1"/>
  <c r="R107" i="4" s="1"/>
  <c r="R7" i="4" l="1"/>
  <c r="C7" i="4" l="1"/>
  <c r="C6" i="4"/>
  <c r="A1" i="4"/>
  <c r="D56" i="4" l="1"/>
  <c r="D57" i="4"/>
  <c r="D67" i="4"/>
  <c r="D106" i="4"/>
  <c r="D55" i="4"/>
  <c r="D91" i="4"/>
  <c r="D54" i="4"/>
  <c r="D50" i="4"/>
  <c r="D52" i="4"/>
  <c r="D51" i="4"/>
  <c r="D53" i="4"/>
  <c r="D44" i="4"/>
  <c r="D45" i="4"/>
  <c r="D74" i="4"/>
  <c r="D18" i="4"/>
  <c r="D49" i="4"/>
  <c r="D90" i="4"/>
  <c r="D47" i="4"/>
  <c r="D48" i="4"/>
  <c r="D89" i="4"/>
  <c r="D46" i="4"/>
  <c r="D73" i="4"/>
  <c r="D25" i="4"/>
  <c r="D83" i="4"/>
  <c r="D35" i="4"/>
  <c r="D37" i="4"/>
  <c r="D27" i="4"/>
  <c r="D28" i="4"/>
  <c r="D26" i="4"/>
  <c r="D23" i="4"/>
  <c r="D24" i="4"/>
  <c r="D17" i="4"/>
  <c r="D22" i="4"/>
  <c r="D43" i="4"/>
  <c r="D88" i="4"/>
  <c r="D41" i="4"/>
  <c r="D42" i="4"/>
  <c r="D39" i="4"/>
  <c r="D40" i="4"/>
  <c r="D84" i="4"/>
  <c r="D32" i="4"/>
  <c r="D33" i="4"/>
  <c r="D31" i="4"/>
  <c r="D29" i="4"/>
  <c r="D30" i="4"/>
  <c r="D21" i="4"/>
  <c r="D20" i="4"/>
  <c r="D19" i="4"/>
  <c r="D16" i="4"/>
  <c r="D87" i="4"/>
  <c r="D14" i="4"/>
  <c r="D15" i="4"/>
  <c r="D13" i="4"/>
  <c r="D12" i="4"/>
  <c r="D104" i="4"/>
  <c r="D105" i="4"/>
  <c r="D38" i="4"/>
  <c r="D101" i="4"/>
  <c r="D118" i="4"/>
  <c r="D114" i="4"/>
  <c r="D102" i="4"/>
  <c r="D103" i="4"/>
  <c r="D110" i="4"/>
  <c r="D119" i="4"/>
  <c r="D72" i="4"/>
  <c r="D86" i="4"/>
  <c r="D36" i="4"/>
  <c r="D34" i="4"/>
  <c r="D71" i="4"/>
  <c r="D85" i="4"/>
  <c r="D6" i="4"/>
  <c r="D78" i="4"/>
  <c r="D66" i="4"/>
  <c r="D62" i="4"/>
  <c r="D7" i="4"/>
  <c r="R8" i="4" l="1"/>
  <c r="P63" i="4" l="1"/>
  <c r="R63" i="4" l="1"/>
  <c r="S63" i="4" s="1"/>
  <c r="S111" i="4" l="1"/>
  <c r="P111" i="4"/>
  <c r="P115" i="4" l="1"/>
  <c r="U66" i="4"/>
  <c r="U68" i="4" s="1"/>
  <c r="R110" i="4" l="1"/>
  <c r="R111" i="4" s="1"/>
  <c r="U110" i="4" l="1"/>
  <c r="U111" i="4" s="1"/>
  <c r="U78" i="4" l="1"/>
  <c r="R78" i="4" l="1"/>
  <c r="S79" i="4" l="1"/>
  <c r="P79" i="4"/>
  <c r="U79" i="4"/>
  <c r="R79" i="4"/>
  <c r="R80" i="4" s="1"/>
  <c r="U58" i="4" l="1"/>
  <c r="S5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Katherine Garcia</author>
    <author>Jairo Salazar</author>
  </authors>
  <commentList>
    <comment ref="M6" authorId="0" shapeId="0" xr:uid="{70781A74-75C2-4534-AB95-7F7C12EB65C0}">
      <text>
        <r>
          <rPr>
            <b/>
            <sz val="9"/>
            <color indexed="81"/>
            <rFont val="Tahoma"/>
            <family val="2"/>
          </rPr>
          <t>Katherine Garcia:</t>
        </r>
        <r>
          <rPr>
            <sz val="9"/>
            <color indexed="81"/>
            <rFont val="Tahoma"/>
            <family val="2"/>
          </rPr>
          <t xml:space="preserve">
Rebajo se realizo en $</t>
        </r>
      </text>
    </comment>
    <comment ref="Q101" authorId="0" shapeId="0" xr:uid="{5D0C11D5-90E0-4D53-AB10-2F1D6DD7834B}">
      <text>
        <r>
          <rPr>
            <b/>
            <sz val="9"/>
            <color indexed="81"/>
            <rFont val="Tahoma"/>
            <family val="2"/>
          </rPr>
          <t>Katherine Garcia:</t>
        </r>
        <r>
          <rPr>
            <sz val="9"/>
            <color indexed="81"/>
            <rFont val="Tahoma"/>
            <family val="2"/>
          </rPr>
          <t xml:space="preserve">
112.79 Intereses
45.99  Seguro</t>
        </r>
      </text>
    </comment>
    <comment ref="Q102" authorId="0" shapeId="0" xr:uid="{56462EF7-47B2-4394-B0A4-16C9ABE96851}">
      <text>
        <r>
          <rPr>
            <b/>
            <sz val="9"/>
            <color indexed="81"/>
            <rFont val="Tahoma"/>
            <family val="2"/>
          </rPr>
          <t>Katherine Garcia:</t>
        </r>
        <r>
          <rPr>
            <sz val="9"/>
            <color indexed="81"/>
            <rFont val="Tahoma"/>
            <family val="2"/>
          </rPr>
          <t xml:space="preserve">
190.77 Intereses
64.13, Seguro</t>
        </r>
      </text>
    </comment>
    <comment ref="Q103" authorId="0" shapeId="0" xr:uid="{DF508ACD-211F-439A-8BE0-9FED5286A06D}">
      <text>
        <r>
          <rPr>
            <b/>
            <sz val="9"/>
            <color indexed="81"/>
            <rFont val="Tahoma"/>
            <family val="2"/>
          </rPr>
          <t>Katherine Garcia:</t>
        </r>
        <r>
          <rPr>
            <sz val="9"/>
            <color indexed="81"/>
            <rFont val="Tahoma"/>
            <family val="2"/>
          </rPr>
          <t xml:space="preserve">
600.13 Intereses
178.29 Seguro</t>
        </r>
      </text>
    </comment>
    <comment ref="Q104" authorId="0" shapeId="0" xr:uid="{F394A622-FB5A-4DF4-86F4-AD819DB1AF1D}">
      <text>
        <r>
          <rPr>
            <b/>
            <sz val="9"/>
            <color indexed="81"/>
            <rFont val="Tahoma"/>
            <family val="2"/>
          </rPr>
          <t>Katherine Garcia:</t>
        </r>
        <r>
          <rPr>
            <sz val="9"/>
            <color indexed="81"/>
            <rFont val="Tahoma"/>
            <family val="2"/>
          </rPr>
          <t xml:space="preserve">
120.51 Intereses
75.65 Seguro
</t>
        </r>
      </text>
    </comment>
    <comment ref="Q105" authorId="0" shapeId="0" xr:uid="{14867F38-1B77-4BF1-A8D6-025705F90962}">
      <text>
        <r>
          <rPr>
            <b/>
            <sz val="9"/>
            <color indexed="81"/>
            <rFont val="Tahoma"/>
            <family val="2"/>
          </rPr>
          <t>Katherine Garcia:</t>
        </r>
        <r>
          <rPr>
            <sz val="9"/>
            <color indexed="81"/>
            <rFont val="Tahoma"/>
            <family val="2"/>
          </rPr>
          <t xml:space="preserve">
120.51 Intereses
75.65 Seguro
</t>
        </r>
      </text>
    </comment>
    <comment ref="M110" authorId="1" shapeId="0" xr:uid="{1274BBB5-D758-4A0D-8FA4-A7F4EFBB893E}">
      <text>
        <r>
          <rPr>
            <sz val="9"/>
            <color rgb="FF000000"/>
            <rFont val="Tahoma"/>
            <family val="2"/>
          </rPr>
          <t xml:space="preserve">Para Improsa es el Al-3484
</t>
        </r>
      </text>
    </comment>
    <comment ref="Q114" authorId="0" shapeId="0" xr:uid="{445B5CD7-9BDA-4500-A409-441BF09EDDE0}">
      <text>
        <r>
          <rPr>
            <b/>
            <sz val="9"/>
            <color indexed="81"/>
            <rFont val="Tahoma"/>
            <family val="2"/>
          </rPr>
          <t>Katherine Garcia:</t>
        </r>
        <r>
          <rPr>
            <sz val="9"/>
            <color indexed="81"/>
            <rFont val="Tahoma"/>
            <family val="2"/>
          </rPr>
          <t xml:space="preserve">
67.74 Intereses
384.50 Seguro</t>
        </r>
      </text>
    </comment>
    <comment ref="Q118" authorId="0" shapeId="0" xr:uid="{C467F2EB-A3C3-4653-8F55-856ABD1AC574}">
      <text>
        <r>
          <rPr>
            <b/>
            <sz val="9"/>
            <color indexed="81"/>
            <rFont val="Tahoma"/>
            <family val="2"/>
          </rPr>
          <t>Katherine Garcia:</t>
        </r>
        <r>
          <rPr>
            <sz val="9"/>
            <color indexed="81"/>
            <rFont val="Tahoma"/>
            <family val="2"/>
          </rPr>
          <t xml:space="preserve">
88.11 Intereses
52.20 Seguro</t>
        </r>
      </text>
    </comment>
    <comment ref="Q119" authorId="0" shapeId="0" xr:uid="{8CF57F03-4E80-439C-BAE5-5FE6ECEEDBB5}">
      <text>
        <r>
          <rPr>
            <b/>
            <sz val="9"/>
            <color indexed="81"/>
            <rFont val="Tahoma"/>
            <family val="2"/>
          </rPr>
          <t>Katherine Garcia:</t>
        </r>
        <r>
          <rPr>
            <sz val="9"/>
            <color indexed="81"/>
            <rFont val="Tahoma"/>
            <family val="2"/>
          </rPr>
          <t xml:space="preserve">
88.11 Intereses
52.20 Seguro</t>
        </r>
      </text>
    </comment>
  </commentList>
</comments>
</file>

<file path=xl/sharedStrings.xml><?xml version="1.0" encoding="utf-8"?>
<sst xmlns="http://schemas.openxmlformats.org/spreadsheetml/2006/main" count="705" uniqueCount="122">
  <si>
    <t>Banco Nacional</t>
  </si>
  <si>
    <t>Scotiabank</t>
  </si>
  <si>
    <t>Davivienda</t>
  </si>
  <si>
    <t>Compañía</t>
  </si>
  <si>
    <t>Banco</t>
  </si>
  <si>
    <t xml:space="preserve">Operación </t>
  </si>
  <si>
    <t>Vencimiento</t>
  </si>
  <si>
    <t>Principal</t>
  </si>
  <si>
    <t>Intereses</t>
  </si>
  <si>
    <t>Cuota</t>
  </si>
  <si>
    <t>Capital</t>
  </si>
  <si>
    <t>Fecha de pago</t>
  </si>
  <si>
    <t>Capital actualizado</t>
  </si>
  <si>
    <t xml:space="preserve">EUROMOBILIA </t>
  </si>
  <si>
    <t>Bac San Jose</t>
  </si>
  <si>
    <t>Promerica</t>
  </si>
  <si>
    <t>OPERACIONES</t>
  </si>
  <si>
    <t>COLONES</t>
  </si>
  <si>
    <t>Finaliza</t>
  </si>
  <si>
    <t>%</t>
  </si>
  <si>
    <t>LEASING</t>
  </si>
  <si>
    <t xml:space="preserve">OPERACIÓN </t>
  </si>
  <si>
    <t xml:space="preserve">VENCIMIENTO </t>
  </si>
  <si>
    <t>PRINCIPAL</t>
  </si>
  <si>
    <t>CUOTA</t>
  </si>
  <si>
    <t>FECHA DE PAGO</t>
  </si>
  <si>
    <t>Improsa</t>
  </si>
  <si>
    <t>Moneda</t>
  </si>
  <si>
    <t>Colones</t>
  </si>
  <si>
    <t>Dólares</t>
  </si>
  <si>
    <t>Reembolsable</t>
  </si>
  <si>
    <t>No</t>
  </si>
  <si>
    <t>Si</t>
  </si>
  <si>
    <t>202-003-31079158</t>
  </si>
  <si>
    <t>Euromobilia</t>
  </si>
  <si>
    <t>Intereses y Seguros</t>
  </si>
  <si>
    <t>Sábado</t>
  </si>
  <si>
    <t>Domingo</t>
  </si>
  <si>
    <t>Fines de Semana del Mes</t>
  </si>
  <si>
    <t xml:space="preserve">Observaciones </t>
  </si>
  <si>
    <t>CR-IL3222-01</t>
  </si>
  <si>
    <t>Tipo</t>
  </si>
  <si>
    <t>Largo Plazo</t>
  </si>
  <si>
    <t>Capital de Trabajo</t>
  </si>
  <si>
    <t>Leasing</t>
  </si>
  <si>
    <t>202-003-35938451</t>
  </si>
  <si>
    <t>EUROMOBILIA</t>
  </si>
  <si>
    <t>Inicia</t>
  </si>
  <si>
    <t>Plazo Restante</t>
  </si>
  <si>
    <t>Fuente del Abono</t>
  </si>
  <si>
    <t>Plazo</t>
  </si>
  <si>
    <t>Recursos de la Empresa</t>
  </si>
  <si>
    <t>Refinanciamiento</t>
  </si>
  <si>
    <t>Aporte Socios</t>
  </si>
  <si>
    <t>6 meses</t>
  </si>
  <si>
    <t>70002000000324</t>
  </si>
  <si>
    <t>L3 Interes anticipado: Al pagar dicen el mes siguiente</t>
  </si>
  <si>
    <t>LN interes vencido: Al pagar dicen el mes actual</t>
  </si>
  <si>
    <t>Saldo original</t>
  </si>
  <si>
    <t>L3-202-010-16091830</t>
  </si>
  <si>
    <t>L3-202-010-16094446</t>
  </si>
  <si>
    <t>L3-202-010-16099431</t>
  </si>
  <si>
    <t>L3-202-010-16097978</t>
  </si>
  <si>
    <t>Tipo de tasa</t>
  </si>
  <si>
    <t>Nivelada</t>
  </si>
  <si>
    <t>Fija</t>
  </si>
  <si>
    <t>LR</t>
  </si>
  <si>
    <t>LN</t>
  </si>
  <si>
    <t>L3</t>
  </si>
  <si>
    <t>L4</t>
  </si>
  <si>
    <t>Juan Carlos Yi</t>
  </si>
  <si>
    <t>Ruben Rosenstock</t>
  </si>
  <si>
    <t>Jose Chavez - PRI</t>
  </si>
  <si>
    <t>Gustavo Alvarado - PH</t>
  </si>
  <si>
    <t>Panel</t>
  </si>
  <si>
    <t xml:space="preserve"> Indira Solano, PH</t>
  </si>
  <si>
    <t>L3-202-010-16108956</t>
  </si>
  <si>
    <t>L3-202-010-16112265</t>
  </si>
  <si>
    <t>LR-202-010-16116180</t>
  </si>
  <si>
    <t>LR-202-010-16116867</t>
  </si>
  <si>
    <t>L3-202-010-16116864</t>
  </si>
  <si>
    <t>L3-202-010-16121750</t>
  </si>
  <si>
    <t>L3-202-010-16123094</t>
  </si>
  <si>
    <t>LR-202-010-16123535</t>
  </si>
  <si>
    <t>L3-202-010-16120759</t>
  </si>
  <si>
    <t>L3-202-010-16116179</t>
  </si>
  <si>
    <t>L3-202-010-16125251</t>
  </si>
  <si>
    <t>LR-202-010-16127144</t>
  </si>
  <si>
    <t>L3-202-010-16127141</t>
  </si>
  <si>
    <t>LR-202-010-16128070</t>
  </si>
  <si>
    <t>L3-202-010-16129017</t>
  </si>
  <si>
    <t>LR-202-010-16129021</t>
  </si>
  <si>
    <t>L3-202-010-16130912</t>
  </si>
  <si>
    <t>LR-202-010-16130934</t>
  </si>
  <si>
    <t>L4-202-010-16132989</t>
  </si>
  <si>
    <t>L3-202-010-16133045</t>
  </si>
  <si>
    <t>LR-202-010-16133021</t>
  </si>
  <si>
    <t>si</t>
  </si>
  <si>
    <t>LR-202-010-16137584</t>
  </si>
  <si>
    <t>L3-202-010-16137628</t>
  </si>
  <si>
    <t>L3-202-010-16137889</t>
  </si>
  <si>
    <t>L3-202-010-16135989</t>
  </si>
  <si>
    <t>LR-202-010-16135975</t>
  </si>
  <si>
    <t>L3-202-010-16128024</t>
  </si>
  <si>
    <t>L3-202-010-16139024</t>
  </si>
  <si>
    <t>LR-202-010-16139027</t>
  </si>
  <si>
    <t>L3-202-010-16139388</t>
  </si>
  <si>
    <t>LR-202-010-16139396</t>
  </si>
  <si>
    <t>LR-202-010-16121734</t>
  </si>
  <si>
    <t>L3-202-010-16138600</t>
  </si>
  <si>
    <t>LR-202-010-16138551</t>
  </si>
  <si>
    <t>LR-202-010-16142710</t>
  </si>
  <si>
    <t>L3-202-010-16142680</t>
  </si>
  <si>
    <t>L3-202-010-16142143</t>
  </si>
  <si>
    <t>LR-202-010-16142152</t>
  </si>
  <si>
    <t>L3-202-010-16143370</t>
  </si>
  <si>
    <t>LR-202-010-16143351</t>
  </si>
  <si>
    <t xml:space="preserve">Marco Camacho </t>
  </si>
  <si>
    <t>.</t>
  </si>
  <si>
    <t>L3-202-010-16150016</t>
  </si>
  <si>
    <t>LR-202-010-16153576</t>
  </si>
  <si>
    <t>Flujo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</si>
</sst>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₡&quot;* #,##0.00_-;\-&quot;₡&quot;* #,##0.00_-;_-&quot;₡&quot;* &quot;-&quot;??_-;_-@_-"/>
    <numFmt numFmtId="43" formatCode="_-* #,##0.00_-;\-* #,##0.00_-;_-* &quot;-&quot;??_-;_-@_-"/>
    <numFmt numFmtId="164" formatCode="dd\-mm\-yy;@"/>
    <numFmt numFmtId="165" formatCode="dd/mm/yy;@"/>
    <numFmt numFmtId="166" formatCode="[$$-540A]#,##0.00"/>
    <numFmt numFmtId="167" formatCode="&quot;₡&quot;#,##0.00"/>
    <numFmt numFmtId="168" formatCode="0.0000%"/>
    <numFmt numFmtId="169" formatCode="_-[$$-540A]* #,##0.00_ ;_-[$$-540A]* \-#,##0.00\ ;_-[$$-540A]* &quot;-&quot;??_ ;_-@_ "/>
  </numFmts>
  <fonts count="24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color theme="0" tint="-0.499984740745262"/>
      <name val="Arial"/>
      <family val="2"/>
    </font>
    <font>
      <sz val="16"/>
      <color theme="0" tint="-0.499984740745262"/>
      <name val="Calibri"/>
      <family val="2"/>
      <scheme val="minor"/>
    </font>
    <font>
      <b/>
      <sz val="8"/>
      <name val="Arial"/>
      <family val="2"/>
    </font>
    <font>
      <b/>
      <sz val="16"/>
      <color theme="0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rgb="FF000000"/>
      <name val="Tahoma"/>
      <family val="2"/>
    </font>
    <font>
      <b/>
      <sz val="11"/>
      <color rgb="FFFF0000"/>
      <name val="Calibri"/>
      <family val="2"/>
      <scheme val="minor"/>
    </font>
    <font>
      <sz val="12"/>
      <color rgb="FF242424"/>
      <name val="Aptos"/>
      <family val="2"/>
    </font>
    <font>
      <sz val="12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23" fillId="0" borderId="0"/>
  </cellStyleXfs>
  <cellXfs count="186">
    <xf numFmtId="0" fontId="0" fillId="0" borderId="0" xfId="0"/>
    <xf numFmtId="4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left"/>
    </xf>
    <xf numFmtId="0" fontId="4" fillId="0" borderId="0" xfId="0" applyFont="1"/>
    <xf numFmtId="4" fontId="4" fillId="0" borderId="0" xfId="0" applyNumberFormat="1" applyFont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/>
    <xf numFmtId="165" fontId="2" fillId="0" borderId="0" xfId="0" applyNumberFormat="1" applyFont="1" applyAlignment="1">
      <alignment horizontal="center"/>
    </xf>
    <xf numFmtId="164" fontId="6" fillId="4" borderId="0" xfId="0" applyNumberFormat="1" applyFont="1" applyFill="1"/>
    <xf numFmtId="0" fontId="6" fillId="4" borderId="0" xfId="0" applyFont="1" applyFill="1"/>
    <xf numFmtId="4" fontId="6" fillId="4" borderId="0" xfId="0" applyNumberFormat="1" applyFont="1" applyFill="1" applyAlignment="1">
      <alignment horizontal="right"/>
    </xf>
    <xf numFmtId="165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right"/>
    </xf>
    <xf numFmtId="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7" fillId="0" borderId="0" xfId="0" applyFont="1"/>
    <xf numFmtId="167" fontId="4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6" fontId="4" fillId="0" borderId="0" xfId="0" applyNumberFormat="1" applyFont="1"/>
    <xf numFmtId="167" fontId="4" fillId="0" borderId="0" xfId="0" applyNumberFormat="1" applyFont="1"/>
    <xf numFmtId="167" fontId="8" fillId="2" borderId="0" xfId="0" applyNumberFormat="1" applyFont="1" applyFill="1" applyAlignment="1">
      <alignment horizontal="right"/>
    </xf>
    <xf numFmtId="167" fontId="0" fillId="0" borderId="0" xfId="0" applyNumberFormat="1"/>
    <xf numFmtId="166" fontId="0" fillId="0" borderId="0" xfId="0" applyNumberFormat="1"/>
    <xf numFmtId="0" fontId="8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0" fontId="1" fillId="3" borderId="0" xfId="0" applyFont="1" applyFill="1" applyAlignment="1">
      <alignment vertical="center"/>
    </xf>
    <xf numFmtId="16" fontId="0" fillId="0" borderId="1" xfId="0" applyNumberFormat="1" applyBorder="1"/>
    <xf numFmtId="16" fontId="3" fillId="0" borderId="1" xfId="0" applyNumberFormat="1" applyFont="1" applyBorder="1"/>
    <xf numFmtId="4" fontId="8" fillId="0" borderId="1" xfId="0" applyNumberFormat="1" applyFont="1" applyBorder="1"/>
    <xf numFmtId="0" fontId="8" fillId="0" borderId="0" xfId="0" applyFont="1" applyAlignment="1">
      <alignment horizontal="left"/>
    </xf>
    <xf numFmtId="4" fontId="6" fillId="4" borderId="0" xfId="0" applyNumberFormat="1" applyFont="1" applyFill="1" applyAlignment="1">
      <alignment horizontal="center"/>
    </xf>
    <xf numFmtId="4" fontId="8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left"/>
    </xf>
    <xf numFmtId="4" fontId="3" fillId="0" borderId="3" xfId="0" applyNumberFormat="1" applyFont="1" applyBorder="1"/>
    <xf numFmtId="166" fontId="4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" fontId="0" fillId="0" borderId="0" xfId="0" applyNumberFormat="1"/>
    <xf numFmtId="167" fontId="4" fillId="0" borderId="2" xfId="0" applyNumberFormat="1" applyFont="1" applyBorder="1"/>
    <xf numFmtId="167" fontId="4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center"/>
    </xf>
    <xf numFmtId="4" fontId="10" fillId="0" borderId="0" xfId="0" applyNumberFormat="1" applyFont="1"/>
    <xf numFmtId="165" fontId="10" fillId="0" borderId="0" xfId="0" applyNumberFormat="1" applyFont="1" applyAlignment="1">
      <alignment horizontal="left"/>
    </xf>
    <xf numFmtId="0" fontId="11" fillId="0" borderId="0" xfId="0" applyFont="1"/>
    <xf numFmtId="166" fontId="10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vertical="center" wrapText="1"/>
    </xf>
    <xf numFmtId="4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0" fontId="12" fillId="3" borderId="0" xfId="0" applyFont="1" applyFill="1" applyAlignment="1">
      <alignment vertical="center"/>
    </xf>
    <xf numFmtId="164" fontId="10" fillId="0" borderId="0" xfId="0" applyNumberFormat="1" applyFont="1"/>
    <xf numFmtId="164" fontId="10" fillId="4" borderId="0" xfId="0" applyNumberFormat="1" applyFont="1" applyFill="1" applyAlignment="1">
      <alignment horizontal="left"/>
    </xf>
    <xf numFmtId="0" fontId="10" fillId="4" borderId="0" xfId="0" applyFont="1" applyFill="1"/>
    <xf numFmtId="4" fontId="10" fillId="4" borderId="0" xfId="0" applyNumberFormat="1" applyFont="1" applyFill="1" applyAlignment="1">
      <alignment horizontal="right"/>
    </xf>
    <xf numFmtId="164" fontId="10" fillId="4" borderId="0" xfId="0" applyNumberFormat="1" applyFont="1" applyFill="1" applyAlignment="1">
      <alignment horizontal="right"/>
    </xf>
    <xf numFmtId="165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right"/>
    </xf>
    <xf numFmtId="164" fontId="10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1" fillId="3" borderId="0" xfId="0" applyNumberFormat="1" applyFont="1" applyFill="1" applyAlignment="1">
      <alignment vertical="center"/>
    </xf>
    <xf numFmtId="168" fontId="6" fillId="4" borderId="0" xfId="0" applyNumberFormat="1" applyFont="1" applyFill="1" applyAlignment="1">
      <alignment horizontal="center"/>
    </xf>
    <xf numFmtId="168" fontId="12" fillId="3" borderId="0" xfId="0" applyNumberFormat="1" applyFont="1" applyFill="1" applyAlignment="1">
      <alignment vertical="center"/>
    </xf>
    <xf numFmtId="168" fontId="10" fillId="4" borderId="0" xfId="0" applyNumberFormat="1" applyFont="1" applyFill="1" applyAlignment="1">
      <alignment horizontal="center"/>
    </xf>
    <xf numFmtId="168" fontId="3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 vertical="center"/>
    </xf>
    <xf numFmtId="4" fontId="4" fillId="4" borderId="0" xfId="0" applyNumberFormat="1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4" fontId="10" fillId="4" borderId="0" xfId="0" applyNumberFormat="1" applyFont="1" applyFill="1" applyAlignment="1">
      <alignment horizontal="center"/>
    </xf>
    <xf numFmtId="0" fontId="14" fillId="3" borderId="0" xfId="0" applyFont="1" applyFill="1" applyAlignment="1">
      <alignment vertical="center"/>
    </xf>
    <xf numFmtId="0" fontId="2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165" fontId="4" fillId="0" borderId="4" xfId="0" applyNumberFormat="1" applyFont="1" applyBorder="1" applyAlignment="1">
      <alignment horizontal="center"/>
    </xf>
    <xf numFmtId="166" fontId="8" fillId="0" borderId="4" xfId="0" applyNumberFormat="1" applyFont="1" applyBorder="1"/>
    <xf numFmtId="165" fontId="8" fillId="0" borderId="4" xfId="0" applyNumberFormat="1" applyFont="1" applyBorder="1" applyAlignment="1">
      <alignment horizontal="center"/>
    </xf>
    <xf numFmtId="4" fontId="8" fillId="0" borderId="4" xfId="0" applyNumberFormat="1" applyFont="1" applyBorder="1" applyAlignment="1">
      <alignment horizontal="right"/>
    </xf>
    <xf numFmtId="4" fontId="4" fillId="0" borderId="4" xfId="0" applyNumberFormat="1" applyFont="1" applyBorder="1"/>
    <xf numFmtId="165" fontId="0" fillId="0" borderId="4" xfId="0" applyNumberFormat="1" applyBorder="1" applyAlignment="1">
      <alignment horizontal="center"/>
    </xf>
    <xf numFmtId="166" fontId="0" fillId="0" borderId="4" xfId="0" applyNumberFormat="1" applyBorder="1"/>
    <xf numFmtId="4" fontId="2" fillId="0" borderId="0" xfId="0" applyNumberFormat="1" applyFont="1" applyAlignment="1">
      <alignment horizontal="center"/>
    </xf>
    <xf numFmtId="14" fontId="0" fillId="0" borderId="0" xfId="0" applyNumberFormat="1"/>
    <xf numFmtId="164" fontId="6" fillId="4" borderId="0" xfId="0" applyNumberFormat="1" applyFont="1" applyFill="1" applyAlignment="1">
      <alignment horizontal="center"/>
    </xf>
    <xf numFmtId="167" fontId="4" fillId="0" borderId="4" xfId="0" applyNumberFormat="1" applyFont="1" applyBorder="1" applyAlignment="1">
      <alignment vertical="center" wrapText="1"/>
    </xf>
    <xf numFmtId="167" fontId="4" fillId="2" borderId="4" xfId="0" applyNumberFormat="1" applyFont="1" applyFill="1" applyBorder="1"/>
    <xf numFmtId="4" fontId="0" fillId="0" borderId="1" xfId="0" applyNumberFormat="1" applyBorder="1"/>
    <xf numFmtId="4" fontId="2" fillId="0" borderId="0" xfId="0" applyNumberFormat="1" applyFont="1" applyAlignment="1">
      <alignment vertical="center" wrapText="1"/>
    </xf>
    <xf numFmtId="0" fontId="4" fillId="4" borderId="0" xfId="0" applyFont="1" applyFill="1"/>
    <xf numFmtId="0" fontId="20" fillId="0" borderId="0" xfId="0" applyFont="1"/>
    <xf numFmtId="4" fontId="18" fillId="0" borderId="0" xfId="0" applyNumberFormat="1" applyFont="1"/>
    <xf numFmtId="4" fontId="8" fillId="0" borderId="0" xfId="0" applyNumberFormat="1" applyFont="1"/>
    <xf numFmtId="165" fontId="8" fillId="0" borderId="0" xfId="0" applyNumberFormat="1" applyFont="1" applyAlignment="1">
      <alignment horizontal="left"/>
    </xf>
    <xf numFmtId="0" fontId="13" fillId="0" borderId="0" xfId="0" applyFont="1"/>
    <xf numFmtId="0" fontId="8" fillId="0" borderId="4" xfId="0" applyFont="1" applyBorder="1"/>
    <xf numFmtId="164" fontId="4" fillId="0" borderId="4" xfId="0" applyNumberFormat="1" applyFont="1" applyBorder="1" applyAlignment="1">
      <alignment horizontal="left"/>
    </xf>
    <xf numFmtId="168" fontId="4" fillId="0" borderId="4" xfId="0" applyNumberFormat="1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left"/>
    </xf>
    <xf numFmtId="164" fontId="4" fillId="0" borderId="4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vertical="center" wrapText="1"/>
    </xf>
    <xf numFmtId="166" fontId="4" fillId="0" borderId="4" xfId="0" applyNumberFormat="1" applyFont="1" applyBorder="1" applyAlignment="1">
      <alignment horizontal="center"/>
    </xf>
    <xf numFmtId="0" fontId="0" fillId="5" borderId="0" xfId="0" applyFill="1"/>
    <xf numFmtId="44" fontId="0" fillId="0" borderId="0" xfId="0" applyNumberFormat="1" applyAlignment="1">
      <alignment horizontal="center"/>
    </xf>
    <xf numFmtId="44" fontId="1" fillId="3" borderId="0" xfId="0" applyNumberFormat="1" applyFont="1" applyFill="1" applyAlignment="1">
      <alignment horizontal="center" vertical="center"/>
    </xf>
    <xf numFmtId="44" fontId="4" fillId="4" borderId="0" xfId="0" applyNumberFormat="1" applyFont="1" applyFill="1" applyAlignment="1">
      <alignment horizontal="center"/>
    </xf>
    <xf numFmtId="44" fontId="4" fillId="0" borderId="0" xfId="0" applyNumberFormat="1" applyFont="1" applyAlignment="1">
      <alignment horizontal="center"/>
    </xf>
    <xf numFmtId="44" fontId="4" fillId="0" borderId="4" xfId="0" applyNumberFormat="1" applyFont="1" applyBorder="1" applyAlignment="1">
      <alignment horizontal="center"/>
    </xf>
    <xf numFmtId="44" fontId="4" fillId="0" borderId="2" xfId="0" applyNumberFormat="1" applyFont="1" applyBorder="1" applyAlignment="1">
      <alignment horizontal="center"/>
    </xf>
    <xf numFmtId="44" fontId="6" fillId="4" borderId="0" xfId="0" applyNumberFormat="1" applyFont="1" applyFill="1" applyAlignment="1">
      <alignment horizontal="center"/>
    </xf>
    <xf numFmtId="44" fontId="10" fillId="0" borderId="0" xfId="0" applyNumberFormat="1" applyFont="1" applyAlignment="1">
      <alignment horizontal="center"/>
    </xf>
    <xf numFmtId="44" fontId="12" fillId="3" borderId="0" xfId="0" applyNumberFormat="1" applyFont="1" applyFill="1" applyAlignment="1">
      <alignment horizontal="center" vertical="center"/>
    </xf>
    <xf numFmtId="44" fontId="10" fillId="4" borderId="0" xfId="0" applyNumberFormat="1" applyFont="1" applyFill="1" applyAlignment="1">
      <alignment horizontal="center"/>
    </xf>
    <xf numFmtId="169" fontId="4" fillId="6" borderId="0" xfId="0" applyNumberFormat="1" applyFont="1" applyFill="1" applyAlignment="1">
      <alignment horizontal="center"/>
    </xf>
    <xf numFmtId="16" fontId="4" fillId="0" borderId="0" xfId="0" applyNumberFormat="1" applyFont="1"/>
    <xf numFmtId="164" fontId="0" fillId="4" borderId="0" xfId="0" applyNumberFormat="1" applyFill="1"/>
    <xf numFmtId="164" fontId="0" fillId="4" borderId="0" xfId="0" applyNumberFormat="1" applyFill="1" applyAlignment="1">
      <alignment horizontal="left"/>
    </xf>
    <xf numFmtId="168" fontId="0" fillId="4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4" fontId="0" fillId="4" borderId="0" xfId="0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right"/>
    </xf>
    <xf numFmtId="4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center"/>
    </xf>
    <xf numFmtId="0" fontId="0" fillId="4" borderId="0" xfId="0" applyFill="1" applyAlignment="1">
      <alignment horizontal="right"/>
    </xf>
    <xf numFmtId="14" fontId="4" fillId="0" borderId="0" xfId="0" applyNumberFormat="1" applyFont="1" applyAlignment="1">
      <alignment horizontal="left"/>
    </xf>
    <xf numFmtId="166" fontId="8" fillId="0" borderId="0" xfId="0" applyNumberFormat="1" applyFont="1" applyAlignment="1">
      <alignment vertical="center" wrapText="1"/>
    </xf>
    <xf numFmtId="166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43" fontId="4" fillId="0" borderId="0" xfId="1" applyFont="1" applyAlignment="1">
      <alignment horizontal="left"/>
    </xf>
    <xf numFmtId="169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vertical="center" wrapText="1"/>
    </xf>
    <xf numFmtId="14" fontId="4" fillId="0" borderId="0" xfId="0" applyNumberFormat="1" applyFont="1"/>
    <xf numFmtId="167" fontId="4" fillId="0" borderId="0" xfId="0" applyNumberFormat="1" applyFont="1" applyAlignment="1">
      <alignment horizontal="right"/>
    </xf>
    <xf numFmtId="0" fontId="19" fillId="0" borderId="0" xfId="0" applyFont="1"/>
    <xf numFmtId="166" fontId="0" fillId="0" borderId="0" xfId="0" applyNumberFormat="1" applyAlignment="1">
      <alignment vertical="center" wrapText="1"/>
    </xf>
    <xf numFmtId="166" fontId="0" fillId="0" borderId="0" xfId="0" applyNumberFormat="1" applyAlignment="1">
      <alignment horizontal="right"/>
    </xf>
    <xf numFmtId="166" fontId="0" fillId="0" borderId="3" xfId="0" applyNumberFormat="1" applyBorder="1" applyAlignment="1">
      <alignment vertical="center" wrapText="1"/>
    </xf>
    <xf numFmtId="166" fontId="0" fillId="0" borderId="3" xfId="0" applyNumberFormat="1" applyBorder="1"/>
    <xf numFmtId="165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right"/>
    </xf>
    <xf numFmtId="4" fontId="4" fillId="0" borderId="2" xfId="0" applyNumberFormat="1" applyFont="1" applyBorder="1" applyAlignment="1">
      <alignment horizontal="right"/>
    </xf>
    <xf numFmtId="14" fontId="4" fillId="7" borderId="0" xfId="0" applyNumberFormat="1" applyFont="1" applyFill="1"/>
    <xf numFmtId="164" fontId="4" fillId="7" borderId="0" xfId="0" applyNumberFormat="1" applyFont="1" applyFill="1" applyAlignment="1">
      <alignment horizontal="left"/>
    </xf>
    <xf numFmtId="0" fontId="4" fillId="7" borderId="0" xfId="0" applyFont="1" applyFill="1" applyAlignment="1">
      <alignment horizontal="left"/>
    </xf>
    <xf numFmtId="168" fontId="4" fillId="7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169" fontId="4" fillId="7" borderId="0" xfId="0" applyNumberFormat="1" applyFont="1" applyFill="1" applyAlignment="1">
      <alignment horizontal="center"/>
    </xf>
    <xf numFmtId="166" fontId="4" fillId="7" borderId="0" xfId="0" applyNumberFormat="1" applyFont="1" applyFill="1" applyAlignment="1">
      <alignment vertical="center" wrapText="1"/>
    </xf>
    <xf numFmtId="166" fontId="4" fillId="7" borderId="0" xfId="0" applyNumberFormat="1" applyFont="1" applyFill="1"/>
    <xf numFmtId="165" fontId="4" fillId="7" borderId="0" xfId="0" applyNumberFormat="1" applyFont="1" applyFill="1" applyAlignment="1">
      <alignment horizontal="center"/>
    </xf>
    <xf numFmtId="0" fontId="20" fillId="7" borderId="0" xfId="0" applyFont="1" applyFill="1"/>
    <xf numFmtId="0" fontId="4" fillId="8" borderId="0" xfId="0" applyFont="1" applyFill="1" applyAlignment="1">
      <alignment horizontal="left"/>
    </xf>
    <xf numFmtId="168" fontId="4" fillId="8" borderId="0" xfId="0" applyNumberFormat="1" applyFont="1" applyFill="1" applyAlignment="1">
      <alignment horizontal="center"/>
    </xf>
    <xf numFmtId="164" fontId="4" fillId="8" borderId="0" xfId="0" applyNumberFormat="1" applyFont="1" applyFill="1" applyAlignment="1">
      <alignment horizontal="center"/>
    </xf>
    <xf numFmtId="169" fontId="4" fillId="8" borderId="0" xfId="0" applyNumberFormat="1" applyFont="1" applyFill="1" applyAlignment="1">
      <alignment horizontal="center"/>
    </xf>
    <xf numFmtId="166" fontId="4" fillId="8" borderId="0" xfId="0" applyNumberFormat="1" applyFont="1" applyFill="1" applyAlignment="1">
      <alignment vertical="center" wrapText="1"/>
    </xf>
    <xf numFmtId="166" fontId="4" fillId="8" borderId="0" xfId="0" applyNumberFormat="1" applyFont="1" applyFill="1"/>
    <xf numFmtId="165" fontId="4" fillId="8" borderId="0" xfId="0" applyNumberFormat="1" applyFont="1" applyFill="1" applyAlignment="1">
      <alignment horizontal="center"/>
    </xf>
    <xf numFmtId="4" fontId="4" fillId="8" borderId="0" xfId="0" applyNumberFormat="1" applyFont="1" applyFill="1"/>
    <xf numFmtId="0" fontId="20" fillId="8" borderId="0" xfId="0" applyFont="1" applyFill="1"/>
    <xf numFmtId="164" fontId="4" fillId="8" borderId="0" xfId="0" applyNumberFormat="1" applyFont="1" applyFill="1" applyAlignment="1">
      <alignment horizontal="left"/>
    </xf>
    <xf numFmtId="14" fontId="4" fillId="8" borderId="0" xfId="0" applyNumberFormat="1" applyFont="1" applyFill="1" applyAlignment="1">
      <alignment horizontal="left"/>
    </xf>
    <xf numFmtId="4" fontId="4" fillId="8" borderId="0" xfId="0" applyNumberFormat="1" applyFont="1" applyFill="1" applyAlignment="1">
      <alignment vertical="center" wrapText="1"/>
    </xf>
    <xf numFmtId="166" fontId="4" fillId="8" borderId="0" xfId="0" applyNumberFormat="1" applyFont="1" applyFill="1" applyAlignment="1">
      <alignment horizontal="right"/>
    </xf>
    <xf numFmtId="164" fontId="4" fillId="0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C952513D-5017-4AA8-AA99-8A269A9B5499}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99"/>
      <color rgb="FFCCECFF"/>
      <color rgb="FF163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C4D3-3F1B-4CDB-A964-68433BEDDB2D}">
  <sheetPr codeName="Hoja2" filterMode="1">
    <pageSetUpPr fitToPage="1"/>
  </sheetPr>
  <dimension ref="A1:AD125"/>
  <sheetViews>
    <sheetView showGridLines="0" tabSelected="1" topLeftCell="B75" zoomScale="145" zoomScaleNormal="145" workbookViewId="0">
      <selection activeCell="P67" sqref="P67"/>
    </sheetView>
  </sheetViews>
  <sheetFormatPr defaultColWidth="13.109375" defaultRowHeight="14.4"/>
  <cols>
    <col min="1" max="1" width="11" customWidth="1"/>
    <col min="2" max="2" width="10" style="33" bestFit="1" customWidth="1"/>
    <col min="3" max="3" width="9.109375" style="33" bestFit="1" customWidth="1"/>
    <col min="4" max="4" width="14" style="33" bestFit="1" customWidth="1"/>
    <col min="5" max="5" width="9.6640625" style="77" bestFit="1" customWidth="1"/>
    <col min="6" max="6" width="12.44140625" style="77" bestFit="1" customWidth="1"/>
    <col min="7" max="7" width="14" hidden="1" customWidth="1"/>
    <col min="8" max="8" width="17" hidden="1" customWidth="1"/>
    <col min="9" max="9" width="16" hidden="1" customWidth="1"/>
    <col min="10" max="10" width="10.5546875" hidden="1" customWidth="1"/>
    <col min="11" max="11" width="14.44140625" hidden="1" customWidth="1"/>
    <col min="12" max="12" width="13.88671875" hidden="1" customWidth="1"/>
    <col min="13" max="13" width="20.44140625" bestFit="1" customWidth="1"/>
    <col min="14" max="14" width="17" style="34" bestFit="1" customWidth="1"/>
    <col min="15" max="15" width="19" style="122" bestFit="1" customWidth="1"/>
    <col min="16" max="16" width="15.88671875" style="1" bestFit="1" customWidth="1"/>
    <col min="17" max="17" width="16.44140625" style="1" customWidth="1"/>
    <col min="18" max="18" width="15.88671875" style="1" bestFit="1" customWidth="1"/>
    <col min="19" max="19" width="17.5546875" style="1" bestFit="1" customWidth="1"/>
    <col min="20" max="20" width="18.109375" style="2" bestFit="1" customWidth="1"/>
    <col min="21" max="21" width="23.6640625" bestFit="1" customWidth="1"/>
    <col min="22" max="22" width="27.44140625" style="3" bestFit="1" customWidth="1"/>
    <col min="23" max="23" width="21.5546875" style="3" bestFit="1" customWidth="1"/>
    <col min="24" max="26" width="7.109375" bestFit="1" customWidth="1"/>
    <col min="29" max="29" width="8.5546875" bestFit="1" customWidth="1"/>
    <col min="30" max="30" width="3.33203125" bestFit="1" customWidth="1"/>
  </cols>
  <sheetData>
    <row r="1" spans="1:30">
      <c r="A1" s="101">
        <f ca="1">TODAY()</f>
        <v>46056</v>
      </c>
      <c r="G1" s="50"/>
      <c r="N1" s="83"/>
      <c r="Q1" s="105" t="s">
        <v>51</v>
      </c>
      <c r="U1" s="47" t="s">
        <v>38</v>
      </c>
      <c r="V1" s="47"/>
      <c r="W1" s="47"/>
      <c r="X1" s="47"/>
      <c r="Y1" s="47"/>
      <c r="Z1" s="47"/>
      <c r="AA1" s="3"/>
      <c r="AC1">
        <v>1050173</v>
      </c>
      <c r="AD1" s="121" t="s">
        <v>66</v>
      </c>
    </row>
    <row r="2" spans="1:30" ht="21">
      <c r="A2" s="39" t="s">
        <v>16</v>
      </c>
      <c r="B2" s="39"/>
      <c r="C2" s="39"/>
      <c r="D2" s="39"/>
      <c r="E2" s="78"/>
      <c r="F2" s="78"/>
      <c r="G2" s="39"/>
      <c r="H2" s="39"/>
      <c r="I2" s="39"/>
      <c r="J2" s="39"/>
      <c r="K2" s="39"/>
      <c r="L2" s="39"/>
      <c r="M2" s="39"/>
      <c r="N2" s="84"/>
      <c r="O2" s="123"/>
      <c r="P2" s="39"/>
      <c r="Q2" s="105" t="s">
        <v>52</v>
      </c>
      <c r="S2" s="1">
        <v>7</v>
      </c>
      <c r="U2" s="41" t="s">
        <v>36</v>
      </c>
      <c r="V2" s="40">
        <v>46025</v>
      </c>
      <c r="W2" s="40">
        <v>46032</v>
      </c>
      <c r="X2" s="40">
        <v>46039</v>
      </c>
      <c r="Y2" s="40">
        <v>46046</v>
      </c>
      <c r="Z2" s="40">
        <v>46053</v>
      </c>
      <c r="AC2">
        <v>1050173</v>
      </c>
      <c r="AD2" s="121" t="s">
        <v>67</v>
      </c>
    </row>
    <row r="3" spans="1:30">
      <c r="B3" s="4"/>
      <c r="C3" s="4"/>
      <c r="D3" s="4"/>
      <c r="E3" s="75"/>
      <c r="F3" s="75"/>
      <c r="G3" s="5"/>
      <c r="H3" s="5"/>
      <c r="I3" s="5"/>
      <c r="J3" s="5"/>
      <c r="K3" s="5"/>
      <c r="L3" s="5"/>
      <c r="M3" s="5"/>
      <c r="N3" s="3"/>
      <c r="P3" s="6"/>
      <c r="Q3" s="105" t="s">
        <v>53</v>
      </c>
      <c r="U3" s="42" t="s">
        <v>37</v>
      </c>
      <c r="V3" s="40">
        <v>46026</v>
      </c>
      <c r="W3" s="40">
        <v>46033</v>
      </c>
      <c r="X3" s="40">
        <v>46040</v>
      </c>
      <c r="Y3" s="40">
        <v>46047</v>
      </c>
      <c r="Z3" s="40">
        <v>46047</v>
      </c>
      <c r="AC3">
        <v>997013</v>
      </c>
      <c r="AD3" t="s">
        <v>68</v>
      </c>
    </row>
    <row r="4" spans="1:30" ht="17.399999999999999">
      <c r="B4" s="4"/>
      <c r="C4" s="4"/>
      <c r="D4" s="4"/>
      <c r="E4" s="75"/>
      <c r="F4" s="75"/>
      <c r="G4" s="8"/>
      <c r="H4" s="8"/>
      <c r="I4" s="8"/>
      <c r="J4" s="8"/>
      <c r="K4" s="9" t="s">
        <v>17</v>
      </c>
      <c r="L4" s="9"/>
      <c r="N4" s="3"/>
      <c r="P4" s="6"/>
      <c r="Q4" s="6"/>
      <c r="R4" s="6"/>
      <c r="S4" s="6"/>
      <c r="T4" s="10"/>
      <c r="AC4">
        <v>996993</v>
      </c>
      <c r="AD4" t="s">
        <v>69</v>
      </c>
    </row>
    <row r="5" spans="1:30">
      <c r="A5" s="102" t="s">
        <v>47</v>
      </c>
      <c r="B5" s="11" t="s">
        <v>18</v>
      </c>
      <c r="C5" s="11" t="s">
        <v>50</v>
      </c>
      <c r="D5" s="11" t="s">
        <v>48</v>
      </c>
      <c r="E5" s="79" t="s">
        <v>19</v>
      </c>
      <c r="F5" s="79"/>
      <c r="G5" s="12" t="s">
        <v>3</v>
      </c>
      <c r="H5" s="12" t="s">
        <v>41</v>
      </c>
      <c r="I5" s="12" t="s">
        <v>30</v>
      </c>
      <c r="J5" s="12" t="s">
        <v>27</v>
      </c>
      <c r="K5" s="12" t="s">
        <v>4</v>
      </c>
      <c r="L5" s="12"/>
      <c r="M5" s="12" t="s">
        <v>5</v>
      </c>
      <c r="N5" s="85" t="s">
        <v>6</v>
      </c>
      <c r="O5" s="124" t="s">
        <v>58</v>
      </c>
      <c r="P5" s="13" t="s">
        <v>7</v>
      </c>
      <c r="Q5" s="13" t="s">
        <v>8</v>
      </c>
      <c r="R5" s="13" t="s">
        <v>9</v>
      </c>
      <c r="S5" s="13" t="s">
        <v>10</v>
      </c>
      <c r="T5" s="14" t="s">
        <v>11</v>
      </c>
      <c r="U5" s="15" t="s">
        <v>12</v>
      </c>
      <c r="V5" s="44" t="s">
        <v>39</v>
      </c>
      <c r="W5" s="44" t="s">
        <v>49</v>
      </c>
    </row>
    <row r="6" spans="1:30" s="5" customFormat="1" ht="15.6">
      <c r="A6" s="152">
        <v>45806</v>
      </c>
      <c r="B6" s="4">
        <v>48614</v>
      </c>
      <c r="C6" s="8" t="str">
        <f>IF(ROUNDUP(((-A6+B6)/(365/12)),0)&lt;=0,0,ROUNDUP(((-A6+B6)/(365/12)),0))&amp;" "&amp;"Meses"</f>
        <v>93 Meses</v>
      </c>
      <c r="D6" s="8" t="str">
        <f ca="1">IF(ROUNDUP(((-$A$1+B6)/(365/12)),0)&lt;=0,0,ROUNDUP(((-$A$1+B6)/(365/12)),0))&amp;" "&amp;"Meses"</f>
        <v>85 Meses</v>
      </c>
      <c r="E6" s="75">
        <v>7.7799999999999994E-2</v>
      </c>
      <c r="F6" s="75"/>
      <c r="G6" s="5" t="s">
        <v>46</v>
      </c>
      <c r="H6" s="5" t="s">
        <v>42</v>
      </c>
      <c r="I6" s="5" t="s">
        <v>31</v>
      </c>
      <c r="J6" s="5" t="s">
        <v>28</v>
      </c>
      <c r="K6" s="5" t="s">
        <v>0</v>
      </c>
      <c r="M6" s="8" t="s">
        <v>33</v>
      </c>
      <c r="N6" s="90">
        <v>46058</v>
      </c>
      <c r="O6" s="125">
        <v>1860000000</v>
      </c>
      <c r="P6" s="19">
        <v>8899356.5299999993</v>
      </c>
      <c r="Q6" s="19">
        <v>5497558.8799999999</v>
      </c>
      <c r="R6" s="26">
        <f>+P6+Q6</f>
        <v>14396915.41</v>
      </c>
      <c r="S6" s="26">
        <v>930038257.76999998</v>
      </c>
      <c r="T6" s="22"/>
      <c r="U6" s="153">
        <f>+S6-P6</f>
        <v>921138901.24000001</v>
      </c>
      <c r="V6" s="22"/>
      <c r="W6" s="154"/>
    </row>
    <row r="7" spans="1:30" s="5" customFormat="1" ht="15.6">
      <c r="A7" s="152">
        <v>45805</v>
      </c>
      <c r="B7" s="4">
        <v>48605</v>
      </c>
      <c r="C7" s="8" t="str">
        <f>IF(ROUNDUP(((-A7+B7)/(365/12)),0)&lt;=0,0,ROUNDUP(((-A7+B7)/(365/12)),0))&amp;" "&amp;"Meses"</f>
        <v>93 Meses</v>
      </c>
      <c r="D7" s="8" t="str">
        <f ca="1">IF(ROUNDUP(((-$A$1+B7)/(365/12)),0)&lt;=0,0,ROUNDUP(((-$A$1+B7)/(365/12)),0))&amp;" "&amp;"Meses"</f>
        <v>84 Meses</v>
      </c>
      <c r="E7" s="75">
        <v>7.7700000000000005E-2</v>
      </c>
      <c r="F7" s="75"/>
      <c r="G7" s="5" t="s">
        <v>46</v>
      </c>
      <c r="H7" s="5" t="s">
        <v>42</v>
      </c>
      <c r="I7" s="5" t="s">
        <v>31</v>
      </c>
      <c r="J7" s="5" t="s">
        <v>28</v>
      </c>
      <c r="K7" s="5" t="s">
        <v>0</v>
      </c>
      <c r="M7" s="8" t="s">
        <v>45</v>
      </c>
      <c r="N7" s="90">
        <v>46065</v>
      </c>
      <c r="O7" s="125">
        <v>6314977753</v>
      </c>
      <c r="P7" s="19">
        <v>31308626.420000002</v>
      </c>
      <c r="Q7" s="19">
        <f>14767779.86+17794574.68</f>
        <v>32562354.539999999</v>
      </c>
      <c r="R7" s="26">
        <f>+P7+Q7</f>
        <v>63870980.960000001</v>
      </c>
      <c r="S7" s="26">
        <v>4917116947.7900009</v>
      </c>
      <c r="T7" s="22"/>
      <c r="U7" s="153">
        <f>+S7-P7</f>
        <v>4885808321.3700008</v>
      </c>
      <c r="V7" s="22"/>
      <c r="W7" s="154"/>
      <c r="X7" s="6"/>
      <c r="Y7" s="17"/>
      <c r="Z7" s="18"/>
      <c r="AA7" s="17"/>
    </row>
    <row r="8" spans="1:30" s="5" customFormat="1">
      <c r="B8" s="4"/>
      <c r="C8" s="4"/>
      <c r="D8" s="4"/>
      <c r="E8" s="75"/>
      <c r="F8" s="75"/>
      <c r="O8" s="125"/>
      <c r="P8" s="103">
        <f>SUM(P6:P7)</f>
        <v>40207982.950000003</v>
      </c>
      <c r="Q8" s="103">
        <f>SUM(Q6:Q7)</f>
        <v>38059913.420000002</v>
      </c>
      <c r="R8" s="103">
        <f>SUM(R6:R7)</f>
        <v>78267896.370000005</v>
      </c>
      <c r="S8" s="104">
        <f>SUM(S6:S7)</f>
        <v>5847155205.5600014</v>
      </c>
      <c r="T8" s="93"/>
      <c r="U8" s="103">
        <f>SUM(U6:U7)</f>
        <v>5806947222.6100006</v>
      </c>
      <c r="V8" s="100"/>
      <c r="W8" s="16"/>
      <c r="X8" s="6"/>
      <c r="Y8" s="17"/>
      <c r="Z8" s="18"/>
      <c r="AA8" s="17"/>
    </row>
    <row r="9" spans="1:30" s="5" customFormat="1">
      <c r="B9" s="4"/>
      <c r="C9" s="4"/>
      <c r="D9" s="4"/>
      <c r="E9" s="75"/>
      <c r="F9" s="75"/>
      <c r="M9" s="8"/>
      <c r="N9" s="53"/>
      <c r="O9" s="125"/>
      <c r="P9" s="20"/>
      <c r="Q9" s="20"/>
      <c r="R9" s="6"/>
      <c r="S9" s="6"/>
      <c r="T9" s="10"/>
      <c r="U9" s="21">
        <f>+U8-P6-P7</f>
        <v>5766739239.6600008</v>
      </c>
      <c r="V9" s="16"/>
      <c r="W9" s="16"/>
      <c r="X9" s="6"/>
      <c r="Y9" s="17"/>
      <c r="Z9" s="18"/>
      <c r="AA9" s="17"/>
    </row>
    <row r="10" spans="1:30" s="5" customFormat="1" ht="15.6">
      <c r="A10" s="92" t="s">
        <v>56</v>
      </c>
      <c r="B10" s="4"/>
      <c r="C10" s="4"/>
      <c r="D10" s="4"/>
      <c r="E10" s="75"/>
      <c r="F10" s="75"/>
      <c r="L10" s="92"/>
      <c r="N10" s="53"/>
      <c r="O10" s="125"/>
      <c r="P10" s="20"/>
      <c r="Q10" s="91" t="s">
        <v>57</v>
      </c>
      <c r="R10" s="6"/>
      <c r="S10" s="6"/>
      <c r="T10" s="10"/>
      <c r="U10" s="21"/>
      <c r="V10" s="16"/>
      <c r="W10" s="16"/>
      <c r="X10" s="6"/>
      <c r="Y10" s="17"/>
      <c r="Z10" s="18"/>
      <c r="AA10" s="17"/>
    </row>
    <row r="11" spans="1:30">
      <c r="A11" s="102" t="s">
        <v>47</v>
      </c>
      <c r="B11" s="11" t="s">
        <v>18</v>
      </c>
      <c r="C11" s="11" t="s">
        <v>50</v>
      </c>
      <c r="D11" s="11" t="s">
        <v>48</v>
      </c>
      <c r="E11" s="79" t="s">
        <v>19</v>
      </c>
      <c r="F11" s="79" t="s">
        <v>10</v>
      </c>
      <c r="G11" s="12" t="s">
        <v>3</v>
      </c>
      <c r="H11" s="12" t="s">
        <v>41</v>
      </c>
      <c r="I11" s="12" t="s">
        <v>30</v>
      </c>
      <c r="J11" s="12" t="s">
        <v>27</v>
      </c>
      <c r="K11" s="12" t="s">
        <v>4</v>
      </c>
      <c r="L11" s="12" t="s">
        <v>63</v>
      </c>
      <c r="M11" s="107" t="s">
        <v>5</v>
      </c>
      <c r="N11" s="85" t="s">
        <v>6</v>
      </c>
      <c r="O11" s="124" t="s">
        <v>58</v>
      </c>
      <c r="P11" s="13" t="s">
        <v>7</v>
      </c>
      <c r="Q11" s="13" t="s">
        <v>8</v>
      </c>
      <c r="R11" s="44" t="s">
        <v>9</v>
      </c>
      <c r="S11" s="13" t="s">
        <v>10</v>
      </c>
      <c r="T11" s="14" t="s">
        <v>11</v>
      </c>
      <c r="U11" s="15" t="s">
        <v>12</v>
      </c>
      <c r="V11" s="44" t="s">
        <v>39</v>
      </c>
      <c r="W11" s="44" t="s">
        <v>49</v>
      </c>
    </row>
    <row r="12" spans="1:30" s="30" customFormat="1" ht="15" customHeight="1">
      <c r="A12" s="152">
        <v>45832</v>
      </c>
      <c r="B12" s="4">
        <v>46193</v>
      </c>
      <c r="C12" s="8" t="str">
        <f t="shared" ref="C12:C50" si="0">IF(ROUNDUP(((-A12+B12)/(365/12)),0)&lt;=0,0,ROUNDUP(((-A12+B12)/(365/12)),0))&amp;" "&amp;"Meses"</f>
        <v>12 Meses</v>
      </c>
      <c r="D12" s="8" t="str">
        <f t="shared" ref="D12:D50" ca="1" si="1">IF(ROUNDUP(((-$A$1+B12)/(365/12)),0)&lt;=0,0,ROUNDUP(((-$A$1+B12)/(365/12)),0))&amp;" "&amp;"Meses"</f>
        <v>5 Meses</v>
      </c>
      <c r="E12" s="75">
        <v>6.4500000000000002E-2</v>
      </c>
      <c r="F12" s="75"/>
      <c r="G12" s="5" t="s">
        <v>46</v>
      </c>
      <c r="H12" s="5" t="s">
        <v>43</v>
      </c>
      <c r="I12" s="5" t="s">
        <v>32</v>
      </c>
      <c r="J12" s="5" t="s">
        <v>29</v>
      </c>
      <c r="K12" s="5" t="s">
        <v>0</v>
      </c>
      <c r="L12" s="5" t="s">
        <v>64</v>
      </c>
      <c r="M12" s="8" t="s">
        <v>77</v>
      </c>
      <c r="N12" s="90">
        <v>46073</v>
      </c>
      <c r="O12" s="150">
        <v>200000</v>
      </c>
      <c r="P12" s="151">
        <v>16789.060000000001</v>
      </c>
      <c r="Q12" s="151">
        <f>87.17+375.59</f>
        <v>462.76</v>
      </c>
      <c r="R12" s="25">
        <f t="shared" ref="R12:R31" si="2">P12+Q12</f>
        <v>17251.82</v>
      </c>
      <c r="S12" s="25">
        <v>85016.81</v>
      </c>
      <c r="T12" s="22"/>
      <c r="U12" s="25">
        <f t="shared" ref="U12:U18" si="3">+S12-P12</f>
        <v>68227.75</v>
      </c>
      <c r="V12" s="22"/>
      <c r="W12" s="108"/>
      <c r="X12" s="110"/>
      <c r="Y12" s="111"/>
      <c r="Z12" s="112"/>
      <c r="AA12" s="111"/>
    </row>
    <row r="13" spans="1:30" s="30" customFormat="1" ht="15.6">
      <c r="A13" s="152">
        <v>45852</v>
      </c>
      <c r="B13" s="4">
        <v>46217</v>
      </c>
      <c r="C13" s="8" t="str">
        <f t="shared" si="0"/>
        <v>12 Meses</v>
      </c>
      <c r="D13" s="8" t="str">
        <f t="shared" ca="1" si="1"/>
        <v>6 Meses</v>
      </c>
      <c r="E13" s="75">
        <v>7.2999999999999995E-2</v>
      </c>
      <c r="F13" s="75"/>
      <c r="G13" s="5" t="s">
        <v>46</v>
      </c>
      <c r="H13" s="5" t="s">
        <v>43</v>
      </c>
      <c r="I13" s="5" t="s">
        <v>32</v>
      </c>
      <c r="J13" s="5" t="s">
        <v>29</v>
      </c>
      <c r="K13" s="5" t="s">
        <v>0</v>
      </c>
      <c r="L13" s="5" t="s">
        <v>65</v>
      </c>
      <c r="M13" s="8" t="s">
        <v>78</v>
      </c>
      <c r="N13" s="90">
        <v>46073</v>
      </c>
      <c r="O13" s="150">
        <v>195000</v>
      </c>
      <c r="P13" s="151">
        <v>15075.79</v>
      </c>
      <c r="Q13" s="151">
        <f>107.47+460.17</f>
        <v>567.64</v>
      </c>
      <c r="R13" s="25">
        <f t="shared" si="2"/>
        <v>15643.43</v>
      </c>
      <c r="S13" s="25">
        <v>92034.970000000016</v>
      </c>
      <c r="T13" s="22"/>
      <c r="U13" s="25">
        <f t="shared" si="3"/>
        <v>76959.180000000022</v>
      </c>
      <c r="V13" s="22"/>
      <c r="W13" s="108"/>
      <c r="X13" s="110"/>
      <c r="Y13" s="111"/>
      <c r="Z13" s="112"/>
      <c r="AA13" s="111"/>
    </row>
    <row r="14" spans="1:30" s="30" customFormat="1" ht="15.6">
      <c r="A14" s="152">
        <v>45852</v>
      </c>
      <c r="B14" s="4">
        <v>46217</v>
      </c>
      <c r="C14" s="8" t="str">
        <f t="shared" si="0"/>
        <v>12 Meses</v>
      </c>
      <c r="D14" s="8" t="str">
        <f t="shared" ca="1" si="1"/>
        <v>6 Meses</v>
      </c>
      <c r="E14" s="75">
        <v>6.4500000000000002E-2</v>
      </c>
      <c r="F14" s="75"/>
      <c r="G14" s="5" t="s">
        <v>46</v>
      </c>
      <c r="H14" s="5" t="s">
        <v>43</v>
      </c>
      <c r="I14" s="5" t="s">
        <v>32</v>
      </c>
      <c r="J14" s="5" t="s">
        <v>29</v>
      </c>
      <c r="K14" s="5" t="s">
        <v>0</v>
      </c>
      <c r="L14" s="5" t="s">
        <v>65</v>
      </c>
      <c r="M14" s="8" t="s">
        <v>85</v>
      </c>
      <c r="N14" s="90">
        <v>46073</v>
      </c>
      <c r="O14" s="150">
        <v>140000</v>
      </c>
      <c r="P14" s="151">
        <v>10817.62</v>
      </c>
      <c r="Q14" s="151">
        <f>68+291.16</f>
        <v>359.16</v>
      </c>
      <c r="R14" s="25">
        <f t="shared" si="2"/>
        <v>11176.78</v>
      </c>
      <c r="S14" s="25">
        <v>65906.77999999997</v>
      </c>
      <c r="T14" s="22"/>
      <c r="U14" s="25">
        <f t="shared" si="3"/>
        <v>55089.159999999967</v>
      </c>
      <c r="V14" s="22"/>
      <c r="W14" s="108"/>
      <c r="X14" s="110"/>
      <c r="Y14" s="111"/>
      <c r="Z14" s="112"/>
      <c r="AA14" s="111"/>
    </row>
    <row r="15" spans="1:30" s="30" customFormat="1" ht="15.6">
      <c r="A15" s="152">
        <v>45853</v>
      </c>
      <c r="B15" s="4">
        <v>46218</v>
      </c>
      <c r="C15" s="8" t="str">
        <f t="shared" si="0"/>
        <v>12 Meses</v>
      </c>
      <c r="D15" s="8" t="str">
        <f t="shared" ca="1" si="1"/>
        <v>6 Meses</v>
      </c>
      <c r="E15" s="75">
        <v>6.3500000000000001E-2</v>
      </c>
      <c r="F15" s="75"/>
      <c r="G15" s="5" t="s">
        <v>46</v>
      </c>
      <c r="H15" s="5" t="s">
        <v>43</v>
      </c>
      <c r="I15" s="5" t="s">
        <v>32</v>
      </c>
      <c r="J15" s="5" t="s">
        <v>29</v>
      </c>
      <c r="K15" s="5" t="s">
        <v>0</v>
      </c>
      <c r="L15" s="5" t="s">
        <v>65</v>
      </c>
      <c r="M15" s="8" t="s">
        <v>80</v>
      </c>
      <c r="N15" s="90">
        <v>46073</v>
      </c>
      <c r="O15" s="150">
        <v>178000</v>
      </c>
      <c r="P15" s="151">
        <v>13753.18</v>
      </c>
      <c r="Q15" s="151">
        <f>85.04+364.34</f>
        <v>449.38</v>
      </c>
      <c r="R15" s="25">
        <f t="shared" si="2"/>
        <v>14202.56</v>
      </c>
      <c r="S15" s="25">
        <v>83769.8</v>
      </c>
      <c r="T15" s="22"/>
      <c r="U15" s="25">
        <f t="shared" si="3"/>
        <v>70016.62</v>
      </c>
      <c r="V15" s="22"/>
      <c r="W15" s="108"/>
      <c r="X15" s="110"/>
      <c r="Y15" s="111"/>
      <c r="Z15" s="112"/>
      <c r="AA15" s="111"/>
    </row>
    <row r="16" spans="1:30" s="30" customFormat="1" ht="15.6">
      <c r="A16" s="152">
        <v>45853</v>
      </c>
      <c r="B16" s="4">
        <v>46218</v>
      </c>
      <c r="C16" s="8" t="str">
        <f t="shared" si="0"/>
        <v>12 Meses</v>
      </c>
      <c r="D16" s="8" t="str">
        <f t="shared" ca="1" si="1"/>
        <v>6 Meses</v>
      </c>
      <c r="E16" s="75">
        <v>7.2999999999999995E-2</v>
      </c>
      <c r="F16" s="75"/>
      <c r="G16" s="5" t="s">
        <v>46</v>
      </c>
      <c r="H16" s="5" t="s">
        <v>43</v>
      </c>
      <c r="I16" s="5" t="s">
        <v>32</v>
      </c>
      <c r="J16" s="5" t="s">
        <v>29</v>
      </c>
      <c r="K16" s="5" t="s">
        <v>0</v>
      </c>
      <c r="L16" s="5" t="s">
        <v>65</v>
      </c>
      <c r="M16" s="8" t="s">
        <v>79</v>
      </c>
      <c r="N16" s="90">
        <v>46073</v>
      </c>
      <c r="O16" s="150">
        <v>59000</v>
      </c>
      <c r="P16" s="151">
        <v>4561.3999999999996</v>
      </c>
      <c r="Q16" s="151">
        <f>32.51+139.23</f>
        <v>171.73999999999998</v>
      </c>
      <c r="R16" s="25">
        <f t="shared" si="2"/>
        <v>4733.1399999999994</v>
      </c>
      <c r="S16" s="25">
        <v>27846.610000000004</v>
      </c>
      <c r="T16" s="22"/>
      <c r="U16" s="25">
        <f t="shared" si="3"/>
        <v>23285.210000000006</v>
      </c>
      <c r="V16" s="22"/>
      <c r="W16" s="108"/>
      <c r="X16" s="110"/>
      <c r="Y16" s="111"/>
      <c r="Z16" s="112"/>
      <c r="AA16" s="111"/>
    </row>
    <row r="17" spans="1:27" s="30" customFormat="1" ht="15.6">
      <c r="A17" s="152">
        <v>45874</v>
      </c>
      <c r="B17" s="4">
        <v>46239</v>
      </c>
      <c r="C17" s="8" t="str">
        <f t="shared" si="0"/>
        <v>12 Meses</v>
      </c>
      <c r="D17" s="8" t="str">
        <f t="shared" ca="1" si="1"/>
        <v>7 Meses</v>
      </c>
      <c r="E17" s="75">
        <v>6.3500000000000001E-2</v>
      </c>
      <c r="F17" s="75"/>
      <c r="G17" s="5" t="s">
        <v>46</v>
      </c>
      <c r="H17" s="5" t="s">
        <v>43</v>
      </c>
      <c r="I17" s="5" t="s">
        <v>32</v>
      </c>
      <c r="J17" s="5" t="s">
        <v>29</v>
      </c>
      <c r="K17" s="5" t="s">
        <v>0</v>
      </c>
      <c r="L17" s="5" t="s">
        <v>65</v>
      </c>
      <c r="M17" s="8" t="s">
        <v>84</v>
      </c>
      <c r="N17" s="90">
        <v>46058</v>
      </c>
      <c r="O17" s="150">
        <v>230000</v>
      </c>
      <c r="P17" s="151">
        <v>19099.150000000001</v>
      </c>
      <c r="Q17" s="151">
        <f>236.54+496.65</f>
        <v>733.18999999999994</v>
      </c>
      <c r="R17" s="25">
        <f t="shared" si="2"/>
        <v>19832.34</v>
      </c>
      <c r="S17" s="25">
        <v>135964.59</v>
      </c>
      <c r="T17" s="22"/>
      <c r="U17" s="25">
        <f t="shared" si="3"/>
        <v>116865.44</v>
      </c>
      <c r="V17" s="22"/>
      <c r="W17" s="108"/>
      <c r="X17" s="110"/>
      <c r="Y17" s="111"/>
      <c r="Z17" s="112"/>
      <c r="AA17" s="111"/>
    </row>
    <row r="18" spans="1:27" s="30" customFormat="1" ht="15.6">
      <c r="A18" s="152">
        <v>45881</v>
      </c>
      <c r="B18" s="4">
        <v>46246</v>
      </c>
      <c r="C18" s="8" t="str">
        <f t="shared" si="0"/>
        <v>12 Meses</v>
      </c>
      <c r="D18" s="8" t="str">
        <f t="shared" ca="1" si="1"/>
        <v>7 Meses</v>
      </c>
      <c r="E18" s="75">
        <v>7.2999999999999995E-2</v>
      </c>
      <c r="F18" s="75"/>
      <c r="G18" s="5" t="s">
        <v>46</v>
      </c>
      <c r="H18" s="5" t="s">
        <v>43</v>
      </c>
      <c r="I18" s="5" t="s">
        <v>32</v>
      </c>
      <c r="J18" s="5" t="s">
        <v>29</v>
      </c>
      <c r="K18" s="5" t="s">
        <v>0</v>
      </c>
      <c r="L18" s="5" t="s">
        <v>65</v>
      </c>
      <c r="M18" s="8" t="s">
        <v>108</v>
      </c>
      <c r="N18" s="90">
        <v>46065</v>
      </c>
      <c r="O18" s="150">
        <v>215000</v>
      </c>
      <c r="P18" s="151">
        <v>17843.43</v>
      </c>
      <c r="Q18" s="151">
        <f>356.58+432.98</f>
        <v>789.56</v>
      </c>
      <c r="R18" s="25">
        <f t="shared" si="2"/>
        <v>18632.990000000002</v>
      </c>
      <c r="S18" s="25">
        <v>127347.87</v>
      </c>
      <c r="T18" s="22"/>
      <c r="U18" s="25">
        <f t="shared" si="3"/>
        <v>109504.44</v>
      </c>
      <c r="V18" s="22"/>
      <c r="W18" s="108"/>
      <c r="X18" s="110"/>
      <c r="Y18" s="111"/>
      <c r="Z18" s="112"/>
      <c r="AA18" s="111"/>
    </row>
    <row r="19" spans="1:27" s="30" customFormat="1" ht="15.6">
      <c r="A19" s="152">
        <v>45881</v>
      </c>
      <c r="B19" s="4">
        <v>46246</v>
      </c>
      <c r="C19" s="8" t="str">
        <f t="shared" si="0"/>
        <v>12 Meses</v>
      </c>
      <c r="D19" s="8" t="str">
        <f t="shared" ca="1" si="1"/>
        <v>7 Meses</v>
      </c>
      <c r="E19" s="75">
        <v>6.3500000000000001E-2</v>
      </c>
      <c r="F19" s="75"/>
      <c r="G19" s="5" t="s">
        <v>46</v>
      </c>
      <c r="H19" s="5" t="s">
        <v>43</v>
      </c>
      <c r="I19" s="5" t="s">
        <v>32</v>
      </c>
      <c r="J19" s="5" t="s">
        <v>29</v>
      </c>
      <c r="K19" s="5" t="s">
        <v>0</v>
      </c>
      <c r="L19" s="5" t="s">
        <v>64</v>
      </c>
      <c r="M19" s="8" t="s">
        <v>81</v>
      </c>
      <c r="N19" s="90">
        <v>46065</v>
      </c>
      <c r="O19" s="150">
        <v>240000</v>
      </c>
      <c r="P19" s="151">
        <v>19929.490000000002</v>
      </c>
      <c r="Q19" s="151">
        <f>419.6+345.52</f>
        <v>765.12</v>
      </c>
      <c r="R19" s="25">
        <f t="shared" si="2"/>
        <v>20694.61</v>
      </c>
      <c r="S19" s="25">
        <v>141876.31</v>
      </c>
      <c r="T19" s="22"/>
      <c r="U19" s="25">
        <f>+S19-P19</f>
        <v>121946.81999999999</v>
      </c>
      <c r="V19" s="22"/>
      <c r="W19" s="108"/>
      <c r="X19" s="110"/>
      <c r="Y19" s="111"/>
      <c r="Z19" s="112"/>
      <c r="AA19" s="111"/>
    </row>
    <row r="20" spans="1:27" s="30" customFormat="1" ht="15.6">
      <c r="A20" s="152">
        <v>45887</v>
      </c>
      <c r="B20" s="4">
        <v>46252</v>
      </c>
      <c r="C20" s="8" t="str">
        <f t="shared" si="0"/>
        <v>12 Meses</v>
      </c>
      <c r="D20" s="8" t="str">
        <f t="shared" ca="1" si="1"/>
        <v>7 Meses</v>
      </c>
      <c r="E20" s="75">
        <v>6.3500000000000001E-2</v>
      </c>
      <c r="F20" s="75"/>
      <c r="G20" s="5" t="s">
        <v>46</v>
      </c>
      <c r="H20" s="5" t="s">
        <v>43</v>
      </c>
      <c r="I20" s="5" t="s">
        <v>32</v>
      </c>
      <c r="J20" s="5" t="s">
        <v>29</v>
      </c>
      <c r="K20" s="5" t="s">
        <v>0</v>
      </c>
      <c r="L20" s="5" t="s">
        <v>64</v>
      </c>
      <c r="M20" s="8" t="s">
        <v>82</v>
      </c>
      <c r="N20" s="90">
        <v>46065</v>
      </c>
      <c r="O20" s="150">
        <v>513000</v>
      </c>
      <c r="P20" s="151">
        <v>42599.09</v>
      </c>
      <c r="Q20" s="151">
        <f>738.64+896.9</f>
        <v>1635.54</v>
      </c>
      <c r="R20" s="25">
        <f t="shared" si="2"/>
        <v>44234.63</v>
      </c>
      <c r="S20" s="25">
        <v>303260.39999999997</v>
      </c>
      <c r="T20" s="22"/>
      <c r="U20" s="25">
        <f>+S20-P20</f>
        <v>260661.30999999997</v>
      </c>
      <c r="V20" s="22"/>
      <c r="W20" s="108"/>
      <c r="X20" s="110"/>
      <c r="Y20" s="111"/>
      <c r="Z20" s="112"/>
      <c r="AA20" s="111"/>
    </row>
    <row r="21" spans="1:27" s="30" customFormat="1" ht="15.6" hidden="1">
      <c r="A21" s="162">
        <v>45888</v>
      </c>
      <c r="B21" s="163">
        <v>46072</v>
      </c>
      <c r="C21" s="164" t="str">
        <f t="shared" si="0"/>
        <v>7 Meses</v>
      </c>
      <c r="D21" s="164" t="str">
        <f t="shared" ca="1" si="1"/>
        <v>1 Meses</v>
      </c>
      <c r="E21" s="165">
        <v>6.0999999999999999E-2</v>
      </c>
      <c r="F21" s="165" t="s">
        <v>6</v>
      </c>
      <c r="G21" s="5" t="s">
        <v>46</v>
      </c>
      <c r="H21" s="5" t="s">
        <v>43</v>
      </c>
      <c r="I21" s="5" t="s">
        <v>32</v>
      </c>
      <c r="J21" s="5" t="s">
        <v>29</v>
      </c>
      <c r="K21" s="5" t="s">
        <v>0</v>
      </c>
      <c r="L21" s="5" t="s">
        <v>65</v>
      </c>
      <c r="M21" s="164" t="s">
        <v>83</v>
      </c>
      <c r="N21" s="166">
        <v>46065</v>
      </c>
      <c r="O21" s="167">
        <v>79000</v>
      </c>
      <c r="P21" s="168">
        <v>79000</v>
      </c>
      <c r="Q21" s="168">
        <v>184.8</v>
      </c>
      <c r="R21" s="169">
        <f t="shared" si="2"/>
        <v>79184.800000000003</v>
      </c>
      <c r="S21" s="169">
        <v>79000</v>
      </c>
      <c r="T21" s="170"/>
      <c r="U21" s="169">
        <f>+S21-P21</f>
        <v>0</v>
      </c>
      <c r="V21" s="170"/>
      <c r="W21" s="171"/>
      <c r="X21" s="110"/>
      <c r="Y21" s="111"/>
      <c r="Z21" s="112"/>
      <c r="AA21" s="111"/>
    </row>
    <row r="22" spans="1:27" s="30" customFormat="1" ht="15.6">
      <c r="A22" s="152">
        <v>45889</v>
      </c>
      <c r="B22" s="4">
        <v>46262</v>
      </c>
      <c r="C22" s="8" t="str">
        <f t="shared" si="0"/>
        <v>13 Meses</v>
      </c>
      <c r="D22" s="8" t="str">
        <f t="shared" ca="1" si="1"/>
        <v>7 Meses</v>
      </c>
      <c r="E22" s="75">
        <v>5.8299999999999998E-2</v>
      </c>
      <c r="F22" s="75"/>
      <c r="G22" s="5" t="s">
        <v>46</v>
      </c>
      <c r="H22" s="5" t="s">
        <v>43</v>
      </c>
      <c r="I22" s="5" t="s">
        <v>32</v>
      </c>
      <c r="J22" s="5" t="s">
        <v>29</v>
      </c>
      <c r="K22" s="5" t="s">
        <v>0</v>
      </c>
      <c r="L22" s="5"/>
      <c r="M22" s="8" t="s">
        <v>86</v>
      </c>
      <c r="N22" s="90">
        <v>46058</v>
      </c>
      <c r="O22" s="150">
        <v>430000</v>
      </c>
      <c r="P22" s="151">
        <v>35691.78</v>
      </c>
      <c r="Q22" s="151">
        <f>405.2+850.92</f>
        <v>1256.1199999999999</v>
      </c>
      <c r="R22" s="25">
        <f t="shared" si="2"/>
        <v>36947.9</v>
      </c>
      <c r="S22" s="25">
        <v>253681.51999999996</v>
      </c>
      <c r="T22" s="22"/>
      <c r="U22" s="25">
        <f>+S22-P22</f>
        <v>217989.73999999996</v>
      </c>
      <c r="V22" s="22"/>
      <c r="W22" s="108"/>
      <c r="X22" s="110"/>
      <c r="Y22" s="111"/>
      <c r="Z22" s="112"/>
      <c r="AA22" s="111"/>
    </row>
    <row r="23" spans="1:27" s="30" customFormat="1" ht="15.6" hidden="1">
      <c r="A23" s="152">
        <v>45910</v>
      </c>
      <c r="B23" s="4">
        <v>46091</v>
      </c>
      <c r="C23" s="8" t="str">
        <f t="shared" si="0"/>
        <v>6 Meses</v>
      </c>
      <c r="D23" s="8" t="str">
        <f t="shared" ca="1" si="1"/>
        <v>2 Meses</v>
      </c>
      <c r="E23" s="75">
        <v>5.1499999999999997E-2</v>
      </c>
      <c r="F23" s="75" t="s">
        <v>6</v>
      </c>
      <c r="G23" s="5" t="s">
        <v>46</v>
      </c>
      <c r="H23" s="5" t="s">
        <v>43</v>
      </c>
      <c r="I23" s="5" t="s">
        <v>32</v>
      </c>
      <c r="J23" s="5" t="s">
        <v>29</v>
      </c>
      <c r="K23" s="5" t="s">
        <v>0</v>
      </c>
      <c r="L23" s="5"/>
      <c r="M23" s="8" t="s">
        <v>88</v>
      </c>
      <c r="N23" s="90">
        <v>46058</v>
      </c>
      <c r="O23" s="150">
        <v>450000</v>
      </c>
      <c r="P23" s="151">
        <v>0</v>
      </c>
      <c r="Q23" s="151">
        <v>1968.22</v>
      </c>
      <c r="R23" s="25">
        <f t="shared" si="2"/>
        <v>1968.22</v>
      </c>
      <c r="S23" s="25">
        <v>450000</v>
      </c>
      <c r="T23" s="22"/>
      <c r="U23" s="25">
        <f>+S23</f>
        <v>450000</v>
      </c>
      <c r="V23" s="22"/>
      <c r="W23" s="108"/>
      <c r="X23" s="110"/>
      <c r="Y23" s="111"/>
      <c r="Z23" s="112"/>
      <c r="AA23" s="111"/>
    </row>
    <row r="24" spans="1:27" s="30" customFormat="1" ht="15.6">
      <c r="A24" s="152">
        <v>45910</v>
      </c>
      <c r="B24" s="4">
        <v>46275</v>
      </c>
      <c r="C24" s="8" t="str">
        <f t="shared" si="0"/>
        <v>12 Meses</v>
      </c>
      <c r="D24" s="8" t="str">
        <f t="shared" ca="1" si="1"/>
        <v>8 Meses</v>
      </c>
      <c r="E24" s="75">
        <v>7.2999999999999995E-2</v>
      </c>
      <c r="F24" s="75"/>
      <c r="G24" s="5" t="s">
        <v>46</v>
      </c>
      <c r="H24" s="5" t="s">
        <v>43</v>
      </c>
      <c r="I24" s="5" t="s">
        <v>32</v>
      </c>
      <c r="J24" s="5" t="s">
        <v>29</v>
      </c>
      <c r="K24" s="5" t="s">
        <v>0</v>
      </c>
      <c r="L24" s="5"/>
      <c r="M24" s="8" t="s">
        <v>87</v>
      </c>
      <c r="N24" s="90">
        <v>46058</v>
      </c>
      <c r="O24" s="150">
        <v>100000</v>
      </c>
      <c r="P24" s="151">
        <v>8248.01</v>
      </c>
      <c r="Q24" s="151">
        <f>283.5+134.95</f>
        <v>418.45</v>
      </c>
      <c r="R24" s="25">
        <f t="shared" si="2"/>
        <v>8666.4600000000009</v>
      </c>
      <c r="S24" s="25">
        <v>67476.180000000008</v>
      </c>
      <c r="T24" s="22"/>
      <c r="U24" s="25">
        <f>+S24-P24</f>
        <v>59228.170000000006</v>
      </c>
      <c r="V24" s="22"/>
      <c r="W24" s="108"/>
      <c r="X24" s="110"/>
      <c r="Y24" s="111"/>
      <c r="Z24" s="112"/>
      <c r="AA24" s="111"/>
    </row>
    <row r="25" spans="1:27" s="30" customFormat="1" ht="15.6">
      <c r="A25" s="152">
        <v>45916</v>
      </c>
      <c r="B25" s="4">
        <v>46281</v>
      </c>
      <c r="C25" s="8" t="str">
        <f t="shared" si="0"/>
        <v>12 Meses</v>
      </c>
      <c r="D25" s="8" t="str">
        <f t="shared" ca="1" si="1"/>
        <v>8 Meses</v>
      </c>
      <c r="E25" s="75">
        <v>6.3500000000000001E-2</v>
      </c>
      <c r="F25" s="75"/>
      <c r="G25" s="5" t="s">
        <v>46</v>
      </c>
      <c r="H25" s="5" t="s">
        <v>43</v>
      </c>
      <c r="I25" s="5" t="s">
        <v>32</v>
      </c>
      <c r="J25" s="5" t="s">
        <v>29</v>
      </c>
      <c r="K25" s="5" t="s">
        <v>0</v>
      </c>
      <c r="L25" s="5"/>
      <c r="M25" s="8" t="s">
        <v>103</v>
      </c>
      <c r="N25" s="90">
        <v>46058</v>
      </c>
      <c r="O25" s="150">
        <v>190000</v>
      </c>
      <c r="P25" s="151">
        <v>15692.83</v>
      </c>
      <c r="Q25" s="151">
        <f>467.67+222.69</f>
        <v>690.36</v>
      </c>
      <c r="R25" s="25">
        <f t="shared" si="2"/>
        <v>16383.19</v>
      </c>
      <c r="S25" s="25">
        <v>128005.55999999997</v>
      </c>
      <c r="T25" s="22"/>
      <c r="U25" s="25">
        <f>+S25-P25</f>
        <v>112312.72999999997</v>
      </c>
      <c r="V25" s="22"/>
      <c r="W25" s="108"/>
      <c r="X25" s="110"/>
      <c r="Y25" s="111"/>
      <c r="Z25" s="112"/>
      <c r="AA25" s="111"/>
    </row>
    <row r="26" spans="1:27" s="30" customFormat="1" ht="15.6" hidden="1">
      <c r="A26" s="152">
        <v>45916</v>
      </c>
      <c r="B26" s="4">
        <v>46097</v>
      </c>
      <c r="C26" s="8" t="str">
        <f t="shared" si="0"/>
        <v>6 Meses</v>
      </c>
      <c r="D26" s="8" t="str">
        <f t="shared" ca="1" si="1"/>
        <v>2 Meses</v>
      </c>
      <c r="E26" s="75">
        <v>6.0999999999999999E-2</v>
      </c>
      <c r="F26" s="75"/>
      <c r="G26" s="5" t="s">
        <v>46</v>
      </c>
      <c r="H26" s="5" t="s">
        <v>43</v>
      </c>
      <c r="I26" s="5" t="s">
        <v>32</v>
      </c>
      <c r="J26" s="5" t="s">
        <v>29</v>
      </c>
      <c r="K26" s="5" t="s">
        <v>0</v>
      </c>
      <c r="L26" s="5"/>
      <c r="M26" s="8" t="s">
        <v>89</v>
      </c>
      <c r="N26" s="90">
        <v>46058</v>
      </c>
      <c r="O26" s="150">
        <v>55000</v>
      </c>
      <c r="P26" s="151">
        <v>0</v>
      </c>
      <c r="Q26" s="151">
        <v>284.91000000000003</v>
      </c>
      <c r="R26" s="25">
        <f t="shared" si="2"/>
        <v>284.91000000000003</v>
      </c>
      <c r="S26" s="25">
        <v>55000</v>
      </c>
      <c r="T26" s="22"/>
      <c r="U26" s="25">
        <f>+S26</f>
        <v>55000</v>
      </c>
      <c r="V26" s="22"/>
      <c r="W26" s="108"/>
      <c r="X26" s="110"/>
      <c r="Y26" s="111"/>
      <c r="Z26" s="112"/>
      <c r="AA26" s="111"/>
    </row>
    <row r="27" spans="1:27" s="30" customFormat="1" ht="15.6" hidden="1">
      <c r="A27" s="152">
        <v>45919</v>
      </c>
      <c r="B27" s="4">
        <v>46100</v>
      </c>
      <c r="C27" s="8" t="str">
        <f t="shared" si="0"/>
        <v>6 Meses</v>
      </c>
      <c r="D27" s="8" t="str">
        <f t="shared" ca="1" si="1"/>
        <v>2 Meses</v>
      </c>
      <c r="E27" s="75">
        <v>5.1499999999999997E-2</v>
      </c>
      <c r="F27" s="75"/>
      <c r="G27" s="5" t="s">
        <v>46</v>
      </c>
      <c r="H27" s="5" t="s">
        <v>43</v>
      </c>
      <c r="I27" s="5" t="s">
        <v>32</v>
      </c>
      <c r="J27" s="5" t="s">
        <v>29</v>
      </c>
      <c r="K27" s="5" t="s">
        <v>0</v>
      </c>
      <c r="L27" s="5"/>
      <c r="M27" s="8" t="s">
        <v>90</v>
      </c>
      <c r="N27" s="90">
        <v>46058</v>
      </c>
      <c r="O27" s="150">
        <v>184000</v>
      </c>
      <c r="P27" s="151">
        <v>0</v>
      </c>
      <c r="Q27" s="151">
        <v>804.78</v>
      </c>
      <c r="R27" s="25">
        <f t="shared" si="2"/>
        <v>804.78</v>
      </c>
      <c r="S27" s="25">
        <v>184000</v>
      </c>
      <c r="T27" s="22"/>
      <c r="U27" s="25">
        <f>+S27</f>
        <v>184000</v>
      </c>
      <c r="V27" s="22"/>
      <c r="W27" s="108"/>
      <c r="X27" s="110"/>
      <c r="Y27" s="111"/>
      <c r="Z27" s="112"/>
      <c r="AA27" s="111"/>
    </row>
    <row r="28" spans="1:27" s="30" customFormat="1" ht="15.6">
      <c r="A28" s="152">
        <v>45919</v>
      </c>
      <c r="B28" s="4">
        <v>46284</v>
      </c>
      <c r="C28" s="8" t="str">
        <f t="shared" si="0"/>
        <v>12 Meses</v>
      </c>
      <c r="D28" s="8" t="str">
        <f t="shared" ca="1" si="1"/>
        <v>8 Meses</v>
      </c>
      <c r="E28" s="75">
        <v>7.2999999999999995E-2</v>
      </c>
      <c r="F28" s="75"/>
      <c r="G28" s="5" t="s">
        <v>46</v>
      </c>
      <c r="H28" s="5" t="s">
        <v>43</v>
      </c>
      <c r="I28" s="5" t="s">
        <v>32</v>
      </c>
      <c r="J28" s="5" t="s">
        <v>29</v>
      </c>
      <c r="K28" s="5" t="s">
        <v>0</v>
      </c>
      <c r="L28" s="5"/>
      <c r="M28" s="8" t="s">
        <v>91</v>
      </c>
      <c r="N28" s="90">
        <v>46058</v>
      </c>
      <c r="O28" s="150">
        <v>335000</v>
      </c>
      <c r="P28" s="151">
        <v>27631.3</v>
      </c>
      <c r="Q28" s="151">
        <f>949.41+452.09</f>
        <v>1401.5</v>
      </c>
      <c r="R28" s="25">
        <f t="shared" si="2"/>
        <v>29032.799999999999</v>
      </c>
      <c r="S28" s="25">
        <v>226045.15999999997</v>
      </c>
      <c r="T28" s="22"/>
      <c r="U28" s="25">
        <f>+S28-P28</f>
        <v>198413.86</v>
      </c>
      <c r="V28" s="22"/>
      <c r="W28" s="108"/>
      <c r="X28" s="110"/>
      <c r="Y28" s="111"/>
      <c r="Z28" s="112"/>
      <c r="AA28" s="111"/>
    </row>
    <row r="29" spans="1:27" s="30" customFormat="1" ht="15.6">
      <c r="A29" s="152">
        <v>45926</v>
      </c>
      <c r="B29" s="4">
        <v>46285</v>
      </c>
      <c r="C29" s="8" t="str">
        <f t="shared" si="0"/>
        <v>12 Meses</v>
      </c>
      <c r="D29" s="8" t="str">
        <f t="shared" ca="1" si="1"/>
        <v>8 Meses</v>
      </c>
      <c r="E29" s="75">
        <v>6.3500000000000001E-2</v>
      </c>
      <c r="F29" s="75"/>
      <c r="G29" s="5" t="s">
        <v>46</v>
      </c>
      <c r="H29" s="5" t="s">
        <v>43</v>
      </c>
      <c r="I29" s="5" t="s">
        <v>32</v>
      </c>
      <c r="J29" s="5" t="s">
        <v>29</v>
      </c>
      <c r="K29" s="5" t="s">
        <v>0</v>
      </c>
      <c r="L29" s="5"/>
      <c r="M29" s="8" t="s">
        <v>92</v>
      </c>
      <c r="N29" s="90">
        <v>46073</v>
      </c>
      <c r="O29" s="150">
        <v>158000</v>
      </c>
      <c r="P29" s="151">
        <v>13049.8</v>
      </c>
      <c r="Q29" s="151">
        <f>108.86+462.97</f>
        <v>571.83000000000004</v>
      </c>
      <c r="R29" s="25">
        <f t="shared" si="2"/>
        <v>13621.63</v>
      </c>
      <c r="S29" s="25">
        <v>106447.15999999997</v>
      </c>
      <c r="T29" s="22"/>
      <c r="U29" s="25">
        <f>+S29-P29</f>
        <v>93397.359999999971</v>
      </c>
      <c r="V29" s="22"/>
      <c r="W29" s="108"/>
      <c r="X29" s="110"/>
      <c r="Y29" s="111"/>
      <c r="Z29" s="112"/>
      <c r="AA29" s="111"/>
    </row>
    <row r="30" spans="1:27" s="30" customFormat="1" ht="15.6">
      <c r="A30" s="152">
        <v>45926</v>
      </c>
      <c r="B30" s="4">
        <v>46285</v>
      </c>
      <c r="C30" s="8" t="str">
        <f t="shared" si="0"/>
        <v>12 Meses</v>
      </c>
      <c r="D30" s="8" t="str">
        <f t="shared" ca="1" si="1"/>
        <v>8 Meses</v>
      </c>
      <c r="E30" s="75">
        <v>7.2999999999999995E-2</v>
      </c>
      <c r="F30" s="75"/>
      <c r="G30" s="5" t="s">
        <v>46</v>
      </c>
      <c r="H30" s="5" t="s">
        <v>43</v>
      </c>
      <c r="I30" s="5" t="s">
        <v>32</v>
      </c>
      <c r="J30" s="5" t="s">
        <v>29</v>
      </c>
      <c r="K30" s="5" t="s">
        <v>0</v>
      </c>
      <c r="L30" s="5"/>
      <c r="M30" s="8" t="s">
        <v>93</v>
      </c>
      <c r="N30" s="90">
        <v>46073</v>
      </c>
      <c r="O30" s="150">
        <v>132000</v>
      </c>
      <c r="P30" s="151">
        <v>10887.68</v>
      </c>
      <c r="Q30" s="151">
        <f>104.69+445.34</f>
        <v>550.03</v>
      </c>
      <c r="R30" s="25">
        <f t="shared" si="2"/>
        <v>11437.710000000001</v>
      </c>
      <c r="S30" s="25">
        <v>89068.489999999991</v>
      </c>
      <c r="T30" s="22"/>
      <c r="U30" s="25">
        <f>+S30-P30</f>
        <v>78180.81</v>
      </c>
      <c r="V30" s="22"/>
      <c r="W30" s="108"/>
      <c r="X30" s="110"/>
      <c r="Y30" s="111"/>
      <c r="Z30" s="112"/>
      <c r="AA30" s="111"/>
    </row>
    <row r="31" spans="1:27" s="30" customFormat="1" ht="15.6" hidden="1">
      <c r="A31" s="152">
        <v>45939</v>
      </c>
      <c r="B31" s="4">
        <v>46121</v>
      </c>
      <c r="C31" s="8" t="str">
        <f t="shared" si="0"/>
        <v>6 Meses</v>
      </c>
      <c r="D31" s="8" t="str">
        <f t="shared" ca="1" si="1"/>
        <v>3 Meses</v>
      </c>
      <c r="E31" s="75">
        <v>5.1499999999999997E-2</v>
      </c>
      <c r="F31" s="75" t="s">
        <v>6</v>
      </c>
      <c r="G31" s="5" t="s">
        <v>46</v>
      </c>
      <c r="H31" s="5" t="s">
        <v>43</v>
      </c>
      <c r="I31" s="5" t="s">
        <v>32</v>
      </c>
      <c r="J31" s="5" t="s">
        <v>29</v>
      </c>
      <c r="K31" s="5" t="s">
        <v>0</v>
      </c>
      <c r="L31" s="5"/>
      <c r="M31" s="8" t="s">
        <v>94</v>
      </c>
      <c r="N31" s="90">
        <v>46073</v>
      </c>
      <c r="O31" s="150">
        <v>300000</v>
      </c>
      <c r="P31" s="151">
        <v>0</v>
      </c>
      <c r="Q31" s="151">
        <v>1312.2</v>
      </c>
      <c r="R31" s="25">
        <f t="shared" si="2"/>
        <v>1312.2</v>
      </c>
      <c r="S31" s="25">
        <v>300000</v>
      </c>
      <c r="T31" s="22"/>
      <c r="U31" s="25">
        <f>+S31</f>
        <v>300000</v>
      </c>
      <c r="V31" s="22"/>
      <c r="W31" s="108"/>
      <c r="X31" s="110"/>
      <c r="Y31" s="111"/>
      <c r="Z31" s="112"/>
      <c r="AA31" s="111"/>
    </row>
    <row r="32" spans="1:27" s="30" customFormat="1" ht="15.6" hidden="1">
      <c r="A32" s="152">
        <v>45939</v>
      </c>
      <c r="B32" s="4">
        <v>46121</v>
      </c>
      <c r="C32" s="8" t="str">
        <f t="shared" si="0"/>
        <v>6 Meses</v>
      </c>
      <c r="D32" s="8" t="str">
        <f t="shared" ca="1" si="1"/>
        <v>3 Meses</v>
      </c>
      <c r="E32" s="75">
        <v>6.0999999999999999E-2</v>
      </c>
      <c r="F32" s="75" t="s">
        <v>6</v>
      </c>
      <c r="G32" s="5" t="s">
        <v>46</v>
      </c>
      <c r="H32" s="5" t="s">
        <v>43</v>
      </c>
      <c r="I32" s="5" t="s">
        <v>32</v>
      </c>
      <c r="J32" s="5" t="s">
        <v>29</v>
      </c>
      <c r="K32" s="5" t="s">
        <v>0</v>
      </c>
      <c r="L32" s="5"/>
      <c r="M32" s="8" t="s">
        <v>96</v>
      </c>
      <c r="N32" s="90">
        <v>46073</v>
      </c>
      <c r="O32" s="150">
        <v>75000</v>
      </c>
      <c r="P32" s="151">
        <v>0</v>
      </c>
      <c r="Q32" s="151">
        <v>388.54</v>
      </c>
      <c r="R32" s="25">
        <f t="shared" ref="R32:R55" si="4">P32+Q32</f>
        <v>388.54</v>
      </c>
      <c r="S32" s="25">
        <v>75000</v>
      </c>
      <c r="T32" s="22"/>
      <c r="U32" s="25">
        <f>+S32</f>
        <v>75000</v>
      </c>
      <c r="V32" s="22"/>
      <c r="W32" s="108"/>
      <c r="X32" s="110"/>
      <c r="Y32" s="111"/>
      <c r="Z32" s="112"/>
      <c r="AA32" s="111"/>
    </row>
    <row r="33" spans="1:27" s="30" customFormat="1" ht="15.6">
      <c r="A33" s="152">
        <v>45939</v>
      </c>
      <c r="B33" s="4">
        <v>46304</v>
      </c>
      <c r="C33" s="8" t="str">
        <f t="shared" si="0"/>
        <v>12 Meses</v>
      </c>
      <c r="D33" s="8" t="str">
        <f t="shared" ca="1" si="1"/>
        <v>9 Meses</v>
      </c>
      <c r="E33" s="75">
        <v>6.3500000000000001E-2</v>
      </c>
      <c r="F33" s="75"/>
      <c r="G33" s="5" t="s">
        <v>46</v>
      </c>
      <c r="H33" s="5" t="s">
        <v>43</v>
      </c>
      <c r="I33" s="5" t="s">
        <v>32</v>
      </c>
      <c r="J33" s="5" t="s">
        <v>29</v>
      </c>
      <c r="K33" s="5" t="s">
        <v>0</v>
      </c>
      <c r="L33" s="5"/>
      <c r="M33" s="8" t="s">
        <v>95</v>
      </c>
      <c r="N33" s="90">
        <v>46073</v>
      </c>
      <c r="O33" s="150">
        <v>125000</v>
      </c>
      <c r="P33" s="151">
        <v>9503.7999999999993</v>
      </c>
      <c r="Q33" s="151">
        <f>89.61+380.36</f>
        <v>469.97</v>
      </c>
      <c r="R33" s="25">
        <f t="shared" si="4"/>
        <v>9973.7699999999986</v>
      </c>
      <c r="S33" s="25">
        <v>87452.640000000014</v>
      </c>
      <c r="T33" s="22"/>
      <c r="U33" s="25">
        <f t="shared" ref="U33:U55" si="5">+S33-P33</f>
        <v>77948.840000000011</v>
      </c>
      <c r="V33" s="22"/>
      <c r="W33" s="108"/>
      <c r="X33" s="110"/>
      <c r="Y33" s="111"/>
      <c r="Z33" s="112"/>
      <c r="AA33" s="111"/>
    </row>
    <row r="34" spans="1:27" s="30" customFormat="1" ht="15.6" hidden="1">
      <c r="A34" s="152">
        <v>45736</v>
      </c>
      <c r="B34" s="4">
        <v>46101</v>
      </c>
      <c r="C34" s="8" t="str">
        <f t="shared" si="0"/>
        <v>12 Meses</v>
      </c>
      <c r="D34" s="8" t="str">
        <f t="shared" ca="1" si="1"/>
        <v>2 Meses</v>
      </c>
      <c r="E34" s="75">
        <v>5.9400000000000001E-2</v>
      </c>
      <c r="F34" s="75"/>
      <c r="G34" s="5" t="s">
        <v>13</v>
      </c>
      <c r="H34" s="5" t="s">
        <v>43</v>
      </c>
      <c r="I34" s="5" t="s">
        <v>32</v>
      </c>
      <c r="J34" s="5" t="s">
        <v>29</v>
      </c>
      <c r="K34" s="5" t="s">
        <v>0</v>
      </c>
      <c r="L34" s="5" t="s">
        <v>64</v>
      </c>
      <c r="M34" s="8" t="s">
        <v>59</v>
      </c>
      <c r="N34" s="90">
        <v>46073</v>
      </c>
      <c r="O34" s="150">
        <v>565000</v>
      </c>
      <c r="P34" s="151">
        <v>46952.71</v>
      </c>
      <c r="Q34" s="151">
        <f>84.49+383.07</f>
        <v>467.56</v>
      </c>
      <c r="R34" s="25">
        <f t="shared" si="4"/>
        <v>47420.27</v>
      </c>
      <c r="S34" s="25">
        <v>94155.570000000022</v>
      </c>
      <c r="T34" s="22"/>
      <c r="U34" s="25">
        <f t="shared" si="5"/>
        <v>47202.860000000022</v>
      </c>
      <c r="V34" s="22"/>
      <c r="W34" s="108"/>
      <c r="X34" s="110"/>
      <c r="Y34" s="111"/>
      <c r="Z34" s="112"/>
      <c r="AA34" s="111"/>
    </row>
    <row r="35" spans="1:27" s="30" customFormat="1" ht="15.6" hidden="1">
      <c r="A35" s="152">
        <v>45763</v>
      </c>
      <c r="B35" s="4">
        <v>46128</v>
      </c>
      <c r="C35" s="8" t="str">
        <f t="shared" si="0"/>
        <v>12 Meses</v>
      </c>
      <c r="D35" s="8" t="str">
        <f t="shared" ca="1" si="1"/>
        <v>3 Meses</v>
      </c>
      <c r="E35" s="75">
        <v>5.8299999999999998E-2</v>
      </c>
      <c r="F35" s="75"/>
      <c r="G35" s="5" t="s">
        <v>13</v>
      </c>
      <c r="H35" s="5" t="s">
        <v>43</v>
      </c>
      <c r="I35" s="5" t="s">
        <v>32</v>
      </c>
      <c r="J35" s="5" t="s">
        <v>29</v>
      </c>
      <c r="K35" s="5" t="s">
        <v>0</v>
      </c>
      <c r="L35" s="5" t="s">
        <v>64</v>
      </c>
      <c r="M35" s="8" t="s">
        <v>62</v>
      </c>
      <c r="N35" s="90">
        <v>46058</v>
      </c>
      <c r="O35" s="150">
        <v>360000</v>
      </c>
      <c r="P35" s="151">
        <v>30534.84</v>
      </c>
      <c r="Q35" s="151">
        <f>147.07+308.91</f>
        <v>455.98</v>
      </c>
      <c r="R35" s="25">
        <f t="shared" si="4"/>
        <v>30990.82</v>
      </c>
      <c r="S35" s="25">
        <v>92076.410000000018</v>
      </c>
      <c r="T35" s="22"/>
      <c r="U35" s="25">
        <f t="shared" si="5"/>
        <v>61541.570000000022</v>
      </c>
      <c r="V35" s="22"/>
      <c r="W35" s="108"/>
      <c r="X35" s="110"/>
      <c r="Y35" s="111"/>
      <c r="Z35" s="112"/>
      <c r="AA35" s="111"/>
    </row>
    <row r="36" spans="1:27" s="30" customFormat="1" ht="15.6" hidden="1">
      <c r="A36" s="152">
        <v>45744</v>
      </c>
      <c r="B36" s="4">
        <v>46101</v>
      </c>
      <c r="C36" s="8" t="str">
        <f t="shared" si="0"/>
        <v>12 Meses</v>
      </c>
      <c r="D36" s="8" t="str">
        <f t="shared" ca="1" si="1"/>
        <v>2 Meses</v>
      </c>
      <c r="E36" s="75">
        <v>5.9400000000000001E-2</v>
      </c>
      <c r="F36" s="75"/>
      <c r="G36" s="5" t="s">
        <v>13</v>
      </c>
      <c r="H36" s="5" t="s">
        <v>43</v>
      </c>
      <c r="I36" s="5" t="s">
        <v>32</v>
      </c>
      <c r="J36" s="5" t="s">
        <v>29</v>
      </c>
      <c r="K36" s="5" t="s">
        <v>0</v>
      </c>
      <c r="L36" s="5" t="s">
        <v>64</v>
      </c>
      <c r="M36" s="8" t="s">
        <v>60</v>
      </c>
      <c r="N36" s="90">
        <v>46073</v>
      </c>
      <c r="O36" s="150">
        <v>123000</v>
      </c>
      <c r="P36" s="151">
        <v>10220.34</v>
      </c>
      <c r="Q36" s="151">
        <f>18.43+83.39</f>
        <v>101.82</v>
      </c>
      <c r="R36" s="25">
        <f t="shared" si="4"/>
        <v>10322.16</v>
      </c>
      <c r="S36" s="25">
        <v>20495.450000000015</v>
      </c>
      <c r="T36" s="22"/>
      <c r="U36" s="25">
        <f t="shared" si="5"/>
        <v>10275.110000000015</v>
      </c>
      <c r="V36" s="22"/>
      <c r="W36" s="108"/>
      <c r="X36" s="110"/>
      <c r="Y36" s="111"/>
      <c r="Z36" s="112"/>
      <c r="AA36" s="111"/>
    </row>
    <row r="37" spans="1:27" s="30" customFormat="1" ht="15.6" hidden="1">
      <c r="A37" s="152">
        <v>45771</v>
      </c>
      <c r="B37" s="4">
        <v>46136</v>
      </c>
      <c r="C37" s="8" t="str">
        <f t="shared" si="0"/>
        <v>12 Meses</v>
      </c>
      <c r="D37" s="8" t="str">
        <f t="shared" ca="1" si="1"/>
        <v>3 Meses</v>
      </c>
      <c r="E37" s="75">
        <v>6.7000000000000004E-2</v>
      </c>
      <c r="F37" s="75"/>
      <c r="G37" s="5" t="s">
        <v>13</v>
      </c>
      <c r="H37" s="5" t="s">
        <v>43</v>
      </c>
      <c r="I37" s="5" t="s">
        <v>32</v>
      </c>
      <c r="J37" s="5" t="s">
        <v>29</v>
      </c>
      <c r="K37" s="5" t="s">
        <v>0</v>
      </c>
      <c r="L37" s="5" t="s">
        <v>65</v>
      </c>
      <c r="M37" s="8" t="s">
        <v>61</v>
      </c>
      <c r="N37" s="90">
        <v>46058</v>
      </c>
      <c r="O37" s="150">
        <v>155000</v>
      </c>
      <c r="P37" s="151">
        <v>12115.88</v>
      </c>
      <c r="Q37" s="151">
        <f>89.79+188.58</f>
        <v>278.37</v>
      </c>
      <c r="R37" s="25">
        <f t="shared" si="4"/>
        <v>12394.25</v>
      </c>
      <c r="S37" s="25">
        <v>48913.749999999993</v>
      </c>
      <c r="T37" s="22"/>
      <c r="U37" s="25">
        <f t="shared" si="5"/>
        <v>36797.869999999995</v>
      </c>
      <c r="V37" s="22"/>
      <c r="W37" s="108"/>
      <c r="X37" s="110"/>
      <c r="Y37" s="111"/>
      <c r="Z37" s="112"/>
      <c r="AA37" s="111"/>
    </row>
    <row r="38" spans="1:27" s="30" customFormat="1" ht="15.6">
      <c r="A38" s="152">
        <v>45818</v>
      </c>
      <c r="B38" s="4">
        <v>46183</v>
      </c>
      <c r="C38" s="8" t="str">
        <f t="shared" si="0"/>
        <v>12 Meses</v>
      </c>
      <c r="D38" s="8" t="str">
        <f t="shared" ca="1" si="1"/>
        <v>5 Meses</v>
      </c>
      <c r="E38" s="75">
        <v>7.2499999999999995E-2</v>
      </c>
      <c r="F38" s="75"/>
      <c r="G38" s="5" t="s">
        <v>13</v>
      </c>
      <c r="H38" s="5" t="s">
        <v>43</v>
      </c>
      <c r="I38" s="5" t="s">
        <v>32</v>
      </c>
      <c r="J38" s="5" t="s">
        <v>29</v>
      </c>
      <c r="K38" s="5" t="s">
        <v>0</v>
      </c>
      <c r="L38" s="5" t="s">
        <v>65</v>
      </c>
      <c r="M38" s="8" t="s">
        <v>76</v>
      </c>
      <c r="N38" s="90">
        <v>46073</v>
      </c>
      <c r="O38" s="150">
        <v>257000</v>
      </c>
      <c r="P38" s="151">
        <v>19990.73</v>
      </c>
      <c r="Q38" s="151">
        <f>116.96+503.64</f>
        <v>620.6</v>
      </c>
      <c r="R38" s="25">
        <f t="shared" si="4"/>
        <v>20611.329999999998</v>
      </c>
      <c r="S38" s="25">
        <v>101423.03999999998</v>
      </c>
      <c r="T38" s="22"/>
      <c r="U38" s="25">
        <f t="shared" si="5"/>
        <v>81432.309999999983</v>
      </c>
      <c r="V38" s="22"/>
      <c r="W38" s="108"/>
      <c r="X38" s="110"/>
      <c r="Y38" s="111"/>
      <c r="Z38" s="112"/>
      <c r="AA38" s="111"/>
    </row>
    <row r="39" spans="1:27" s="30" customFormat="1" ht="15.6">
      <c r="A39" s="152">
        <v>45951</v>
      </c>
      <c r="B39" s="4">
        <v>46315</v>
      </c>
      <c r="C39" s="8" t="str">
        <f t="shared" si="0"/>
        <v>12 Meses</v>
      </c>
      <c r="D39" s="8" t="str">
        <f t="shared" ca="1" si="1"/>
        <v>9 Meses</v>
      </c>
      <c r="E39" s="75">
        <v>6.3500000000000001E-2</v>
      </c>
      <c r="F39" s="75"/>
      <c r="G39" s="5" t="s">
        <v>13</v>
      </c>
      <c r="H39" s="5" t="s">
        <v>43</v>
      </c>
      <c r="I39" s="5" t="s">
        <v>97</v>
      </c>
      <c r="J39" s="5" t="s">
        <v>29</v>
      </c>
      <c r="K39" s="5" t="s">
        <v>0</v>
      </c>
      <c r="L39" s="5" t="s">
        <v>65</v>
      </c>
      <c r="M39" s="8" t="s">
        <v>102</v>
      </c>
      <c r="N39" s="90">
        <v>46065</v>
      </c>
      <c r="O39" s="150">
        <v>245000</v>
      </c>
      <c r="P39" s="151">
        <v>20126.89</v>
      </c>
      <c r="Q39" s="151">
        <f>451.08+547.81</f>
        <v>998.88999999999987</v>
      </c>
      <c r="R39" s="25">
        <f t="shared" si="4"/>
        <v>21125.78</v>
      </c>
      <c r="S39" s="25">
        <v>185226.5</v>
      </c>
      <c r="T39" s="22"/>
      <c r="U39" s="25">
        <f t="shared" si="5"/>
        <v>165099.60999999999</v>
      </c>
      <c r="V39" s="22"/>
      <c r="W39" s="108"/>
      <c r="X39" s="110"/>
      <c r="Y39" s="111"/>
      <c r="Z39" s="112"/>
      <c r="AA39" s="111"/>
    </row>
    <row r="40" spans="1:27" s="30" customFormat="1" ht="15.6">
      <c r="A40" s="152">
        <v>45951</v>
      </c>
      <c r="B40" s="4">
        <v>46315</v>
      </c>
      <c r="C40" s="8" t="str">
        <f t="shared" si="0"/>
        <v>12 Meses</v>
      </c>
      <c r="D40" s="8" t="str">
        <f t="shared" ca="1" si="1"/>
        <v>9 Meses</v>
      </c>
      <c r="E40" s="75">
        <v>7.2999999999999995E-2</v>
      </c>
      <c r="F40" s="75"/>
      <c r="G40" s="5" t="s">
        <v>13</v>
      </c>
      <c r="H40" s="5" t="s">
        <v>43</v>
      </c>
      <c r="I40" s="5" t="s">
        <v>97</v>
      </c>
      <c r="J40" s="5" t="s">
        <v>29</v>
      </c>
      <c r="K40" s="5" t="s">
        <v>0</v>
      </c>
      <c r="L40" s="5" t="s">
        <v>65</v>
      </c>
      <c r="M40" s="8" t="s">
        <v>101</v>
      </c>
      <c r="N40" s="90">
        <v>46065</v>
      </c>
      <c r="O40" s="150">
        <v>80000</v>
      </c>
      <c r="P40" s="151">
        <v>6557.8</v>
      </c>
      <c r="Q40" s="151">
        <f>169.5+205.88</f>
        <v>375.38</v>
      </c>
      <c r="R40" s="25">
        <f t="shared" si="4"/>
        <v>6933.18</v>
      </c>
      <c r="S40" s="25">
        <v>60553.37999999999</v>
      </c>
      <c r="T40" s="22"/>
      <c r="U40" s="25">
        <f t="shared" si="5"/>
        <v>53995.579999999987</v>
      </c>
      <c r="V40" s="22"/>
      <c r="W40" s="108"/>
      <c r="X40" s="110"/>
      <c r="Y40" s="111"/>
      <c r="Z40" s="112"/>
      <c r="AA40" s="111"/>
    </row>
    <row r="41" spans="1:27" s="30" customFormat="1" ht="15.6">
      <c r="A41" s="152">
        <v>45959</v>
      </c>
      <c r="B41" s="4">
        <v>46315</v>
      </c>
      <c r="C41" s="8" t="str">
        <f t="shared" si="0"/>
        <v>12 Meses</v>
      </c>
      <c r="D41" s="8" t="str">
        <f t="shared" ca="1" si="1"/>
        <v>9 Meses</v>
      </c>
      <c r="E41" s="75">
        <v>7.2999999999999995E-2</v>
      </c>
      <c r="F41" s="75"/>
      <c r="G41" s="5" t="s">
        <v>13</v>
      </c>
      <c r="H41" s="5" t="s">
        <v>43</v>
      </c>
      <c r="I41" s="5" t="s">
        <v>97</v>
      </c>
      <c r="J41" s="5" t="s">
        <v>29</v>
      </c>
      <c r="K41" s="5" t="s">
        <v>0</v>
      </c>
      <c r="L41" s="5" t="s">
        <v>65</v>
      </c>
      <c r="M41" s="8" t="s">
        <v>98</v>
      </c>
      <c r="N41" s="90">
        <v>46073</v>
      </c>
      <c r="O41" s="150">
        <v>68000</v>
      </c>
      <c r="P41" s="151">
        <v>5574.24</v>
      </c>
      <c r="Q41" s="151">
        <f>60.63+257.35</f>
        <v>317.98</v>
      </c>
      <c r="R41" s="25">
        <f t="shared" si="4"/>
        <v>5892.2199999999993</v>
      </c>
      <c r="S41" s="25">
        <v>51470.61</v>
      </c>
      <c r="T41" s="22"/>
      <c r="U41" s="25">
        <f t="shared" si="5"/>
        <v>45896.37</v>
      </c>
      <c r="V41" s="22"/>
      <c r="W41" s="108"/>
      <c r="X41" s="110"/>
      <c r="Y41" s="111"/>
      <c r="Z41" s="112"/>
      <c r="AA41" s="111"/>
    </row>
    <row r="42" spans="1:27" s="30" customFormat="1" ht="15.6">
      <c r="A42" s="152">
        <v>45959</v>
      </c>
      <c r="B42" s="4">
        <v>46315</v>
      </c>
      <c r="C42" s="8" t="str">
        <f t="shared" si="0"/>
        <v>12 Meses</v>
      </c>
      <c r="D42" s="8" t="str">
        <f t="shared" ca="1" si="1"/>
        <v>9 Meses</v>
      </c>
      <c r="E42" s="75">
        <v>6.3500000000000001E-2</v>
      </c>
      <c r="F42" s="75"/>
      <c r="G42" s="5" t="s">
        <v>13</v>
      </c>
      <c r="H42" s="5" t="s">
        <v>43</v>
      </c>
      <c r="I42" s="5" t="s">
        <v>97</v>
      </c>
      <c r="J42" s="5" t="s">
        <v>29</v>
      </c>
      <c r="K42" s="5" t="s">
        <v>0</v>
      </c>
      <c r="L42" s="5" t="s">
        <v>65</v>
      </c>
      <c r="M42" s="8" t="s">
        <v>99</v>
      </c>
      <c r="N42" s="90">
        <v>46073</v>
      </c>
      <c r="O42" s="150">
        <v>298000</v>
      </c>
      <c r="P42" s="151">
        <v>24480.560000000001</v>
      </c>
      <c r="Q42" s="151">
        <f>230.97+979.88</f>
        <v>1210.8499999999999</v>
      </c>
      <c r="R42" s="25">
        <f t="shared" si="4"/>
        <v>25691.41</v>
      </c>
      <c r="S42" s="25">
        <v>225295.59000000003</v>
      </c>
      <c r="T42" s="22"/>
      <c r="U42" s="25">
        <f t="shared" si="5"/>
        <v>200815.03000000003</v>
      </c>
      <c r="V42" s="22"/>
      <c r="W42" s="108"/>
      <c r="X42" s="110"/>
      <c r="Y42" s="111"/>
      <c r="Z42" s="112"/>
      <c r="AA42" s="111"/>
    </row>
    <row r="43" spans="1:27" s="30" customFormat="1" ht="15.6">
      <c r="A43" s="152">
        <v>45960</v>
      </c>
      <c r="B43" s="4">
        <v>46315</v>
      </c>
      <c r="C43" s="8" t="str">
        <f t="shared" si="0"/>
        <v>12 Meses</v>
      </c>
      <c r="D43" s="8" t="str">
        <f t="shared" ca="1" si="1"/>
        <v>9 Meses</v>
      </c>
      <c r="E43" s="75">
        <v>6.3500000000000001E-2</v>
      </c>
      <c r="F43" s="75"/>
      <c r="G43" s="5" t="s">
        <v>13</v>
      </c>
      <c r="H43" s="5" t="s">
        <v>43</v>
      </c>
      <c r="I43" s="5" t="s">
        <v>97</v>
      </c>
      <c r="J43" s="5" t="s">
        <v>29</v>
      </c>
      <c r="K43" s="5" t="s">
        <v>0</v>
      </c>
      <c r="L43" s="5" t="s">
        <v>65</v>
      </c>
      <c r="M43" s="8" t="s">
        <v>100</v>
      </c>
      <c r="N43" s="90">
        <v>46073</v>
      </c>
      <c r="O43" s="150">
        <v>100000</v>
      </c>
      <c r="P43" s="151">
        <v>8215.09</v>
      </c>
      <c r="Q43" s="151">
        <f>77.48+328.82</f>
        <v>406.3</v>
      </c>
      <c r="R43" s="25">
        <f t="shared" si="4"/>
        <v>8621.39</v>
      </c>
      <c r="S43" s="25">
        <v>75602.550000000017</v>
      </c>
      <c r="T43" s="22"/>
      <c r="U43" s="25">
        <f t="shared" si="5"/>
        <v>67387.460000000021</v>
      </c>
      <c r="V43" s="22"/>
      <c r="W43" s="108"/>
      <c r="X43" s="110"/>
      <c r="Y43" s="111"/>
      <c r="Z43" s="112"/>
      <c r="AA43" s="111"/>
    </row>
    <row r="44" spans="1:27" s="30" customFormat="1" ht="15.6">
      <c r="A44" s="152">
        <v>45966</v>
      </c>
      <c r="B44" s="4">
        <v>46331</v>
      </c>
      <c r="C44" s="8" t="str">
        <f t="shared" si="0"/>
        <v>12 Meses</v>
      </c>
      <c r="D44" s="8" t="str">
        <f t="shared" ca="1" si="1"/>
        <v>10 Meses</v>
      </c>
      <c r="E44" s="75">
        <v>7.2999999999999995E-2</v>
      </c>
      <c r="F44" s="75"/>
      <c r="G44" s="5" t="s">
        <v>13</v>
      </c>
      <c r="H44" s="5" t="s">
        <v>43</v>
      </c>
      <c r="I44" s="5" t="s">
        <v>97</v>
      </c>
      <c r="J44" s="5" t="s">
        <v>29</v>
      </c>
      <c r="K44" s="5" t="s">
        <v>0</v>
      </c>
      <c r="L44" s="5" t="s">
        <v>65</v>
      </c>
      <c r="M44" s="8" t="s">
        <v>110</v>
      </c>
      <c r="N44" s="90">
        <v>46073</v>
      </c>
      <c r="O44" s="150">
        <v>160000</v>
      </c>
      <c r="P44" s="151">
        <v>12068.11</v>
      </c>
      <c r="Q44" s="151">
        <f>146.64+621.05</f>
        <v>767.68999999999994</v>
      </c>
      <c r="R44" s="25">
        <f t="shared" si="4"/>
        <v>12835.800000000001</v>
      </c>
      <c r="S44" s="25">
        <v>124210.89000000001</v>
      </c>
      <c r="T44" s="22"/>
      <c r="U44" s="25">
        <f t="shared" si="5"/>
        <v>112142.78000000001</v>
      </c>
      <c r="V44" s="22"/>
      <c r="W44" s="108"/>
      <c r="X44" s="110"/>
      <c r="Y44" s="111"/>
      <c r="Z44" s="112"/>
      <c r="AA44" s="111"/>
    </row>
    <row r="45" spans="1:27" s="30" customFormat="1" ht="15.6">
      <c r="A45" s="152">
        <v>45966</v>
      </c>
      <c r="B45" s="4">
        <v>46331</v>
      </c>
      <c r="C45" s="8" t="str">
        <f t="shared" si="0"/>
        <v>12 Meses</v>
      </c>
      <c r="D45" s="8" t="str">
        <f t="shared" ca="1" si="1"/>
        <v>10 Meses</v>
      </c>
      <c r="E45" s="75">
        <v>6.3500000000000001E-2</v>
      </c>
      <c r="F45" s="75"/>
      <c r="G45" s="5" t="s">
        <v>13</v>
      </c>
      <c r="H45" s="5" t="s">
        <v>43</v>
      </c>
      <c r="I45" s="5" t="s">
        <v>97</v>
      </c>
      <c r="J45" s="5" t="s">
        <v>29</v>
      </c>
      <c r="K45" s="5" t="s">
        <v>0</v>
      </c>
      <c r="L45" s="5" t="s">
        <v>65</v>
      </c>
      <c r="M45" s="8" t="s">
        <v>109</v>
      </c>
      <c r="N45" s="90">
        <v>46065</v>
      </c>
      <c r="O45" s="150">
        <v>80000</v>
      </c>
      <c r="P45" s="151">
        <v>6049.71</v>
      </c>
      <c r="Q45" s="151">
        <f>151.06+183.46</f>
        <v>334.52</v>
      </c>
      <c r="R45" s="25">
        <f t="shared" si="4"/>
        <v>6384.23</v>
      </c>
      <c r="S45" s="25">
        <v>62032.36</v>
      </c>
      <c r="T45" s="22"/>
      <c r="U45" s="25">
        <f t="shared" si="5"/>
        <v>55982.65</v>
      </c>
      <c r="V45" s="22"/>
      <c r="W45" s="108"/>
      <c r="X45" s="110"/>
      <c r="Y45" s="111"/>
      <c r="Z45" s="112"/>
      <c r="AA45" s="111"/>
    </row>
    <row r="46" spans="1:27" s="30" customFormat="1" ht="15.6">
      <c r="A46" s="152">
        <v>45968</v>
      </c>
      <c r="B46" s="4">
        <v>46333</v>
      </c>
      <c r="C46" s="8" t="str">
        <f t="shared" si="0"/>
        <v>12 Meses</v>
      </c>
      <c r="D46" s="8" t="str">
        <f t="shared" ca="1" si="1"/>
        <v>10 Meses</v>
      </c>
      <c r="E46" s="75">
        <v>6.3500000000000001E-2</v>
      </c>
      <c r="F46" s="75"/>
      <c r="G46" s="5" t="s">
        <v>13</v>
      </c>
      <c r="H46" s="5" t="s">
        <v>43</v>
      </c>
      <c r="I46" s="5" t="s">
        <v>97</v>
      </c>
      <c r="J46" s="5" t="s">
        <v>29</v>
      </c>
      <c r="K46" s="5" t="s">
        <v>0</v>
      </c>
      <c r="L46" s="5" t="s">
        <v>65</v>
      </c>
      <c r="M46" s="8" t="s">
        <v>104</v>
      </c>
      <c r="N46" s="90">
        <v>46073</v>
      </c>
      <c r="O46" s="150">
        <v>280000</v>
      </c>
      <c r="P46" s="151">
        <v>21173.83</v>
      </c>
      <c r="Q46" s="151">
        <f>222.95+944.29</f>
        <v>1167.24</v>
      </c>
      <c r="R46" s="25">
        <f t="shared" si="4"/>
        <v>22341.070000000003</v>
      </c>
      <c r="S46" s="25">
        <v>217113.25</v>
      </c>
      <c r="T46" s="22"/>
      <c r="U46" s="25">
        <f t="shared" si="5"/>
        <v>195939.41999999998</v>
      </c>
      <c r="V46" s="22"/>
      <c r="W46" s="108"/>
      <c r="X46" s="110"/>
      <c r="Y46" s="111"/>
      <c r="Z46" s="112"/>
      <c r="AA46" s="111"/>
    </row>
    <row r="47" spans="1:27" s="30" customFormat="1" ht="15.6">
      <c r="A47" s="152">
        <v>45968</v>
      </c>
      <c r="B47" s="4">
        <v>46333</v>
      </c>
      <c r="C47" s="8" t="str">
        <f t="shared" si="0"/>
        <v>12 Meses</v>
      </c>
      <c r="D47" s="8" t="str">
        <f t="shared" ca="1" si="1"/>
        <v>10 Meses</v>
      </c>
      <c r="E47" s="75">
        <v>7.2999999999999995E-2</v>
      </c>
      <c r="F47" s="75"/>
      <c r="G47" s="5" t="s">
        <v>13</v>
      </c>
      <c r="H47" s="5" t="s">
        <v>43</v>
      </c>
      <c r="I47" s="5" t="s">
        <v>97</v>
      </c>
      <c r="J47" s="5" t="s">
        <v>29</v>
      </c>
      <c r="K47" s="5" t="s">
        <v>0</v>
      </c>
      <c r="L47" s="5" t="s">
        <v>65</v>
      </c>
      <c r="M47" s="8" t="s">
        <v>105</v>
      </c>
      <c r="N47" s="90">
        <v>46073</v>
      </c>
      <c r="O47" s="150">
        <v>100000</v>
      </c>
      <c r="P47" s="151">
        <v>7542.41</v>
      </c>
      <c r="Q47" s="151">
        <f>91.68+388.16</f>
        <v>479.84000000000003</v>
      </c>
      <c r="R47" s="25">
        <f t="shared" si="4"/>
        <v>8022.25</v>
      </c>
      <c r="S47" s="25">
        <v>77632.009999999995</v>
      </c>
      <c r="T47" s="22"/>
      <c r="U47" s="25">
        <f t="shared" si="5"/>
        <v>70089.599999999991</v>
      </c>
      <c r="V47" s="22"/>
      <c r="W47" s="108"/>
      <c r="X47" s="110"/>
      <c r="Y47" s="111"/>
      <c r="Z47" s="112"/>
      <c r="AA47" s="111"/>
    </row>
    <row r="48" spans="1:27" s="30" customFormat="1" ht="15.6">
      <c r="A48" s="152">
        <v>45972</v>
      </c>
      <c r="B48" s="4">
        <v>46337</v>
      </c>
      <c r="C48" s="8" t="str">
        <f t="shared" si="0"/>
        <v>12 Meses</v>
      </c>
      <c r="D48" s="8" t="str">
        <f t="shared" ca="1" si="1"/>
        <v>10 Meses</v>
      </c>
      <c r="E48" s="75">
        <v>6.3500000000000001E-2</v>
      </c>
      <c r="F48" s="75"/>
      <c r="G48" s="5" t="s">
        <v>13</v>
      </c>
      <c r="H48" s="5" t="s">
        <v>43</v>
      </c>
      <c r="I48" s="5" t="s">
        <v>97</v>
      </c>
      <c r="J48" s="5" t="s">
        <v>29</v>
      </c>
      <c r="K48" s="5" t="s">
        <v>0</v>
      </c>
      <c r="L48" s="5" t="s">
        <v>65</v>
      </c>
      <c r="M48" s="8" t="s">
        <v>106</v>
      </c>
      <c r="N48" s="90">
        <v>46058</v>
      </c>
      <c r="O48" s="150">
        <v>117000</v>
      </c>
      <c r="P48" s="151">
        <v>9560.06</v>
      </c>
      <c r="Q48" s="151">
        <f>358.05+170.52</f>
        <v>528.57000000000005</v>
      </c>
      <c r="R48" s="25">
        <f t="shared" si="4"/>
        <v>10088.629999999999</v>
      </c>
      <c r="S48" s="25">
        <v>98013.29</v>
      </c>
      <c r="T48" s="22"/>
      <c r="U48" s="25">
        <f>+S48-P48</f>
        <v>88453.23</v>
      </c>
      <c r="V48" s="22"/>
      <c r="W48" s="108"/>
      <c r="X48" s="110"/>
      <c r="Y48" s="111"/>
      <c r="Z48" s="112"/>
      <c r="AA48" s="111"/>
    </row>
    <row r="49" spans="1:27" s="30" customFormat="1" ht="15.6">
      <c r="A49" s="152">
        <v>45972</v>
      </c>
      <c r="B49" s="4">
        <v>46337</v>
      </c>
      <c r="C49" s="8" t="str">
        <f t="shared" si="0"/>
        <v>12 Meses</v>
      </c>
      <c r="D49" s="8" t="str">
        <f t="shared" ca="1" si="1"/>
        <v>10 Meses</v>
      </c>
      <c r="E49" s="75">
        <v>7.2999999999999995E-2</v>
      </c>
      <c r="F49" s="75"/>
      <c r="G49" s="5" t="s">
        <v>13</v>
      </c>
      <c r="H49" s="5" t="s">
        <v>43</v>
      </c>
      <c r="I49" s="5" t="s">
        <v>97</v>
      </c>
      <c r="J49" s="5" t="s">
        <v>29</v>
      </c>
      <c r="K49" s="5" t="s">
        <v>0</v>
      </c>
      <c r="L49" s="5" t="s">
        <v>65</v>
      </c>
      <c r="M49" s="8" t="s">
        <v>107</v>
      </c>
      <c r="N49" s="90">
        <v>46058</v>
      </c>
      <c r="O49" s="150">
        <v>54000</v>
      </c>
      <c r="P49" s="151">
        <v>4399.37</v>
      </c>
      <c r="Q49" s="151">
        <f>190.05+90.54</f>
        <v>280.59000000000003</v>
      </c>
      <c r="R49" s="25">
        <f t="shared" si="4"/>
        <v>4679.96</v>
      </c>
      <c r="S49" s="25">
        <v>45271.990000000005</v>
      </c>
      <c r="T49" s="22"/>
      <c r="U49" s="25">
        <f t="shared" si="5"/>
        <v>40872.620000000003</v>
      </c>
      <c r="V49" s="22"/>
      <c r="W49" s="108"/>
      <c r="X49" s="110"/>
      <c r="Y49" s="111"/>
      <c r="Z49" s="112"/>
      <c r="AA49" s="111"/>
    </row>
    <row r="50" spans="1:27" s="30" customFormat="1" ht="15.6">
      <c r="A50" s="152">
        <v>45985</v>
      </c>
      <c r="B50" s="4">
        <v>46346</v>
      </c>
      <c r="C50" s="8" t="str">
        <f t="shared" si="0"/>
        <v>12 Meses</v>
      </c>
      <c r="D50" s="8" t="str">
        <f t="shared" ca="1" si="1"/>
        <v>10 Meses</v>
      </c>
      <c r="E50" s="75">
        <v>6.3500000000000001E-2</v>
      </c>
      <c r="F50" s="75"/>
      <c r="G50" s="5" t="s">
        <v>46</v>
      </c>
      <c r="H50" s="5" t="s">
        <v>43</v>
      </c>
      <c r="I50" s="5" t="s">
        <v>32</v>
      </c>
      <c r="J50" s="5" t="s">
        <v>29</v>
      </c>
      <c r="K50" s="5" t="s">
        <v>0</v>
      </c>
      <c r="L50" s="5" t="s">
        <v>65</v>
      </c>
      <c r="M50" s="8" t="s">
        <v>113</v>
      </c>
      <c r="N50" s="90">
        <v>46065</v>
      </c>
      <c r="O50" s="150">
        <v>121000</v>
      </c>
      <c r="P50" s="151">
        <v>9886.98</v>
      </c>
      <c r="Q50" s="151">
        <f>246.82+299.79</f>
        <v>546.61</v>
      </c>
      <c r="R50" s="25">
        <f t="shared" si="4"/>
        <v>10433.59</v>
      </c>
      <c r="S50" s="25">
        <v>101364.33</v>
      </c>
      <c r="T50" s="22"/>
      <c r="U50" s="25">
        <f t="shared" si="5"/>
        <v>91477.35</v>
      </c>
      <c r="V50" s="22"/>
      <c r="W50" s="108"/>
      <c r="X50" s="110"/>
      <c r="Y50" s="111"/>
      <c r="Z50" s="112"/>
      <c r="AA50" s="111"/>
    </row>
    <row r="51" spans="1:27" s="30" customFormat="1" ht="15.6">
      <c r="A51" s="152">
        <v>45985</v>
      </c>
      <c r="B51" s="4">
        <v>46346</v>
      </c>
      <c r="C51" s="8" t="str">
        <f>IF(ROUNDUP(((-A51+B51)/(365/12)),0)&lt;=0,0,ROUNDUP(((-A51+B51)/(365/12)),0))&amp;" "&amp;"Meses"</f>
        <v>12 Meses</v>
      </c>
      <c r="D51" s="8" t="str">
        <f t="shared" ref="D51:D55" ca="1" si="6">IF(ROUNDUP(((-$A$1+B51)/(365/12)),0)&lt;=0,0,ROUNDUP(((-$A$1+B51)/(365/12)),0))&amp;" "&amp;"Meses"</f>
        <v>10 Meses</v>
      </c>
      <c r="E51" s="75">
        <v>7.2999999999999995E-2</v>
      </c>
      <c r="F51" s="75"/>
      <c r="G51" s="5" t="s">
        <v>46</v>
      </c>
      <c r="H51" s="5" t="s">
        <v>43</v>
      </c>
      <c r="I51" s="5" t="s">
        <v>32</v>
      </c>
      <c r="J51" s="5" t="s">
        <v>29</v>
      </c>
      <c r="K51" s="5" t="s">
        <v>0</v>
      </c>
      <c r="L51" s="5" t="s">
        <v>65</v>
      </c>
      <c r="M51" s="8" t="s">
        <v>114</v>
      </c>
      <c r="N51" s="90">
        <v>46065</v>
      </c>
      <c r="O51" s="150">
        <v>132000</v>
      </c>
      <c r="P51" s="151">
        <v>10753.76</v>
      </c>
      <c r="Q51" s="151">
        <f>309.82+376.26</f>
        <v>686.07999999999993</v>
      </c>
      <c r="R51" s="25">
        <f t="shared" si="4"/>
        <v>11439.84</v>
      </c>
      <c r="S51" s="25">
        <v>110664.79</v>
      </c>
      <c r="T51" s="22"/>
      <c r="U51" s="25">
        <f t="shared" si="5"/>
        <v>99911.03</v>
      </c>
      <c r="V51" s="22"/>
      <c r="W51" s="108"/>
      <c r="X51" s="110"/>
      <c r="Y51" s="111"/>
      <c r="Z51" s="112"/>
      <c r="AA51" s="111"/>
    </row>
    <row r="52" spans="1:27" s="30" customFormat="1" ht="15.6">
      <c r="A52" s="152">
        <v>45987</v>
      </c>
      <c r="B52" s="4">
        <v>46352</v>
      </c>
      <c r="C52" s="8" t="str">
        <f t="shared" ref="C52:C55" si="7">IF(ROUNDUP(((-A52+B52)/(365/12)),0)&lt;=0,0,ROUNDUP(((-A52+B52)/(365/12)),0))&amp;" "&amp;"Meses"</f>
        <v>12 Meses</v>
      </c>
      <c r="D52" s="8" t="str">
        <f t="shared" ca="1" si="6"/>
        <v>10 Meses</v>
      </c>
      <c r="E52" s="75">
        <v>6.3500000000000001E-2</v>
      </c>
      <c r="F52" s="75"/>
      <c r="G52" s="5" t="s">
        <v>46</v>
      </c>
      <c r="H52" s="5" t="s">
        <v>43</v>
      </c>
      <c r="I52" s="5" t="s">
        <v>32</v>
      </c>
      <c r="J52" s="5" t="s">
        <v>29</v>
      </c>
      <c r="K52" s="5" t="s">
        <v>0</v>
      </c>
      <c r="L52" s="5" t="s">
        <v>65</v>
      </c>
      <c r="M52" s="8" t="s">
        <v>112</v>
      </c>
      <c r="N52" s="90">
        <v>46073</v>
      </c>
      <c r="O52" s="150">
        <v>146000</v>
      </c>
      <c r="P52" s="151">
        <v>11929.52</v>
      </c>
      <c r="Q52" s="151">
        <f>125.62+531.95</f>
        <v>657.57</v>
      </c>
      <c r="R52" s="25">
        <f t="shared" si="4"/>
        <v>12587.09</v>
      </c>
      <c r="S52" s="25">
        <v>122307.13999999998</v>
      </c>
      <c r="T52" s="22"/>
      <c r="U52" s="25">
        <f t="shared" si="5"/>
        <v>110377.61999999998</v>
      </c>
      <c r="V52" s="22"/>
      <c r="W52" s="108"/>
      <c r="X52" s="110"/>
      <c r="Y52" s="111"/>
      <c r="Z52" s="112"/>
      <c r="AA52" s="111"/>
    </row>
    <row r="53" spans="1:27" s="30" customFormat="1" ht="15.6">
      <c r="A53" s="152">
        <v>45987</v>
      </c>
      <c r="B53" s="4">
        <v>46352</v>
      </c>
      <c r="C53" s="8" t="str">
        <f t="shared" si="7"/>
        <v>12 Meses</v>
      </c>
      <c r="D53" s="8" t="str">
        <f t="shared" ca="1" si="6"/>
        <v>10 Meses</v>
      </c>
      <c r="E53" s="75">
        <v>7.2999999999999995E-2</v>
      </c>
      <c r="F53" s="75"/>
      <c r="G53" s="5" t="s">
        <v>46</v>
      </c>
      <c r="H53" s="5" t="s">
        <v>43</v>
      </c>
      <c r="I53" s="5" t="s">
        <v>32</v>
      </c>
      <c r="J53" s="5" t="s">
        <v>29</v>
      </c>
      <c r="K53" s="5" t="s">
        <v>0</v>
      </c>
      <c r="L53" s="5" t="s">
        <v>65</v>
      </c>
      <c r="M53" s="8" t="s">
        <v>111</v>
      </c>
      <c r="N53" s="90">
        <v>46073</v>
      </c>
      <c r="O53" s="150">
        <v>214000</v>
      </c>
      <c r="P53" s="151">
        <v>17433.43</v>
      </c>
      <c r="Q53" s="151">
        <f>211.95+897.59</f>
        <v>1109.54</v>
      </c>
      <c r="R53" s="25">
        <f t="shared" si="4"/>
        <v>18542.97</v>
      </c>
      <c r="S53" s="25">
        <v>179518.13999999998</v>
      </c>
      <c r="T53" s="22"/>
      <c r="U53" s="25">
        <f t="shared" si="5"/>
        <v>162084.71</v>
      </c>
      <c r="V53" s="22"/>
      <c r="W53" s="108"/>
      <c r="X53" s="110"/>
      <c r="Y53" s="111"/>
      <c r="Z53" s="112"/>
      <c r="AA53" s="111"/>
    </row>
    <row r="54" spans="1:27" s="30" customFormat="1" ht="15.6">
      <c r="A54" s="152">
        <v>45993</v>
      </c>
      <c r="B54" s="4">
        <v>46358</v>
      </c>
      <c r="C54" s="8" t="str">
        <f t="shared" si="7"/>
        <v>12 Meses</v>
      </c>
      <c r="D54" s="8" t="str">
        <f t="shared" ca="1" si="6"/>
        <v>10 Meses</v>
      </c>
      <c r="E54" s="75">
        <v>7.2999999999999995E-2</v>
      </c>
      <c r="F54" s="75"/>
      <c r="G54" s="5" t="s">
        <v>46</v>
      </c>
      <c r="H54" s="5" t="s">
        <v>43</v>
      </c>
      <c r="I54" s="5" t="s">
        <v>32</v>
      </c>
      <c r="J54" s="5" t="s">
        <v>29</v>
      </c>
      <c r="K54" s="5" t="s">
        <v>0</v>
      </c>
      <c r="L54" s="5" t="s">
        <v>65</v>
      </c>
      <c r="M54" s="8" t="s">
        <v>116</v>
      </c>
      <c r="N54" s="90">
        <v>46073</v>
      </c>
      <c r="O54" s="150">
        <v>113000</v>
      </c>
      <c r="P54" s="151">
        <v>9205.7099999999991</v>
      </c>
      <c r="Q54" s="151">
        <f>111.87+473.68</f>
        <v>585.54999999999995</v>
      </c>
      <c r="R54" s="25">
        <f t="shared" si="4"/>
        <v>9791.2599999999984</v>
      </c>
      <c r="S54" s="25">
        <v>94735.86</v>
      </c>
      <c r="T54" s="22"/>
      <c r="U54" s="25">
        <f t="shared" si="5"/>
        <v>85530.15</v>
      </c>
      <c r="V54" s="22"/>
      <c r="W54" s="108"/>
      <c r="X54" s="110"/>
      <c r="Y54" s="111"/>
      <c r="Z54" s="112"/>
      <c r="AA54" s="111"/>
    </row>
    <row r="55" spans="1:27" s="30" customFormat="1" ht="15.6">
      <c r="A55" s="152">
        <v>45993</v>
      </c>
      <c r="B55" s="4">
        <v>46358</v>
      </c>
      <c r="C55" s="8" t="str">
        <f t="shared" si="7"/>
        <v>12 Meses</v>
      </c>
      <c r="D55" s="8" t="str">
        <f t="shared" ca="1" si="6"/>
        <v>10 Meses</v>
      </c>
      <c r="E55" s="75">
        <v>6.3500000000000001E-2</v>
      </c>
      <c r="F55" s="75"/>
      <c r="G55" s="5" t="s">
        <v>46</v>
      </c>
      <c r="H55" s="5" t="s">
        <v>43</v>
      </c>
      <c r="I55" s="5" t="s">
        <v>32</v>
      </c>
      <c r="J55" s="5" t="s">
        <v>29</v>
      </c>
      <c r="K55" s="5" t="s">
        <v>0</v>
      </c>
      <c r="L55" s="5" t="s">
        <v>65</v>
      </c>
      <c r="M55" s="8" t="s">
        <v>115</v>
      </c>
      <c r="N55" s="90">
        <v>46073</v>
      </c>
      <c r="O55" s="150">
        <v>289000</v>
      </c>
      <c r="P55" s="151">
        <v>23613.99</v>
      </c>
      <c r="Q55" s="151">
        <f>248.63+1052.98</f>
        <v>1301.6100000000001</v>
      </c>
      <c r="R55" s="25">
        <f t="shared" si="4"/>
        <v>24915.600000000002</v>
      </c>
      <c r="S55" s="25">
        <v>242101.49</v>
      </c>
      <c r="T55" s="22"/>
      <c r="U55" s="25">
        <f t="shared" si="5"/>
        <v>218487.5</v>
      </c>
      <c r="V55" s="22"/>
      <c r="W55" s="108"/>
      <c r="X55" s="110"/>
      <c r="Y55" s="111"/>
      <c r="Z55" s="112"/>
      <c r="AA55" s="111"/>
    </row>
    <row r="56" spans="1:27" s="30" customFormat="1" ht="15.6" hidden="1">
      <c r="A56" s="152">
        <v>46038</v>
      </c>
      <c r="B56" s="4">
        <v>46403</v>
      </c>
      <c r="C56" s="8" t="str">
        <f t="shared" ref="C56:C57" si="8">IF(ROUNDUP(((-A56+B56)/(365/12)),0)&lt;=0,0,ROUNDUP(((-A56+B56)/(365/12)),0))&amp;" "&amp;"Meses"</f>
        <v>12 Meses</v>
      </c>
      <c r="D56" s="8" t="str">
        <f t="shared" ref="D56:D57" ca="1" si="9">IF(ROUNDUP(((-$A$1+B56)/(365/12)),0)&lt;=0,0,ROUNDUP(((-$A$1+B56)/(365/12)),0))&amp;" "&amp;"Meses"</f>
        <v>12 Meses</v>
      </c>
      <c r="E56" s="75">
        <v>6.3500000000000001E-2</v>
      </c>
      <c r="F56" s="75"/>
      <c r="G56" s="5" t="s">
        <v>46</v>
      </c>
      <c r="H56" s="5" t="s">
        <v>43</v>
      </c>
      <c r="I56" s="5" t="s">
        <v>32</v>
      </c>
      <c r="J56" s="5" t="s">
        <v>29</v>
      </c>
      <c r="K56" s="5" t="s">
        <v>0</v>
      </c>
      <c r="L56" s="5" t="s">
        <v>65</v>
      </c>
      <c r="M56" s="8" t="s">
        <v>119</v>
      </c>
      <c r="N56" s="90">
        <v>46065</v>
      </c>
      <c r="O56" s="150">
        <v>490000</v>
      </c>
      <c r="P56" s="151">
        <v>39608.67</v>
      </c>
      <c r="Q56" s="151">
        <f>1449.19+852.5</f>
        <v>2301.69</v>
      </c>
      <c r="R56" s="25">
        <f t="shared" ref="R56:R57" si="10">P56+Q56</f>
        <v>41910.36</v>
      </c>
      <c r="S56" s="25">
        <v>490000</v>
      </c>
      <c r="T56" s="22"/>
      <c r="U56" s="25">
        <f t="shared" ref="U56:U57" si="11">+S56-P56</f>
        <v>450391.33</v>
      </c>
      <c r="V56" s="22"/>
      <c r="W56" s="108"/>
      <c r="X56" s="110"/>
      <c r="Y56" s="111"/>
      <c r="Z56" s="112"/>
      <c r="AA56" s="111"/>
    </row>
    <row r="57" spans="1:27" s="30" customFormat="1" ht="15.6" hidden="1">
      <c r="A57" s="152">
        <v>46052</v>
      </c>
      <c r="B57" s="4">
        <v>46417</v>
      </c>
      <c r="C57" s="8" t="str">
        <f t="shared" si="8"/>
        <v>12 Meses</v>
      </c>
      <c r="D57" s="8" t="str">
        <f t="shared" ca="1" si="9"/>
        <v>12 Meses</v>
      </c>
      <c r="E57" s="75">
        <v>7.2999999999999995E-2</v>
      </c>
      <c r="F57" s="75"/>
      <c r="G57" s="5" t="s">
        <v>46</v>
      </c>
      <c r="H57" s="5" t="s">
        <v>43</v>
      </c>
      <c r="I57" s="5" t="s">
        <v>32</v>
      </c>
      <c r="J57" s="5" t="s">
        <v>29</v>
      </c>
      <c r="K57" s="5" t="s">
        <v>0</v>
      </c>
      <c r="L57" s="5" t="s">
        <v>65</v>
      </c>
      <c r="M57" s="8" t="s">
        <v>120</v>
      </c>
      <c r="N57" s="90">
        <v>46065</v>
      </c>
      <c r="O57" s="150">
        <v>400000</v>
      </c>
      <c r="P57" s="151">
        <v>29615.38</v>
      </c>
      <c r="Q57" s="151">
        <f>800+240</f>
        <v>1040</v>
      </c>
      <c r="R57" s="25">
        <f t="shared" si="10"/>
        <v>30655.38</v>
      </c>
      <c r="S57" s="25">
        <v>400000</v>
      </c>
      <c r="T57" s="22"/>
      <c r="U57" s="25">
        <f t="shared" si="11"/>
        <v>370384.62</v>
      </c>
      <c r="V57" s="22"/>
      <c r="W57" s="108"/>
      <c r="X57" s="110"/>
      <c r="Y57" s="111"/>
      <c r="Z57" s="112"/>
      <c r="AA57" s="111"/>
    </row>
    <row r="58" spans="1:27" s="30" customFormat="1" hidden="1">
      <c r="A58" s="113"/>
      <c r="B58" s="114"/>
      <c r="C58" s="114"/>
      <c r="D58" s="114"/>
      <c r="E58" s="115"/>
      <c r="F58" s="115"/>
      <c r="G58" s="116"/>
      <c r="H58" s="116"/>
      <c r="I58" s="116"/>
      <c r="J58" s="116"/>
      <c r="K58" s="116"/>
      <c r="L58" s="116"/>
      <c r="M58" s="117"/>
      <c r="N58" s="118"/>
      <c r="O58" s="126"/>
      <c r="P58" s="119">
        <f>SUM(P12:P55)</f>
        <v>688559.37</v>
      </c>
      <c r="Q58" s="119">
        <f>SUM(Q12:Q49)</f>
        <v>25027.98</v>
      </c>
      <c r="R58" s="119">
        <f>SUM(R12:R49)</f>
        <v>630763.96000000008</v>
      </c>
      <c r="S58" s="119">
        <f>SUM(S12:S31)</f>
        <v>3001748.21</v>
      </c>
      <c r="T58" s="119"/>
      <c r="U58" s="119">
        <f>SUM(U12:U31)</f>
        <v>2651078.5999999996</v>
      </c>
      <c r="V58" s="120"/>
      <c r="W58" s="120"/>
      <c r="X58" s="110"/>
      <c r="Y58" s="111"/>
      <c r="Z58" s="112"/>
      <c r="AA58" s="111"/>
    </row>
    <row r="59" spans="1:27" s="30" customFormat="1">
      <c r="B59" s="4"/>
      <c r="C59" s="4"/>
      <c r="D59" s="4"/>
      <c r="E59" s="75"/>
      <c r="F59" s="75"/>
      <c r="G59" s="5"/>
      <c r="H59" s="5"/>
      <c r="I59" s="5"/>
      <c r="J59" s="5"/>
      <c r="K59" s="5"/>
      <c r="L59" s="5"/>
      <c r="M59" s="8"/>
      <c r="N59" s="90"/>
      <c r="O59" s="125"/>
      <c r="P59" s="146"/>
      <c r="Q59" s="146"/>
      <c r="R59" s="146"/>
      <c r="S59" s="146"/>
      <c r="T59" s="146"/>
      <c r="U59" s="146"/>
      <c r="V59" s="48"/>
      <c r="W59" s="48"/>
      <c r="X59" s="110"/>
      <c r="Y59" s="111"/>
      <c r="Z59" s="112"/>
      <c r="AA59" s="111"/>
    </row>
    <row r="60" spans="1:27" s="5" customFormat="1">
      <c r="A60" s="133"/>
      <c r="B60" s="4"/>
      <c r="C60" s="4"/>
      <c r="D60" s="4"/>
      <c r="E60" s="75"/>
      <c r="F60" s="75"/>
      <c r="M60" s="8"/>
      <c r="N60" s="90"/>
      <c r="O60" s="132"/>
      <c r="P60" s="20"/>
      <c r="Q60" s="106"/>
      <c r="R60" s="6"/>
      <c r="S60" s="21"/>
      <c r="T60" s="22"/>
      <c r="U60" s="21"/>
      <c r="V60" s="16"/>
      <c r="W60" s="16"/>
      <c r="X60" s="6"/>
      <c r="Y60" s="17"/>
      <c r="Z60" s="18"/>
      <c r="AA60" s="17"/>
    </row>
    <row r="61" spans="1:27">
      <c r="A61" s="11" t="s">
        <v>47</v>
      </c>
      <c r="B61" s="11" t="s">
        <v>18</v>
      </c>
      <c r="C61" s="11"/>
      <c r="D61" s="11" t="s">
        <v>48</v>
      </c>
      <c r="E61" s="79" t="s">
        <v>19</v>
      </c>
      <c r="F61" s="79"/>
      <c r="G61" s="12" t="s">
        <v>3</v>
      </c>
      <c r="H61" s="12" t="s">
        <v>41</v>
      </c>
      <c r="I61" s="12" t="s">
        <v>30</v>
      </c>
      <c r="J61" s="12" t="s">
        <v>27</v>
      </c>
      <c r="K61" s="12" t="s">
        <v>4</v>
      </c>
      <c r="L61" s="12"/>
      <c r="M61" s="12" t="s">
        <v>5</v>
      </c>
      <c r="N61" s="85" t="s">
        <v>6</v>
      </c>
      <c r="O61" s="124"/>
      <c r="P61" s="13" t="s">
        <v>7</v>
      </c>
      <c r="Q61" s="13" t="s">
        <v>8</v>
      </c>
      <c r="R61" s="13" t="s">
        <v>9</v>
      </c>
      <c r="S61" s="13" t="s">
        <v>10</v>
      </c>
      <c r="T61" s="14" t="s">
        <v>11</v>
      </c>
      <c r="U61" s="15" t="s">
        <v>12</v>
      </c>
      <c r="V61" s="44" t="s">
        <v>39</v>
      </c>
      <c r="W61" s="44" t="s">
        <v>49</v>
      </c>
      <c r="X61" s="1"/>
    </row>
    <row r="62" spans="1:27" s="5" customFormat="1" ht="15.6">
      <c r="A62" s="4">
        <v>45447</v>
      </c>
      <c r="B62" s="4">
        <v>45629</v>
      </c>
      <c r="C62" s="4" t="s">
        <v>54</v>
      </c>
      <c r="D62" s="8" t="str">
        <f ca="1">IF(ROUNDUP(((-$A$1+B62)/(365/12)),0)&lt;=0,0,ROUNDUP(((-$A$1+B62)/(365/12)),0))&amp;" "&amp;"Meses"</f>
        <v>0 Meses</v>
      </c>
      <c r="E62" s="75">
        <v>8.7499999999999994E-2</v>
      </c>
      <c r="F62" s="75"/>
      <c r="G62" s="5" t="s">
        <v>13</v>
      </c>
      <c r="H62" s="5" t="s">
        <v>43</v>
      </c>
      <c r="I62" s="5" t="s">
        <v>31</v>
      </c>
      <c r="J62" s="5" t="s">
        <v>29</v>
      </c>
      <c r="K62" s="5" t="s">
        <v>26</v>
      </c>
      <c r="M62" s="8" t="s">
        <v>55</v>
      </c>
      <c r="N62" s="90"/>
      <c r="O62" s="125"/>
      <c r="P62" s="20"/>
      <c r="Q62" s="20"/>
      <c r="R62" s="6">
        <f>+P62+Q62</f>
        <v>0</v>
      </c>
      <c r="S62" s="25"/>
      <c r="T62" s="22"/>
      <c r="U62" s="6">
        <v>0</v>
      </c>
      <c r="V62" s="16"/>
      <c r="W62" s="108"/>
      <c r="X62" s="109"/>
      <c r="Y62" s="17"/>
      <c r="Z62" s="18"/>
      <c r="AA62" s="17"/>
    </row>
    <row r="63" spans="1:27">
      <c r="B63" s="4"/>
      <c r="C63" s="4"/>
      <c r="D63" s="4"/>
      <c r="E63" s="75"/>
      <c r="F63" s="75"/>
      <c r="G63" s="5"/>
      <c r="H63" s="5"/>
      <c r="I63" s="5"/>
      <c r="J63" s="5"/>
      <c r="K63" s="5"/>
      <c r="L63" s="5"/>
      <c r="M63" s="5"/>
      <c r="N63" s="53"/>
      <c r="O63" s="125"/>
      <c r="P63" s="97">
        <f>SUM(P62:P62)</f>
        <v>0</v>
      </c>
      <c r="Q63" s="97">
        <f>SUM(Q62:Q62)</f>
        <v>0</v>
      </c>
      <c r="R63" s="97">
        <f>SUM(R62:R62)</f>
        <v>0</v>
      </c>
      <c r="S63" s="94">
        <f>SUM(P63:R63)</f>
        <v>0</v>
      </c>
      <c r="T63" s="98"/>
      <c r="U63" s="99">
        <f>SUM(U62:U62)</f>
        <v>0</v>
      </c>
    </row>
    <row r="64" spans="1:27">
      <c r="B64" s="4"/>
      <c r="C64" s="4"/>
      <c r="D64" s="4"/>
      <c r="E64" s="75"/>
      <c r="F64" s="75"/>
      <c r="G64" s="5"/>
      <c r="H64" s="5"/>
      <c r="I64" s="5"/>
      <c r="J64" s="5"/>
      <c r="K64" s="5"/>
      <c r="L64" s="5"/>
      <c r="M64" s="5"/>
      <c r="N64" s="53"/>
      <c r="O64" s="125"/>
      <c r="P64" s="6"/>
      <c r="Q64" s="6"/>
      <c r="R64" s="6"/>
      <c r="S64" s="7"/>
    </row>
    <row r="65" spans="1:27">
      <c r="A65" s="11" t="s">
        <v>47</v>
      </c>
      <c r="B65" s="11" t="s">
        <v>18</v>
      </c>
      <c r="C65" s="11"/>
      <c r="D65" s="11" t="s">
        <v>48</v>
      </c>
      <c r="E65" s="79" t="s">
        <v>19</v>
      </c>
      <c r="F65" s="79"/>
      <c r="G65" s="12" t="s">
        <v>3</v>
      </c>
      <c r="H65" s="12" t="s">
        <v>41</v>
      </c>
      <c r="I65" s="12" t="s">
        <v>30</v>
      </c>
      <c r="J65" s="12" t="s">
        <v>27</v>
      </c>
      <c r="K65" s="12" t="s">
        <v>4</v>
      </c>
      <c r="L65" s="12"/>
      <c r="M65" s="12" t="s">
        <v>5</v>
      </c>
      <c r="N65" s="85" t="s">
        <v>6</v>
      </c>
      <c r="O65" s="124" t="s">
        <v>58</v>
      </c>
      <c r="P65" s="13" t="s">
        <v>7</v>
      </c>
      <c r="Q65" s="13" t="s">
        <v>8</v>
      </c>
      <c r="R65" s="13" t="s">
        <v>9</v>
      </c>
      <c r="S65" s="13" t="s">
        <v>10</v>
      </c>
      <c r="T65" s="14" t="s">
        <v>11</v>
      </c>
      <c r="U65" s="15" t="s">
        <v>12</v>
      </c>
      <c r="V65" s="44" t="s">
        <v>39</v>
      </c>
      <c r="W65" s="44" t="s">
        <v>49</v>
      </c>
      <c r="X65" s="1"/>
    </row>
    <row r="66" spans="1:27" s="5" customFormat="1">
      <c r="A66" s="133">
        <v>46006</v>
      </c>
      <c r="B66" s="35">
        <v>46365</v>
      </c>
      <c r="C66" s="35"/>
      <c r="D66" s="8" t="str">
        <f ca="1">IF(ROUNDUP(((-$A$1+B66)/(365/12)),0)&lt;=0,0,ROUNDUP(((-$A$1+B66)/(365/12)),0))&amp;" "&amp;"Meses"</f>
        <v>11 Meses</v>
      </c>
      <c r="E66" s="77">
        <v>7.7499999999999999E-2</v>
      </c>
      <c r="F66" s="77"/>
      <c r="G66" t="s">
        <v>13</v>
      </c>
      <c r="H66" t="s">
        <v>43</v>
      </c>
      <c r="I66" t="s">
        <v>31</v>
      </c>
      <c r="J66" t="s">
        <v>29</v>
      </c>
      <c r="K66" t="s">
        <v>2</v>
      </c>
      <c r="L66"/>
      <c r="M66" s="36">
        <v>712711</v>
      </c>
      <c r="N66" s="34">
        <v>46062</v>
      </c>
      <c r="O66" s="147">
        <v>560000</v>
      </c>
      <c r="P66" s="155">
        <v>45328.05</v>
      </c>
      <c r="Q66" s="155">
        <v>3436.6</v>
      </c>
      <c r="R66" s="29">
        <f>SUM(P66:Q66)</f>
        <v>48764.65</v>
      </c>
      <c r="S66" s="29">
        <v>514953.75</v>
      </c>
      <c r="T66" s="2"/>
      <c r="U66" s="156">
        <f>+S66-P66</f>
        <v>469625.7</v>
      </c>
      <c r="V66" s="49"/>
      <c r="W66" s="49"/>
      <c r="X66" s="6"/>
      <c r="Y66" s="17"/>
      <c r="Z66" s="18"/>
      <c r="AA66" s="17"/>
    </row>
    <row r="67" spans="1:27" s="5" customFormat="1">
      <c r="A67" s="133">
        <v>46027</v>
      </c>
      <c r="B67" s="35">
        <v>46389</v>
      </c>
      <c r="C67" s="35"/>
      <c r="D67" s="8" t="str">
        <f ca="1">IF(ROUNDUP(((-$A$1+B67)/(365/12)),0)&lt;=0,0,ROUNDUP(((-$A$1+B67)/(365/12)),0))&amp;" "&amp;"Meses"</f>
        <v>11 Meses</v>
      </c>
      <c r="E67" s="77">
        <v>7.7499999999999999E-2</v>
      </c>
      <c r="F67" s="77"/>
      <c r="G67"/>
      <c r="H67"/>
      <c r="I67"/>
      <c r="J67"/>
      <c r="K67"/>
      <c r="L67"/>
      <c r="M67" s="36">
        <v>712817</v>
      </c>
      <c r="N67" s="34">
        <v>46055</v>
      </c>
      <c r="O67" s="147">
        <v>270000</v>
      </c>
      <c r="P67" s="157">
        <v>21716.34</v>
      </c>
      <c r="Q67" s="157">
        <v>1627.5</v>
      </c>
      <c r="R67" s="158">
        <f>SUM(P67:Q67)</f>
        <v>23343.84</v>
      </c>
      <c r="S67" s="158">
        <v>270000</v>
      </c>
      <c r="T67" s="159"/>
      <c r="U67" s="160">
        <f>+S67-P67</f>
        <v>248283.66</v>
      </c>
      <c r="V67" s="49"/>
      <c r="W67" s="49"/>
      <c r="X67" s="6"/>
      <c r="Y67" s="17"/>
      <c r="Z67" s="18"/>
      <c r="AA67" s="17"/>
    </row>
    <row r="68" spans="1:27">
      <c r="B68" s="4"/>
      <c r="C68" s="4"/>
      <c r="D68" s="4"/>
      <c r="E68" s="75"/>
      <c r="F68" s="75"/>
      <c r="G68" s="5"/>
      <c r="H68" s="5"/>
      <c r="I68" s="5"/>
      <c r="J68" s="5"/>
      <c r="K68" s="5"/>
      <c r="L68" s="5"/>
      <c r="M68" s="5"/>
      <c r="N68" s="53"/>
      <c r="O68" s="125"/>
      <c r="P68" s="110">
        <f>SUM(P66:P67)</f>
        <v>67044.39</v>
      </c>
      <c r="Q68" s="110">
        <f>SUM(Q66:Q67)</f>
        <v>5064.1000000000004</v>
      </c>
      <c r="R68" s="110">
        <f>SUM(R66:R67)</f>
        <v>72108.490000000005</v>
      </c>
      <c r="S68" s="110">
        <f>SUM(S66:S67)</f>
        <v>784953.75</v>
      </c>
      <c r="T68" s="148"/>
      <c r="U68" s="110">
        <f>SUM(U66:U67)</f>
        <v>717909.36</v>
      </c>
    </row>
    <row r="69" spans="1:27">
      <c r="B69" s="4"/>
      <c r="C69" s="4"/>
      <c r="D69" s="4"/>
      <c r="E69" s="75"/>
      <c r="F69" s="75"/>
      <c r="G69" s="5"/>
      <c r="H69" s="5"/>
      <c r="I69" s="5"/>
      <c r="J69" s="5"/>
      <c r="K69" s="5"/>
      <c r="L69" s="5"/>
      <c r="M69" s="5"/>
      <c r="N69" s="53"/>
      <c r="O69" s="125"/>
      <c r="P69" s="6"/>
      <c r="Q69" s="6"/>
      <c r="R69" s="6"/>
      <c r="S69" s="7"/>
    </row>
    <row r="70" spans="1:27">
      <c r="A70" s="11" t="s">
        <v>47</v>
      </c>
      <c r="B70" s="11" t="s">
        <v>18</v>
      </c>
      <c r="C70" s="11" t="s">
        <v>50</v>
      </c>
      <c r="D70" s="11" t="s">
        <v>48</v>
      </c>
      <c r="E70" s="79" t="s">
        <v>19</v>
      </c>
      <c r="F70" s="79"/>
      <c r="G70" s="12" t="s">
        <v>3</v>
      </c>
      <c r="H70" s="12" t="s">
        <v>41</v>
      </c>
      <c r="I70" s="12" t="s">
        <v>30</v>
      </c>
      <c r="J70" s="12" t="s">
        <v>27</v>
      </c>
      <c r="K70" s="12" t="s">
        <v>4</v>
      </c>
      <c r="L70" s="12"/>
      <c r="M70" s="12" t="s">
        <v>5</v>
      </c>
      <c r="N70" s="85" t="s">
        <v>6</v>
      </c>
      <c r="O70" s="124" t="s">
        <v>58</v>
      </c>
      <c r="P70" s="13" t="s">
        <v>7</v>
      </c>
      <c r="Q70" s="13" t="s">
        <v>8</v>
      </c>
      <c r="R70" s="13" t="s">
        <v>9</v>
      </c>
      <c r="S70" s="13" t="s">
        <v>10</v>
      </c>
      <c r="T70" s="14" t="s">
        <v>11</v>
      </c>
      <c r="U70" s="15" t="s">
        <v>12</v>
      </c>
      <c r="V70" s="44" t="s">
        <v>39</v>
      </c>
      <c r="W70" s="44" t="s">
        <v>49</v>
      </c>
    </row>
    <row r="71" spans="1:27" s="5" customFormat="1" ht="15.6">
      <c r="A71" s="182">
        <v>45796</v>
      </c>
      <c r="B71" s="181">
        <v>46129</v>
      </c>
      <c r="C71" s="181" t="str">
        <f>IF(ROUNDUP(((-A71+B71)/(365/12)),0)&lt;=0,0,ROUNDUP(((-A71+B71)/(365/12)),0))&amp;" "&amp;"Meses"</f>
        <v>11 Meses</v>
      </c>
      <c r="D71" s="172" t="str">
        <f ca="1">IF(ROUNDUP(((-$A$1+B71)/(365/12)),0)&lt;=0,0,ROUNDUP(((-$A$1+B71)/(365/12)),0))&amp;" "&amp;"Meses"</f>
        <v>3 Meses</v>
      </c>
      <c r="E71" s="173">
        <v>0.1</v>
      </c>
      <c r="F71" s="173"/>
      <c r="G71" s="5" t="s">
        <v>13</v>
      </c>
      <c r="H71" s="5" t="s">
        <v>43</v>
      </c>
      <c r="I71" s="5" t="s">
        <v>32</v>
      </c>
      <c r="J71" s="5" t="s">
        <v>29</v>
      </c>
      <c r="K71" s="5" t="s">
        <v>15</v>
      </c>
      <c r="M71" s="172">
        <v>125431</v>
      </c>
      <c r="N71" s="174">
        <v>46055</v>
      </c>
      <c r="O71" s="175">
        <v>690000</v>
      </c>
      <c r="P71" s="183">
        <v>58655.49</v>
      </c>
      <c r="Q71" s="183">
        <v>1848.22</v>
      </c>
      <c r="R71" s="179">
        <f>+P71+Q71</f>
        <v>60503.71</v>
      </c>
      <c r="S71" s="179">
        <v>237132.06</v>
      </c>
      <c r="T71" s="178">
        <v>46055</v>
      </c>
      <c r="U71" s="184">
        <f>+S71-P71</f>
        <v>178476.57</v>
      </c>
      <c r="V71" s="178" t="s">
        <v>121</v>
      </c>
      <c r="W71" s="180"/>
      <c r="X71" s="109"/>
      <c r="Y71" s="17"/>
      <c r="Z71" s="18"/>
      <c r="AA71" s="17"/>
    </row>
    <row r="72" spans="1:27" s="5" customFormat="1" ht="15.6">
      <c r="A72" s="145">
        <v>45779</v>
      </c>
      <c r="B72" s="4">
        <v>46143</v>
      </c>
      <c r="C72" s="4" t="str">
        <f>IF(ROUNDUP(((-A72+B72)/(365/12)),0)&lt;=0,0,ROUNDUP(((-A72+B72)/(365/12)),0))&amp;" "&amp;"Meses"</f>
        <v>12 Meses</v>
      </c>
      <c r="D72" s="8" t="str">
        <f ca="1">IF(ROUNDUP(((-$A$1+B72)/(365/12)),0)&lt;=0,0,ROUNDUP(((-$A$1+B72)/(365/12)),0))&amp;" "&amp;"Meses"</f>
        <v>3 Meses</v>
      </c>
      <c r="E72" s="75">
        <v>9.5000000000000001E-2</v>
      </c>
      <c r="F72" s="75"/>
      <c r="G72" s="5" t="s">
        <v>13</v>
      </c>
      <c r="H72" s="5" t="s">
        <v>43</v>
      </c>
      <c r="I72" s="5" t="s">
        <v>32</v>
      </c>
      <c r="J72" s="5" t="s">
        <v>29</v>
      </c>
      <c r="K72" s="5" t="s">
        <v>15</v>
      </c>
      <c r="M72" s="8">
        <v>125038</v>
      </c>
      <c r="N72" s="90">
        <v>46070</v>
      </c>
      <c r="O72" s="150">
        <v>310000</v>
      </c>
      <c r="P72" s="20">
        <v>26354.28</v>
      </c>
      <c r="Q72" s="20">
        <v>828.55</v>
      </c>
      <c r="R72" s="6">
        <f>+P72+Q72</f>
        <v>27182.829999999998</v>
      </c>
      <c r="S72" s="6">
        <v>80278.100000000006</v>
      </c>
      <c r="T72" s="22"/>
      <c r="U72" s="21">
        <f>+S72-P72</f>
        <v>53923.820000000007</v>
      </c>
      <c r="V72" s="22"/>
      <c r="W72" s="108"/>
      <c r="X72" s="109"/>
      <c r="Y72" s="17"/>
      <c r="Z72" s="18"/>
      <c r="AA72" s="17"/>
    </row>
    <row r="73" spans="1:27" s="5" customFormat="1" ht="15.6">
      <c r="A73" s="145">
        <v>45945</v>
      </c>
      <c r="B73" s="4">
        <v>46314</v>
      </c>
      <c r="C73" s="4" t="str">
        <f>IF(ROUNDUP(((-A73+B73)/(365/12)),0)&lt;=0,0,ROUNDUP(((-A73+B73)/(365/12)),0))&amp;" "&amp;"Meses"</f>
        <v>13 Meses</v>
      </c>
      <c r="D73" s="8" t="str">
        <f ca="1">IF(ROUNDUP(((-$A$1+B73)/(365/12)),0)&lt;=0,0,ROUNDUP(((-$A$1+B73)/(365/12)),0))&amp;" "&amp;"Meses"</f>
        <v>9 Meses</v>
      </c>
      <c r="E73" s="75">
        <v>9.5000000000000001E-2</v>
      </c>
      <c r="F73" s="75"/>
      <c r="G73" s="5" t="s">
        <v>13</v>
      </c>
      <c r="H73" s="5" t="s">
        <v>43</v>
      </c>
      <c r="I73" s="5" t="s">
        <v>32</v>
      </c>
      <c r="J73" s="5" t="s">
        <v>29</v>
      </c>
      <c r="K73" s="5" t="s">
        <v>15</v>
      </c>
      <c r="M73" s="8">
        <v>129568</v>
      </c>
      <c r="N73" s="90">
        <v>46070</v>
      </c>
      <c r="O73" s="150">
        <v>377000</v>
      </c>
      <c r="P73" s="20">
        <v>30520.19</v>
      </c>
      <c r="Q73" s="20">
        <v>2564.41</v>
      </c>
      <c r="R73" s="6">
        <f>+P73+Q73</f>
        <v>33084.6</v>
      </c>
      <c r="S73" s="6">
        <v>286313.09999999998</v>
      </c>
      <c r="T73" s="22"/>
      <c r="U73" s="21">
        <f>+S73-P73</f>
        <v>255792.90999999997</v>
      </c>
      <c r="V73" s="22"/>
      <c r="W73" s="108"/>
      <c r="X73" s="109"/>
      <c r="Y73" s="17"/>
      <c r="Z73" s="18"/>
      <c r="AA73" s="17"/>
    </row>
    <row r="74" spans="1:27" s="5" customFormat="1" ht="15.6">
      <c r="A74" s="145">
        <v>45974</v>
      </c>
      <c r="B74" s="4">
        <v>46343</v>
      </c>
      <c r="C74" s="4" t="str">
        <f>IF(ROUNDUP(((-A74+B74)/(365/12)),0)&lt;=0,0,ROUNDUP(((-A74+B74)/(365/12)),0))&amp;" "&amp;"Meses"</f>
        <v>13 Meses</v>
      </c>
      <c r="D74" s="8" t="str">
        <f ca="1">IF(ROUNDUP(((-$A$1+B74)/(365/12)),0)&lt;=0,0,ROUNDUP(((-$A$1+B74)/(365/12)),0))&amp;" "&amp;"Meses"</f>
        <v>10 Meses</v>
      </c>
      <c r="E74" s="75">
        <v>9.5000000000000001E-2</v>
      </c>
      <c r="F74" s="75"/>
      <c r="G74" s="5" t="s">
        <v>13</v>
      </c>
      <c r="H74" s="5" t="s">
        <v>43</v>
      </c>
      <c r="I74" s="5" t="s">
        <v>32</v>
      </c>
      <c r="J74" s="5" t="s">
        <v>29</v>
      </c>
      <c r="K74" s="5" t="s">
        <v>15</v>
      </c>
      <c r="M74" s="8">
        <v>130229</v>
      </c>
      <c r="N74" s="90">
        <v>46070</v>
      </c>
      <c r="O74" s="150">
        <v>110000</v>
      </c>
      <c r="P74" s="20">
        <v>8827.9599999999991</v>
      </c>
      <c r="Q74" s="20">
        <v>817.56</v>
      </c>
      <c r="R74" s="6">
        <f>+P74+Q74</f>
        <v>9645.5199999999986</v>
      </c>
      <c r="S74" s="6">
        <v>92499.94</v>
      </c>
      <c r="T74" s="22"/>
      <c r="U74" s="21">
        <f>+S74-P74</f>
        <v>83671.98000000001</v>
      </c>
      <c r="V74" s="22"/>
      <c r="W74" s="108"/>
      <c r="X74" s="109"/>
      <c r="Y74" s="17"/>
      <c r="Z74" s="18"/>
      <c r="AA74" s="17"/>
    </row>
    <row r="75" spans="1:27" s="5" customFormat="1">
      <c r="B75" s="4"/>
      <c r="C75" s="4"/>
      <c r="D75" s="4"/>
      <c r="E75" s="75"/>
      <c r="F75" s="75"/>
      <c r="M75" s="8"/>
      <c r="N75" s="53"/>
      <c r="O75" s="125"/>
      <c r="P75" s="119">
        <f>SUM(P71:P74)</f>
        <v>124357.91999999998</v>
      </c>
      <c r="Q75" s="119">
        <f>SUM(Q71:Q74)</f>
        <v>6058.74</v>
      </c>
      <c r="R75" s="119">
        <f>SUM(R71:R74)</f>
        <v>130416.65999999999</v>
      </c>
      <c r="S75" s="119">
        <f>SUM(S71:S73)</f>
        <v>603723.26</v>
      </c>
      <c r="T75" s="95"/>
      <c r="U75" s="119">
        <f>SUM(U71:U74)</f>
        <v>571865.28</v>
      </c>
      <c r="V75" s="16"/>
      <c r="W75" s="16"/>
      <c r="X75" s="6"/>
      <c r="Y75" s="17"/>
      <c r="Z75" s="18"/>
      <c r="AA75" s="17"/>
    </row>
    <row r="76" spans="1:27" s="5" customFormat="1">
      <c r="B76" s="4"/>
      <c r="C76" s="4"/>
      <c r="D76" s="4"/>
      <c r="E76" s="75"/>
      <c r="F76" s="75"/>
      <c r="M76" s="8"/>
      <c r="N76" s="53"/>
      <c r="O76" s="125"/>
      <c r="P76" s="20"/>
      <c r="Q76" s="20"/>
      <c r="R76" s="6"/>
      <c r="S76" s="6"/>
      <c r="T76" s="22"/>
      <c r="U76" s="21"/>
      <c r="V76" s="16"/>
      <c r="W76" s="16"/>
      <c r="X76" s="6"/>
      <c r="Y76" s="17"/>
      <c r="Z76" s="18"/>
      <c r="AA76" s="17"/>
    </row>
    <row r="77" spans="1:27">
      <c r="A77" s="11" t="s">
        <v>47</v>
      </c>
      <c r="B77" s="11" t="s">
        <v>18</v>
      </c>
      <c r="C77" s="11" t="s">
        <v>50</v>
      </c>
      <c r="D77" s="11" t="s">
        <v>48</v>
      </c>
      <c r="E77" s="79" t="s">
        <v>19</v>
      </c>
      <c r="F77" s="79"/>
      <c r="G77" s="12" t="s">
        <v>3</v>
      </c>
      <c r="H77" s="12" t="s">
        <v>41</v>
      </c>
      <c r="I77" s="12" t="s">
        <v>30</v>
      </c>
      <c r="J77" s="12" t="s">
        <v>27</v>
      </c>
      <c r="K77" s="12" t="s">
        <v>4</v>
      </c>
      <c r="L77" s="12"/>
      <c r="M77" s="12" t="s">
        <v>5</v>
      </c>
      <c r="N77" s="85" t="s">
        <v>6</v>
      </c>
      <c r="O77" s="124"/>
      <c r="P77" s="13" t="s">
        <v>7</v>
      </c>
      <c r="Q77" s="13" t="s">
        <v>8</v>
      </c>
      <c r="R77" s="13" t="s">
        <v>9</v>
      </c>
      <c r="S77" s="13" t="s">
        <v>10</v>
      </c>
      <c r="T77" s="14" t="s">
        <v>11</v>
      </c>
      <c r="U77" s="15" t="s">
        <v>12</v>
      </c>
      <c r="V77" s="44" t="s">
        <v>39</v>
      </c>
      <c r="W77" s="44" t="s">
        <v>49</v>
      </c>
    </row>
    <row r="78" spans="1:27" s="5" customFormat="1" ht="15" thickBot="1">
      <c r="B78" s="4"/>
      <c r="C78" s="4"/>
      <c r="D78" s="8" t="str">
        <f ca="1">IF(ROUNDUP(((-$A$1+B78)/(365/12)),0)&lt;=0,0,ROUNDUP(((-$A$1+B78)/(365/12)),0))&amp;" "&amp;"Meses"</f>
        <v>0 Meses</v>
      </c>
      <c r="E78" s="75">
        <v>0</v>
      </c>
      <c r="F78" s="75"/>
      <c r="G78" s="5" t="s">
        <v>13</v>
      </c>
      <c r="H78" s="5" t="s">
        <v>43</v>
      </c>
      <c r="I78" s="5" t="s">
        <v>32</v>
      </c>
      <c r="J78" s="5" t="s">
        <v>28</v>
      </c>
      <c r="K78" s="5" t="s">
        <v>14</v>
      </c>
      <c r="M78" s="8"/>
      <c r="N78" s="23"/>
      <c r="O78" s="127"/>
      <c r="P78" s="51">
        <v>0</v>
      </c>
      <c r="Q78" s="51"/>
      <c r="R78" s="51">
        <f>+P78+Q78</f>
        <v>0</v>
      </c>
      <c r="S78" s="51">
        <v>0</v>
      </c>
      <c r="T78" s="24"/>
      <c r="U78" s="52">
        <f>+S78-P78</f>
        <v>0</v>
      </c>
      <c r="V78" s="3"/>
      <c r="W78" s="3"/>
      <c r="X78"/>
      <c r="Y78"/>
      <c r="Z78"/>
      <c r="AA78"/>
    </row>
    <row r="79" spans="1:27" ht="15" thickTop="1">
      <c r="B79" s="4"/>
      <c r="C79" s="4"/>
      <c r="D79" s="4"/>
      <c r="E79" s="75"/>
      <c r="F79" s="75"/>
      <c r="G79" s="5"/>
      <c r="H79" s="5"/>
      <c r="I79" s="5"/>
      <c r="K79" s="5"/>
      <c r="L79" s="5"/>
      <c r="M79" s="5"/>
      <c r="N79" s="3"/>
      <c r="P79" s="19">
        <f>SUM(P78:P78)</f>
        <v>0</v>
      </c>
      <c r="Q79" s="26">
        <f>SUM(Q78:Q78)</f>
        <v>0</v>
      </c>
      <c r="R79" s="26">
        <f>SUM(R78:R78)</f>
        <v>0</v>
      </c>
      <c r="S79" s="27">
        <f>SUM(S78:S78)</f>
        <v>0</v>
      </c>
      <c r="U79" s="28">
        <f>SUM(U78:U78)</f>
        <v>0</v>
      </c>
    </row>
    <row r="80" spans="1:27">
      <c r="B80" s="4"/>
      <c r="C80" s="4"/>
      <c r="D80" s="4"/>
      <c r="E80" s="75"/>
      <c r="F80" s="75"/>
      <c r="G80" s="5"/>
      <c r="H80" s="5"/>
      <c r="I80" s="5"/>
      <c r="J80" s="5"/>
      <c r="K80" s="5"/>
      <c r="L80" s="5"/>
      <c r="M80" s="5"/>
      <c r="N80" s="3"/>
      <c r="P80" s="6"/>
      <c r="Q80" s="6"/>
      <c r="R80" s="29">
        <f>+R79/675.61</f>
        <v>0</v>
      </c>
      <c r="S80" s="7"/>
    </row>
    <row r="81" spans="1:27">
      <c r="B81" s="4"/>
      <c r="C81" s="4"/>
      <c r="D81" s="4"/>
      <c r="E81" s="75"/>
      <c r="F81" s="75"/>
      <c r="G81" s="5"/>
      <c r="H81" s="5"/>
      <c r="I81" s="5"/>
      <c r="J81" s="5"/>
      <c r="K81" s="5"/>
      <c r="L81" s="5"/>
      <c r="M81" s="5"/>
      <c r="N81" s="3"/>
      <c r="P81" s="6"/>
      <c r="Q81" s="6"/>
      <c r="R81" s="29"/>
      <c r="S81" s="7"/>
    </row>
    <row r="82" spans="1:27" ht="15.75" customHeight="1">
      <c r="A82" s="11" t="s">
        <v>47</v>
      </c>
      <c r="B82" s="11" t="s">
        <v>18</v>
      </c>
      <c r="C82" s="11" t="s">
        <v>50</v>
      </c>
      <c r="D82" s="11" t="s">
        <v>48</v>
      </c>
      <c r="E82" s="79" t="s">
        <v>19</v>
      </c>
      <c r="F82" s="79" t="s">
        <v>10</v>
      </c>
      <c r="G82" s="12" t="s">
        <v>3</v>
      </c>
      <c r="H82" s="12" t="s">
        <v>41</v>
      </c>
      <c r="I82" s="12" t="s">
        <v>30</v>
      </c>
      <c r="J82" s="12" t="s">
        <v>27</v>
      </c>
      <c r="K82" s="12" t="s">
        <v>4</v>
      </c>
      <c r="L82" s="12"/>
      <c r="M82" s="12" t="s">
        <v>5</v>
      </c>
      <c r="N82" s="44" t="s">
        <v>6</v>
      </c>
      <c r="O82" s="128" t="s">
        <v>58</v>
      </c>
      <c r="P82" s="13" t="s">
        <v>7</v>
      </c>
      <c r="Q82" s="13" t="s">
        <v>8</v>
      </c>
      <c r="R82" s="13" t="s">
        <v>9</v>
      </c>
      <c r="S82" s="13" t="s">
        <v>10</v>
      </c>
      <c r="T82" s="14" t="s">
        <v>11</v>
      </c>
      <c r="U82" s="15" t="s">
        <v>12</v>
      </c>
      <c r="V82" s="44" t="s">
        <v>39</v>
      </c>
      <c r="W82" s="44" t="s">
        <v>49</v>
      </c>
    </row>
    <row r="83" spans="1:27" s="30" customFormat="1" ht="15.6">
      <c r="A83" s="181">
        <v>45685</v>
      </c>
      <c r="B83" s="181">
        <v>46056</v>
      </c>
      <c r="C83" s="172" t="str">
        <f t="shared" ref="C83" si="12">IF(ROUNDUP(((-A83+B83)/(365/12)),0)&lt;=0,0,ROUNDUP(((-A83+B83)/(365/12)),0))&amp;" "&amp;"Meses"</f>
        <v>13 Meses</v>
      </c>
      <c r="D83" s="172" t="str">
        <f t="shared" ref="D83" ca="1" si="13">IF(ROUNDUP(((-$A$1+B83)/(365/12)),0)&lt;=0,0,ROUNDUP(((-$A$1+B83)/(365/12)),0))&amp;" "&amp;"Meses"</f>
        <v>0 Meses</v>
      </c>
      <c r="E83" s="173">
        <v>6.25E-2</v>
      </c>
      <c r="F83" s="173"/>
      <c r="G83" s="5" t="s">
        <v>46</v>
      </c>
      <c r="H83" s="5" t="s">
        <v>43</v>
      </c>
      <c r="I83" s="5" t="s">
        <v>32</v>
      </c>
      <c r="J83" s="5" t="s">
        <v>29</v>
      </c>
      <c r="K83" s="5" t="s">
        <v>14</v>
      </c>
      <c r="L83" s="5"/>
      <c r="M83" s="172">
        <v>200088133</v>
      </c>
      <c r="N83" s="174">
        <v>46055</v>
      </c>
      <c r="O83" s="175">
        <v>1300000</v>
      </c>
      <c r="P83" s="176">
        <v>111889.85</v>
      </c>
      <c r="Q83" s="176">
        <v>615.27</v>
      </c>
      <c r="R83" s="177">
        <f t="shared" ref="R83" si="14">+P83+Q83</f>
        <v>112505.12000000001</v>
      </c>
      <c r="S83" s="177">
        <v>111889.85</v>
      </c>
      <c r="T83" s="178">
        <v>46055</v>
      </c>
      <c r="U83" s="179">
        <f>S83-P83</f>
        <v>0</v>
      </c>
      <c r="V83" s="178" t="s">
        <v>121</v>
      </c>
      <c r="W83" s="180"/>
      <c r="X83" s="110"/>
      <c r="Y83" s="111"/>
      <c r="Z83" s="112"/>
      <c r="AA83" s="111"/>
    </row>
    <row r="84" spans="1:27" s="30" customFormat="1">
      <c r="A84" s="4">
        <v>45937</v>
      </c>
      <c r="B84" s="4">
        <v>46302</v>
      </c>
      <c r="C84" s="4" t="str">
        <f t="shared" ref="C84" si="15">IF(ROUNDUP(((-A84+B84)/(365/12)),0)&lt;=0,0,ROUNDUP(((-A84+B84)/(365/12)),0))&amp;" "&amp;"Meses"</f>
        <v>12 Meses</v>
      </c>
      <c r="D84" s="8" t="str">
        <f t="shared" ref="D84" ca="1" si="16">IF(ROUNDUP(((-$A$1+B84)/(365/12)),0)&lt;=0,0,ROUNDUP(((-$A$1+B84)/(365/12)),0))&amp;" "&amp;"Meses"</f>
        <v>9 Meses</v>
      </c>
      <c r="E84" s="75">
        <v>7.4999999999999997E-2</v>
      </c>
      <c r="F84" s="75"/>
      <c r="G84" s="5" t="s">
        <v>46</v>
      </c>
      <c r="H84" s="5" t="s">
        <v>43</v>
      </c>
      <c r="I84" s="5" t="s">
        <v>32</v>
      </c>
      <c r="J84" s="5" t="s">
        <v>29</v>
      </c>
      <c r="K84" s="5" t="s">
        <v>14</v>
      </c>
      <c r="L84" s="5"/>
      <c r="M84" s="8">
        <v>200091245</v>
      </c>
      <c r="N84" s="90">
        <v>46062</v>
      </c>
      <c r="O84" s="150">
        <v>605000</v>
      </c>
      <c r="P84" s="151">
        <v>49421.82</v>
      </c>
      <c r="Q84" s="151">
        <v>3026.84</v>
      </c>
      <c r="R84" s="25">
        <f t="shared" ref="R84" si="17">+P84+Q84</f>
        <v>52448.66</v>
      </c>
      <c r="S84" s="25">
        <v>457975.60000000003</v>
      </c>
      <c r="T84" s="22"/>
      <c r="U84" s="6">
        <f t="shared" ref="U84" si="18">S84-P84</f>
        <v>408553.78</v>
      </c>
      <c r="V84" s="22"/>
      <c r="W84" s="22"/>
      <c r="X84" s="110"/>
      <c r="Y84" s="111"/>
      <c r="Z84" s="112"/>
      <c r="AA84" s="111"/>
    </row>
    <row r="85" spans="1:27" s="30" customFormat="1">
      <c r="A85" s="4">
        <v>45916</v>
      </c>
      <c r="B85" s="4">
        <v>46281</v>
      </c>
      <c r="C85" s="4" t="str">
        <f t="shared" ref="C85:C87" si="19">IF(ROUNDUP(((-A85+B85)/(365/12)),0)&lt;=0,0,ROUNDUP(((-A85+B85)/(365/12)),0))&amp;" "&amp;"Meses"</f>
        <v>12 Meses</v>
      </c>
      <c r="D85" s="8" t="str">
        <f t="shared" ref="D85:D87" ca="1" si="20">IF(ROUNDUP(((-$A$1+B85)/(365/12)),0)&lt;=0,0,ROUNDUP(((-$A$1+B85)/(365/12)),0))&amp;" "&amp;"Meses"</f>
        <v>8 Meses</v>
      </c>
      <c r="E85" s="75">
        <v>7.4999999999999997E-2</v>
      </c>
      <c r="F85" s="75"/>
      <c r="G85" s="5" t="s">
        <v>46</v>
      </c>
      <c r="H85" s="5" t="s">
        <v>43</v>
      </c>
      <c r="I85" s="5" t="s">
        <v>32</v>
      </c>
      <c r="J85" s="5" t="s">
        <v>29</v>
      </c>
      <c r="K85" s="5" t="s">
        <v>14</v>
      </c>
      <c r="L85" s="5"/>
      <c r="M85" s="8">
        <v>200090976</v>
      </c>
      <c r="N85" s="90">
        <v>46069</v>
      </c>
      <c r="O85" s="150">
        <v>190000</v>
      </c>
      <c r="P85" s="151">
        <v>15674.09</v>
      </c>
      <c r="Q85" s="151">
        <v>791.67</v>
      </c>
      <c r="R85" s="25">
        <f t="shared" ref="R85:R87" si="21">+P85+Q85</f>
        <v>16465.759999999998</v>
      </c>
      <c r="S85" s="25">
        <v>128223.1</v>
      </c>
      <c r="T85" s="22"/>
      <c r="U85" s="6">
        <f t="shared" ref="U85" si="22">S85-P85</f>
        <v>112549.01000000001</v>
      </c>
      <c r="V85" s="22"/>
      <c r="W85" s="22"/>
      <c r="X85" s="110"/>
      <c r="Y85" s="111"/>
      <c r="Z85" s="112"/>
      <c r="AA85" s="111"/>
    </row>
    <row r="86" spans="1:27" s="30" customFormat="1">
      <c r="A86" s="4">
        <v>45854</v>
      </c>
      <c r="B86" s="4">
        <v>46218</v>
      </c>
      <c r="C86" s="4" t="str">
        <f t="shared" si="19"/>
        <v>12 Meses</v>
      </c>
      <c r="D86" s="8" t="str">
        <f t="shared" ca="1" si="20"/>
        <v>6 Meses</v>
      </c>
      <c r="E86" s="75">
        <v>7.4999999999999997E-2</v>
      </c>
      <c r="F86" s="75" t="s">
        <v>6</v>
      </c>
      <c r="G86" s="5" t="s">
        <v>46</v>
      </c>
      <c r="H86" s="5" t="s">
        <v>43</v>
      </c>
      <c r="I86" s="5" t="s">
        <v>32</v>
      </c>
      <c r="J86" s="5" t="s">
        <v>29</v>
      </c>
      <c r="K86" s="5" t="s">
        <v>14</v>
      </c>
      <c r="L86" s="5"/>
      <c r="M86" s="8">
        <v>200090247</v>
      </c>
      <c r="N86" s="185">
        <v>46071</v>
      </c>
      <c r="O86" s="150">
        <v>180000</v>
      </c>
      <c r="P86" s="151">
        <v>15050.63</v>
      </c>
      <c r="Q86" s="151">
        <v>574.37</v>
      </c>
      <c r="R86" s="25">
        <f t="shared" si="21"/>
        <v>15625</v>
      </c>
      <c r="S86" s="25">
        <v>91732.02</v>
      </c>
      <c r="T86" s="22"/>
      <c r="U86" s="6">
        <f>S86-P86</f>
        <v>76681.39</v>
      </c>
      <c r="V86" s="22"/>
      <c r="W86" s="53"/>
      <c r="X86" s="110"/>
      <c r="Y86" s="111"/>
      <c r="Z86" s="112"/>
      <c r="AA86" s="111"/>
    </row>
    <row r="87" spans="1:27" s="30" customFormat="1">
      <c r="A87" s="4">
        <v>45888</v>
      </c>
      <c r="B87" s="4">
        <v>46253</v>
      </c>
      <c r="C87" s="4" t="str">
        <f t="shared" si="19"/>
        <v>12 Meses</v>
      </c>
      <c r="D87" s="8" t="str">
        <f t="shared" ca="1" si="20"/>
        <v>7 Meses</v>
      </c>
      <c r="E87" s="75">
        <v>7.4999999999999997E-2</v>
      </c>
      <c r="F87" s="75"/>
      <c r="G87" s="5" t="s">
        <v>46</v>
      </c>
      <c r="H87" s="5" t="s">
        <v>43</v>
      </c>
      <c r="I87" s="5" t="s">
        <v>32</v>
      </c>
      <c r="J87" s="5" t="s">
        <v>29</v>
      </c>
      <c r="K87" s="5" t="s">
        <v>14</v>
      </c>
      <c r="L87" s="5"/>
      <c r="M87" s="8">
        <v>200090634</v>
      </c>
      <c r="N87" s="185">
        <v>46072</v>
      </c>
      <c r="O87" s="150">
        <v>543000</v>
      </c>
      <c r="P87" s="151">
        <v>45057.48</v>
      </c>
      <c r="Q87" s="151">
        <v>2078.52</v>
      </c>
      <c r="R87" s="25">
        <f t="shared" si="21"/>
        <v>47136</v>
      </c>
      <c r="S87" s="25">
        <v>321577.61</v>
      </c>
      <c r="T87" s="22"/>
      <c r="U87" s="6">
        <f>S87-P87</f>
        <v>276520.13</v>
      </c>
      <c r="V87" s="22"/>
      <c r="W87" s="53"/>
      <c r="X87" s="110"/>
      <c r="Y87" s="111"/>
      <c r="Z87" s="112"/>
      <c r="AA87" s="111"/>
    </row>
    <row r="88" spans="1:27" s="30" customFormat="1">
      <c r="A88" s="181">
        <v>45958</v>
      </c>
      <c r="B88" s="181">
        <v>46328</v>
      </c>
      <c r="C88" s="181" t="str">
        <f t="shared" ref="C88" si="23">IF(ROUNDUP(((-A88+B88)/(365/12)),0)&lt;=0,0,ROUNDUP(((-A88+B88)/(365/12)),0))&amp;" "&amp;"Meses"</f>
        <v>13 Meses</v>
      </c>
      <c r="D88" s="172" t="str">
        <f t="shared" ref="D88" ca="1" si="24">IF(ROUNDUP(((-$A$1+B88)/(365/12)),0)&lt;=0,0,ROUNDUP(((-$A$1+B88)/(365/12)),0))&amp;" "&amp;"Meses"</f>
        <v>9 Meses</v>
      </c>
      <c r="E88" s="173">
        <v>7.4999999999999997E-2</v>
      </c>
      <c r="F88" s="173"/>
      <c r="G88" s="5" t="s">
        <v>46</v>
      </c>
      <c r="H88" s="5" t="s">
        <v>43</v>
      </c>
      <c r="I88" s="5" t="s">
        <v>32</v>
      </c>
      <c r="J88" s="5" t="s">
        <v>29</v>
      </c>
      <c r="K88" s="5" t="s">
        <v>14</v>
      </c>
      <c r="L88" s="5"/>
      <c r="M88" s="172">
        <v>200091522</v>
      </c>
      <c r="N88" s="174">
        <v>46055</v>
      </c>
      <c r="O88" s="175">
        <v>146000</v>
      </c>
      <c r="P88" s="176">
        <v>11882.43</v>
      </c>
      <c r="Q88" s="176">
        <v>791.57</v>
      </c>
      <c r="R88" s="177">
        <f>+P88+Q88</f>
        <v>12674</v>
      </c>
      <c r="S88" s="177">
        <v>122565.16999999998</v>
      </c>
      <c r="T88" s="178">
        <v>46055</v>
      </c>
      <c r="U88" s="179">
        <f t="shared" ref="U88:U90" si="25">S88-P88</f>
        <v>110682.73999999999</v>
      </c>
      <c r="V88" s="178" t="s">
        <v>121</v>
      </c>
      <c r="W88" s="178"/>
      <c r="X88" s="110"/>
      <c r="Y88" s="111"/>
      <c r="Z88" s="112"/>
      <c r="AA88" s="111"/>
    </row>
    <row r="89" spans="1:27" s="30" customFormat="1">
      <c r="A89" s="4">
        <v>45947</v>
      </c>
      <c r="B89" s="4">
        <v>46314</v>
      </c>
      <c r="C89" s="4" t="str">
        <f>IF(ROUNDUP(((-A89+B89)/(365/12)),0)&lt;=0,0,ROUNDUP(((-A89+B89)/(365/12)),0))&amp;" "&amp;"Meses"</f>
        <v>13 Meses</v>
      </c>
      <c r="D89" s="8" t="str">
        <f ca="1">IF(ROUNDUP(((-$A$1+B89)/(365/12)),0)&lt;=0,0,ROUNDUP(((-$A$1+B89)/(365/12)),0))&amp;" "&amp;"Meses"</f>
        <v>9 Meses</v>
      </c>
      <c r="E89" s="75">
        <v>7.4999999999999997E-2</v>
      </c>
      <c r="F89" s="75"/>
      <c r="G89" s="5" t="s">
        <v>46</v>
      </c>
      <c r="H89" s="5" t="s">
        <v>43</v>
      </c>
      <c r="I89" s="5" t="s">
        <v>32</v>
      </c>
      <c r="J89" s="5" t="s">
        <v>29</v>
      </c>
      <c r="K89" s="5" t="s">
        <v>14</v>
      </c>
      <c r="L89" s="5"/>
      <c r="M89" s="8">
        <v>200091409</v>
      </c>
      <c r="N89" s="90">
        <v>46070</v>
      </c>
      <c r="O89" s="150">
        <v>75000</v>
      </c>
      <c r="P89" s="151">
        <v>6173.56</v>
      </c>
      <c r="Q89" s="151">
        <v>334.03</v>
      </c>
      <c r="R89" s="25">
        <f>+P89+Q89</f>
        <v>6507.59</v>
      </c>
      <c r="S89" s="25">
        <v>56802.22</v>
      </c>
      <c r="T89" s="22"/>
      <c r="U89" s="6">
        <f>S89-P89</f>
        <v>50628.66</v>
      </c>
      <c r="V89" s="22"/>
      <c r="W89" s="22" t="s">
        <v>118</v>
      </c>
      <c r="X89" s="110"/>
      <c r="Y89" s="111"/>
      <c r="Z89" s="112"/>
      <c r="AA89" s="111"/>
    </row>
    <row r="90" spans="1:27" s="30" customFormat="1">
      <c r="A90" s="4">
        <v>45972</v>
      </c>
      <c r="B90" s="4">
        <v>46337</v>
      </c>
      <c r="C90" s="4" t="str">
        <f>IF(ROUNDUP(((-A90+B90)/(365/12)),0)&lt;=0,0,ROUNDUP(((-A90+B90)/(365/12)),0))&amp;" "&amp;"Meses"</f>
        <v>12 Meses</v>
      </c>
      <c r="D90" s="8" t="str">
        <f ca="1">IF(ROUNDUP(((-$A$1+B90)/(365/12)),0)&lt;=0,0,ROUNDUP(((-$A$1+B90)/(365/12)),0))&amp;" "&amp;"Meses"</f>
        <v>10 Meses</v>
      </c>
      <c r="E90" s="75">
        <v>7.4999999999999997E-2</v>
      </c>
      <c r="F90" s="75"/>
      <c r="G90" s="5" t="s">
        <v>46</v>
      </c>
      <c r="H90" s="5" t="s">
        <v>43</v>
      </c>
      <c r="I90" s="5" t="s">
        <v>32</v>
      </c>
      <c r="J90" s="5" t="s">
        <v>29</v>
      </c>
      <c r="K90" s="5" t="s">
        <v>14</v>
      </c>
      <c r="L90" s="5"/>
      <c r="M90" s="8">
        <v>200091722</v>
      </c>
      <c r="N90" s="90">
        <v>46064</v>
      </c>
      <c r="O90" s="150">
        <v>165000</v>
      </c>
      <c r="P90" s="151">
        <v>13458.32</v>
      </c>
      <c r="Q90" s="151">
        <v>864.68</v>
      </c>
      <c r="R90" s="25">
        <f>+P90+Q90</f>
        <v>14323</v>
      </c>
      <c r="S90" s="25">
        <v>138349.57</v>
      </c>
      <c r="T90" s="22"/>
      <c r="U90" s="6">
        <f t="shared" si="25"/>
        <v>124891.25</v>
      </c>
      <c r="V90" s="22"/>
      <c r="W90" s="22"/>
      <c r="X90" s="110"/>
      <c r="Y90" s="111"/>
      <c r="Z90" s="112"/>
      <c r="AA90" s="111"/>
    </row>
    <row r="91" spans="1:27" s="30" customFormat="1">
      <c r="A91" s="4">
        <v>45986</v>
      </c>
      <c r="B91" s="4">
        <v>46351</v>
      </c>
      <c r="C91" s="4" t="str">
        <f>IF(ROUNDUP(((-A91+B91)/(365/12)),0)&lt;=0,0,ROUNDUP(((-A91+B91)/(365/12)),0))&amp;" "&amp;"Meses"</f>
        <v>12 Meses</v>
      </c>
      <c r="D91" s="8" t="str">
        <f ca="1">IF(ROUNDUP(((-$A$1+B91)/(365/12)),0)&lt;=0,0,ROUNDUP(((-$A$1+B91)/(365/12)),0))&amp;" "&amp;"Meses"</f>
        <v>10 Meses</v>
      </c>
      <c r="E91" s="75">
        <v>7.4999999999999997E-2</v>
      </c>
      <c r="F91" s="75"/>
      <c r="G91" s="5" t="s">
        <v>46</v>
      </c>
      <c r="H91" s="5" t="s">
        <v>43</v>
      </c>
      <c r="I91" s="5" t="s">
        <v>32</v>
      </c>
      <c r="J91" s="5" t="s">
        <v>29</v>
      </c>
      <c r="K91" s="5" t="s">
        <v>14</v>
      </c>
      <c r="L91" s="5"/>
      <c r="M91" s="8">
        <v>200091954</v>
      </c>
      <c r="N91" s="185">
        <v>46078</v>
      </c>
      <c r="O91" s="150">
        <v>185000</v>
      </c>
      <c r="P91" s="151">
        <v>15058.09</v>
      </c>
      <c r="Q91" s="151">
        <v>1001.91</v>
      </c>
      <c r="R91" s="25">
        <f>+P91+Q91</f>
        <v>16060</v>
      </c>
      <c r="S91" s="25">
        <v>155192.5</v>
      </c>
      <c r="T91" s="22"/>
      <c r="U91" s="6">
        <f>S91-P91</f>
        <v>140134.41</v>
      </c>
      <c r="V91" s="22"/>
      <c r="W91" s="22"/>
      <c r="X91" s="110"/>
      <c r="Y91" s="111"/>
      <c r="Z91" s="112"/>
      <c r="AA91" s="111"/>
    </row>
    <row r="92" spans="1:27" s="5" customFormat="1">
      <c r="B92" s="4"/>
      <c r="C92" s="4"/>
      <c r="D92" s="4"/>
      <c r="E92" s="75"/>
      <c r="F92" s="75"/>
      <c r="N92" s="53"/>
      <c r="O92" s="125"/>
      <c r="P92" s="94">
        <f>SUM(P83:P91)</f>
        <v>283666.27</v>
      </c>
      <c r="Q92" s="94">
        <f>SUM(Q83:Q91)</f>
        <v>10078.86</v>
      </c>
      <c r="R92" s="94">
        <f>SUM(R83:R91)</f>
        <v>293745.13000000006</v>
      </c>
      <c r="S92" s="94">
        <f>SUM(S83:S91)</f>
        <v>1584307.6400000001</v>
      </c>
      <c r="T92" s="95"/>
      <c r="U92" s="94">
        <f>SUM(U83:U91)</f>
        <v>1300641.3699999999</v>
      </c>
      <c r="V92" s="48"/>
      <c r="W92" s="48"/>
      <c r="X92" s="6"/>
    </row>
    <row r="93" spans="1:27">
      <c r="B93" s="4"/>
      <c r="C93" s="4"/>
      <c r="D93" s="4"/>
      <c r="E93" s="75"/>
      <c r="F93" s="75"/>
      <c r="G93" s="5"/>
      <c r="H93" s="5"/>
      <c r="I93" s="5"/>
      <c r="J93" s="5"/>
      <c r="K93" s="5"/>
      <c r="L93" s="5"/>
      <c r="M93" s="89"/>
      <c r="N93" s="3"/>
      <c r="P93" s="25"/>
      <c r="Q93" s="25"/>
      <c r="R93" s="25"/>
      <c r="S93" s="21"/>
      <c r="U93" s="29"/>
      <c r="W93" s="147"/>
      <c r="X93" s="29"/>
    </row>
    <row r="94" spans="1:27" s="55" customFormat="1">
      <c r="B94" s="54"/>
      <c r="C94" s="54"/>
      <c r="D94" s="54"/>
      <c r="E94" s="76"/>
      <c r="F94" s="76"/>
      <c r="N94" s="65"/>
      <c r="O94" s="129"/>
      <c r="P94" s="63"/>
      <c r="Q94" s="63"/>
      <c r="R94" s="58"/>
      <c r="S94" s="58"/>
      <c r="T94" s="57"/>
      <c r="U94" s="61"/>
      <c r="V94" s="62"/>
      <c r="W94" s="62"/>
      <c r="X94" s="58"/>
      <c r="Y94" s="59"/>
      <c r="Z94" s="60"/>
      <c r="AA94" s="59"/>
    </row>
    <row r="95" spans="1:27" s="55" customFormat="1">
      <c r="B95" s="54"/>
      <c r="C95" s="54"/>
      <c r="D95" s="54"/>
      <c r="E95" s="76"/>
      <c r="F95" s="76"/>
      <c r="N95" s="65"/>
      <c r="O95" s="129"/>
      <c r="P95" s="58"/>
      <c r="Q95" s="58"/>
      <c r="R95" s="64"/>
      <c r="S95" s="58"/>
      <c r="T95" s="57"/>
      <c r="V95" s="65"/>
      <c r="W95" s="65"/>
    </row>
    <row r="96" spans="1:27" s="55" customFormat="1" ht="21">
      <c r="A96" s="88" t="s">
        <v>20</v>
      </c>
      <c r="B96" s="88"/>
      <c r="C96" s="88"/>
      <c r="D96" s="88"/>
      <c r="E96" s="80"/>
      <c r="F96" s="80"/>
      <c r="G96" s="66"/>
      <c r="H96" s="66"/>
      <c r="I96" s="66"/>
      <c r="J96" s="66"/>
      <c r="K96" s="66"/>
      <c r="L96" s="66"/>
      <c r="M96" s="66"/>
      <c r="N96" s="86"/>
      <c r="O96" s="130"/>
      <c r="P96" s="66"/>
      <c r="Q96" s="66"/>
      <c r="R96" s="66"/>
      <c r="S96" s="66"/>
      <c r="T96" s="66"/>
      <c r="U96" s="66"/>
      <c r="V96" s="66"/>
      <c r="W96" s="66"/>
    </row>
    <row r="97" spans="1:23" s="55" customFormat="1">
      <c r="B97" s="67"/>
      <c r="C97" s="67"/>
      <c r="D97" s="67"/>
      <c r="E97" s="76"/>
      <c r="F97" s="76"/>
      <c r="N97" s="65"/>
      <c r="O97" s="129"/>
      <c r="P97" s="58"/>
      <c r="Q97" s="58"/>
      <c r="R97" s="58"/>
      <c r="T97" s="57"/>
      <c r="V97" s="65"/>
      <c r="W97" s="65"/>
    </row>
    <row r="98" spans="1:23" s="55" customFormat="1">
      <c r="B98" s="54"/>
      <c r="C98" s="54"/>
      <c r="D98" s="54"/>
      <c r="E98" s="76"/>
      <c r="F98" s="76"/>
      <c r="K98" s="55" t="s">
        <v>17</v>
      </c>
      <c r="M98" s="56"/>
      <c r="N98" s="65"/>
      <c r="O98" s="129"/>
      <c r="P98" s="64"/>
      <c r="Q98" s="64"/>
      <c r="R98" s="64"/>
      <c r="S98" s="57"/>
      <c r="U98" s="65"/>
      <c r="V98" s="65"/>
      <c r="W98" s="65"/>
    </row>
    <row r="99" spans="1:23" s="55" customFormat="1">
      <c r="B99" s="54"/>
      <c r="C99" s="54"/>
      <c r="D99" s="54"/>
      <c r="E99" s="76"/>
      <c r="F99" s="76"/>
      <c r="M99" s="56"/>
      <c r="N99" s="65"/>
      <c r="O99" s="129"/>
      <c r="P99" s="74"/>
      <c r="Q99" s="64"/>
      <c r="R99" s="64"/>
      <c r="S99" s="64"/>
      <c r="T99" s="57"/>
      <c r="V99" s="65"/>
      <c r="W99" s="65"/>
    </row>
    <row r="100" spans="1:23" s="55" customFormat="1">
      <c r="A100" s="134" t="s">
        <v>47</v>
      </c>
      <c r="B100" s="135" t="s">
        <v>18</v>
      </c>
      <c r="C100" s="135"/>
      <c r="D100" s="134" t="s">
        <v>48</v>
      </c>
      <c r="E100" s="136" t="s">
        <v>19</v>
      </c>
      <c r="F100" s="136"/>
      <c r="G100" s="137" t="s">
        <v>3</v>
      </c>
      <c r="H100" s="137" t="s">
        <v>41</v>
      </c>
      <c r="I100" s="137" t="s">
        <v>30</v>
      </c>
      <c r="J100" s="137" t="s">
        <v>27</v>
      </c>
      <c r="K100" s="137" t="s">
        <v>4</v>
      </c>
      <c r="L100" s="137"/>
      <c r="M100" s="138" t="s">
        <v>5</v>
      </c>
      <c r="N100" s="139" t="s">
        <v>6</v>
      </c>
      <c r="O100" s="140"/>
      <c r="P100" s="141" t="s">
        <v>7</v>
      </c>
      <c r="Q100" s="142" t="s">
        <v>35</v>
      </c>
      <c r="R100" s="142" t="s">
        <v>9</v>
      </c>
      <c r="S100" s="142" t="s">
        <v>10</v>
      </c>
      <c r="T100" s="143" t="s">
        <v>11</v>
      </c>
      <c r="U100" s="144" t="s">
        <v>12</v>
      </c>
      <c r="V100" s="139" t="s">
        <v>39</v>
      </c>
      <c r="W100" s="44" t="s">
        <v>49</v>
      </c>
    </row>
    <row r="101" spans="1:23" s="55" customFormat="1">
      <c r="A101" s="145">
        <v>45421</v>
      </c>
      <c r="B101" s="4">
        <v>48192</v>
      </c>
      <c r="C101" s="4" t="str">
        <f t="shared" ref="C101:C102" si="26">IF(ROUNDUP(((-A101+B101)/(365/12)),0)&lt;=0,0,ROUNDUP(((-A101+B101)/(365/12)),0))&amp;" "&amp;"Meses"</f>
        <v>92 Meses</v>
      </c>
      <c r="D101" s="8" t="str">
        <f ca="1">IF(ROUNDUP(((-$A$1+B101)/(365/12)),0)&lt;=0,0,ROUNDUP(((-$A$1+B101)/(365/12)),0))&amp;" "&amp;"Meses"</f>
        <v>71 Meses</v>
      </c>
      <c r="E101" s="75"/>
      <c r="F101" s="75"/>
      <c r="G101" s="5" t="s">
        <v>34</v>
      </c>
      <c r="H101" s="5" t="s">
        <v>44</v>
      </c>
      <c r="I101" s="5" t="s">
        <v>31</v>
      </c>
      <c r="J101" s="5" t="s">
        <v>29</v>
      </c>
      <c r="K101" s="5" t="s">
        <v>14</v>
      </c>
      <c r="L101" s="5"/>
      <c r="M101" s="8">
        <v>450221876</v>
      </c>
      <c r="N101" s="22">
        <v>46063</v>
      </c>
      <c r="O101" s="125"/>
      <c r="P101" s="7">
        <v>220.71</v>
      </c>
      <c r="Q101" s="7">
        <f>112.79+45.99</f>
        <v>158.78</v>
      </c>
      <c r="R101" s="7">
        <f>P101+Q101</f>
        <v>379.49</v>
      </c>
      <c r="S101" s="7">
        <v>18227.63</v>
      </c>
      <c r="T101" s="22"/>
      <c r="U101" s="6">
        <f>S101-P101</f>
        <v>18006.920000000002</v>
      </c>
      <c r="V101" s="53"/>
      <c r="W101" s="53" t="s">
        <v>75</v>
      </c>
    </row>
    <row r="102" spans="1:23" s="55" customFormat="1">
      <c r="A102" s="145">
        <v>45561</v>
      </c>
      <c r="B102" s="4">
        <v>47387</v>
      </c>
      <c r="C102" s="4" t="str">
        <f t="shared" si="26"/>
        <v>61 Meses</v>
      </c>
      <c r="D102" s="8" t="str">
        <f t="shared" ref="D102:D104" ca="1" si="27">IF(ROUNDUP(((-$A$1+B102)/(365/12)),0)&lt;=0,0,ROUNDUP(((-$A$1+B102)/(365/12)),0))&amp;" "&amp;"Meses"</f>
        <v>44 Meses</v>
      </c>
      <c r="E102" s="75"/>
      <c r="F102" s="75"/>
      <c r="G102" s="5" t="s">
        <v>34</v>
      </c>
      <c r="H102" s="5" t="s">
        <v>44</v>
      </c>
      <c r="I102" s="5" t="s">
        <v>31</v>
      </c>
      <c r="J102" s="5" t="s">
        <v>29</v>
      </c>
      <c r="K102" s="5" t="s">
        <v>14</v>
      </c>
      <c r="L102" s="5"/>
      <c r="M102" s="8">
        <v>450327085</v>
      </c>
      <c r="N102" s="22">
        <v>46063</v>
      </c>
      <c r="O102" s="125"/>
      <c r="P102" s="7">
        <v>386.08</v>
      </c>
      <c r="Q102" s="7">
        <f>190.77+64.13</f>
        <v>254.9</v>
      </c>
      <c r="R102" s="7">
        <f>P102+Q102</f>
        <v>640.98</v>
      </c>
      <c r="S102" s="7">
        <v>28023.17</v>
      </c>
      <c r="T102" s="22"/>
      <c r="U102" s="6">
        <f>S102-P102</f>
        <v>27637.089999999997</v>
      </c>
      <c r="V102" s="53"/>
      <c r="W102" s="53" t="s">
        <v>71</v>
      </c>
    </row>
    <row r="103" spans="1:23" s="55" customFormat="1">
      <c r="A103" s="145">
        <v>45667</v>
      </c>
      <c r="B103" s="4">
        <v>47462</v>
      </c>
      <c r="C103" s="4" t="str">
        <f>IF(ROUNDUP(((-A103+B103)/(365/12)),0)&lt;=0,0,ROUNDUP(((-A103+B103)/(365/12)),0))&amp;" "&amp;"Meses"</f>
        <v>60 Meses</v>
      </c>
      <c r="D103" s="8" t="str">
        <f t="shared" ca="1" si="27"/>
        <v>47 Meses</v>
      </c>
      <c r="E103" s="75"/>
      <c r="F103" s="75"/>
      <c r="G103" s="5" t="s">
        <v>34</v>
      </c>
      <c r="H103" s="5" t="s">
        <v>44</v>
      </c>
      <c r="I103" s="5" t="s">
        <v>31</v>
      </c>
      <c r="J103" s="5" t="s">
        <v>29</v>
      </c>
      <c r="K103" s="5" t="s">
        <v>14</v>
      </c>
      <c r="L103" s="5"/>
      <c r="M103" s="8">
        <v>450359850</v>
      </c>
      <c r="N103" s="22">
        <v>46063</v>
      </c>
      <c r="O103" s="125"/>
      <c r="P103" s="7">
        <v>1394.47</v>
      </c>
      <c r="Q103" s="7">
        <f>600.13+178.29</f>
        <v>778.42</v>
      </c>
      <c r="R103" s="7">
        <f>+P103+Q103</f>
        <v>2172.89</v>
      </c>
      <c r="S103" s="7">
        <v>85673.96</v>
      </c>
      <c r="T103" s="22"/>
      <c r="U103" s="6">
        <f>+S103-R103</f>
        <v>83501.070000000007</v>
      </c>
      <c r="V103" s="53"/>
      <c r="W103" s="53" t="s">
        <v>70</v>
      </c>
    </row>
    <row r="104" spans="1:23" s="55" customFormat="1">
      <c r="A104" s="145">
        <v>45805</v>
      </c>
      <c r="B104" s="4">
        <v>47631</v>
      </c>
      <c r="C104" s="4" t="str">
        <f>IF(ROUNDUP(((-A104+B104)/(365/12)),0)&lt;=0,0,ROUNDUP(((-A104+B104)/(365/12)),0))&amp;" "&amp;"Meses"</f>
        <v>61 Meses</v>
      </c>
      <c r="D104" s="8" t="str">
        <f t="shared" ca="1" si="27"/>
        <v>52 Meses</v>
      </c>
      <c r="E104" s="75"/>
      <c r="F104" s="75"/>
      <c r="G104" s="5" t="s">
        <v>34</v>
      </c>
      <c r="H104" s="5" t="s">
        <v>44</v>
      </c>
      <c r="I104" s="5" t="s">
        <v>31</v>
      </c>
      <c r="J104" s="5" t="s">
        <v>29</v>
      </c>
      <c r="K104" s="5" t="s">
        <v>14</v>
      </c>
      <c r="L104" s="5"/>
      <c r="M104" s="8">
        <v>450361869</v>
      </c>
      <c r="N104" s="22">
        <v>46063</v>
      </c>
      <c r="O104" s="125"/>
      <c r="P104" s="7">
        <v>276.95999999999998</v>
      </c>
      <c r="Q104" s="7">
        <f>120.51+75.62</f>
        <v>196.13</v>
      </c>
      <c r="R104" s="7">
        <f>+P104+Q104</f>
        <v>473.09</v>
      </c>
      <c r="S104" s="7">
        <v>19715.830000000002</v>
      </c>
      <c r="T104" s="22"/>
      <c r="U104" s="6">
        <v>19715.830000000002</v>
      </c>
      <c r="V104" s="53"/>
      <c r="W104" s="53" t="s">
        <v>74</v>
      </c>
    </row>
    <row r="105" spans="1:23" s="55" customFormat="1">
      <c r="A105" s="145">
        <v>45805</v>
      </c>
      <c r="B105" s="4">
        <v>47631</v>
      </c>
      <c r="C105" s="4" t="str">
        <f>IF(ROUNDUP(((-A105+B105)/(365/12)),0)&lt;=0,0,ROUNDUP(((-A105+B105)/(365/12)),0))&amp;" "&amp;"Meses"</f>
        <v>61 Meses</v>
      </c>
      <c r="D105" s="8" t="str">
        <f t="shared" ref="D105:D106" ca="1" si="28">IF(ROUNDUP(((-$A$1+B105)/(365/12)),0)&lt;=0,0,ROUNDUP(((-$A$1+B105)/(365/12)),0))&amp;" "&amp;"Meses"</f>
        <v>52 Meses</v>
      </c>
      <c r="E105" s="75"/>
      <c r="F105" s="75"/>
      <c r="G105" s="5" t="s">
        <v>34</v>
      </c>
      <c r="H105" s="5" t="s">
        <v>44</v>
      </c>
      <c r="I105" s="5" t="s">
        <v>31</v>
      </c>
      <c r="J105" s="5" t="s">
        <v>29</v>
      </c>
      <c r="K105" s="5" t="s">
        <v>14</v>
      </c>
      <c r="L105" s="5"/>
      <c r="M105" s="8">
        <v>450361877</v>
      </c>
      <c r="N105" s="22">
        <v>46063</v>
      </c>
      <c r="O105" s="125"/>
      <c r="P105" s="7">
        <v>276.95999999999998</v>
      </c>
      <c r="Q105" s="7">
        <f>120.51+75.62</f>
        <v>196.13</v>
      </c>
      <c r="R105" s="7">
        <f>+P105+Q105</f>
        <v>473.09</v>
      </c>
      <c r="S105" s="7">
        <v>19715.830000000002</v>
      </c>
      <c r="T105" s="22"/>
      <c r="U105" s="6">
        <v>19715.830000000002</v>
      </c>
      <c r="V105" s="53"/>
      <c r="W105" s="53" t="s">
        <v>74</v>
      </c>
    </row>
    <row r="106" spans="1:23" s="55" customFormat="1">
      <c r="A106" s="145">
        <v>45999</v>
      </c>
      <c r="B106" s="4">
        <v>48556</v>
      </c>
      <c r="C106" s="4" t="str">
        <f>IF(ROUNDUP(((-A106+B106)/(365/12)),0)&lt;=0,0,ROUNDUP(((-A106+B106)/(365/12)),0))&amp;" "&amp;"Meses"</f>
        <v>85 Meses</v>
      </c>
      <c r="D106" s="8" t="str">
        <f t="shared" ca="1" si="28"/>
        <v>83 Meses</v>
      </c>
      <c r="E106" s="75"/>
      <c r="F106" s="75"/>
      <c r="G106" s="5"/>
      <c r="H106" s="5"/>
      <c r="I106" s="5"/>
      <c r="J106" s="5"/>
      <c r="K106" s="5"/>
      <c r="L106" s="5"/>
      <c r="M106" s="8">
        <v>450407669</v>
      </c>
      <c r="N106" s="22">
        <v>46063</v>
      </c>
      <c r="O106" s="125"/>
      <c r="P106" s="7">
        <v>429.84</v>
      </c>
      <c r="Q106" s="7">
        <f>347.06+99.53</f>
        <v>446.59000000000003</v>
      </c>
      <c r="R106" s="7">
        <f>+P106+Q106</f>
        <v>876.43000000000006</v>
      </c>
      <c r="S106" s="7">
        <v>50052.04</v>
      </c>
      <c r="T106" s="22"/>
      <c r="U106" s="6">
        <f>+S106-P106</f>
        <v>49622.200000000004</v>
      </c>
      <c r="V106" s="53"/>
      <c r="W106" s="53" t="s">
        <v>117</v>
      </c>
    </row>
    <row r="107" spans="1:23" s="5" customFormat="1">
      <c r="B107" s="4"/>
      <c r="C107" s="4"/>
      <c r="D107" s="4"/>
      <c r="E107" s="75"/>
      <c r="F107" s="75"/>
      <c r="M107" s="8"/>
      <c r="N107" s="53"/>
      <c r="O107" s="125"/>
      <c r="P107" s="96">
        <f>SUM(P101:P106)</f>
        <v>2985.02</v>
      </c>
      <c r="Q107" s="96">
        <f>SUM(Q101:Q105)</f>
        <v>1584.3600000000001</v>
      </c>
      <c r="R107" s="96">
        <f>SUM(R101:R105)</f>
        <v>4139.54</v>
      </c>
      <c r="S107" s="96">
        <f>SUM(S101:S106)</f>
        <v>221408.46000000005</v>
      </c>
      <c r="T107" s="95"/>
      <c r="U107" s="96">
        <f>SUM(U101:U103)</f>
        <v>129145.08</v>
      </c>
      <c r="V107" s="53"/>
      <c r="W107" s="53"/>
    </row>
    <row r="108" spans="1:23" s="55" customFormat="1">
      <c r="B108" s="54"/>
      <c r="C108" s="54"/>
      <c r="D108" s="54"/>
      <c r="E108" s="76"/>
      <c r="F108" s="76"/>
      <c r="N108" s="65"/>
      <c r="O108" s="129"/>
      <c r="P108" s="74"/>
      <c r="Q108" s="64"/>
      <c r="R108" s="64"/>
      <c r="S108" s="64"/>
      <c r="T108" s="57"/>
      <c r="V108" s="65"/>
      <c r="W108" s="65"/>
    </row>
    <row r="109" spans="1:23" s="55" customFormat="1">
      <c r="A109" s="11" t="s">
        <v>47</v>
      </c>
      <c r="B109" s="68" t="s">
        <v>18</v>
      </c>
      <c r="C109" s="68"/>
      <c r="D109" s="11" t="s">
        <v>48</v>
      </c>
      <c r="E109" s="81" t="s">
        <v>19</v>
      </c>
      <c r="F109" s="81"/>
      <c r="G109" s="69" t="s">
        <v>3</v>
      </c>
      <c r="H109" s="69" t="s">
        <v>41</v>
      </c>
      <c r="I109" s="69" t="s">
        <v>30</v>
      </c>
      <c r="J109" s="69" t="s">
        <v>27</v>
      </c>
      <c r="K109" s="69" t="s">
        <v>4</v>
      </c>
      <c r="L109" s="69"/>
      <c r="M109" s="69" t="s">
        <v>21</v>
      </c>
      <c r="N109" s="87" t="s">
        <v>22</v>
      </c>
      <c r="O109" s="131"/>
      <c r="P109" s="71" t="s">
        <v>23</v>
      </c>
      <c r="Q109" s="70" t="s">
        <v>35</v>
      </c>
      <c r="R109" s="70" t="s">
        <v>24</v>
      </c>
      <c r="S109" s="70" t="s">
        <v>10</v>
      </c>
      <c r="T109" s="72" t="s">
        <v>25</v>
      </c>
      <c r="U109" s="73" t="s">
        <v>12</v>
      </c>
      <c r="V109" s="44" t="s">
        <v>39</v>
      </c>
      <c r="W109" s="44" t="s">
        <v>49</v>
      </c>
    </row>
    <row r="110" spans="1:23" s="5" customFormat="1" ht="15" thickBot="1">
      <c r="A110" s="145">
        <v>44927</v>
      </c>
      <c r="B110" s="4">
        <v>46722</v>
      </c>
      <c r="C110" s="4" t="str">
        <f t="shared" ref="C110" si="29">IF(ROUNDUP(((-A110+B110)/(365/12)),0)&lt;=0,0,ROUNDUP(((-A110+B110)/(365/12)),0))&amp;" "&amp;"Meses"</f>
        <v>60 Meses</v>
      </c>
      <c r="D110" s="8" t="str">
        <f ca="1">IF(ROUNDUP(((-$A$1+B110)/(365/12)),0)&lt;=0,0,ROUNDUP(((-$A$1+B110)/(365/12)),0))&amp;" "&amp;"Meses"</f>
        <v>22 Meses</v>
      </c>
      <c r="E110" s="75">
        <v>8.7499999999999994E-2</v>
      </c>
      <c r="F110" s="75"/>
      <c r="G110" s="5" t="s">
        <v>34</v>
      </c>
      <c r="H110" s="5" t="s">
        <v>44</v>
      </c>
      <c r="I110" s="5" t="s">
        <v>31</v>
      </c>
      <c r="J110" s="5" t="s">
        <v>29</v>
      </c>
      <c r="K110" s="5" t="s">
        <v>26</v>
      </c>
      <c r="M110" s="5" t="s">
        <v>40</v>
      </c>
      <c r="N110" s="22">
        <v>46054</v>
      </c>
      <c r="O110" s="125"/>
      <c r="P110" s="161">
        <v>1835.25</v>
      </c>
      <c r="Q110" s="161">
        <f>0.02+11.28+86.75+349.59</f>
        <v>447.64</v>
      </c>
      <c r="R110" s="161">
        <f>+P110+Q110</f>
        <v>2282.89</v>
      </c>
      <c r="S110" s="161">
        <v>48475.830000000024</v>
      </c>
      <c r="T110" s="24"/>
      <c r="U110" s="161">
        <f>+S110-R110</f>
        <v>46192.940000000024</v>
      </c>
      <c r="V110" s="22"/>
      <c r="W110" s="22"/>
    </row>
    <row r="111" spans="1:23" s="5" customFormat="1" ht="15" thickTop="1">
      <c r="B111" s="4"/>
      <c r="C111" s="4"/>
      <c r="D111" s="149"/>
      <c r="E111" s="75"/>
      <c r="F111" s="75"/>
      <c r="N111" s="53"/>
      <c r="O111" s="125"/>
      <c r="P111" s="45">
        <f>SUM(P110:P110)</f>
        <v>1835.25</v>
      </c>
      <c r="Q111" s="45">
        <f>SUM(Q110:Q110)</f>
        <v>447.64</v>
      </c>
      <c r="R111" s="45">
        <f>SUM(R110:R110)</f>
        <v>2282.89</v>
      </c>
      <c r="S111" s="45">
        <f>SUM(S110:S110)</f>
        <v>48475.830000000024</v>
      </c>
      <c r="T111" s="45"/>
      <c r="U111" s="45">
        <f>SUM(U110:U110)</f>
        <v>46192.940000000024</v>
      </c>
      <c r="V111" s="53"/>
      <c r="W111" s="53"/>
    </row>
    <row r="112" spans="1:23">
      <c r="B112" s="35"/>
      <c r="C112" s="35"/>
      <c r="D112" s="35"/>
      <c r="G112" s="5"/>
      <c r="H112" s="5"/>
      <c r="I112" s="5"/>
      <c r="J112" s="5"/>
      <c r="K112" s="5"/>
      <c r="L112" s="5"/>
      <c r="M112" s="5"/>
      <c r="N112" s="3"/>
      <c r="P112" s="38"/>
      <c r="Q112" s="7"/>
      <c r="R112" s="7"/>
      <c r="S112" s="7"/>
    </row>
    <row r="113" spans="1:27" hidden="1">
      <c r="A113" s="134" t="s">
        <v>47</v>
      </c>
      <c r="B113" s="135" t="s">
        <v>18</v>
      </c>
      <c r="C113" s="135"/>
      <c r="D113" s="134" t="s">
        <v>48</v>
      </c>
      <c r="E113" s="136" t="s">
        <v>19</v>
      </c>
      <c r="F113" s="136"/>
      <c r="G113" s="137" t="s">
        <v>3</v>
      </c>
      <c r="H113" s="137" t="s">
        <v>41</v>
      </c>
      <c r="I113" s="137" t="s">
        <v>30</v>
      </c>
      <c r="J113" s="137" t="s">
        <v>27</v>
      </c>
      <c r="K113" s="137" t="s">
        <v>4</v>
      </c>
      <c r="L113" s="137"/>
      <c r="M113" s="138" t="s">
        <v>5</v>
      </c>
      <c r="N113" s="139" t="s">
        <v>6</v>
      </c>
      <c r="O113" s="140"/>
      <c r="P113" s="141" t="s">
        <v>7</v>
      </c>
      <c r="Q113" s="142" t="s">
        <v>35</v>
      </c>
      <c r="R113" s="142" t="s">
        <v>9</v>
      </c>
      <c r="S113" s="142" t="s">
        <v>10</v>
      </c>
      <c r="T113" s="143" t="s">
        <v>11</v>
      </c>
      <c r="U113" s="144" t="s">
        <v>12</v>
      </c>
      <c r="V113" s="139" t="s">
        <v>39</v>
      </c>
      <c r="W113" s="139" t="s">
        <v>49</v>
      </c>
    </row>
    <row r="114" spans="1:27" s="5" customFormat="1" hidden="1">
      <c r="A114" s="145">
        <v>44018</v>
      </c>
      <c r="B114" s="4">
        <v>45812</v>
      </c>
      <c r="C114" s="4"/>
      <c r="D114" s="8" t="str">
        <f ca="1">IF(ROUNDUP(((-$A$1+B114)/(365/12)),0)&lt;=0,0,ROUNDUP(((-$A$1+B114)/(365/12)),0))&amp;" "&amp;"Meses"</f>
        <v>0 Meses</v>
      </c>
      <c r="E114" s="75">
        <v>0.115</v>
      </c>
      <c r="F114" s="75"/>
      <c r="G114" s="5" t="s">
        <v>34</v>
      </c>
      <c r="H114" s="5" t="s">
        <v>44</v>
      </c>
      <c r="I114" s="5" t="s">
        <v>31</v>
      </c>
      <c r="J114" s="5" t="s">
        <v>29</v>
      </c>
      <c r="K114" s="5" t="s">
        <v>1</v>
      </c>
      <c r="M114" s="8">
        <v>32119</v>
      </c>
      <c r="N114" s="22"/>
      <c r="O114" s="125"/>
      <c r="P114" s="7">
        <v>6420.36</v>
      </c>
      <c r="Q114" s="7">
        <f>67.74+384.5</f>
        <v>452.24</v>
      </c>
      <c r="R114" s="7">
        <f>SUM(P114:Q114)</f>
        <v>6872.5999999999995</v>
      </c>
      <c r="S114" s="6">
        <v>6420.36</v>
      </c>
      <c r="T114" s="22"/>
      <c r="U114" s="6">
        <f>+S114-P114</f>
        <v>0</v>
      </c>
      <c r="V114" s="22"/>
      <c r="W114" s="53"/>
    </row>
    <row r="115" spans="1:27" s="32" customFormat="1" hidden="1">
      <c r="B115" s="46"/>
      <c r="C115" s="46"/>
      <c r="D115" s="46"/>
      <c r="E115" s="82"/>
      <c r="F115" s="82"/>
      <c r="G115" s="30"/>
      <c r="H115" s="30"/>
      <c r="I115" s="30"/>
      <c r="J115" s="30"/>
      <c r="K115" s="30"/>
      <c r="L115" s="30"/>
      <c r="M115" s="43"/>
      <c r="N115" s="3"/>
      <c r="O115" s="122"/>
      <c r="P115" s="96">
        <f>SUM(P114:P114)</f>
        <v>6420.36</v>
      </c>
      <c r="Q115" s="96">
        <f>SUM(Q114:Q114)</f>
        <v>452.24</v>
      </c>
      <c r="R115" s="96">
        <f>SUM(R114:R114)</f>
        <v>6872.5999999999995</v>
      </c>
      <c r="S115" s="96">
        <f>SUM(S114:S114)</f>
        <v>6420.36</v>
      </c>
      <c r="T115" s="96"/>
      <c r="U115" s="96">
        <f>SUM(U114:U114)</f>
        <v>0</v>
      </c>
      <c r="V115" s="31"/>
      <c r="W115" s="31"/>
    </row>
    <row r="116" spans="1:27">
      <c r="B116" s="35"/>
      <c r="C116" s="35"/>
      <c r="D116" s="35"/>
      <c r="M116" s="36"/>
      <c r="N116" s="3"/>
      <c r="P116" s="37"/>
      <c r="Q116" s="37"/>
      <c r="R116" s="37"/>
      <c r="S116" s="45"/>
      <c r="T116"/>
      <c r="U116" s="3"/>
    </row>
    <row r="117" spans="1:27" s="5" customFormat="1">
      <c r="A117" s="134" t="s">
        <v>47</v>
      </c>
      <c r="B117" s="135" t="s">
        <v>18</v>
      </c>
      <c r="C117" s="135"/>
      <c r="D117" s="134" t="s">
        <v>48</v>
      </c>
      <c r="E117" s="136" t="s">
        <v>19</v>
      </c>
      <c r="F117" s="136"/>
      <c r="G117" s="137" t="s">
        <v>3</v>
      </c>
      <c r="H117" s="137" t="s">
        <v>41</v>
      </c>
      <c r="I117" s="137" t="s">
        <v>30</v>
      </c>
      <c r="J117" s="137" t="s">
        <v>27</v>
      </c>
      <c r="K117" s="137" t="s">
        <v>4</v>
      </c>
      <c r="L117" s="137"/>
      <c r="M117" s="138" t="s">
        <v>5</v>
      </c>
      <c r="N117" s="139" t="s">
        <v>6</v>
      </c>
      <c r="O117" s="140"/>
      <c r="P117" s="141" t="s">
        <v>7</v>
      </c>
      <c r="Q117" s="142" t="s">
        <v>35</v>
      </c>
      <c r="R117" s="142" t="s">
        <v>9</v>
      </c>
      <c r="S117" s="142" t="s">
        <v>10</v>
      </c>
      <c r="T117" s="143" t="s">
        <v>11</v>
      </c>
      <c r="U117" s="144" t="s">
        <v>12</v>
      </c>
      <c r="V117" s="139" t="s">
        <v>39</v>
      </c>
      <c r="W117" s="139" t="s">
        <v>49</v>
      </c>
      <c r="X117" s="6"/>
      <c r="Y117" s="17"/>
      <c r="Z117" s="18"/>
      <c r="AA117" s="17"/>
    </row>
    <row r="118" spans="1:27">
      <c r="A118" s="145">
        <v>45754</v>
      </c>
      <c r="B118" s="4">
        <v>47945</v>
      </c>
      <c r="C118" s="4"/>
      <c r="D118" s="8" t="str">
        <f ca="1">IF(ROUNDUP(((-$A$1+B118)/(365/12)),0)&lt;=0,0,ROUNDUP(((-$A$1+B118)/(365/12)),0))&amp;" "&amp;"Meses"</f>
        <v>63 Meses</v>
      </c>
      <c r="E118" s="75">
        <v>7.4999999999999997E-2</v>
      </c>
      <c r="F118" s="75"/>
      <c r="G118" s="5" t="s">
        <v>34</v>
      </c>
      <c r="H118" s="5" t="s">
        <v>44</v>
      </c>
      <c r="I118" s="5" t="s">
        <v>31</v>
      </c>
      <c r="J118" s="5" t="s">
        <v>29</v>
      </c>
      <c r="K118" s="5" t="s">
        <v>2</v>
      </c>
      <c r="L118" s="5"/>
      <c r="M118" s="8">
        <v>3776</v>
      </c>
      <c r="N118" s="22">
        <v>46060</v>
      </c>
      <c r="O118" s="125"/>
      <c r="P118" s="7">
        <v>179.82</v>
      </c>
      <c r="Q118" s="7">
        <f>88.11+52.2</f>
        <v>140.31</v>
      </c>
      <c r="R118" s="7">
        <f>+Q118+P118</f>
        <v>320.13</v>
      </c>
      <c r="S118" s="7">
        <v>13917.11</v>
      </c>
      <c r="T118" s="22"/>
      <c r="U118" s="6">
        <f>+S118-P118</f>
        <v>13737.29</v>
      </c>
      <c r="V118" s="22"/>
      <c r="W118" s="17" t="s">
        <v>72</v>
      </c>
    </row>
    <row r="119" spans="1:27" ht="15" thickBot="1">
      <c r="A119" s="145">
        <v>45754</v>
      </c>
      <c r="B119" s="4">
        <v>47945</v>
      </c>
      <c r="C119" s="4"/>
      <c r="D119" s="8" t="str">
        <f ca="1">IF(ROUNDUP(((-$A$1+B119)/(365/12)),0)&lt;=0,0,ROUNDUP(((-$A$1+B119)/(365/12)),0))&amp;" "&amp;"Meses"</f>
        <v>63 Meses</v>
      </c>
      <c r="E119" s="75">
        <v>7.4999999999999997E-2</v>
      </c>
      <c r="F119" s="75"/>
      <c r="G119" s="5" t="s">
        <v>34</v>
      </c>
      <c r="H119" s="5" t="s">
        <v>44</v>
      </c>
      <c r="I119" s="5" t="s">
        <v>31</v>
      </c>
      <c r="J119" s="5" t="s">
        <v>29</v>
      </c>
      <c r="K119" s="5" t="s">
        <v>2</v>
      </c>
      <c r="L119" s="5"/>
      <c r="M119" s="8">
        <v>3778</v>
      </c>
      <c r="N119" s="22">
        <v>46060</v>
      </c>
      <c r="O119" s="125"/>
      <c r="P119" s="161">
        <v>179.82</v>
      </c>
      <c r="Q119" s="161">
        <f>88.11+52.2</f>
        <v>140.31</v>
      </c>
      <c r="R119" s="161">
        <f>+P119+Q119</f>
        <v>320.13</v>
      </c>
      <c r="S119" s="161">
        <v>13917.11</v>
      </c>
      <c r="T119" s="24"/>
      <c r="U119" s="161">
        <f>+S119-P119</f>
        <v>13737.29</v>
      </c>
      <c r="V119" s="22"/>
      <c r="W119" s="17" t="s">
        <v>73</v>
      </c>
    </row>
    <row r="120" spans="1:27" ht="15" thickTop="1">
      <c r="A120" s="5"/>
      <c r="B120" s="4"/>
      <c r="C120" s="4"/>
      <c r="D120" s="4"/>
      <c r="E120" s="75"/>
      <c r="F120" s="75"/>
      <c r="G120" s="5"/>
      <c r="H120" s="5"/>
      <c r="I120" s="5"/>
      <c r="J120" s="5"/>
      <c r="K120" s="5"/>
      <c r="L120" s="5"/>
      <c r="M120" s="5"/>
      <c r="N120" s="53"/>
      <c r="O120" s="125"/>
      <c r="P120" s="45">
        <f>SUM(P118:P119)</f>
        <v>359.64</v>
      </c>
      <c r="Q120" s="45">
        <f>SUM(Q118:Q119)</f>
        <v>280.62</v>
      </c>
      <c r="R120" s="45">
        <f>SUM(R118:R119)</f>
        <v>640.26</v>
      </c>
      <c r="S120" s="45">
        <f>SUM(S118:S119)</f>
        <v>27834.22</v>
      </c>
      <c r="T120" s="45"/>
      <c r="U120" s="45">
        <f>SUM(U118:U119)</f>
        <v>27474.58</v>
      </c>
      <c r="V120" s="53"/>
      <c r="W120" s="53"/>
    </row>
    <row r="121" spans="1:27">
      <c r="N121" s="3"/>
      <c r="T121" s="49"/>
    </row>
    <row r="122" spans="1:27">
      <c r="N122" s="3"/>
      <c r="R122" s="7"/>
      <c r="T122" s="49"/>
    </row>
    <row r="123" spans="1:27">
      <c r="N123" s="3"/>
      <c r="Q123" s="7"/>
      <c r="T123" s="49"/>
      <c r="U123" s="1"/>
      <c r="V123" s="49"/>
    </row>
    <row r="124" spans="1:27">
      <c r="N124" s="3"/>
      <c r="Q124" s="7"/>
      <c r="T124" s="49"/>
    </row>
    <row r="125" spans="1:27">
      <c r="Q125" s="7"/>
    </row>
  </sheetData>
  <autoFilter ref="A11:W58" xr:uid="{A3BBC4D3-3F1B-4CDB-A964-68433BEDDB2D}">
    <filterColumn colId="1">
      <filters>
        <dateGroupItem year="2026" month="6" dateTimeGrouping="month"/>
        <dateGroupItem year="2026" month="7" dateTimeGrouping="month"/>
        <dateGroupItem year="2026" month="8" dateTimeGrouping="month"/>
        <dateGroupItem year="2026" month="9" dateTimeGrouping="month"/>
        <dateGroupItem year="2026" month="10" dateTimeGrouping="month"/>
        <dateGroupItem year="2026" month="11" dateTimeGrouping="month"/>
        <dateGroupItem year="2026" month="12" dateTimeGrouping="month"/>
      </filters>
    </filterColumn>
  </autoFilter>
  <conditionalFormatting sqref="N1:O7 O8">
    <cfRule type="cellIs" dxfId="19" priority="109" operator="equal">
      <formula>$Z$3</formula>
    </cfRule>
    <cfRule type="cellIs" dxfId="18" priority="110" operator="equal">
      <formula>$Z$2</formula>
    </cfRule>
  </conditionalFormatting>
  <conditionalFormatting sqref="N9:O1048576">
    <cfRule type="cellIs" dxfId="17" priority="7" operator="equal">
      <formula>$Z$3</formula>
    </cfRule>
    <cfRule type="cellIs" dxfId="16" priority="8" operator="equal">
      <formula>$Z$2</formula>
    </cfRule>
  </conditionalFormatting>
  <pageMargins left="0.7" right="0.7" top="0.75" bottom="0.75" header="0.3" footer="0.3"/>
  <pageSetup paperSize="9" scale="2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3" operator="containsText" id="{BAE8DDF5-2197-4290-B6DC-33CD06578574}">
            <xm:f>NOT(ISERROR(SEARCH($X$3,N1)))</xm:f>
            <xm:f>$X$3</xm:f>
            <x14:dxf>
              <fill>
                <patternFill>
                  <bgColor rgb="FFFF0000"/>
                </patternFill>
              </fill>
            </x14:dxf>
          </x14:cfRule>
          <x14:cfRule type="containsText" priority="104" operator="containsText" id="{448BE59E-B378-4FD7-96FC-130B78E42DE8}">
            <xm:f>NOT(ISERROR(SEARCH($W$3,N1)))</xm:f>
            <xm:f>$W$3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" operator="containsText" id="{863523B4-9549-4EDE-A997-39C9154DDBBC}">
            <xm:f>NOT(ISERROR(SEARCH($V$3,N1)))</xm:f>
            <xm:f>$V$3</xm:f>
            <x14:dxf>
              <fill>
                <patternFill>
                  <bgColor rgb="FFFF0000"/>
                </patternFill>
              </fill>
            </x14:dxf>
          </x14:cfRule>
          <x14:cfRule type="containsText" priority="106" operator="containsText" id="{5BFCB8E9-38DA-4357-BDB1-53593B7597E5}">
            <xm:f>NOT(ISERROR(SEARCH($X$2,N1)))</xm:f>
            <xm:f>$X$2</xm:f>
            <x14:dxf>
              <fill>
                <patternFill>
                  <bgColor rgb="FFFF0000"/>
                </patternFill>
              </fill>
            </x14:dxf>
          </x14:cfRule>
          <x14:cfRule type="containsText" priority="107" operator="containsText" id="{8D7E0D39-764F-48DC-BA0B-098EC56B2602}">
            <xm:f>NOT(ISERROR(SEARCH($W$2,N1)))</xm:f>
            <xm:f>$W$2</xm:f>
            <x14:dxf>
              <fill>
                <patternFill>
                  <bgColor rgb="FFFF0000"/>
                </patternFill>
              </fill>
            </x14:dxf>
          </x14:cfRule>
          <x14:cfRule type="containsText" priority="108" operator="containsText" id="{F9081841-C2CD-4AFA-BD2C-286B39E89482}">
            <xm:f>NOT(ISERROR(SEARCH($V$2,N1)))</xm:f>
            <xm:f>$V$2</xm:f>
            <x14:dxf>
              <fill>
                <patternFill>
                  <bgColor rgb="FFFF0000"/>
                </patternFill>
              </fill>
            </x14:dxf>
          </x14:cfRule>
          <x14:cfRule type="containsText" priority="111" operator="containsText" id="{88C762FB-8A6E-45F7-B272-F0616780A493}">
            <xm:f>NOT(ISERROR(SEARCH($Y$3,N1)))</xm:f>
            <xm:f>$Y$3</xm:f>
            <x14:dxf>
              <fill>
                <patternFill>
                  <bgColor rgb="FFFF0000"/>
                </patternFill>
              </fill>
            </x14:dxf>
          </x14:cfRule>
          <x14:cfRule type="containsText" priority="112" operator="containsText" id="{52EB3DCE-BF97-40F3-8AB1-1CC7F46F488C}">
            <xm:f>NOT(ISERROR(SEARCH($Y$2,N1)))</xm:f>
            <xm:f>$Y$2</xm:f>
            <x14:dxf>
              <fill>
                <patternFill>
                  <bgColor rgb="FFFF0000"/>
                </patternFill>
              </fill>
            </x14:dxf>
          </x14:cfRule>
          <xm:sqref>N1:O7 O8</xm:sqref>
        </x14:conditionalFormatting>
        <x14:conditionalFormatting xmlns:xm="http://schemas.microsoft.com/office/excel/2006/main">
          <x14:cfRule type="containsText" priority="1" operator="containsText" id="{76EE1C59-B658-4D66-8B4C-9A774D4AE824}">
            <xm:f>NOT(ISERROR(SEARCH($X$3,N9)))</xm:f>
            <xm:f>$X$3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432E7B3A-B444-4F75-8887-B9493D8EDB0E}">
            <xm:f>NOT(ISERROR(SEARCH($W$3,N9)))</xm:f>
            <xm:f>$W$3</xm:f>
            <x14:dxf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D9CC122A-A1B3-40A0-9322-59EA993D2860}">
            <xm:f>NOT(ISERROR(SEARCH($V$3,N9)))</xm:f>
            <xm:f>$V$3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operator="containsText" id="{32994B0E-353E-4744-8DAA-EC12087664A2}">
            <xm:f>NOT(ISERROR(SEARCH($X$2,N9)))</xm:f>
            <xm:f>$X$2</xm:f>
            <x14:dxf>
              <fill>
                <patternFill>
                  <bgColor rgb="FFFF0000"/>
                </patternFill>
              </fill>
            </x14:dxf>
          </x14:cfRule>
          <x14:cfRule type="containsText" priority="5" operator="containsText" id="{52DE1553-BC71-4063-A417-74EDC077D264}">
            <xm:f>NOT(ISERROR(SEARCH($W$2,N9)))</xm:f>
            <xm:f>$W$2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38E5015D-789D-49D8-B945-F7408E122B60}">
            <xm:f>NOT(ISERROR(SEARCH($V$2,N9)))</xm:f>
            <xm:f>$V$2</xm:f>
            <x14:dxf>
              <fill>
                <patternFill>
                  <bgColor rgb="FFFF0000"/>
                </patternFill>
              </fill>
            </x14:dxf>
          </x14:cfRule>
          <x14:cfRule type="containsText" priority="9" operator="containsText" id="{F2CDD3A0-0219-499C-BD38-EC3D8CF70F9E}">
            <xm:f>NOT(ISERROR(SEARCH($Y$3,N9)))</xm:f>
            <xm:f>$Y$3</xm:f>
            <x14:dxf>
              <fill>
                <patternFill>
                  <bgColor rgb="FFFF0000"/>
                </patternFill>
              </fill>
            </x14:dxf>
          </x14:cfRule>
          <x14:cfRule type="containsText" priority="10" operator="containsText" id="{66EAD160-1505-44E8-A8AE-B26286FDB65A}">
            <xm:f>NOT(ISERROR(SEARCH($Y$2,N9)))</xm:f>
            <xm:f>$Y$2</xm:f>
            <x14:dxf>
              <fill>
                <patternFill>
                  <bgColor rgb="FFFF0000"/>
                </patternFill>
              </fill>
            </x14:dxf>
          </x14:cfRule>
          <xm:sqref>N9:O1048576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086EB3FD90254D844042CCB9278ABD" ma:contentTypeVersion="15" ma:contentTypeDescription="Crear nuevo documento." ma:contentTypeScope="" ma:versionID="1b35298b64d679dff02be016bf5dd9e8">
  <xsd:schema xmlns:xsd="http://www.w3.org/2001/XMLSchema" xmlns:xs="http://www.w3.org/2001/XMLSchema" xmlns:p="http://schemas.microsoft.com/office/2006/metadata/properties" xmlns:ns2="1010a1b8-fe2d-48bb-86f7-ee17a4853fde" xmlns:ns3="029fe502-54b4-4406-b013-9e806026c06c" targetNamespace="http://schemas.microsoft.com/office/2006/metadata/properties" ma:root="true" ma:fieldsID="e183782a711e7ff7cf6f02e801ed96e0" ns2:_="" ns3:_="">
    <xsd:import namespace="1010a1b8-fe2d-48bb-86f7-ee17a4853fde"/>
    <xsd:import namespace="029fe502-54b4-4406-b013-9e806026c0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0a1b8-fe2d-48bb-86f7-ee17a4853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41c0c66-6f98-430b-ad32-afd300242c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fe502-54b4-4406-b013-9e806026c06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d67637-b190-4129-814d-9e83681beded}" ma:internalName="TaxCatchAll" ma:showField="CatchAllData" ma:web="029fe502-54b4-4406-b013-9e806026c0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10a1b8-fe2d-48bb-86f7-ee17a4853fde">
      <Terms xmlns="http://schemas.microsoft.com/office/infopath/2007/PartnerControls"/>
    </lcf76f155ced4ddcb4097134ff3c332f>
    <TaxCatchAll xmlns="029fe502-54b4-4406-b013-9e806026c06c" xsi:nil="true"/>
  </documentManagement>
</p:properties>
</file>

<file path=customXml/itemProps1.xml><?xml version="1.0" encoding="utf-8"?>
<ds:datastoreItem xmlns:ds="http://schemas.openxmlformats.org/officeDocument/2006/customXml" ds:itemID="{94DACE24-63F4-426E-BC50-0568BA4A4E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D5A7FC-591B-4F9B-B8A3-A74DE5C52E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10a1b8-fe2d-48bb-86f7-ee17a4853fde"/>
    <ds:schemaRef ds:uri="029fe502-54b4-4406-b013-9e806026c0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ECC933-90AB-4ABB-B264-2F9B47D4F98E}">
  <ds:schemaRefs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59258bf4-5101-4bc2-a835-2334f71598dc"/>
    <ds:schemaRef ds:uri="http://schemas.openxmlformats.org/package/2006/metadata/core-properties"/>
    <ds:schemaRef ds:uri="dc5feef8-397e-497b-ac95-8afa3802b426"/>
    <ds:schemaRef ds:uri="1010a1b8-fe2d-48bb-86f7-ee17a4853fde"/>
    <ds:schemaRef ds:uri="029fe502-54b4-4406-b013-9e806026c06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Tello</dc:creator>
  <cp:lastModifiedBy>Vinicio  Flores Hernandez</cp:lastModifiedBy>
  <cp:lastPrinted>2025-02-03T15:39:55Z</cp:lastPrinted>
  <dcterms:created xsi:type="dcterms:W3CDTF">2015-05-12T20:27:40Z</dcterms:created>
  <dcterms:modified xsi:type="dcterms:W3CDTF">2026-02-03T20:06:07Z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0x01010083086EB3FD90254D844042CCB9278ABD</vt:lpwstr>
  </property>
  <property fmtid="{D5CDD505-2E9C-101B-9397-08002B2CF9AE}" pid="3" name="MediaServiceImageTags">
    <vt:lpwstr/>
  </property>
</Properties>
</file>