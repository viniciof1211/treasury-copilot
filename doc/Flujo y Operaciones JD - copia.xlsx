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euromobilia.sharepoint.com/sites/Tesorera/Documentos compartidos/Flujo de Egresos/"/>
    </mc:Choice>
  </mc:AlternateContent>
  <xr:revisionPtr revIDLastSave="3135" documentId="8_{EE471C68-D258-42E8-939F-04FBC42CCB42}" xr6:coauthVersionLast="47" xr6:coauthVersionMax="47" xr10:uidLastSave="{8A154EBF-EA8F-4C37-A506-4ADCFBBB1AC1}"/>
  <bookViews>
    <workbookView xWindow="28680" yWindow="645" windowWidth="29040" windowHeight="15720" xr2:uid="{6CABAE4A-8426-401A-AB3E-0C2899BBAB63}"/>
  </bookViews>
  <sheets>
    <sheet name="Operacione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D7" i="3"/>
  <c r="D5" i="3"/>
  <c r="L4" i="3"/>
  <c r="D4" i="3" s="1"/>
  <c r="D25" i="3" l="1"/>
  <c r="AF9" i="3" l="1"/>
  <c r="AF10" i="3" s="1"/>
  <c r="AE9" i="3"/>
  <c r="AE23" i="3" s="1"/>
  <c r="AD9" i="3"/>
  <c r="AD23" i="3" s="1"/>
  <c r="AC9" i="3"/>
  <c r="AC23" i="3" s="1"/>
  <c r="AB9" i="3"/>
  <c r="AB23" i="3" s="1"/>
  <c r="AA9" i="3"/>
  <c r="AA23" i="3" s="1"/>
  <c r="Z9" i="3"/>
  <c r="Z23" i="3" s="1"/>
  <c r="Y9" i="3"/>
  <c r="Y23" i="3" s="1"/>
  <c r="X9" i="3"/>
  <c r="X23" i="3" s="1"/>
  <c r="X5" i="3"/>
  <c r="X22" i="3" s="1"/>
  <c r="W9" i="3"/>
  <c r="W23" i="3" s="1"/>
  <c r="W4" i="3"/>
  <c r="W22" i="3" s="1"/>
  <c r="V9" i="3"/>
  <c r="V23" i="3" s="1"/>
  <c r="V5" i="3"/>
  <c r="V22" i="3" s="1"/>
  <c r="AF22" i="3"/>
  <c r="AE22" i="3"/>
  <c r="AD22" i="3"/>
  <c r="AC22" i="3"/>
  <c r="AB22" i="3"/>
  <c r="AA22" i="3"/>
  <c r="Z22" i="3"/>
  <c r="Y22" i="3"/>
  <c r="U23" i="3"/>
  <c r="U22" i="3"/>
  <c r="AF19" i="3"/>
  <c r="AE19" i="3"/>
  <c r="AD19" i="3"/>
  <c r="AC19" i="3"/>
  <c r="AB19" i="3"/>
  <c r="AA19" i="3"/>
  <c r="Z19" i="3"/>
  <c r="Y19" i="3"/>
  <c r="X19" i="3"/>
  <c r="W19" i="3"/>
  <c r="V19" i="3"/>
  <c r="U19" i="3"/>
  <c r="S19" i="3"/>
  <c r="R19" i="3"/>
  <c r="Q19" i="3"/>
  <c r="P19" i="3"/>
  <c r="O19" i="3"/>
  <c r="N19" i="3"/>
  <c r="M19" i="3"/>
  <c r="L19" i="3"/>
  <c r="T19" i="3"/>
  <c r="AF21" i="3"/>
  <c r="AF16" i="3"/>
  <c r="AF13" i="3"/>
  <c r="AF23" i="3" l="1"/>
  <c r="AF24" i="3"/>
  <c r="T15" i="3"/>
  <c r="T14" i="3"/>
  <c r="T22" i="3" s="1"/>
  <c r="T9" i="3" l="1"/>
  <c r="Q8" i="3" l="1"/>
  <c r="AE21" i="3" l="1"/>
  <c r="AE16" i="3"/>
  <c r="AE13" i="3"/>
  <c r="AE10" i="3"/>
  <c r="AE24" i="3" l="1"/>
  <c r="S4" i="3"/>
  <c r="S16" i="3"/>
  <c r="S9" i="3"/>
  <c r="S8" i="3"/>
  <c r="S12" i="3"/>
  <c r="S11" i="3"/>
  <c r="S5" i="3"/>
  <c r="S13" i="3" l="1"/>
  <c r="S7" i="3"/>
  <c r="S10" i="3" s="1"/>
  <c r="O23" i="3" l="1"/>
  <c r="R22" i="3"/>
  <c r="P22" i="3"/>
  <c r="O22" i="3"/>
  <c r="N22" i="3"/>
  <c r="M22" i="3"/>
  <c r="T23" i="3"/>
  <c r="S23" i="3"/>
  <c r="AD21" i="3"/>
  <c r="AD16" i="3"/>
  <c r="AD13" i="3"/>
  <c r="S22" i="3"/>
  <c r="AD10" i="3" l="1"/>
  <c r="AD24" i="3" s="1"/>
  <c r="R9" i="3" l="1"/>
  <c r="R23" i="3" s="1"/>
  <c r="R10" i="3" l="1"/>
  <c r="AC13" i="3" l="1"/>
  <c r="AB13" i="3"/>
  <c r="AA13" i="3"/>
  <c r="Y10" i="3" l="1"/>
  <c r="W10" i="3"/>
  <c r="T10" i="3"/>
  <c r="X10" i="3"/>
  <c r="U10" i="3"/>
  <c r="Z10" i="3"/>
  <c r="V10" i="3"/>
  <c r="AA10" i="3"/>
  <c r="AB10" i="3"/>
  <c r="AC10" i="3"/>
  <c r="Q9" i="3"/>
  <c r="Q23" i="3" s="1"/>
  <c r="Q7" i="3"/>
  <c r="AC21" i="3"/>
  <c r="AC16" i="3"/>
  <c r="AB21" i="3"/>
  <c r="AA21" i="3"/>
  <c r="Z21" i="3"/>
  <c r="Y21" i="3"/>
  <c r="X21" i="3"/>
  <c r="W21" i="3"/>
  <c r="V21" i="3"/>
  <c r="U21" i="3"/>
  <c r="T21" i="3"/>
  <c r="S21" i="3"/>
  <c r="S24" i="3" s="1"/>
  <c r="R21" i="3"/>
  <c r="Q21" i="3"/>
  <c r="P21" i="3"/>
  <c r="O21" i="3"/>
  <c r="N21" i="3"/>
  <c r="M21" i="3"/>
  <c r="L21" i="3"/>
  <c r="AB16" i="3"/>
  <c r="AA16" i="3"/>
  <c r="Z16" i="3"/>
  <c r="Y16" i="3"/>
  <c r="X16" i="3"/>
  <c r="W16" i="3"/>
  <c r="V16" i="3"/>
  <c r="U16" i="3"/>
  <c r="T16" i="3"/>
  <c r="R16" i="3"/>
  <c r="Q16" i="3"/>
  <c r="P16" i="3"/>
  <c r="O16" i="3"/>
  <c r="N16" i="3"/>
  <c r="M16" i="3"/>
  <c r="L16" i="3"/>
  <c r="Z13" i="3"/>
  <c r="Y13" i="3"/>
  <c r="X13" i="3"/>
  <c r="W13" i="3"/>
  <c r="V13" i="3"/>
  <c r="U13" i="3"/>
  <c r="T13" i="3"/>
  <c r="Q13" i="3"/>
  <c r="P13" i="3"/>
  <c r="O13" i="3"/>
  <c r="N13" i="3"/>
  <c r="M13" i="3"/>
  <c r="L13" i="3"/>
  <c r="R13" i="3"/>
  <c r="O10" i="3"/>
  <c r="L10" i="3"/>
  <c r="P9" i="3"/>
  <c r="P23" i="3" s="1"/>
  <c r="N9" i="3"/>
  <c r="N23" i="3" s="1"/>
  <c r="M9" i="3"/>
  <c r="M23" i="3" s="1"/>
  <c r="M24" i="3" s="1"/>
  <c r="V24" i="3" l="1"/>
  <c r="W24" i="3"/>
  <c r="AA24" i="3"/>
  <c r="Z24" i="3"/>
  <c r="X24" i="3"/>
  <c r="AC24" i="3"/>
  <c r="AB24" i="3"/>
  <c r="Y24" i="3"/>
  <c r="U24" i="3"/>
  <c r="T24" i="3"/>
  <c r="L24" i="3"/>
  <c r="M10" i="3"/>
  <c r="N10" i="3"/>
  <c r="N24" i="3" s="1"/>
  <c r="P10" i="3"/>
  <c r="P24" i="3" s="1"/>
  <c r="R24" i="3"/>
  <c r="O24" i="3"/>
  <c r="Q10" i="3" l="1"/>
  <c r="Q24" i="3" s="1"/>
  <c r="Q22" i="3"/>
</calcChain>
</file>

<file path=xl/sharedStrings.xml><?xml version="1.0" encoding="utf-8"?>
<sst xmlns="http://schemas.openxmlformats.org/spreadsheetml/2006/main" count="73" uniqueCount="49">
  <si>
    <t>Banco</t>
  </si>
  <si>
    <t>Lineas</t>
  </si>
  <si>
    <t>Monto Original</t>
  </si>
  <si>
    <t>Capital actualizado</t>
  </si>
  <si>
    <t>Inicia</t>
  </si>
  <si>
    <t>Vencimiento</t>
  </si>
  <si>
    <t>Garantias</t>
  </si>
  <si>
    <t>Tipo de linea</t>
  </si>
  <si>
    <t>Tasa promedio</t>
  </si>
  <si>
    <t>Tipo</t>
  </si>
  <si>
    <t>Mayo 25</t>
  </si>
  <si>
    <t>Junio 25</t>
  </si>
  <si>
    <t>Julio 25</t>
  </si>
  <si>
    <t>Agosto 25</t>
  </si>
  <si>
    <t>Septiembre 25</t>
  </si>
  <si>
    <t>Octubre 25</t>
  </si>
  <si>
    <t>Noviembre 25</t>
  </si>
  <si>
    <t>Diciembre 25</t>
  </si>
  <si>
    <t>Enero 26</t>
  </si>
  <si>
    <t>Febrero 26</t>
  </si>
  <si>
    <t>Marzo 26</t>
  </si>
  <si>
    <t>Abril 26</t>
  </si>
  <si>
    <t>Mayo 26</t>
  </si>
  <si>
    <t>Junio 26</t>
  </si>
  <si>
    <t>Nacional</t>
  </si>
  <si>
    <t>Real</t>
  </si>
  <si>
    <t>Revolutiva</t>
  </si>
  <si>
    <t>Principal</t>
  </si>
  <si>
    <t>Pagaré</t>
  </si>
  <si>
    <t>No Revolutiva</t>
  </si>
  <si>
    <t>Intereses</t>
  </si>
  <si>
    <t>Subtotal Nacional</t>
  </si>
  <si>
    <t>Bac San Jose</t>
  </si>
  <si>
    <t>Línea Capital trabajo</t>
  </si>
  <si>
    <t>Subtotal Bac San Jose</t>
  </si>
  <si>
    <t>Promerica</t>
  </si>
  <si>
    <t>Letra y Fianza</t>
  </si>
  <si>
    <t>Subtotal Promerica</t>
  </si>
  <si>
    <t>Davivienda</t>
  </si>
  <si>
    <t>Sobregiro cta#66826</t>
  </si>
  <si>
    <r>
      <t>$100,000 (</t>
    </r>
    <r>
      <rPr>
        <sz val="11"/>
        <color theme="1"/>
        <rFont val="Aptos Narrow"/>
        <family val="2"/>
      </rPr>
      <t>₵60,216,000)</t>
    </r>
  </si>
  <si>
    <t>Letra</t>
  </si>
  <si>
    <t>9% anual</t>
  </si>
  <si>
    <t>Subtotal Davivienda</t>
  </si>
  <si>
    <t>Total general</t>
  </si>
  <si>
    <t xml:space="preserve">Subtotal general de Principal </t>
  </si>
  <si>
    <t>Subtotal general de Intereses</t>
  </si>
  <si>
    <t>Disponible 31-12</t>
  </si>
  <si>
    <t>Revolutiva y Garantias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</si>
</sst>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[$$-540A]#,##0.00"/>
    <numFmt numFmtId="167" formatCode="&quot;₡&quot;#,##0.00"/>
    <numFmt numFmtId="168" formatCode="0.0%"/>
    <numFmt numFmtId="169" formatCode="_(* #,##0_);_(* \(#,##0\);_(* &quot;-&quot;??_);_(@_)"/>
    <numFmt numFmtId="170" formatCode="[$$-540A]#,##0"/>
    <numFmt numFmtId="171" formatCode="&quot;₡&quot;#,##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11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0">
    <xf numFmtId="0" fontId="0" fillId="0" borderId="0" xfId="0"/>
    <xf numFmtId="0" fontId="4" fillId="0" borderId="0" xfId="2"/>
    <xf numFmtId="0" fontId="4" fillId="0" borderId="0" xfId="2" applyAlignment="1">
      <alignment horizontal="center"/>
    </xf>
    <xf numFmtId="0" fontId="5" fillId="0" borderId="0" xfId="2" applyFont="1"/>
    <xf numFmtId="0" fontId="1" fillId="0" borderId="0" xfId="2" applyFont="1"/>
    <xf numFmtId="9" fontId="0" fillId="0" borderId="0" xfId="4" applyFont="1" applyAlignment="1">
      <alignment horizontal="center"/>
    </xf>
    <xf numFmtId="0" fontId="3" fillId="0" borderId="0" xfId="2" applyFont="1" applyAlignment="1">
      <alignment horizontal="center" vertical="center"/>
    </xf>
    <xf numFmtId="14" fontId="1" fillId="0" borderId="0" xfId="2" applyNumberFormat="1" applyFont="1" applyAlignment="1">
      <alignment horizontal="right" vertical="center" wrapText="1"/>
    </xf>
    <xf numFmtId="14" fontId="1" fillId="0" borderId="0" xfId="2" applyNumberFormat="1" applyFont="1" applyAlignment="1">
      <alignment horizontal="center" vertical="center" wrapText="1"/>
    </xf>
    <xf numFmtId="14" fontId="1" fillId="0" borderId="0" xfId="2" applyNumberFormat="1" applyFont="1" applyAlignment="1">
      <alignment horizontal="left" vertical="center" wrapText="1"/>
    </xf>
    <xf numFmtId="9" fontId="1" fillId="0" borderId="0" xfId="4" applyFont="1" applyAlignment="1">
      <alignment horizontal="center" vertical="center" wrapText="1"/>
    </xf>
    <xf numFmtId="167" fontId="1" fillId="0" borderId="0" xfId="2" applyNumberFormat="1" applyFont="1" applyAlignment="1">
      <alignment horizontal="right" vertical="center" wrapText="1"/>
    </xf>
    <xf numFmtId="0" fontId="5" fillId="2" borderId="4" xfId="2" applyFont="1" applyFill="1" applyBorder="1"/>
    <xf numFmtId="0" fontId="3" fillId="0" borderId="5" xfId="2" applyFont="1" applyBorder="1" applyAlignment="1">
      <alignment horizontal="center" vertical="center"/>
    </xf>
    <xf numFmtId="166" fontId="6" fillId="0" borderId="5" xfId="2" applyNumberFormat="1" applyFont="1" applyBorder="1" applyAlignment="1">
      <alignment vertical="center" wrapText="1"/>
    </xf>
    <xf numFmtId="0" fontId="5" fillId="0" borderId="5" xfId="2" applyFont="1" applyBorder="1" applyAlignment="1">
      <alignment horizontal="center" vertical="center"/>
    </xf>
    <xf numFmtId="9" fontId="5" fillId="0" borderId="5" xfId="4" applyFont="1" applyBorder="1" applyAlignment="1">
      <alignment horizontal="center" vertical="center"/>
    </xf>
    <xf numFmtId="0" fontId="5" fillId="0" borderId="5" xfId="2" applyFont="1" applyBorder="1"/>
    <xf numFmtId="14" fontId="1" fillId="0" borderId="0" xfId="2" applyNumberFormat="1" applyFont="1" applyAlignment="1">
      <alignment vertical="center"/>
    </xf>
    <xf numFmtId="0" fontId="1" fillId="0" borderId="0" xfId="2" applyFont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166" fontId="6" fillId="0" borderId="4" xfId="2" applyNumberFormat="1" applyFont="1" applyBorder="1" applyAlignment="1">
      <alignment vertical="center" wrapText="1"/>
    </xf>
    <xf numFmtId="0" fontId="5" fillId="0" borderId="4" xfId="2" applyFont="1" applyBorder="1" applyAlignment="1">
      <alignment horizontal="center" vertical="center"/>
    </xf>
    <xf numFmtId="9" fontId="5" fillId="0" borderId="4" xfId="4" applyFont="1" applyBorder="1" applyAlignment="1">
      <alignment horizontal="center" vertical="center"/>
    </xf>
    <xf numFmtId="168" fontId="1" fillId="0" borderId="0" xfId="4" applyNumberFormat="1" applyFont="1" applyAlignment="1">
      <alignment horizontal="center" vertical="center" wrapText="1"/>
    </xf>
    <xf numFmtId="0" fontId="5" fillId="2" borderId="1" xfId="2" applyFont="1" applyFill="1" applyBorder="1" applyAlignment="1">
      <alignment vertical="center"/>
    </xf>
    <xf numFmtId="0" fontId="5" fillId="2" borderId="3" xfId="2" applyFont="1" applyFill="1" applyBorder="1" applyAlignment="1">
      <alignment vertical="center"/>
    </xf>
    <xf numFmtId="0" fontId="7" fillId="4" borderId="4" xfId="2" applyFont="1" applyFill="1" applyBorder="1"/>
    <xf numFmtId="14" fontId="1" fillId="0" borderId="0" xfId="2" applyNumberFormat="1" applyFont="1" applyAlignment="1">
      <alignment horizontal="center" vertical="center"/>
    </xf>
    <xf numFmtId="169" fontId="4" fillId="0" borderId="0" xfId="3" applyNumberFormat="1" applyFont="1"/>
    <xf numFmtId="169" fontId="5" fillId="0" borderId="0" xfId="3" applyNumberFormat="1" applyFont="1"/>
    <xf numFmtId="169" fontId="5" fillId="2" borderId="4" xfId="3" applyNumberFormat="1" applyFont="1" applyFill="1" applyBorder="1"/>
    <xf numFmtId="169" fontId="4" fillId="0" borderId="5" xfId="3" applyNumberFormat="1" applyFont="1" applyBorder="1"/>
    <xf numFmtId="169" fontId="7" fillId="4" borderId="4" xfId="3" applyNumberFormat="1" applyFont="1" applyFill="1" applyBorder="1"/>
    <xf numFmtId="43" fontId="4" fillId="0" borderId="0" xfId="1" applyFont="1"/>
    <xf numFmtId="170" fontId="1" fillId="0" borderId="0" xfId="2" applyNumberFormat="1" applyFont="1" applyAlignment="1">
      <alignment horizontal="right" vertical="center" wrapText="1"/>
    </xf>
    <xf numFmtId="170" fontId="6" fillId="0" borderId="5" xfId="2" applyNumberFormat="1" applyFont="1" applyBorder="1" applyAlignment="1">
      <alignment vertical="center" wrapText="1"/>
    </xf>
    <xf numFmtId="170" fontId="6" fillId="0" borderId="4" xfId="2" applyNumberFormat="1" applyFont="1" applyBorder="1" applyAlignment="1">
      <alignment vertical="center" wrapText="1"/>
    </xf>
    <xf numFmtId="0" fontId="3" fillId="0" borderId="6" xfId="2" applyFont="1" applyBorder="1" applyAlignment="1">
      <alignment horizontal="center" vertical="center" wrapText="1"/>
    </xf>
    <xf numFmtId="0" fontId="3" fillId="0" borderId="0" xfId="2" applyFont="1" applyAlignment="1">
      <alignment horizontal="center" vertical="center" wrapText="1"/>
    </xf>
    <xf numFmtId="9" fontId="2" fillId="3" borderId="0" xfId="4" applyFont="1" applyFill="1" applyAlignment="1">
      <alignment horizontal="center" vertical="center" wrapText="1"/>
    </xf>
    <xf numFmtId="0" fontId="2" fillId="3" borderId="0" xfId="2" applyFont="1" applyFill="1" applyAlignment="1">
      <alignment horizontal="center" vertical="center" wrapText="1"/>
    </xf>
    <xf numFmtId="14" fontId="2" fillId="3" borderId="0" xfId="2" applyNumberFormat="1" applyFont="1" applyFill="1" applyAlignment="1">
      <alignment horizontal="center" vertical="center" wrapText="1"/>
    </xf>
    <xf numFmtId="0" fontId="4" fillId="0" borderId="0" xfId="2" applyAlignment="1">
      <alignment vertical="center" wrapText="1"/>
    </xf>
    <xf numFmtId="0" fontId="9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0" fontId="10" fillId="0" borderId="0" xfId="2" applyFont="1" applyAlignment="1">
      <alignment horizontal="center"/>
    </xf>
    <xf numFmtId="9" fontId="8" fillId="0" borderId="0" xfId="4" applyFont="1" applyAlignment="1">
      <alignment horizontal="center"/>
    </xf>
    <xf numFmtId="0" fontId="2" fillId="3" borderId="0" xfId="2" applyFont="1" applyFill="1" applyAlignment="1">
      <alignment horizontal="left"/>
    </xf>
    <xf numFmtId="164" fontId="2" fillId="3" borderId="0" xfId="3" applyFont="1" applyFill="1" applyAlignment="1">
      <alignment horizontal="center"/>
    </xf>
    <xf numFmtId="17" fontId="2" fillId="3" borderId="0" xfId="3" applyNumberFormat="1" applyFont="1" applyFill="1" applyAlignment="1">
      <alignment horizontal="center"/>
    </xf>
    <xf numFmtId="169" fontId="2" fillId="3" borderId="0" xfId="3" applyNumberFormat="1" applyFont="1" applyFill="1" applyAlignment="1">
      <alignment horizontal="center"/>
    </xf>
    <xf numFmtId="169" fontId="4" fillId="0" borderId="0" xfId="3" applyNumberFormat="1" applyFont="1" applyFill="1"/>
    <xf numFmtId="169" fontId="4" fillId="0" borderId="5" xfId="3" applyNumberFormat="1" applyFont="1" applyFill="1" applyBorder="1"/>
    <xf numFmtId="170" fontId="0" fillId="0" borderId="0" xfId="2" applyNumberFormat="1" applyFont="1" applyAlignment="1">
      <alignment horizontal="right" vertical="center" wrapText="1"/>
    </xf>
    <xf numFmtId="171" fontId="1" fillId="0" borderId="0" xfId="2" applyNumberFormat="1" applyFont="1" applyAlignment="1">
      <alignment horizontal="right" vertical="center" wrapText="1"/>
    </xf>
    <xf numFmtId="169" fontId="4" fillId="0" borderId="0" xfId="2" applyNumberFormat="1"/>
    <xf numFmtId="169" fontId="4" fillId="5" borderId="0" xfId="3" applyNumberFormat="1" applyFont="1" applyFill="1"/>
    <xf numFmtId="10" fontId="1" fillId="0" borderId="0" xfId="4" applyNumberFormat="1" applyFont="1" applyAlignment="1">
      <alignment horizontal="center" vertical="center" wrapText="1"/>
    </xf>
    <xf numFmtId="0" fontId="4" fillId="6" borderId="0" xfId="2" applyFill="1"/>
    <xf numFmtId="0" fontId="5" fillId="6" borderId="3" xfId="2" applyFont="1" applyFill="1" applyBorder="1" applyAlignment="1">
      <alignment vertical="center"/>
    </xf>
    <xf numFmtId="165" fontId="4" fillId="0" borderId="0" xfId="1" applyNumberFormat="1" applyFont="1"/>
    <xf numFmtId="170" fontId="5" fillId="0" borderId="0" xfId="1" applyNumberFormat="1" applyFont="1"/>
    <xf numFmtId="165" fontId="4" fillId="0" borderId="0" xfId="2" applyNumberFormat="1"/>
    <xf numFmtId="0" fontId="5" fillId="2" borderId="1" xfId="2" applyFont="1" applyFill="1" applyBorder="1" applyAlignment="1">
      <alignment vertical="center"/>
    </xf>
    <xf numFmtId="0" fontId="5" fillId="2" borderId="2" xfId="2" applyFont="1" applyFill="1" applyBorder="1" applyAlignment="1">
      <alignment vertical="center"/>
    </xf>
    <xf numFmtId="0" fontId="5" fillId="2" borderId="3" xfId="2" applyFont="1" applyFill="1" applyBorder="1" applyAlignment="1">
      <alignment vertical="center"/>
    </xf>
    <xf numFmtId="0" fontId="5" fillId="2" borderId="1" xfId="2" applyFont="1" applyFill="1" applyBorder="1" applyAlignment="1">
      <alignment horizontal="left" vertical="center"/>
    </xf>
    <xf numFmtId="0" fontId="5" fillId="2" borderId="2" xfId="2" applyFont="1" applyFill="1" applyBorder="1" applyAlignment="1">
      <alignment horizontal="left" vertical="center"/>
    </xf>
    <xf numFmtId="0" fontId="5" fillId="2" borderId="3" xfId="2" applyFont="1" applyFill="1" applyBorder="1" applyAlignment="1">
      <alignment horizontal="left" vertical="center"/>
    </xf>
  </cellXfs>
  <cellStyles count="9">
    <cellStyle name="Millares" xfId="1" builtinId="3"/>
    <cellStyle name="Millares 2" xfId="3" xr:uid="{9BE33030-7275-4852-A759-D42FAA17DE8F}"/>
    <cellStyle name="Millares 2 2" xfId="7" xr:uid="{008D089A-DABB-41D5-A0EA-EBFA1CB971DE}"/>
    <cellStyle name="Millares 3" xfId="5" xr:uid="{0FD80BCC-B595-4C9C-B521-C4AFF6ACCFC5}"/>
    <cellStyle name="Millares 3 2" xfId="8" xr:uid="{801ED8FD-D51D-42D2-AE78-0C8019967EEE}"/>
    <cellStyle name="Millares 4" xfId="6" xr:uid="{9B788C9D-019B-4FFE-81AD-8203D9A1E99C}"/>
    <cellStyle name="Normal" xfId="0" builtinId="0"/>
    <cellStyle name="Normal 2" xfId="2" xr:uid="{E75ED16A-93AE-4C58-B7ED-067AFC89E0DC}"/>
    <cellStyle name="Porcentaje 2" xfId="4" xr:uid="{AD06692E-F14F-4632-AA0F-8452283FFA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B330F-DCE6-4DA4-9060-727DE32D054C}">
  <sheetPr>
    <tabColor theme="2" tint="-0.499984740745262"/>
  </sheetPr>
  <dimension ref="A1:AF29"/>
  <sheetViews>
    <sheetView showGridLines="0" tabSelected="1" topLeftCell="I1" zoomScale="115" zoomScaleNormal="115" workbookViewId="0">
      <selection activeCell="Y15" sqref="Y15"/>
    </sheetView>
  </sheetViews>
  <sheetFormatPr baseColWidth="10" defaultColWidth="11.42578125" defaultRowHeight="15.75" outlineLevelCol="1" x14ac:dyDescent="0.25"/>
  <cols>
    <col min="1" max="1" width="13" style="1" bestFit="1" customWidth="1"/>
    <col min="2" max="2" width="19.5703125" style="4" bestFit="1" customWidth="1"/>
    <col min="3" max="3" width="22.140625" style="1" bestFit="1" customWidth="1"/>
    <col min="4" max="4" width="15.7109375" style="1" bestFit="1" customWidth="1"/>
    <col min="5" max="5" width="11.28515625" style="1" bestFit="1" customWidth="1"/>
    <col min="6" max="6" width="12.140625" style="2" bestFit="1" customWidth="1"/>
    <col min="7" max="7" width="12.42578125" style="2" bestFit="1" customWidth="1"/>
    <col min="8" max="8" width="20.5703125" style="2" bestFit="1" customWidth="1"/>
    <col min="9" max="9" width="9.7109375" style="5" bestFit="1" customWidth="1"/>
    <col min="10" max="10" width="9.85546875" style="5" hidden="1" customWidth="1"/>
    <col min="11" max="11" width="21.5703125" style="1" bestFit="1" customWidth="1"/>
    <col min="12" max="12" width="17.5703125" style="1" bestFit="1" customWidth="1"/>
    <col min="13" max="16" width="14.5703125" style="1" hidden="1" customWidth="1" outlineLevel="1"/>
    <col min="17" max="17" width="15.5703125" style="1" hidden="1" customWidth="1" outlineLevel="1"/>
    <col min="18" max="18" width="14.5703125" style="1" hidden="1" customWidth="1" outlineLevel="1"/>
    <col min="19" max="19" width="15" style="1" hidden="1" customWidth="1" outlineLevel="1"/>
    <col min="20" max="20" width="14.7109375" style="1" bestFit="1" customWidth="1" collapsed="1"/>
    <col min="21" max="23" width="14.7109375" style="1" bestFit="1" customWidth="1"/>
    <col min="24" max="27" width="14.5703125" style="1" bestFit="1" customWidth="1"/>
    <col min="28" max="32" width="13" style="1" bestFit="1" customWidth="1"/>
    <col min="33" max="16384" width="11.42578125" style="1"/>
  </cols>
  <sheetData>
    <row r="1" spans="1:32" x14ac:dyDescent="0.25">
      <c r="B1" s="4">
        <v>505</v>
      </c>
    </row>
    <row r="2" spans="1:32" s="44" customFormat="1" ht="21" x14ac:dyDescent="0.35">
      <c r="B2" s="45"/>
      <c r="C2" s="46"/>
      <c r="D2" s="46"/>
      <c r="E2" s="46"/>
      <c r="I2" s="47"/>
      <c r="J2" s="47"/>
    </row>
    <row r="3" spans="1:32" s="43" customFormat="1" ht="30" x14ac:dyDescent="0.25">
      <c r="A3" s="41" t="s">
        <v>0</v>
      </c>
      <c r="B3" s="41" t="s">
        <v>1</v>
      </c>
      <c r="C3" s="42" t="s">
        <v>2</v>
      </c>
      <c r="D3" s="42" t="s">
        <v>3</v>
      </c>
      <c r="E3" s="42" t="s">
        <v>4</v>
      </c>
      <c r="F3" s="41" t="s">
        <v>5</v>
      </c>
      <c r="G3" s="41" t="s">
        <v>6</v>
      </c>
      <c r="H3" s="41" t="s">
        <v>7</v>
      </c>
      <c r="I3" s="40" t="s">
        <v>8</v>
      </c>
      <c r="J3" s="40"/>
      <c r="K3" s="48" t="s">
        <v>9</v>
      </c>
      <c r="L3" s="49" t="s">
        <v>47</v>
      </c>
      <c r="M3" s="49" t="s">
        <v>10</v>
      </c>
      <c r="N3" s="49" t="s">
        <v>11</v>
      </c>
      <c r="O3" s="51" t="s">
        <v>12</v>
      </c>
      <c r="P3" s="49" t="s">
        <v>13</v>
      </c>
      <c r="Q3" s="49" t="s">
        <v>14</v>
      </c>
      <c r="R3" s="49" t="s">
        <v>15</v>
      </c>
      <c r="S3" s="49" t="s">
        <v>16</v>
      </c>
      <c r="T3" s="49" t="s">
        <v>17</v>
      </c>
      <c r="U3" s="50" t="s">
        <v>18</v>
      </c>
      <c r="V3" s="50" t="s">
        <v>19</v>
      </c>
      <c r="W3" s="50" t="s">
        <v>20</v>
      </c>
      <c r="X3" s="50" t="s">
        <v>21</v>
      </c>
      <c r="Y3" s="50" t="s">
        <v>22</v>
      </c>
      <c r="Z3" s="50" t="s">
        <v>23</v>
      </c>
      <c r="AA3" s="50">
        <v>46204</v>
      </c>
      <c r="AB3" s="50">
        <v>46235</v>
      </c>
      <c r="AC3" s="50">
        <v>46266</v>
      </c>
      <c r="AD3" s="50">
        <v>46296</v>
      </c>
      <c r="AE3" s="50">
        <v>46327</v>
      </c>
      <c r="AF3" s="50">
        <v>46357</v>
      </c>
    </row>
    <row r="4" spans="1:32" s="3" customFormat="1" x14ac:dyDescent="0.25">
      <c r="A4" s="64" t="s">
        <v>24</v>
      </c>
      <c r="B4" s="6">
        <v>997013</v>
      </c>
      <c r="C4" s="35">
        <v>4500000</v>
      </c>
      <c r="D4" s="35">
        <f>+C4-L4</f>
        <v>4454425.4800000004</v>
      </c>
      <c r="E4" s="7">
        <v>45324</v>
      </c>
      <c r="F4" s="8">
        <v>46420</v>
      </c>
      <c r="G4" s="8" t="s">
        <v>25</v>
      </c>
      <c r="H4" s="9" t="s">
        <v>26</v>
      </c>
      <c r="I4" s="58">
        <v>0.06</v>
      </c>
      <c r="J4" s="10"/>
      <c r="K4" s="3" t="s">
        <v>27</v>
      </c>
      <c r="L4" s="29">
        <f>534+45040.52</f>
        <v>45574.52</v>
      </c>
      <c r="M4" s="29">
        <v>493715.83</v>
      </c>
      <c r="N4" s="52">
        <v>527053.1</v>
      </c>
      <c r="O4" s="29">
        <v>387051.4</v>
      </c>
      <c r="P4" s="29">
        <v>1391431.81</v>
      </c>
      <c r="Q4" s="52">
        <v>855734.94</v>
      </c>
      <c r="R4" s="29">
        <v>770792.66</v>
      </c>
      <c r="S4" s="52">
        <f>487796.35+515073.24+193.4</f>
        <v>1003062.99</v>
      </c>
      <c r="T4" s="52">
        <v>45040.52</v>
      </c>
      <c r="U4" s="52">
        <v>730019.57</v>
      </c>
      <c r="V4" s="29">
        <v>436145.71</v>
      </c>
      <c r="W4" s="29">
        <f>634000+436145.71</f>
        <v>1070145.71</v>
      </c>
      <c r="X4" s="29">
        <v>379257.34</v>
      </c>
      <c r="Y4" s="29">
        <v>379257.34</v>
      </c>
      <c r="Z4" s="29">
        <v>336828.94</v>
      </c>
      <c r="AA4" s="29">
        <v>299992.74</v>
      </c>
      <c r="AB4" s="29">
        <v>275554.62</v>
      </c>
      <c r="AC4" s="29">
        <v>158851.54999999999</v>
      </c>
      <c r="AD4" s="29">
        <v>130262.99</v>
      </c>
      <c r="AE4" s="29">
        <v>81772.34</v>
      </c>
      <c r="AF4" s="29">
        <v>23487.200000000001</v>
      </c>
    </row>
    <row r="5" spans="1:32" x14ac:dyDescent="0.25">
      <c r="A5" s="65"/>
      <c r="B5" s="6">
        <v>1050173</v>
      </c>
      <c r="C5" s="35">
        <v>2000000</v>
      </c>
      <c r="D5" s="35">
        <f>+C5-L5</f>
        <v>1962974.72</v>
      </c>
      <c r="E5" s="7">
        <v>45681</v>
      </c>
      <c r="F5" s="8">
        <v>46776</v>
      </c>
      <c r="G5" s="8" t="s">
        <v>28</v>
      </c>
      <c r="H5" s="9" t="s">
        <v>26</v>
      </c>
      <c r="I5" s="58">
        <v>0.06</v>
      </c>
      <c r="J5" s="10"/>
      <c r="K5" s="3" t="s">
        <v>27</v>
      </c>
      <c r="L5" s="29">
        <v>37025.279999999999</v>
      </c>
      <c r="M5" s="29">
        <v>222075.73</v>
      </c>
      <c r="N5" s="52">
        <v>223236.9</v>
      </c>
      <c r="O5" s="29">
        <v>253976.85</v>
      </c>
      <c r="P5" s="29">
        <v>215669.9</v>
      </c>
      <c r="Q5" s="52">
        <v>621536.79</v>
      </c>
      <c r="R5" s="29">
        <v>250327.53</v>
      </c>
      <c r="S5" s="52">
        <f>337041.78+435629.15</f>
        <v>772670.93</v>
      </c>
      <c r="T5" s="52">
        <v>37025.279999999999</v>
      </c>
      <c r="U5" s="52">
        <v>393271.2</v>
      </c>
      <c r="V5" s="29">
        <f>79000+170204.84</f>
        <v>249204.84</v>
      </c>
      <c r="W5" s="29">
        <v>170204.84</v>
      </c>
      <c r="X5" s="29">
        <f>75000+170204.84</f>
        <v>245204.84</v>
      </c>
      <c r="Y5" s="29">
        <v>170204.84</v>
      </c>
      <c r="Z5" s="29">
        <v>170204.84</v>
      </c>
      <c r="AA5" s="29">
        <v>170204.84</v>
      </c>
      <c r="AB5" s="29">
        <v>150688.54999999999</v>
      </c>
      <c r="AC5" s="29">
        <v>132955.17000000001</v>
      </c>
      <c r="AD5" s="29">
        <v>86476.17</v>
      </c>
      <c r="AE5" s="29">
        <v>60917.64</v>
      </c>
      <c r="AF5" s="29">
        <v>9148.98</v>
      </c>
    </row>
    <row r="6" spans="1:32" x14ac:dyDescent="0.25">
      <c r="A6" s="65"/>
      <c r="B6" s="6">
        <v>996993</v>
      </c>
      <c r="C6" s="35">
        <v>300000</v>
      </c>
      <c r="D6" s="35">
        <v>300000</v>
      </c>
      <c r="E6" s="7">
        <v>45324</v>
      </c>
      <c r="F6" s="8">
        <v>46420</v>
      </c>
      <c r="G6" s="8" t="s">
        <v>25</v>
      </c>
      <c r="H6" s="9" t="s">
        <v>26</v>
      </c>
      <c r="I6" s="58">
        <v>0.06</v>
      </c>
      <c r="J6" s="10"/>
      <c r="K6" s="3" t="s">
        <v>27</v>
      </c>
      <c r="L6" s="29"/>
      <c r="M6" s="29">
        <v>0</v>
      </c>
      <c r="N6" s="52">
        <v>0</v>
      </c>
      <c r="O6" s="29">
        <v>0</v>
      </c>
      <c r="P6" s="29">
        <v>0</v>
      </c>
      <c r="Q6" s="29">
        <v>0</v>
      </c>
      <c r="R6" s="29">
        <v>300000</v>
      </c>
      <c r="S6" s="52"/>
      <c r="T6" s="29"/>
      <c r="U6" s="29"/>
      <c r="V6" s="29"/>
      <c r="W6" s="29"/>
      <c r="X6" s="29">
        <v>300000</v>
      </c>
      <c r="Y6" s="30"/>
      <c r="Z6" s="30"/>
      <c r="AA6" s="30"/>
      <c r="AB6" s="30"/>
      <c r="AC6" s="30"/>
      <c r="AD6" s="30"/>
      <c r="AE6" s="30"/>
      <c r="AF6" s="30"/>
    </row>
    <row r="7" spans="1:32" x14ac:dyDescent="0.25">
      <c r="A7" s="65"/>
      <c r="B7" s="6">
        <v>31079158</v>
      </c>
      <c r="C7" s="55">
        <v>1860000000</v>
      </c>
      <c r="D7" s="35">
        <f>947183452.03/509</f>
        <v>1860871.2220628683</v>
      </c>
      <c r="E7" s="7">
        <v>44231</v>
      </c>
      <c r="F7" s="8">
        <v>48614</v>
      </c>
      <c r="G7" s="8" t="s">
        <v>25</v>
      </c>
      <c r="H7" s="9" t="s">
        <v>29</v>
      </c>
      <c r="I7" s="58">
        <v>7.8799999999999995E-2</v>
      </c>
      <c r="J7" s="10"/>
      <c r="K7" s="3" t="s">
        <v>27</v>
      </c>
      <c r="L7" s="29"/>
      <c r="M7" s="29">
        <v>38899.252158415838</v>
      </c>
      <c r="N7" s="52">
        <v>15851.693215686275</v>
      </c>
      <c r="O7" s="29">
        <v>15590.451633858267</v>
      </c>
      <c r="P7" s="29">
        <v>15697.105669291337</v>
      </c>
      <c r="Q7" s="29">
        <f>8235635.51/509</f>
        <v>16180.03047151277</v>
      </c>
      <c r="R7" s="57">
        <v>12669.097878192535</v>
      </c>
      <c r="S7" s="52">
        <f>8252821.23/508</f>
        <v>16245.711082677166</v>
      </c>
      <c r="T7" s="57">
        <v>16600.000225409836</v>
      </c>
      <c r="U7" s="57">
        <v>16491.675460000002</v>
      </c>
      <c r="V7" s="57">
        <v>16491.675460000002</v>
      </c>
      <c r="W7" s="57">
        <v>16491.675460000002</v>
      </c>
      <c r="X7" s="57">
        <v>16491.675460000002</v>
      </c>
      <c r="Y7" s="57">
        <v>16491.675460000002</v>
      </c>
      <c r="Z7" s="57">
        <v>16491.675460000002</v>
      </c>
      <c r="AA7" s="57">
        <v>16491.675460000002</v>
      </c>
      <c r="AB7" s="57">
        <v>16491.675460000002</v>
      </c>
      <c r="AC7" s="57">
        <v>16491.675460000002</v>
      </c>
      <c r="AD7" s="57">
        <v>16491.675460000002</v>
      </c>
      <c r="AE7" s="57">
        <v>16491.675460000002</v>
      </c>
      <c r="AF7" s="57">
        <v>16491.675460000002</v>
      </c>
    </row>
    <row r="8" spans="1:32" x14ac:dyDescent="0.25">
      <c r="A8" s="65"/>
      <c r="B8" s="6">
        <v>35938451</v>
      </c>
      <c r="C8" s="55">
        <v>6314977753</v>
      </c>
      <c r="D8" s="35">
        <f>5001501961.1/509</f>
        <v>9826133.5188605115</v>
      </c>
      <c r="E8" s="7">
        <v>44952</v>
      </c>
      <c r="F8" s="8">
        <v>49335</v>
      </c>
      <c r="G8" s="8" t="s">
        <v>25</v>
      </c>
      <c r="H8" s="9" t="s">
        <v>29</v>
      </c>
      <c r="I8" s="58">
        <v>7.8799999999999995E-2</v>
      </c>
      <c r="J8" s="10"/>
      <c r="K8" s="3" t="s">
        <v>27</v>
      </c>
      <c r="L8" s="29"/>
      <c r="M8" s="29">
        <v>81435.929386138625</v>
      </c>
      <c r="N8" s="52">
        <v>57384.025352941178</v>
      </c>
      <c r="O8" s="29">
        <v>60238.630826771652</v>
      </c>
      <c r="P8" s="29">
        <v>58001.378562992126</v>
      </c>
      <c r="Q8" s="29">
        <f>30121369.15/509</f>
        <v>59177.542534381137</v>
      </c>
      <c r="R8" s="57">
        <v>61683.767819253437</v>
      </c>
      <c r="S8" s="52">
        <f>30507160.03/508</f>
        <v>60053.464625984256</v>
      </c>
      <c r="T8" s="57">
        <v>65159.781598360656</v>
      </c>
      <c r="U8" s="57">
        <v>62206.739679999999</v>
      </c>
      <c r="V8" s="57">
        <v>62206.739679999999</v>
      </c>
      <c r="W8" s="57">
        <v>62206.739679999999</v>
      </c>
      <c r="X8" s="57">
        <v>62206.739679999999</v>
      </c>
      <c r="Y8" s="57">
        <v>62206.739679999999</v>
      </c>
      <c r="Z8" s="57">
        <v>62206.739679999999</v>
      </c>
      <c r="AA8" s="57">
        <v>62206.739679999999</v>
      </c>
      <c r="AB8" s="57">
        <v>62206.739679999999</v>
      </c>
      <c r="AC8" s="57">
        <v>62206.739679999999</v>
      </c>
      <c r="AD8" s="57">
        <v>62206.739679999999</v>
      </c>
      <c r="AE8" s="57">
        <v>62206.739679999999</v>
      </c>
      <c r="AF8" s="57">
        <v>62206.739679999999</v>
      </c>
    </row>
    <row r="9" spans="1:32" x14ac:dyDescent="0.25">
      <c r="A9" s="65"/>
      <c r="B9" s="6"/>
      <c r="C9" s="11"/>
      <c r="D9" s="11"/>
      <c r="E9" s="11"/>
      <c r="F9" s="8"/>
      <c r="G9" s="8"/>
      <c r="H9" s="9"/>
      <c r="I9" s="10"/>
      <c r="J9" s="10"/>
      <c r="K9" s="3" t="s">
        <v>30</v>
      </c>
      <c r="L9" s="29"/>
      <c r="M9" s="29">
        <f>81972.3504554456+31611.84</f>
        <v>113584.1904554456</v>
      </c>
      <c r="N9" s="29">
        <f>82309.5869607843+33683.35</f>
        <v>115992.93696078431</v>
      </c>
      <c r="O9" s="29">
        <v>109732.01905511811</v>
      </c>
      <c r="P9" s="29">
        <f>82076.32+33278.89</f>
        <v>115355.21</v>
      </c>
      <c r="Q9" s="29">
        <f>40677.31+79550.1908</f>
        <v>120227.50079999999</v>
      </c>
      <c r="R9" s="29">
        <f>80520.7002554028+36121.46</f>
        <v>116642.16025540279</v>
      </c>
      <c r="S9" s="29">
        <f>78865.3421653543+25888.67+26671.81</f>
        <v>131425.8221653543</v>
      </c>
      <c r="T9" s="29">
        <f>9842.02+79791.72</f>
        <v>89633.74</v>
      </c>
      <c r="U9" s="29">
        <v>78419.986039999989</v>
      </c>
      <c r="V9" s="29">
        <f>78419.98604+31757.37</f>
        <v>110177.35604</v>
      </c>
      <c r="W9" s="29">
        <f>78419.98604+31348.17</f>
        <v>109768.15604</v>
      </c>
      <c r="X9" s="29">
        <f>78419.98604+27665.82</f>
        <v>106085.80604</v>
      </c>
      <c r="Y9" s="29">
        <f>78419.98604+27665.82</f>
        <v>106085.80604</v>
      </c>
      <c r="Z9" s="29">
        <f>78419.98604+25099.09</f>
        <v>103519.07604</v>
      </c>
      <c r="AA9" s="29">
        <f>78419.98604+23960.03</f>
        <v>102380.01604</v>
      </c>
      <c r="AB9" s="29">
        <f>78419.98604+22345.83</f>
        <v>100765.81604000001</v>
      </c>
      <c r="AC9" s="29">
        <f>78419.98604+16795.65</f>
        <v>95215.636040000012</v>
      </c>
      <c r="AD9" s="29">
        <f>78419.98604+12969.97</f>
        <v>91389.956040000005</v>
      </c>
      <c r="AE9" s="29">
        <f>78419.98604+9050.72</f>
        <v>87470.706040000005</v>
      </c>
      <c r="AF9" s="29">
        <f>78419.98604+2073.61</f>
        <v>80493.596040000004</v>
      </c>
    </row>
    <row r="10" spans="1:32" x14ac:dyDescent="0.25">
      <c r="A10" s="66"/>
      <c r="B10" s="6"/>
      <c r="C10" s="11"/>
      <c r="D10" s="11"/>
      <c r="E10" s="11"/>
      <c r="F10" s="8"/>
      <c r="G10" s="8"/>
      <c r="H10" s="9"/>
      <c r="I10" s="10"/>
      <c r="J10" s="10"/>
      <c r="K10" s="12" t="s">
        <v>31</v>
      </c>
      <c r="L10" s="31">
        <f>SUM(L4:L9)</f>
        <v>82599.799999999988</v>
      </c>
      <c r="M10" s="31">
        <f>SUM(M4:M9)</f>
        <v>949710.93200000003</v>
      </c>
      <c r="N10" s="31">
        <f t="shared" ref="N10:O10" si="0">SUM(N4:N9)</f>
        <v>939518.65552941174</v>
      </c>
      <c r="O10" s="31">
        <f t="shared" si="0"/>
        <v>826589.35151574796</v>
      </c>
      <c r="P10" s="31">
        <f>SUM(P4:P9)</f>
        <v>1796155.4042322834</v>
      </c>
      <c r="Q10" s="31">
        <f>SUM(Q4:Q9)</f>
        <v>1672856.803805894</v>
      </c>
      <c r="R10" s="31">
        <f>SUM(R4:R9)</f>
        <v>1512115.2159528488</v>
      </c>
      <c r="S10" s="31">
        <f>SUM(S4:S9)</f>
        <v>1983458.9178740156</v>
      </c>
      <c r="T10" s="31">
        <f t="shared" ref="T10:AC10" si="1">SUM(T4:T9)</f>
        <v>253459.32182377047</v>
      </c>
      <c r="U10" s="31">
        <f t="shared" si="1"/>
        <v>1280409.1711800001</v>
      </c>
      <c r="V10" s="31">
        <f t="shared" si="1"/>
        <v>874226.32118000009</v>
      </c>
      <c r="W10" s="31">
        <f t="shared" si="1"/>
        <v>1428817.12118</v>
      </c>
      <c r="X10" s="31">
        <f t="shared" si="1"/>
        <v>1109246.40118</v>
      </c>
      <c r="Y10" s="31">
        <f t="shared" si="1"/>
        <v>734246.40118000004</v>
      </c>
      <c r="Z10" s="31">
        <f t="shared" si="1"/>
        <v>689251.27117999992</v>
      </c>
      <c r="AA10" s="31">
        <f t="shared" si="1"/>
        <v>651276.01118000003</v>
      </c>
      <c r="AB10" s="31">
        <f t="shared" si="1"/>
        <v>605707.40118000004</v>
      </c>
      <c r="AC10" s="31">
        <f t="shared" si="1"/>
        <v>465720.77117999998</v>
      </c>
      <c r="AD10" s="31">
        <f t="shared" ref="AD10:AE10" si="2">SUM(AD4:AD9)</f>
        <v>386827.53117999999</v>
      </c>
      <c r="AE10" s="31">
        <f t="shared" si="2"/>
        <v>308859.10118</v>
      </c>
      <c r="AF10" s="31">
        <f t="shared" ref="AF10" si="3">SUM(AF4:AF9)</f>
        <v>191828.19118000002</v>
      </c>
    </row>
    <row r="11" spans="1:32" x14ac:dyDescent="0.25">
      <c r="A11" s="67" t="s">
        <v>32</v>
      </c>
      <c r="B11" s="13"/>
      <c r="C11" s="14"/>
      <c r="D11" s="14"/>
      <c r="E11" s="14"/>
      <c r="F11" s="15"/>
      <c r="G11" s="15"/>
      <c r="H11" s="15"/>
      <c r="I11" s="16"/>
      <c r="J11" s="16"/>
      <c r="K11" s="17" t="s">
        <v>27</v>
      </c>
      <c r="L11" s="32">
        <v>133111.21799999767</v>
      </c>
      <c r="M11" s="32">
        <v>173880.14</v>
      </c>
      <c r="N11" s="53">
        <v>175721.93000000017</v>
      </c>
      <c r="O11" s="53">
        <v>176689.36</v>
      </c>
      <c r="P11" s="32">
        <v>191706.88</v>
      </c>
      <c r="Q11" s="53">
        <v>346616.88</v>
      </c>
      <c r="R11" s="32">
        <v>619937.53</v>
      </c>
      <c r="S11" s="53">
        <f>165139.92+184831.7</f>
        <v>349971.62</v>
      </c>
      <c r="T11" s="32">
        <v>132461.95000000001</v>
      </c>
      <c r="U11" s="32">
        <v>282473.46999999997</v>
      </c>
      <c r="V11" s="32">
        <v>282473.46999999997</v>
      </c>
      <c r="W11" s="32">
        <v>282473.46999999997</v>
      </c>
      <c r="X11" s="32">
        <v>282473.46999999997</v>
      </c>
      <c r="Y11" s="32">
        <v>282473.46999999997</v>
      </c>
      <c r="Z11" s="32">
        <v>282473.46999999997</v>
      </c>
      <c r="AA11" s="32">
        <v>282473.46999999997</v>
      </c>
      <c r="AB11" s="32">
        <v>155964.6</v>
      </c>
      <c r="AC11" s="32">
        <v>111232.46</v>
      </c>
      <c r="AD11" s="32">
        <v>95669.35</v>
      </c>
      <c r="AE11" s="32">
        <v>40087.839999999997</v>
      </c>
      <c r="AF11" s="32">
        <v>0</v>
      </c>
    </row>
    <row r="12" spans="1:32" x14ac:dyDescent="0.25">
      <c r="A12" s="68"/>
      <c r="B12" s="38" t="s">
        <v>33</v>
      </c>
      <c r="C12" s="35">
        <v>2000000</v>
      </c>
      <c r="D12" s="35">
        <v>1866888.7820000025</v>
      </c>
      <c r="E12" s="18">
        <v>45762</v>
      </c>
      <c r="F12" s="18">
        <v>46157</v>
      </c>
      <c r="G12" s="28" t="s">
        <v>28</v>
      </c>
      <c r="H12" s="19" t="s">
        <v>26</v>
      </c>
      <c r="I12" s="24">
        <v>7.1999999999999995E-2</v>
      </c>
      <c r="J12" s="10"/>
      <c r="K12" s="3" t="s">
        <v>30</v>
      </c>
      <c r="L12" s="29"/>
      <c r="M12" s="29">
        <v>12176.63</v>
      </c>
      <c r="N12" s="29">
        <v>10557.84</v>
      </c>
      <c r="O12" s="29">
        <v>9489.36</v>
      </c>
      <c r="P12" s="29">
        <v>10336.620000000001</v>
      </c>
      <c r="Q12" s="52">
        <v>15378.45</v>
      </c>
      <c r="R12" s="29">
        <v>10931.04</v>
      </c>
      <c r="S12" s="29">
        <f>9582.29+7507.05</f>
        <v>17089.34</v>
      </c>
      <c r="T12" s="29">
        <v>5618.98</v>
      </c>
      <c r="U12" s="29">
        <v>11623.39</v>
      </c>
      <c r="V12" s="29">
        <v>11623.39</v>
      </c>
      <c r="W12" s="29">
        <v>11623.39</v>
      </c>
      <c r="X12" s="29">
        <v>11623.39</v>
      </c>
      <c r="Y12" s="29">
        <v>11623.39</v>
      </c>
      <c r="Z12" s="29">
        <v>11623.39</v>
      </c>
      <c r="AA12" s="29">
        <v>11623.39</v>
      </c>
      <c r="AB12" s="29">
        <v>9689.83</v>
      </c>
      <c r="AC12" s="29">
        <v>7347.54</v>
      </c>
      <c r="AD12" s="29">
        <v>6416.65</v>
      </c>
      <c r="AE12" s="29">
        <v>2969.16</v>
      </c>
      <c r="AF12" s="29">
        <v>0</v>
      </c>
    </row>
    <row r="13" spans="1:32" x14ac:dyDescent="0.25">
      <c r="A13" s="69"/>
      <c r="B13" s="20"/>
      <c r="C13" s="35"/>
      <c r="D13" s="35"/>
      <c r="E13" s="21"/>
      <c r="F13" s="22"/>
      <c r="G13" s="22"/>
      <c r="H13" s="22"/>
      <c r="I13" s="23"/>
      <c r="J13" s="23"/>
      <c r="K13" s="12" t="s">
        <v>34</v>
      </c>
      <c r="L13" s="31">
        <f t="shared" ref="L13:Z13" si="4">SUM(L11:L12)</f>
        <v>133111.21799999767</v>
      </c>
      <c r="M13" s="31">
        <f t="shared" si="4"/>
        <v>186056.77000000002</v>
      </c>
      <c r="N13" s="31">
        <f t="shared" si="4"/>
        <v>186279.77000000016</v>
      </c>
      <c r="O13" s="31">
        <f t="shared" si="4"/>
        <v>186178.71999999997</v>
      </c>
      <c r="P13" s="31">
        <f t="shared" si="4"/>
        <v>202043.5</v>
      </c>
      <c r="Q13" s="31">
        <f t="shared" si="4"/>
        <v>361995.33</v>
      </c>
      <c r="R13" s="31">
        <f t="shared" si="4"/>
        <v>630868.57000000007</v>
      </c>
      <c r="S13" s="31">
        <f>SUM(S11:S12)</f>
        <v>367060.96</v>
      </c>
      <c r="T13" s="31">
        <f t="shared" si="4"/>
        <v>138080.93000000002</v>
      </c>
      <c r="U13" s="31">
        <f t="shared" si="4"/>
        <v>294096.86</v>
      </c>
      <c r="V13" s="31">
        <f t="shared" si="4"/>
        <v>294096.86</v>
      </c>
      <c r="W13" s="31">
        <f t="shared" si="4"/>
        <v>294096.86</v>
      </c>
      <c r="X13" s="31">
        <f t="shared" si="4"/>
        <v>294096.86</v>
      </c>
      <c r="Y13" s="31">
        <f t="shared" si="4"/>
        <v>294096.86</v>
      </c>
      <c r="Z13" s="31">
        <f t="shared" si="4"/>
        <v>294096.86</v>
      </c>
      <c r="AA13" s="31">
        <f>SUM(AA11:AA12)</f>
        <v>294096.86</v>
      </c>
      <c r="AB13" s="31">
        <f t="shared" ref="AB13:AC13" si="5">SUM(AB11:AB12)</f>
        <v>165654.43</v>
      </c>
      <c r="AC13" s="31">
        <f t="shared" si="5"/>
        <v>118580</v>
      </c>
      <c r="AD13" s="31">
        <f t="shared" ref="AD13:AE13" si="6">SUM(AD11:AD12)</f>
        <v>102086</v>
      </c>
      <c r="AE13" s="31">
        <f t="shared" si="6"/>
        <v>43057</v>
      </c>
      <c r="AF13" s="31">
        <f t="shared" ref="AF13" si="7">SUM(AF11:AF12)</f>
        <v>0</v>
      </c>
    </row>
    <row r="14" spans="1:32" x14ac:dyDescent="0.25">
      <c r="A14" s="67" t="s">
        <v>35</v>
      </c>
      <c r="B14" s="13"/>
      <c r="C14" s="36"/>
      <c r="D14" s="36"/>
      <c r="E14" s="14"/>
      <c r="F14" s="15"/>
      <c r="G14" s="15"/>
      <c r="H14" s="15"/>
      <c r="I14" s="16"/>
      <c r="J14" s="16"/>
      <c r="K14" s="17" t="s">
        <v>27</v>
      </c>
      <c r="L14" s="32">
        <v>238007.38999999966</v>
      </c>
      <c r="M14" s="32">
        <v>24681.599999999999</v>
      </c>
      <c r="N14" s="53">
        <v>79996.78</v>
      </c>
      <c r="O14" s="53">
        <v>80240.19</v>
      </c>
      <c r="P14" s="32">
        <v>81064.509999999995</v>
      </c>
      <c r="Q14" s="53">
        <v>81697.86</v>
      </c>
      <c r="R14" s="32">
        <v>81287.94</v>
      </c>
      <c r="S14" s="53">
        <v>113051.38</v>
      </c>
      <c r="T14" s="32">
        <f>123029.54+58201.47</f>
        <v>181231.01</v>
      </c>
      <c r="U14" s="32">
        <v>64799.98</v>
      </c>
      <c r="V14" s="32">
        <v>123001.45</v>
      </c>
      <c r="W14" s="32">
        <v>123001.45</v>
      </c>
      <c r="X14" s="32">
        <v>123001.45</v>
      </c>
      <c r="Y14" s="32">
        <v>64799.98</v>
      </c>
      <c r="Z14" s="32">
        <v>39019.06</v>
      </c>
      <c r="AA14" s="32">
        <v>39019.06</v>
      </c>
      <c r="AB14" s="32">
        <v>39019.06</v>
      </c>
      <c r="AC14" s="32">
        <v>39019.06</v>
      </c>
      <c r="AD14" s="32">
        <v>39019.06</v>
      </c>
      <c r="AE14" s="32">
        <v>8672.1</v>
      </c>
      <c r="AF14" s="32">
        <v>8672.1</v>
      </c>
    </row>
    <row r="15" spans="1:32" ht="30" x14ac:dyDescent="0.25">
      <c r="A15" s="68"/>
      <c r="B15" s="6">
        <v>118677</v>
      </c>
      <c r="C15" s="35">
        <v>1000000</v>
      </c>
      <c r="D15" s="35">
        <v>761992.61</v>
      </c>
      <c r="E15" s="8">
        <v>45960</v>
      </c>
      <c r="F15" s="8">
        <v>46325</v>
      </c>
      <c r="G15" s="8" t="s">
        <v>36</v>
      </c>
      <c r="H15" s="19" t="s">
        <v>26</v>
      </c>
      <c r="I15" s="24">
        <v>9.6600000000000005E-2</v>
      </c>
      <c r="J15" s="24"/>
      <c r="K15" s="3" t="s">
        <v>30</v>
      </c>
      <c r="L15" s="29"/>
      <c r="M15" s="29">
        <v>2501.23</v>
      </c>
      <c r="N15" s="52">
        <v>7689.76</v>
      </c>
      <c r="O15" s="29">
        <v>7446.35</v>
      </c>
      <c r="P15" s="29">
        <v>6622.0300000000007</v>
      </c>
      <c r="Q15" s="29">
        <v>5988.68</v>
      </c>
      <c r="R15" s="29">
        <v>6398.6</v>
      </c>
      <c r="S15" s="29">
        <v>7692.98</v>
      </c>
      <c r="T15" s="29">
        <f>7360.34+2302.24</f>
        <v>9662.58</v>
      </c>
      <c r="U15" s="29">
        <v>5086.1899999999996</v>
      </c>
      <c r="V15" s="29">
        <v>7388.43</v>
      </c>
      <c r="W15" s="29">
        <v>7388.43</v>
      </c>
      <c r="X15" s="29">
        <v>7388.43</v>
      </c>
      <c r="Y15" s="29">
        <v>5086.1899999999996</v>
      </c>
      <c r="Z15" s="29">
        <v>3684.28</v>
      </c>
      <c r="AA15" s="29">
        <v>3684.28</v>
      </c>
      <c r="AB15" s="29">
        <v>3684.28</v>
      </c>
      <c r="AC15" s="29">
        <v>3684.28</v>
      </c>
      <c r="AD15" s="29">
        <v>3684.28</v>
      </c>
      <c r="AE15" s="29">
        <v>973.42</v>
      </c>
      <c r="AF15" s="29">
        <v>973.42</v>
      </c>
    </row>
    <row r="16" spans="1:32" x14ac:dyDescent="0.25">
      <c r="A16" s="69"/>
      <c r="B16" s="20"/>
      <c r="C16" s="37"/>
      <c r="D16" s="37"/>
      <c r="E16" s="21"/>
      <c r="F16" s="22"/>
      <c r="G16" s="22"/>
      <c r="H16" s="22"/>
      <c r="I16" s="23"/>
      <c r="J16" s="23"/>
      <c r="K16" s="12" t="s">
        <v>37</v>
      </c>
      <c r="L16" s="31">
        <f>SUM(L14:L15)</f>
        <v>238007.38999999966</v>
      </c>
      <c r="M16" s="31">
        <f>SUM(M14:M15)</f>
        <v>27182.829999999998</v>
      </c>
      <c r="N16" s="31">
        <f t="shared" ref="N16:AB16" si="8">SUM(N14:N15)</f>
        <v>87686.54</v>
      </c>
      <c r="O16" s="31">
        <f t="shared" si="8"/>
        <v>87686.540000000008</v>
      </c>
      <c r="P16" s="31">
        <f t="shared" si="8"/>
        <v>87686.54</v>
      </c>
      <c r="Q16" s="31">
        <f t="shared" si="8"/>
        <v>87686.540000000008</v>
      </c>
      <c r="R16" s="31">
        <f t="shared" si="8"/>
        <v>87686.540000000008</v>
      </c>
      <c r="S16" s="31">
        <f>SUM(S14:S15)</f>
        <v>120744.36</v>
      </c>
      <c r="T16" s="31">
        <f t="shared" si="8"/>
        <v>190893.59</v>
      </c>
      <c r="U16" s="31">
        <f t="shared" si="8"/>
        <v>69886.17</v>
      </c>
      <c r="V16" s="31">
        <f t="shared" si="8"/>
        <v>130389.88</v>
      </c>
      <c r="W16" s="31">
        <f t="shared" si="8"/>
        <v>130389.88</v>
      </c>
      <c r="X16" s="31">
        <f t="shared" si="8"/>
        <v>130389.88</v>
      </c>
      <c r="Y16" s="31">
        <f t="shared" si="8"/>
        <v>69886.17</v>
      </c>
      <c r="Z16" s="31">
        <f t="shared" si="8"/>
        <v>42703.34</v>
      </c>
      <c r="AA16" s="31">
        <f t="shared" si="8"/>
        <v>42703.34</v>
      </c>
      <c r="AB16" s="31">
        <f t="shared" si="8"/>
        <v>42703.34</v>
      </c>
      <c r="AC16" s="31">
        <f t="shared" ref="AC16:AD16" si="9">SUM(AC14:AC15)</f>
        <v>42703.34</v>
      </c>
      <c r="AD16" s="31">
        <f t="shared" si="9"/>
        <v>42703.34</v>
      </c>
      <c r="AE16" s="31">
        <f t="shared" ref="AE16:AF16" si="10">SUM(AE14:AE15)</f>
        <v>9645.52</v>
      </c>
      <c r="AF16" s="31">
        <f t="shared" si="10"/>
        <v>9645.52</v>
      </c>
    </row>
    <row r="17" spans="1:32" x14ac:dyDescent="0.25">
      <c r="A17" s="67" t="s">
        <v>38</v>
      </c>
      <c r="B17" s="13"/>
      <c r="C17" s="36"/>
      <c r="D17" s="36"/>
      <c r="E17" s="14"/>
      <c r="F17" s="15"/>
      <c r="G17" s="15"/>
      <c r="H17" s="15"/>
      <c r="I17" s="16"/>
      <c r="J17" s="16"/>
      <c r="K17" s="17" t="s">
        <v>27</v>
      </c>
      <c r="L17" s="32">
        <v>792555.77331967209</v>
      </c>
      <c r="M17" s="32">
        <v>0</v>
      </c>
      <c r="N17" s="53">
        <v>0</v>
      </c>
      <c r="O17" s="53">
        <v>0</v>
      </c>
      <c r="P17" s="32">
        <v>0</v>
      </c>
      <c r="Q17" s="53">
        <v>0</v>
      </c>
      <c r="R17" s="32">
        <v>0</v>
      </c>
      <c r="S17" s="53">
        <v>0</v>
      </c>
      <c r="T17" s="32">
        <v>0</v>
      </c>
      <c r="U17" s="32">
        <v>45046.25</v>
      </c>
      <c r="V17" s="32">
        <v>66762.59</v>
      </c>
      <c r="W17" s="32">
        <v>66762.59</v>
      </c>
      <c r="X17" s="32">
        <v>66762.59</v>
      </c>
      <c r="Y17" s="32">
        <v>66762.59</v>
      </c>
      <c r="Z17" s="32">
        <v>66762.59</v>
      </c>
      <c r="AA17" s="32">
        <v>66762.59</v>
      </c>
      <c r="AB17" s="32">
        <v>66762.59</v>
      </c>
      <c r="AC17" s="32">
        <v>66762.59</v>
      </c>
      <c r="AD17" s="32">
        <v>66762.59</v>
      </c>
      <c r="AE17" s="32">
        <v>66762.59</v>
      </c>
      <c r="AF17" s="32">
        <v>66762.59</v>
      </c>
    </row>
    <row r="18" spans="1:32" ht="30" x14ac:dyDescent="0.25">
      <c r="A18" s="68"/>
      <c r="B18" s="6">
        <v>7786</v>
      </c>
      <c r="C18" s="35">
        <v>2000000</v>
      </c>
      <c r="D18" s="35">
        <v>1207444.2266803279</v>
      </c>
      <c r="E18" s="8">
        <v>45838</v>
      </c>
      <c r="F18" s="8">
        <v>46203</v>
      </c>
      <c r="G18" s="8" t="s">
        <v>36</v>
      </c>
      <c r="H18" s="19" t="s">
        <v>48</v>
      </c>
      <c r="I18" s="58">
        <v>7.7499999999999999E-2</v>
      </c>
      <c r="J18" s="24"/>
      <c r="K18" s="3" t="s">
        <v>30</v>
      </c>
      <c r="L18" s="29"/>
      <c r="M18" s="29">
        <v>0</v>
      </c>
      <c r="N18" s="52">
        <v>0</v>
      </c>
      <c r="O18" s="29">
        <v>0</v>
      </c>
      <c r="P18" s="29">
        <v>0</v>
      </c>
      <c r="Q18" s="29">
        <v>0</v>
      </c>
      <c r="R18" s="29">
        <v>0</v>
      </c>
      <c r="S18" s="29">
        <v>0</v>
      </c>
      <c r="T18" s="29">
        <v>0</v>
      </c>
      <c r="U18" s="29">
        <v>3016.08</v>
      </c>
      <c r="V18" s="29">
        <v>4643.58</v>
      </c>
      <c r="W18" s="29">
        <v>4643.58</v>
      </c>
      <c r="X18" s="29">
        <v>4643.58</v>
      </c>
      <c r="Y18" s="29">
        <v>4643.58</v>
      </c>
      <c r="Z18" s="29">
        <v>4643.58</v>
      </c>
      <c r="AA18" s="29">
        <v>4643.58</v>
      </c>
      <c r="AB18" s="29">
        <v>4643.58</v>
      </c>
      <c r="AC18" s="29">
        <v>4643.58</v>
      </c>
      <c r="AD18" s="29">
        <v>4643.58</v>
      </c>
      <c r="AE18" s="29">
        <v>4643.58</v>
      </c>
      <c r="AF18" s="29">
        <v>4643.58</v>
      </c>
    </row>
    <row r="19" spans="1:32" x14ac:dyDescent="0.25">
      <c r="A19" s="69"/>
      <c r="B19" s="20"/>
      <c r="C19" s="37"/>
      <c r="D19" s="37"/>
      <c r="E19" s="21"/>
      <c r="F19" s="22"/>
      <c r="G19" s="22"/>
      <c r="H19" s="22"/>
      <c r="I19" s="23"/>
      <c r="J19" s="23"/>
      <c r="K19" s="12" t="s">
        <v>37</v>
      </c>
      <c r="L19" s="31">
        <f>SUM(L17:L18)</f>
        <v>792555.77331967209</v>
      </c>
      <c r="M19" s="31">
        <f>SUM(M17:M18)</f>
        <v>0</v>
      </c>
      <c r="N19" s="31">
        <f t="shared" ref="N19:R19" si="11">SUM(N17:N18)</f>
        <v>0</v>
      </c>
      <c r="O19" s="31">
        <f t="shared" si="11"/>
        <v>0</v>
      </c>
      <c r="P19" s="31">
        <f t="shared" si="11"/>
        <v>0</v>
      </c>
      <c r="Q19" s="31">
        <f t="shared" si="11"/>
        <v>0</v>
      </c>
      <c r="R19" s="31">
        <f t="shared" si="11"/>
        <v>0</v>
      </c>
      <c r="S19" s="31">
        <f>SUM(S17:S18)</f>
        <v>0</v>
      </c>
      <c r="T19" s="31">
        <f t="shared" ref="T19:AF19" si="12">SUM(T17:T18)</f>
        <v>0</v>
      </c>
      <c r="U19" s="31">
        <f t="shared" si="12"/>
        <v>48062.33</v>
      </c>
      <c r="V19" s="31">
        <f t="shared" si="12"/>
        <v>71406.17</v>
      </c>
      <c r="W19" s="31">
        <f t="shared" si="12"/>
        <v>71406.17</v>
      </c>
      <c r="X19" s="31">
        <f t="shared" si="12"/>
        <v>71406.17</v>
      </c>
      <c r="Y19" s="31">
        <f t="shared" si="12"/>
        <v>71406.17</v>
      </c>
      <c r="Z19" s="31">
        <f t="shared" si="12"/>
        <v>71406.17</v>
      </c>
      <c r="AA19" s="31">
        <f t="shared" si="12"/>
        <v>71406.17</v>
      </c>
      <c r="AB19" s="31">
        <f t="shared" si="12"/>
        <v>71406.17</v>
      </c>
      <c r="AC19" s="31">
        <f t="shared" si="12"/>
        <v>71406.17</v>
      </c>
      <c r="AD19" s="31">
        <f t="shared" si="12"/>
        <v>71406.17</v>
      </c>
      <c r="AE19" s="31">
        <f t="shared" si="12"/>
        <v>71406.17</v>
      </c>
      <c r="AF19" s="31">
        <f t="shared" si="12"/>
        <v>71406.17</v>
      </c>
    </row>
    <row r="20" spans="1:32" x14ac:dyDescent="0.25">
      <c r="A20" s="25" t="s">
        <v>38</v>
      </c>
      <c r="B20" s="39" t="s">
        <v>39</v>
      </c>
      <c r="C20" s="54" t="s">
        <v>40</v>
      </c>
      <c r="D20" s="35">
        <v>0</v>
      </c>
      <c r="E20" s="8"/>
      <c r="F20" s="8"/>
      <c r="G20" s="8" t="s">
        <v>41</v>
      </c>
      <c r="H20" s="19" t="s">
        <v>26</v>
      </c>
      <c r="I20" s="24" t="s">
        <v>42</v>
      </c>
      <c r="J20" s="24"/>
      <c r="K20" s="17" t="s">
        <v>27</v>
      </c>
      <c r="L20" s="32">
        <v>118303</v>
      </c>
      <c r="M20" s="32">
        <v>119239.60396039602</v>
      </c>
      <c r="N20" s="53">
        <v>118070.58823529416</v>
      </c>
      <c r="O20" s="32">
        <v>118535.43307086616</v>
      </c>
      <c r="P20" s="32">
        <v>118535</v>
      </c>
      <c r="Q20" s="32">
        <v>118302.55402750499</v>
      </c>
      <c r="R20" s="32">
        <v>118302.55402750504</v>
      </c>
      <c r="S20" s="32">
        <v>118535</v>
      </c>
      <c r="T20" s="32">
        <v>123393.442622951</v>
      </c>
      <c r="U20" s="32">
        <v>120432</v>
      </c>
      <c r="V20" s="32">
        <v>120432</v>
      </c>
      <c r="W20" s="32">
        <v>120432</v>
      </c>
      <c r="X20" s="32">
        <v>120432</v>
      </c>
      <c r="Y20" s="32">
        <v>120432</v>
      </c>
      <c r="Z20" s="32">
        <v>120432</v>
      </c>
      <c r="AA20" s="32">
        <v>120432</v>
      </c>
      <c r="AB20" s="32">
        <v>120432</v>
      </c>
      <c r="AC20" s="32">
        <v>120432</v>
      </c>
      <c r="AD20" s="32">
        <v>120432</v>
      </c>
      <c r="AE20" s="32">
        <v>120432</v>
      </c>
      <c r="AF20" s="32">
        <v>120432</v>
      </c>
    </row>
    <row r="21" spans="1:32" x14ac:dyDescent="0.25">
      <c r="A21" s="26"/>
      <c r="B21" s="20"/>
      <c r="C21" s="37"/>
      <c r="D21" s="37"/>
      <c r="E21" s="21"/>
      <c r="F21" s="22"/>
      <c r="G21" s="22"/>
      <c r="H21" s="22"/>
      <c r="I21" s="23"/>
      <c r="J21" s="23"/>
      <c r="K21" s="12" t="s">
        <v>43</v>
      </c>
      <c r="L21" s="31">
        <f t="shared" ref="L21:AD21" si="13">SUM(L20:L20)</f>
        <v>118303</v>
      </c>
      <c r="M21" s="31">
        <f t="shared" si="13"/>
        <v>119239.60396039602</v>
      </c>
      <c r="N21" s="31">
        <f t="shared" si="13"/>
        <v>118070.58823529416</v>
      </c>
      <c r="O21" s="31">
        <f t="shared" si="13"/>
        <v>118535.43307086616</v>
      </c>
      <c r="P21" s="31">
        <f t="shared" si="13"/>
        <v>118535</v>
      </c>
      <c r="Q21" s="31">
        <f t="shared" si="13"/>
        <v>118302.55402750499</v>
      </c>
      <c r="R21" s="31">
        <f t="shared" si="13"/>
        <v>118302.55402750504</v>
      </c>
      <c r="S21" s="31">
        <f t="shared" si="13"/>
        <v>118535</v>
      </c>
      <c r="T21" s="31">
        <f t="shared" si="13"/>
        <v>123393.442622951</v>
      </c>
      <c r="U21" s="31">
        <f t="shared" si="13"/>
        <v>120432</v>
      </c>
      <c r="V21" s="31">
        <f t="shared" si="13"/>
        <v>120432</v>
      </c>
      <c r="W21" s="31">
        <f t="shared" si="13"/>
        <v>120432</v>
      </c>
      <c r="X21" s="31">
        <f t="shared" si="13"/>
        <v>120432</v>
      </c>
      <c r="Y21" s="31">
        <f t="shared" si="13"/>
        <v>120432</v>
      </c>
      <c r="Z21" s="31">
        <f t="shared" si="13"/>
        <v>120432</v>
      </c>
      <c r="AA21" s="31">
        <f t="shared" si="13"/>
        <v>120432</v>
      </c>
      <c r="AB21" s="31">
        <f t="shared" si="13"/>
        <v>120432</v>
      </c>
      <c r="AC21" s="31">
        <f t="shared" si="13"/>
        <v>120432</v>
      </c>
      <c r="AD21" s="31">
        <f t="shared" si="13"/>
        <v>120432</v>
      </c>
      <c r="AE21" s="31">
        <f t="shared" ref="AE21:AF21" si="14">SUM(AE20:AE20)</f>
        <v>120432</v>
      </c>
      <c r="AF21" s="31">
        <f t="shared" si="14"/>
        <v>120432</v>
      </c>
    </row>
    <row r="22" spans="1:32" x14ac:dyDescent="0.25">
      <c r="A22" s="59"/>
      <c r="C22" s="34"/>
      <c r="K22" s="1" t="s">
        <v>45</v>
      </c>
      <c r="M22" s="34">
        <f>+M4+M5+M7+M8+M11+M14+M20</f>
        <v>1153928.0855049505</v>
      </c>
      <c r="N22" s="34">
        <f t="shared" ref="N22:S22" si="15">+N4+N5+N7+N8+N11+N14+N20</f>
        <v>1197315.0168039217</v>
      </c>
      <c r="O22" s="34">
        <f t="shared" si="15"/>
        <v>1092322.315531496</v>
      </c>
      <c r="P22" s="34">
        <f t="shared" si="15"/>
        <v>2072106.5842322835</v>
      </c>
      <c r="Q22" s="34">
        <f t="shared" si="15"/>
        <v>2099246.5970333992</v>
      </c>
      <c r="R22" s="61">
        <f t="shared" si="15"/>
        <v>1915001.0797249509</v>
      </c>
      <c r="S22" s="61">
        <f t="shared" si="15"/>
        <v>2433591.0957086612</v>
      </c>
      <c r="T22" s="61">
        <f>+T4+T5+T7+T8+T11+T14+T20</f>
        <v>600911.9844467215</v>
      </c>
      <c r="U22" s="61">
        <f>+U4+U5+U7+U8+U11+U14+U20+U17</f>
        <v>1714740.8851400001</v>
      </c>
      <c r="V22" s="61">
        <f t="shared" ref="V22:AF22" si="16">+V4+V5+V7+V8+V11+V14+V20+V17</f>
        <v>1356718.4751400002</v>
      </c>
      <c r="W22" s="61">
        <f t="shared" si="16"/>
        <v>1911718.47514</v>
      </c>
      <c r="X22" s="61">
        <f t="shared" si="16"/>
        <v>1295830.1051400001</v>
      </c>
      <c r="Y22" s="61">
        <f t="shared" si="16"/>
        <v>1162628.6351400001</v>
      </c>
      <c r="Z22" s="61">
        <f t="shared" si="16"/>
        <v>1094419.3151400001</v>
      </c>
      <c r="AA22" s="61">
        <f t="shared" si="16"/>
        <v>1057583.1151400001</v>
      </c>
      <c r="AB22" s="61">
        <f t="shared" si="16"/>
        <v>887119.83513999998</v>
      </c>
      <c r="AC22" s="61">
        <f t="shared" si="16"/>
        <v>707951.2451399999</v>
      </c>
      <c r="AD22" s="61">
        <f t="shared" si="16"/>
        <v>617320.57513999997</v>
      </c>
      <c r="AE22" s="61">
        <f t="shared" si="16"/>
        <v>457342.92513999995</v>
      </c>
      <c r="AF22" s="61">
        <f t="shared" si="16"/>
        <v>307201.28514000005</v>
      </c>
    </row>
    <row r="23" spans="1:32" x14ac:dyDescent="0.25">
      <c r="A23" s="59"/>
      <c r="C23" s="34"/>
      <c r="K23" s="1" t="s">
        <v>46</v>
      </c>
      <c r="M23" s="34">
        <f>+M9+M12+M15</f>
        <v>128262.0504554456</v>
      </c>
      <c r="N23" s="34">
        <f t="shared" ref="N23:T23" si="17">+N9+N12+N15</f>
        <v>134240.53696078432</v>
      </c>
      <c r="O23" s="34">
        <f t="shared" si="17"/>
        <v>126667.72905511812</v>
      </c>
      <c r="P23" s="34">
        <f t="shared" si="17"/>
        <v>132313.86000000002</v>
      </c>
      <c r="Q23" s="34">
        <f t="shared" si="17"/>
        <v>141594.63079999998</v>
      </c>
      <c r="R23" s="61">
        <f t="shared" si="17"/>
        <v>133971.80025540281</v>
      </c>
      <c r="S23" s="61">
        <f t="shared" si="17"/>
        <v>156208.14216535431</v>
      </c>
      <c r="T23" s="61">
        <f t="shared" si="17"/>
        <v>104915.3</v>
      </c>
      <c r="U23" s="61">
        <f>+U9+U12+U15+U18</f>
        <v>98145.646039999992</v>
      </c>
      <c r="V23" s="61">
        <f t="shared" ref="V23:AF23" si="18">+V9+V12+V15+V18</f>
        <v>133832.75603999998</v>
      </c>
      <c r="W23" s="61">
        <f t="shared" si="18"/>
        <v>133423.55604</v>
      </c>
      <c r="X23" s="61">
        <f t="shared" si="18"/>
        <v>129741.20604</v>
      </c>
      <c r="Y23" s="61">
        <f t="shared" si="18"/>
        <v>127438.96604</v>
      </c>
      <c r="Z23" s="61">
        <f t="shared" si="18"/>
        <v>123470.32604</v>
      </c>
      <c r="AA23" s="61">
        <f t="shared" si="18"/>
        <v>122331.26604</v>
      </c>
      <c r="AB23" s="61">
        <f t="shared" si="18"/>
        <v>118783.50604000001</v>
      </c>
      <c r="AC23" s="61">
        <f t="shared" si="18"/>
        <v>110891.03604000001</v>
      </c>
      <c r="AD23" s="61">
        <f t="shared" si="18"/>
        <v>106134.46604</v>
      </c>
      <c r="AE23" s="61">
        <f t="shared" si="18"/>
        <v>96056.866040000008</v>
      </c>
      <c r="AF23" s="61">
        <f t="shared" si="18"/>
        <v>86110.596040000004</v>
      </c>
    </row>
    <row r="24" spans="1:32" x14ac:dyDescent="0.25">
      <c r="A24" s="60"/>
      <c r="B24" s="20"/>
      <c r="C24" s="21"/>
      <c r="D24" s="21"/>
      <c r="E24" s="21"/>
      <c r="F24" s="22"/>
      <c r="G24" s="22"/>
      <c r="H24" s="22"/>
      <c r="I24" s="23"/>
      <c r="J24" s="23"/>
      <c r="K24" s="27" t="s">
        <v>44</v>
      </c>
      <c r="L24" s="33">
        <f>+L10+L13+L16+L21</f>
        <v>572021.40799999726</v>
      </c>
      <c r="M24" s="33">
        <f>+M22+M23</f>
        <v>1282190.1359603961</v>
      </c>
      <c r="N24" s="33">
        <f t="shared" ref="N24:R24" si="19">+N10+N13+N16+N21</f>
        <v>1331555.5537647062</v>
      </c>
      <c r="O24" s="33">
        <f t="shared" si="19"/>
        <v>1218990.044586614</v>
      </c>
      <c r="P24" s="33">
        <f t="shared" si="19"/>
        <v>2204420.4442322832</v>
      </c>
      <c r="Q24" s="33">
        <f t="shared" si="19"/>
        <v>2240841.2278333986</v>
      </c>
      <c r="R24" s="33">
        <f t="shared" si="19"/>
        <v>2348972.8799803541</v>
      </c>
      <c r="S24" s="33">
        <f>+S10+S13+S16+S21</f>
        <v>2589799.2378740157</v>
      </c>
      <c r="T24" s="33">
        <f>+T10+T13+T16+T21</f>
        <v>705827.28444672143</v>
      </c>
      <c r="U24" s="33">
        <f>+U10+U13+U16+U21+U19</f>
        <v>1812886.5311799999</v>
      </c>
      <c r="V24" s="33">
        <f>+V10+V13+V16+V21+V19</f>
        <v>1490551.2311800001</v>
      </c>
      <c r="W24" s="33">
        <f>+W10+W13+W16+W21+W19</f>
        <v>2045142.0311799999</v>
      </c>
      <c r="X24" s="33">
        <f t="shared" ref="X24:AE24" si="20">+X10+X13+X16+X21+X19</f>
        <v>1725571.3111799997</v>
      </c>
      <c r="Y24" s="33">
        <f t="shared" si="20"/>
        <v>1290067.60118</v>
      </c>
      <c r="Z24" s="33">
        <f t="shared" si="20"/>
        <v>1217889.6411799998</v>
      </c>
      <c r="AA24" s="33">
        <f t="shared" si="20"/>
        <v>1179914.38118</v>
      </c>
      <c r="AB24" s="33">
        <f t="shared" si="20"/>
        <v>1005903.34118</v>
      </c>
      <c r="AC24" s="33">
        <f t="shared" si="20"/>
        <v>818842.28117999993</v>
      </c>
      <c r="AD24" s="33">
        <f t="shared" si="20"/>
        <v>723455.04118000006</v>
      </c>
      <c r="AE24" s="33">
        <f t="shared" si="20"/>
        <v>553399.79118000006</v>
      </c>
      <c r="AF24" s="33">
        <f>+AF10+AF13+AF16+AF21+AF19</f>
        <v>393311.88117999997</v>
      </c>
    </row>
    <row r="25" spans="1:32" x14ac:dyDescent="0.25">
      <c r="D25" s="62">
        <f>SUM(D4:D20)</f>
        <v>22240730.559603706</v>
      </c>
      <c r="P25" s="34"/>
      <c r="Q25" s="34"/>
      <c r="S25" s="34"/>
    </row>
    <row r="26" spans="1:32" x14ac:dyDescent="0.25">
      <c r="C26" s="34"/>
      <c r="Q26" s="56"/>
      <c r="S26" s="34"/>
      <c r="T26" s="34"/>
    </row>
    <row r="27" spans="1:32" x14ac:dyDescent="0.25">
      <c r="C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</row>
    <row r="28" spans="1:32" x14ac:dyDescent="0.25">
      <c r="U28" s="56"/>
    </row>
    <row r="29" spans="1:32" x14ac:dyDescent="0.25">
      <c r="T29" s="63"/>
    </row>
  </sheetData>
  <mergeCells count="4">
    <mergeCell ref="A4:A10"/>
    <mergeCell ref="A11:A13"/>
    <mergeCell ref="A14:A16"/>
    <mergeCell ref="A17:A1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086EB3FD90254D844042CCB9278ABD" ma:contentTypeVersion="15" ma:contentTypeDescription="Crear nuevo documento." ma:contentTypeScope="" ma:versionID="1b35298b64d679dff02be016bf5dd9e8">
  <xsd:schema xmlns:xsd="http://www.w3.org/2001/XMLSchema" xmlns:xs="http://www.w3.org/2001/XMLSchema" xmlns:p="http://schemas.microsoft.com/office/2006/metadata/properties" xmlns:ns2="1010a1b8-fe2d-48bb-86f7-ee17a4853fde" xmlns:ns3="029fe502-54b4-4406-b013-9e806026c06c" targetNamespace="http://schemas.microsoft.com/office/2006/metadata/properties" ma:root="true" ma:fieldsID="e183782a711e7ff7cf6f02e801ed96e0" ns2:_="" ns3:_="">
    <xsd:import namespace="1010a1b8-fe2d-48bb-86f7-ee17a4853fde"/>
    <xsd:import namespace="029fe502-54b4-4406-b013-9e806026c0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10a1b8-fe2d-48bb-86f7-ee17a4853f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41c0c66-6f98-430b-ad32-afd300242c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9fe502-54b4-4406-b013-9e806026c06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4d67637-b190-4129-814d-9e83681beded}" ma:internalName="TaxCatchAll" ma:showField="CatchAllData" ma:web="029fe502-54b4-4406-b013-9e806026c0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010a1b8-fe2d-48bb-86f7-ee17a4853fde">
      <Terms xmlns="http://schemas.microsoft.com/office/infopath/2007/PartnerControls"/>
    </lcf76f155ced4ddcb4097134ff3c332f>
    <TaxCatchAll xmlns="029fe502-54b4-4406-b013-9e806026c06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6D35C5-FFB3-495C-B118-793B5CD8E6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10a1b8-fe2d-48bb-86f7-ee17a4853fde"/>
    <ds:schemaRef ds:uri="029fe502-54b4-4406-b013-9e806026c0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7DE739-7C68-4CD9-A2E7-F796C8B559E2}">
  <ds:schemaRefs>
    <ds:schemaRef ds:uri="http://schemas.microsoft.com/office/2006/metadata/properties"/>
    <ds:schemaRef ds:uri="http://schemas.microsoft.com/office/infopath/2007/PartnerControls"/>
    <ds:schemaRef ds:uri="1010a1b8-fe2d-48bb-86f7-ee17a4853fde"/>
    <ds:schemaRef ds:uri="029fe502-54b4-4406-b013-9e806026c06c"/>
  </ds:schemaRefs>
</ds:datastoreItem>
</file>

<file path=customXml/itemProps3.xml><?xml version="1.0" encoding="utf-8"?>
<ds:datastoreItem xmlns:ds="http://schemas.openxmlformats.org/officeDocument/2006/customXml" ds:itemID="{A1BC4583-4513-452A-BADE-8394A2027F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Operaciones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Katherine Garcia</dc:creator>
  <cp:keywords/>
  <dc:description/>
  <cp:lastModifiedBy>Katherine Garcia</cp:lastModifiedBy>
  <cp:revision/>
  <dcterms:created xsi:type="dcterms:W3CDTF">2025-05-15T21:05:52Z</dcterms:created>
  <dcterms:modified xsi:type="dcterms:W3CDTF">2026-01-20T22:17:29Z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0x01010083086EB3FD90254D844042CCB9278ABD</vt:lpwstr>
  </property>
  <property fmtid="{D5CDD505-2E9C-101B-9397-08002B2CF9AE}" pid="3" name="MediaServiceImageTags">
    <vt:lpwstr/>
  </property>
</Properties>
</file>