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mobilia.sharepoint.com/sites/Tesorera/Documentos compartidos/Flujo de Egresos/Datos Usados/2026/02. Febrero/"/>
    </mc:Choice>
  </mc:AlternateContent>
  <xr:revisionPtr revIDLastSave="24" documentId="8_{C3C76ACF-3134-436B-B4BC-6E6E915237A8}" xr6:coauthVersionLast="47" xr6:coauthVersionMax="47" xr10:uidLastSave="{74AD0DD4-B6E6-4702-99ED-E10E7432D206}"/>
  <bookViews>
    <workbookView xWindow="28680" yWindow="645" windowWidth="29040" windowHeight="15720" xr2:uid="{B39C0D1A-7758-4E59-BDAB-2C5E536EAB47}"/>
  </bookViews>
  <sheets>
    <sheet name="Euromobilia" sheetId="9" r:id="rId1"/>
    <sheet name="Paneltech" sheetId="14" r:id="rId2"/>
    <sheet name="Multiclamp" sheetId="15" r:id="rId3"/>
    <sheet name="Tipos de Proveedores" sheetId="11" r:id="rId4"/>
    <sheet name="Responsables" sheetId="13" r:id="rId5"/>
    <sheet name="Catálogo de Monedas" sheetId="10" r:id="rId6"/>
    <sheet name="PIVOT EURO" sheetId="12" r:id="rId7"/>
    <sheet name="PIVOT PANEL" sheetId="16" r:id="rId8"/>
    <sheet name="PIVOT MULTI" sheetId="19" r:id="rId9"/>
  </sheets>
  <definedNames>
    <definedName name="_xlnm._FilterDatabase" localSheetId="0" hidden="1">Euromobilia!$A$6:$O$366</definedName>
    <definedName name="_xlnm._FilterDatabase" localSheetId="2" hidden="1">Multiclamp!$A$6:$O$13</definedName>
    <definedName name="_xlnm._FilterDatabase" localSheetId="1" hidden="1">Paneltech!$A$6:$O$19</definedName>
    <definedName name="_xlnm.Print_Area" localSheetId="6">'PIVOT EURO'!$A$1:$C$57</definedName>
    <definedName name="_xlnm.Print_Titles" localSheetId="0">Euromobilia!$1:$6</definedName>
  </definedNames>
  <calcPr calcId="191028"/>
  <pivotCaches>
    <pivotCache cacheId="24" r:id="rId10"/>
    <pivotCache cacheId="25" r:id="rId11"/>
    <pivotCache cacheId="2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5" i="9" l="1"/>
  <c r="F365" i="9"/>
  <c r="J11" i="14"/>
  <c r="F11" i="14"/>
  <c r="F14" i="9"/>
  <c r="F15" i="9"/>
  <c r="F16" i="9"/>
  <c r="F237" i="9"/>
  <c r="F238" i="9"/>
  <c r="F239" i="9"/>
  <c r="F278" i="9"/>
  <c r="F279" i="9"/>
  <c r="F280" i="9"/>
  <c r="F281" i="9"/>
  <c r="F302" i="9"/>
  <c r="F303" i="9"/>
  <c r="F304" i="9"/>
  <c r="F305" i="9"/>
  <c r="F306" i="9"/>
  <c r="F307" i="9"/>
  <c r="F308" i="9"/>
  <c r="F319" i="9"/>
  <c r="F320" i="9"/>
  <c r="F321" i="9"/>
  <c r="F322" i="9"/>
  <c r="F246" i="9"/>
  <c r="F202" i="9"/>
  <c r="F247" i="9"/>
  <c r="F155" i="9"/>
  <c r="F282" i="9"/>
  <c r="F240" i="9"/>
  <c r="F323" i="9"/>
  <c r="F19" i="9"/>
  <c r="F20" i="9"/>
  <c r="F38" i="9"/>
  <c r="F156" i="9"/>
  <c r="F118" i="9"/>
  <c r="F157" i="9"/>
  <c r="F203" i="9"/>
  <c r="F177" i="9"/>
  <c r="F178" i="9"/>
  <c r="F219" i="9"/>
  <c r="F220" i="9"/>
  <c r="F221" i="9"/>
  <c r="F222" i="9"/>
  <c r="F223" i="9"/>
  <c r="F283" i="9"/>
  <c r="F284" i="9"/>
  <c r="F285" i="9"/>
  <c r="F309" i="9"/>
  <c r="F310" i="9"/>
  <c r="F324" i="9"/>
  <c r="F325" i="9"/>
  <c r="F326" i="9"/>
  <c r="F355" i="9"/>
  <c r="F27" i="9"/>
  <c r="F291" i="9"/>
  <c r="F292" i="9"/>
  <c r="F21" i="9"/>
  <c r="F22" i="9"/>
  <c r="F23" i="9"/>
  <c r="F24" i="9"/>
  <c r="F293" i="9"/>
  <c r="F286" i="9"/>
  <c r="F241" i="9"/>
  <c r="F294" i="9"/>
  <c r="F204" i="9"/>
  <c r="F295" i="9"/>
  <c r="F144" i="9"/>
  <c r="F119" i="9"/>
  <c r="F242" i="9"/>
  <c r="F329" i="9"/>
  <c r="F341" i="9"/>
  <c r="F103" i="9"/>
  <c r="F224" i="9"/>
  <c r="F225" i="9"/>
  <c r="F311" i="9"/>
  <c r="F243" i="9"/>
  <c r="F296" i="9"/>
  <c r="F187" i="9"/>
  <c r="F297" i="9"/>
  <c r="F179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87" i="9"/>
  <c r="F336" i="9"/>
  <c r="F298" i="9"/>
  <c r="F299" i="9"/>
  <c r="F226" i="9"/>
  <c r="F261" i="9"/>
  <c r="F262" i="9"/>
  <c r="F288" i="9"/>
  <c r="F289" i="9"/>
  <c r="F312" i="9"/>
  <c r="F315" i="9"/>
  <c r="F316" i="9"/>
  <c r="F327" i="9"/>
  <c r="F180" i="9"/>
  <c r="F359" i="9"/>
  <c r="F360" i="9"/>
  <c r="F361" i="9"/>
  <c r="H9" i="9"/>
  <c r="H10" i="9"/>
  <c r="H11" i="9"/>
  <c r="H12" i="9"/>
  <c r="H14" i="9"/>
  <c r="H15" i="9"/>
  <c r="H16" i="9"/>
  <c r="H237" i="9"/>
  <c r="H238" i="9"/>
  <c r="H239" i="9"/>
  <c r="H278" i="9"/>
  <c r="H279" i="9"/>
  <c r="H280" i="9"/>
  <c r="H281" i="9"/>
  <c r="H302" i="9"/>
  <c r="H303" i="9"/>
  <c r="H304" i="9"/>
  <c r="H305" i="9"/>
  <c r="H306" i="9"/>
  <c r="H307" i="9"/>
  <c r="H308" i="9"/>
  <c r="H319" i="9"/>
  <c r="H320" i="9"/>
  <c r="H321" i="9"/>
  <c r="H322" i="9"/>
  <c r="H246" i="9"/>
  <c r="H202" i="9"/>
  <c r="H247" i="9"/>
  <c r="H155" i="9"/>
  <c r="H282" i="9"/>
  <c r="H240" i="9"/>
  <c r="H323" i="9"/>
  <c r="H19" i="9"/>
  <c r="H20" i="9"/>
  <c r="H38" i="9"/>
  <c r="H156" i="9"/>
  <c r="H118" i="9"/>
  <c r="H157" i="9"/>
  <c r="H203" i="9"/>
  <c r="H177" i="9"/>
  <c r="H178" i="9"/>
  <c r="H219" i="9"/>
  <c r="H220" i="9"/>
  <c r="H221" i="9"/>
  <c r="H222" i="9"/>
  <c r="H223" i="9"/>
  <c r="H283" i="9"/>
  <c r="H284" i="9"/>
  <c r="H285" i="9"/>
  <c r="H309" i="9"/>
  <c r="H310" i="9"/>
  <c r="H324" i="9"/>
  <c r="H325" i="9"/>
  <c r="H326" i="9"/>
  <c r="H355" i="9"/>
  <c r="H27" i="9"/>
  <c r="H291" i="9"/>
  <c r="H292" i="9"/>
  <c r="H21" i="9"/>
  <c r="H22" i="9"/>
  <c r="H23" i="9"/>
  <c r="H24" i="9"/>
  <c r="H293" i="9"/>
  <c r="H286" i="9"/>
  <c r="H241" i="9"/>
  <c r="H294" i="9"/>
  <c r="H204" i="9"/>
  <c r="H295" i="9"/>
  <c r="H144" i="9"/>
  <c r="H119" i="9"/>
  <c r="H242" i="9"/>
  <c r="H329" i="9"/>
  <c r="H341" i="9"/>
  <c r="H103" i="9"/>
  <c r="H224" i="9"/>
  <c r="H225" i="9"/>
  <c r="H311" i="9"/>
  <c r="H243" i="9"/>
  <c r="H296" i="9"/>
  <c r="H187" i="9"/>
  <c r="H297" i="9"/>
  <c r="H179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87" i="9"/>
  <c r="H336" i="9"/>
  <c r="H298" i="9"/>
  <c r="H299" i="9"/>
  <c r="H226" i="9"/>
  <c r="H261" i="9"/>
  <c r="H262" i="9"/>
  <c r="H288" i="9"/>
  <c r="H289" i="9"/>
  <c r="H312" i="9"/>
  <c r="H315" i="9"/>
  <c r="H316" i="9"/>
  <c r="H327" i="9"/>
  <c r="H180" i="9"/>
  <c r="H359" i="9"/>
  <c r="H360" i="9"/>
  <c r="H361" i="9"/>
  <c r="H236" i="9"/>
  <c r="H198" i="9"/>
  <c r="H199" i="9"/>
  <c r="H200" i="9"/>
  <c r="H201" i="9"/>
  <c r="H354" i="9"/>
  <c r="H218" i="9"/>
  <c r="H18" i="9"/>
  <c r="H171" i="9"/>
  <c r="H172" i="9"/>
  <c r="H194" i="9"/>
  <c r="H117" i="9"/>
  <c r="H173" i="9"/>
  <c r="H174" i="9"/>
  <c r="H175" i="9"/>
  <c r="H176" i="9"/>
  <c r="H235" i="9"/>
  <c r="H274" i="9"/>
  <c r="H275" i="9"/>
  <c r="H276" i="9"/>
  <c r="H277" i="9"/>
  <c r="H143" i="9"/>
  <c r="H314" i="9"/>
  <c r="H186" i="9"/>
  <c r="H205" i="9"/>
  <c r="H96" i="9"/>
  <c r="H100" i="9"/>
  <c r="H142" i="9"/>
  <c r="H158" i="9"/>
  <c r="H53" i="9"/>
  <c r="H358" i="9"/>
  <c r="H362" i="9"/>
  <c r="H363" i="9"/>
  <c r="H364" i="9"/>
  <c r="F358" i="9"/>
  <c r="F362" i="9"/>
  <c r="F363" i="9"/>
  <c r="F364" i="9"/>
  <c r="F53" i="9"/>
  <c r="F205" i="9"/>
  <c r="F96" i="9"/>
  <c r="F100" i="9"/>
  <c r="F142" i="9"/>
  <c r="F158" i="9"/>
  <c r="F186" i="9"/>
  <c r="F198" i="9"/>
  <c r="F199" i="9"/>
  <c r="F200" i="9"/>
  <c r="F201" i="9"/>
  <c r="F354" i="9"/>
  <c r="F218" i="9"/>
  <c r="F18" i="9"/>
  <c r="F171" i="9"/>
  <c r="F172" i="9"/>
  <c r="F194" i="9"/>
  <c r="F117" i="9"/>
  <c r="F173" i="9"/>
  <c r="F174" i="9"/>
  <c r="F175" i="9"/>
  <c r="F176" i="9"/>
  <c r="F235" i="9"/>
  <c r="F274" i="9"/>
  <c r="F275" i="9"/>
  <c r="F276" i="9"/>
  <c r="F277" i="9"/>
  <c r="F143" i="9"/>
  <c r="F314" i="9"/>
  <c r="F236" i="9"/>
  <c r="F9" i="9"/>
  <c r="F10" i="9"/>
  <c r="F11" i="9"/>
  <c r="F12" i="9"/>
  <c r="J10" i="14"/>
  <c r="J8" i="14"/>
  <c r="J9" i="14"/>
  <c r="J7" i="14"/>
  <c r="F9" i="14"/>
  <c r="F10" i="14"/>
  <c r="J15" i="14"/>
  <c r="J16" i="14"/>
  <c r="J14" i="14"/>
  <c r="F14" i="14"/>
  <c r="F15" i="14"/>
  <c r="F16" i="14"/>
  <c r="F7" i="14"/>
  <c r="F8" i="14"/>
  <c r="F13" i="15"/>
  <c r="J13" i="15"/>
  <c r="J18" i="14"/>
  <c r="F18" i="14"/>
  <c r="H185" i="9"/>
  <c r="H92" i="9"/>
  <c r="H93" i="9"/>
  <c r="H94" i="9"/>
  <c r="H95" i="9"/>
  <c r="F185" i="9"/>
  <c r="F92" i="9"/>
  <c r="F93" i="9"/>
  <c r="F94" i="9"/>
  <c r="F95" i="9"/>
  <c r="H332" i="9"/>
  <c r="H17" i="9"/>
  <c r="H301" i="9"/>
  <c r="F301" i="9"/>
  <c r="F17" i="9"/>
  <c r="F332" i="9"/>
  <c r="H121" i="9"/>
  <c r="H348" i="9"/>
  <c r="H128" i="9"/>
  <c r="H264" i="9"/>
  <c r="H265" i="9"/>
  <c r="H266" i="9"/>
  <c r="H267" i="9"/>
  <c r="H268" i="9"/>
  <c r="H269" i="9"/>
  <c r="H270" i="9"/>
  <c r="H271" i="9"/>
  <c r="H272" i="9"/>
  <c r="H273" i="9"/>
  <c r="H192" i="9"/>
  <c r="H193" i="9"/>
  <c r="H245" i="9"/>
  <c r="H188" i="9"/>
  <c r="H159" i="9"/>
  <c r="H160" i="9"/>
  <c r="H120" i="9"/>
  <c r="F273" i="9"/>
  <c r="F192" i="9"/>
  <c r="F193" i="9"/>
  <c r="F245" i="9"/>
  <c r="F188" i="9"/>
  <c r="F159" i="9"/>
  <c r="F160" i="9"/>
  <c r="H290" i="9"/>
  <c r="H331" i="9"/>
  <c r="H129" i="9"/>
  <c r="H130" i="9"/>
  <c r="H131" i="9"/>
  <c r="H317" i="9"/>
  <c r="H90" i="9"/>
  <c r="H109" i="9"/>
  <c r="H110" i="9"/>
  <c r="H111" i="9"/>
  <c r="H122" i="9"/>
  <c r="H123" i="9"/>
  <c r="H313" i="9"/>
  <c r="H74" i="9"/>
  <c r="H124" i="9"/>
  <c r="H300" i="9"/>
  <c r="H351" i="9"/>
  <c r="H342" i="9"/>
  <c r="H148" i="9"/>
  <c r="H149" i="9"/>
  <c r="H150" i="9"/>
  <c r="H151" i="9"/>
  <c r="H152" i="9"/>
  <c r="H132" i="9"/>
  <c r="H133" i="9"/>
  <c r="H134" i="9"/>
  <c r="H135" i="9"/>
  <c r="H136" i="9"/>
  <c r="H137" i="9"/>
  <c r="H153" i="9"/>
  <c r="H154" i="9"/>
  <c r="H75" i="9"/>
  <c r="H112" i="9"/>
  <c r="H138" i="9"/>
  <c r="H161" i="9"/>
  <c r="H91" i="9"/>
  <c r="H113" i="9"/>
  <c r="H139" i="9"/>
  <c r="H114" i="9"/>
  <c r="H162" i="9"/>
  <c r="H115" i="9"/>
  <c r="H318" i="9"/>
  <c r="H125" i="9"/>
  <c r="H333" i="9"/>
  <c r="H338" i="9"/>
  <c r="H349" i="9"/>
  <c r="H350" i="9"/>
  <c r="H347" i="9"/>
  <c r="H352" i="9"/>
  <c r="H353" i="9"/>
  <c r="H228" i="9"/>
  <c r="H229" i="9"/>
  <c r="H230" i="9"/>
  <c r="H231" i="9"/>
  <c r="H232" i="9"/>
  <c r="H233" i="9"/>
  <c r="H163" i="9"/>
  <c r="H164" i="9"/>
  <c r="H165" i="9"/>
  <c r="H166" i="9"/>
  <c r="H167" i="9"/>
  <c r="H168" i="9"/>
  <c r="H169" i="9"/>
  <c r="H207" i="9"/>
  <c r="H234" i="9"/>
  <c r="H197" i="9"/>
  <c r="H189" i="9"/>
  <c r="H170" i="9"/>
  <c r="H208" i="9"/>
  <c r="H190" i="9"/>
  <c r="H191" i="9"/>
  <c r="H209" i="9"/>
  <c r="H210" i="9"/>
  <c r="H211" i="9"/>
  <c r="H212" i="9"/>
  <c r="H213" i="9"/>
  <c r="H214" i="9"/>
  <c r="H215" i="9"/>
  <c r="H216" i="9"/>
  <c r="H217" i="9"/>
  <c r="H108" i="9"/>
  <c r="F108" i="9"/>
  <c r="F290" i="9"/>
  <c r="F331" i="9"/>
  <c r="F129" i="9"/>
  <c r="F130" i="9"/>
  <c r="F131" i="9"/>
  <c r="F317" i="9"/>
  <c r="F90" i="9"/>
  <c r="F109" i="9"/>
  <c r="F110" i="9"/>
  <c r="F111" i="9"/>
  <c r="F122" i="9"/>
  <c r="F123" i="9"/>
  <c r="F313" i="9"/>
  <c r="F74" i="9"/>
  <c r="F124" i="9"/>
  <c r="F300" i="9"/>
  <c r="F351" i="9"/>
  <c r="F342" i="9"/>
  <c r="F148" i="9"/>
  <c r="F149" i="9"/>
  <c r="F150" i="9"/>
  <c r="F151" i="9"/>
  <c r="F152" i="9"/>
  <c r="F132" i="9"/>
  <c r="F133" i="9"/>
  <c r="F134" i="9"/>
  <c r="F135" i="9"/>
  <c r="F136" i="9"/>
  <c r="F137" i="9"/>
  <c r="F153" i="9"/>
  <c r="F154" i="9"/>
  <c r="F75" i="9"/>
  <c r="F112" i="9"/>
  <c r="F138" i="9"/>
  <c r="F161" i="9"/>
  <c r="F91" i="9"/>
  <c r="F113" i="9"/>
  <c r="F139" i="9"/>
  <c r="F114" i="9"/>
  <c r="F162" i="9"/>
  <c r="F115" i="9"/>
  <c r="F318" i="9"/>
  <c r="F125" i="9"/>
  <c r="F333" i="9"/>
  <c r="F338" i="9"/>
  <c r="F349" i="9"/>
  <c r="F350" i="9"/>
  <c r="F347" i="9"/>
  <c r="F352" i="9"/>
  <c r="F353" i="9"/>
  <c r="F228" i="9"/>
  <c r="F229" i="9"/>
  <c r="F230" i="9"/>
  <c r="F231" i="9"/>
  <c r="F232" i="9"/>
  <c r="F233" i="9"/>
  <c r="F163" i="9"/>
  <c r="F164" i="9"/>
  <c r="F165" i="9"/>
  <c r="F166" i="9"/>
  <c r="F167" i="9"/>
  <c r="F168" i="9"/>
  <c r="F169" i="9"/>
  <c r="F207" i="9"/>
  <c r="F234" i="9"/>
  <c r="F197" i="9"/>
  <c r="F189" i="9"/>
  <c r="F170" i="9"/>
  <c r="F208" i="9"/>
  <c r="F190" i="9"/>
  <c r="F191" i="9"/>
  <c r="F209" i="9"/>
  <c r="F210" i="9"/>
  <c r="F211" i="9"/>
  <c r="F212" i="9"/>
  <c r="F213" i="9"/>
  <c r="F214" i="9"/>
  <c r="F215" i="9"/>
  <c r="F216" i="9"/>
  <c r="F217" i="9"/>
  <c r="F120" i="9"/>
  <c r="F121" i="9"/>
  <c r="F348" i="9"/>
  <c r="F128" i="9"/>
  <c r="F264" i="9"/>
  <c r="F265" i="9"/>
  <c r="F266" i="9"/>
  <c r="F267" i="9"/>
  <c r="F268" i="9"/>
  <c r="F269" i="9"/>
  <c r="F270" i="9"/>
  <c r="F271" i="9"/>
  <c r="F272" i="9"/>
  <c r="F17" i="14"/>
  <c r="J17" i="14"/>
  <c r="H56" i="9" l="1"/>
  <c r="H37" i="9"/>
  <c r="H104" i="9"/>
  <c r="H57" i="9"/>
  <c r="H87" i="9"/>
  <c r="H58" i="9"/>
  <c r="H59" i="9"/>
  <c r="H60" i="9"/>
  <c r="H61" i="9"/>
  <c r="H62" i="9"/>
  <c r="H63" i="9"/>
  <c r="H64" i="9"/>
  <c r="H65" i="9"/>
  <c r="H66" i="9"/>
  <c r="H67" i="9"/>
  <c r="H85" i="9"/>
  <c r="H88" i="9"/>
  <c r="H68" i="9"/>
  <c r="H105" i="9"/>
  <c r="H106" i="9"/>
  <c r="H36" i="9"/>
  <c r="H72" i="9"/>
  <c r="H107" i="9"/>
  <c r="H147" i="9"/>
  <c r="H116" i="9"/>
  <c r="H140" i="9"/>
  <c r="H141" i="9"/>
  <c r="H346" i="9"/>
  <c r="H344" i="9"/>
  <c r="H54" i="9"/>
  <c r="H55" i="9"/>
  <c r="H73" i="9"/>
  <c r="H76" i="9"/>
  <c r="H77" i="9"/>
  <c r="H78" i="9"/>
  <c r="H79" i="9"/>
  <c r="F87" i="9"/>
  <c r="F58" i="9"/>
  <c r="F59" i="9"/>
  <c r="F60" i="9"/>
  <c r="F61" i="9"/>
  <c r="F62" i="9"/>
  <c r="F63" i="9"/>
  <c r="F64" i="9"/>
  <c r="F65" i="9"/>
  <c r="F66" i="9"/>
  <c r="F67" i="9"/>
  <c r="F85" i="9"/>
  <c r="F88" i="9"/>
  <c r="F68" i="9"/>
  <c r="F105" i="9"/>
  <c r="F106" i="9"/>
  <c r="H356" i="9" l="1"/>
  <c r="F356" i="9"/>
  <c r="F346" i="9"/>
  <c r="F344" i="9"/>
  <c r="F54" i="9"/>
  <c r="F55" i="9"/>
  <c r="F73" i="9"/>
  <c r="F76" i="9"/>
  <c r="F77" i="9"/>
  <c r="F78" i="9"/>
  <c r="F79" i="9"/>
  <c r="F72" i="9"/>
  <c r="F107" i="9"/>
  <c r="F147" i="9"/>
  <c r="F116" i="9"/>
  <c r="F140" i="9"/>
  <c r="F141" i="9"/>
  <c r="F36" i="9"/>
  <c r="F56" i="9"/>
  <c r="F37" i="9"/>
  <c r="F104" i="9"/>
  <c r="F57" i="9"/>
  <c r="J8" i="15"/>
  <c r="J9" i="15"/>
  <c r="J10" i="15"/>
  <c r="J11" i="15"/>
  <c r="J12" i="15"/>
  <c r="J7" i="15"/>
  <c r="H86" i="9"/>
  <c r="H102" i="9"/>
  <c r="H42" i="9"/>
  <c r="H43" i="9"/>
  <c r="H30" i="9"/>
  <c r="H31" i="9"/>
  <c r="H32" i="9"/>
  <c r="H44" i="9"/>
  <c r="H45" i="9"/>
  <c r="H81" i="9"/>
  <c r="H46" i="9"/>
  <c r="H47" i="9"/>
  <c r="H82" i="9"/>
  <c r="H83" i="9"/>
  <c r="H33" i="9"/>
  <c r="H34" i="9"/>
  <c r="H84" i="9"/>
  <c r="H35" i="9"/>
  <c r="H48" i="9"/>
  <c r="H244" i="9"/>
  <c r="H335" i="9"/>
  <c r="H41" i="9"/>
  <c r="F102" i="9"/>
  <c r="F42" i="9"/>
  <c r="F43" i="9"/>
  <c r="F30" i="9"/>
  <c r="F31" i="9"/>
  <c r="F32" i="9"/>
  <c r="F44" i="9"/>
  <c r="F45" i="9"/>
  <c r="F81" i="9"/>
  <c r="F46" i="9"/>
  <c r="F47" i="9"/>
  <c r="F82" i="9"/>
  <c r="F83" i="9"/>
  <c r="F33" i="9"/>
  <c r="F34" i="9"/>
  <c r="F84" i="9"/>
  <c r="F35" i="9"/>
  <c r="F48" i="9"/>
  <c r="F244" i="9"/>
  <c r="F335" i="9"/>
  <c r="H337" i="9"/>
  <c r="H182" i="9"/>
  <c r="H183" i="9"/>
  <c r="H184" i="9"/>
  <c r="H89" i="9"/>
  <c r="H69" i="9"/>
  <c r="H70" i="9"/>
  <c r="H71" i="9"/>
  <c r="F337" i="9"/>
  <c r="F182" i="9"/>
  <c r="F183" i="9"/>
  <c r="F184" i="9"/>
  <c r="F89" i="9"/>
  <c r="F69" i="9"/>
  <c r="F70" i="9"/>
  <c r="F71" i="9"/>
  <c r="F41" i="9"/>
  <c r="F86" i="9"/>
  <c r="H334" i="9"/>
  <c r="H339" i="9"/>
  <c r="H340" i="9"/>
  <c r="F334" i="9"/>
  <c r="F339" i="9"/>
  <c r="F340" i="9"/>
  <c r="J14" i="15" l="1"/>
  <c r="H328" i="9"/>
  <c r="F328" i="9"/>
  <c r="J12" i="14" l="1"/>
  <c r="J13" i="14"/>
  <c r="F12" i="14"/>
  <c r="F13" i="14"/>
  <c r="J19" i="14" l="1"/>
  <c r="H181" i="9"/>
  <c r="F181" i="9"/>
  <c r="H146" i="9"/>
  <c r="H206" i="9"/>
  <c r="F146" i="9"/>
  <c r="F206" i="9"/>
  <c r="H126" i="9" l="1"/>
  <c r="H345" i="9"/>
  <c r="H145" i="9"/>
  <c r="H29" i="9"/>
  <c r="F29" i="9"/>
  <c r="F145" i="9"/>
  <c r="F345" i="9"/>
  <c r="F126" i="9"/>
  <c r="F11" i="15" l="1"/>
  <c r="F12" i="15"/>
  <c r="H97" i="9" l="1"/>
  <c r="H98" i="9"/>
  <c r="H101" i="9"/>
  <c r="H99" i="9"/>
  <c r="H40" i="9"/>
  <c r="F97" i="9"/>
  <c r="F98" i="9"/>
  <c r="F101" i="9"/>
  <c r="F99" i="9"/>
  <c r="F40" i="9"/>
  <c r="H80" i="9" l="1"/>
  <c r="H39" i="9"/>
  <c r="F80" i="9"/>
  <c r="F39" i="9"/>
  <c r="H13" i="9"/>
  <c r="H51" i="9"/>
  <c r="H7" i="9"/>
  <c r="F13" i="9"/>
  <c r="F51" i="9"/>
  <c r="F7" i="9"/>
  <c r="H357" i="9" l="1"/>
  <c r="F357" i="9"/>
  <c r="H25" i="9"/>
  <c r="H52" i="9"/>
  <c r="F25" i="9"/>
  <c r="F52" i="9"/>
  <c r="F9" i="15" l="1"/>
  <c r="F10" i="15"/>
  <c r="F8" i="15"/>
  <c r="F7" i="15" l="1"/>
  <c r="H28" i="9" l="1"/>
  <c r="F28" i="9"/>
  <c r="H227" i="9" l="1"/>
  <c r="H263" i="9"/>
  <c r="H330" i="9"/>
  <c r="F227" i="9"/>
  <c r="F263" i="9"/>
  <c r="F330" i="9"/>
  <c r="F26" i="9" l="1"/>
  <c r="F50" i="9"/>
  <c r="H26" i="9"/>
  <c r="H50" i="9"/>
  <c r="F49" i="9" l="1"/>
  <c r="H49" i="9"/>
  <c r="F8" i="9" l="1"/>
  <c r="H8" i="9"/>
  <c r="H196" i="9" l="1"/>
  <c r="H195" i="9"/>
  <c r="F196" i="9"/>
  <c r="F195" i="9"/>
  <c r="F127" i="9" l="1"/>
  <c r="H127" i="9"/>
  <c r="H366" i="9" s="1"/>
</calcChain>
</file>

<file path=xl/sharedStrings.xml><?xml version="1.0" encoding="utf-8"?>
<sst xmlns="http://schemas.openxmlformats.org/spreadsheetml/2006/main" count="3627" uniqueCount="910">
  <si>
    <t>ARA GROUP</t>
  </si>
  <si>
    <t>ALCIALCI</t>
  </si>
  <si>
    <t>Tipo de</t>
  </si>
  <si>
    <t>CUENTAS POR PAGAR TOTALES</t>
  </si>
  <si>
    <t>Fecha Futura</t>
  </si>
  <si>
    <t>Cambio</t>
  </si>
  <si>
    <t>PROVEEDORES LOCALES Y EN EL EXTERIOR</t>
  </si>
  <si>
    <t>de Corte</t>
  </si>
  <si>
    <t>¢ X $</t>
  </si>
  <si>
    <t>$ por €</t>
  </si>
  <si>
    <t>CORTE: 02-02-2026</t>
  </si>
  <si>
    <t>Empresa</t>
  </si>
  <si>
    <t>Negocio</t>
  </si>
  <si>
    <t>Responsable (Rosenstock)</t>
  </si>
  <si>
    <t>Vencimiento Fecha</t>
  </si>
  <si>
    <t>Fecha Max de pago</t>
  </si>
  <si>
    <t>Vencidos Días</t>
  </si>
  <si>
    <t>Prioridad</t>
  </si>
  <si>
    <t>Monto en Original Moneda</t>
  </si>
  <si>
    <t>Original Moneda</t>
  </si>
  <si>
    <t>Monto en $</t>
  </si>
  <si>
    <t>Tipo de Proveedor</t>
  </si>
  <si>
    <t>Proveedor</t>
  </si>
  <si>
    <t>Detalle</t>
  </si>
  <si>
    <t>Clasificación</t>
  </si>
  <si>
    <t>Observación</t>
  </si>
  <si>
    <t xml:space="preserve">Euromobilia </t>
  </si>
  <si>
    <t>Logística Espacial</t>
  </si>
  <si>
    <t>Eitan R</t>
  </si>
  <si>
    <t>$</t>
  </si>
  <si>
    <t>EX $</t>
  </si>
  <si>
    <t>Anhui Jinghui Intelligent Logistics</t>
  </si>
  <si>
    <t>Pago 70% Fnal PI 32245, PO NJS-23/25-LEP</t>
  </si>
  <si>
    <t>Insumos para Racks</t>
  </si>
  <si>
    <t>CEMACO GUATEMALA//LOGISTICA ESPACIAL</t>
  </si>
  <si>
    <t>Proyectos Integrales</t>
  </si>
  <si>
    <t>Sidney R</t>
  </si>
  <si>
    <t xml:space="preserve">GoldenHome Living </t>
  </si>
  <si>
    <t xml:space="preserve">Pago 80% Final PI 20260116, PO GHL-01/26 </t>
  </si>
  <si>
    <t>Muebles Terminados Cocina</t>
  </si>
  <si>
    <t>PALERMO HOMES // Mobiliario IMPORTADO // Proyectos Integrales</t>
  </si>
  <si>
    <t>Pago 30% Final PI STOCK 11,  PO NJS-05/25 - LEP</t>
  </si>
  <si>
    <t>Stock #11 LEP/EM Megarack PO EM NJS-05/25                                                                                            ID CONTROL:LE-NJS-05/25</t>
  </si>
  <si>
    <t>Fábrica San Francisco</t>
  </si>
  <si>
    <t>Uri R</t>
  </si>
  <si>
    <t>¢</t>
  </si>
  <si>
    <t>LOC</t>
  </si>
  <si>
    <t>Capris</t>
  </si>
  <si>
    <t>Factura 39054</t>
  </si>
  <si>
    <t>Equipos de Protección Personal</t>
  </si>
  <si>
    <t>OC 09-6134/Equipos solicitados consumos internos auditoria/Tarima antiderrapante 4 estañones</t>
  </si>
  <si>
    <t>Back Office</t>
  </si>
  <si>
    <t>Judko R</t>
  </si>
  <si>
    <t>Auto Repuestos Avenida 10 S.A. (La Guaca)</t>
  </si>
  <si>
    <t>Factura 19491</t>
  </si>
  <si>
    <t>Mantenimiento de Vehículos</t>
  </si>
  <si>
    <t>OC*055153/Placa CL322074/Mantenimiento varios</t>
  </si>
  <si>
    <t>CEDI</t>
  </si>
  <si>
    <t>Factura 19493</t>
  </si>
  <si>
    <t>OC*055255/Placa C168310/Mantenimiento varios, cambio filtro, aceite</t>
  </si>
  <si>
    <t>Hogares Funcionales</t>
  </si>
  <si>
    <t>Factura 5051</t>
  </si>
  <si>
    <t>OC*055182/Placa JML311/Mantenimiento varios, cambio filtro, aceite</t>
  </si>
  <si>
    <t>Tinza Internacional</t>
  </si>
  <si>
    <t>Factura 99976</t>
  </si>
  <si>
    <t>Gastos Locales</t>
  </si>
  <si>
    <t>OC*055235/ Factura de Importacion</t>
  </si>
  <si>
    <t>Productividad Humana</t>
  </si>
  <si>
    <t>Factura 99984</t>
  </si>
  <si>
    <t>OC*055238/ Factura de Importacion</t>
  </si>
  <si>
    <t>Grupo Servica de CR</t>
  </si>
  <si>
    <t>Factura 232453</t>
  </si>
  <si>
    <t>OC*055276/ Factura de Importacion</t>
  </si>
  <si>
    <t>Euromobialia Sala Pavas</t>
  </si>
  <si>
    <t>Outlet</t>
  </si>
  <si>
    <t>Poltronieri &amp; Cía, S.A.</t>
  </si>
  <si>
    <t>Factura 1142</t>
  </si>
  <si>
    <t>Sillas de Oficina</t>
  </si>
  <si>
    <t>OC00PO00000272/Sillas/Euromobilia Express/Aut. Eithel S.</t>
  </si>
  <si>
    <t>Factura 1153</t>
  </si>
  <si>
    <t>OC00PO00000274/Sillas/Euromobilia Express/Aut. Eithel S.</t>
  </si>
  <si>
    <t>Fábrica Barrio Cuba</t>
  </si>
  <si>
    <t>Universal de Tornillos y Herramientas</t>
  </si>
  <si>
    <t>Factura 489065</t>
  </si>
  <si>
    <t>Suministros de instalación</t>
  </si>
  <si>
    <t>OC*44*1804/Compra tornillos y brocas/Material solicitado para uso en instalaciones</t>
  </si>
  <si>
    <t>Factura 489082</t>
  </si>
  <si>
    <t>OC 31-3460/Materiales solicitados para el uso en instalaciones EPILSON/Cuchilla cutter, repuestos</t>
  </si>
  <si>
    <t>Importaciones Modex</t>
  </si>
  <si>
    <t>Factura 17259</t>
  </si>
  <si>
    <t>OC-054796/Compra de enchufes de 3 picos para instalaciones</t>
  </si>
  <si>
    <t>NKR Motors Group Latin Corp S.A.</t>
  </si>
  <si>
    <t>Factura 40641</t>
  </si>
  <si>
    <t>OC*055109/Mantenimiento de vehiculo/Mantenimiento revision y reparacion de bomda de inyeccion/Placa CL284402</t>
  </si>
  <si>
    <t>Factura 19500</t>
  </si>
  <si>
    <t>OC*054869/Placa BKT727/Mantenimiento varios</t>
  </si>
  <si>
    <t>Alexis Alpizar e Hijos</t>
  </si>
  <si>
    <t>Factura 41115</t>
  </si>
  <si>
    <t>Subcontratistas Fletes</t>
  </si>
  <si>
    <t>OC*055267/Servicio de flete/Placa  carretilla sin serie/Movimiento interno SF a BC</t>
  </si>
  <si>
    <t>Factura 41116</t>
  </si>
  <si>
    <t>OC*055266/Servicio de flete/Placa CL171277/Movimiento interno Grecia a Paso Ancho</t>
  </si>
  <si>
    <t>Intelecba Servicio Tecnico</t>
  </si>
  <si>
    <t>Factura 212</t>
  </si>
  <si>
    <t>OC*055268/Mantenimiento de vehiculo/Serie 18100937/Mantenimiento preventivo/Proforma 193</t>
  </si>
  <si>
    <t>Factura 211</t>
  </si>
  <si>
    <t>OC*055269/Mantenimiento de vehiculo/Serie 18100933/Mantenimiento preventivo/Proforma 194</t>
  </si>
  <si>
    <t>Uniempaques</t>
  </si>
  <si>
    <t>Factura 48089</t>
  </si>
  <si>
    <t>Consumibles Ordinarios</t>
  </si>
  <si>
    <t>OC 31-3476/Material solicitado para consumo interno/Plastico paletizador, cinta transparente</t>
  </si>
  <si>
    <t>€</t>
  </si>
  <si>
    <t>EX €</t>
  </si>
  <si>
    <t>BC3 Cocinas S.L.</t>
  </si>
  <si>
    <t>Pago 100% Factura FVR06-25-002745, PO BC3-55/25</t>
  </si>
  <si>
    <t>3-102672850 SRL//HOGARES FUNCIONALES//MOBILIARIO HOGAR</t>
  </si>
  <si>
    <t>Pago 100% Factura FVR06-25-002746, PO BC3-56/25</t>
  </si>
  <si>
    <t>JOSE PABLO ULATE//HOGARES FUNCIONALES//MOBILIARIO HOGAR</t>
  </si>
  <si>
    <t>Pago 100% Factura FVR06-25-002747 , PO BC3-58/25</t>
  </si>
  <si>
    <t>PIERRE ALEXIS//HOGARES FUNCIONALES//MOBILIARIO HOGAR</t>
  </si>
  <si>
    <t xml:space="preserve">Pago 100% Factura FVR06-25-002748, PO BC3-66/25 </t>
  </si>
  <si>
    <t>ENRIQUE JOSE ACEVEDO//HOGARES FUNCIONALES//MOBILIARIO HOGAR</t>
  </si>
  <si>
    <t>Pago 100% Factura  FVR06-25-002749, PO BC3-67/25</t>
  </si>
  <si>
    <t>LEDA DEL CARMEN//HOGARES FUNCIONALES//MOBILIARIO HOGAR</t>
  </si>
  <si>
    <t xml:space="preserve">Pago 100% Factura FVR06-25-002750, PO BC3-65/25 </t>
  </si>
  <si>
    <t xml:space="preserve"> PALM REAL ESTATE//HOGARES FUNCIONALES//MOBILIARIO HOGAR</t>
  </si>
  <si>
    <t>Pago 100% Factura FVR06-25-002751, PO BC3-64/25</t>
  </si>
  <si>
    <t>EULLEN GIMENA//HOGARES FUNCIONALES//MOBILIARIO HOGAR</t>
  </si>
  <si>
    <t>Factura 1152</t>
  </si>
  <si>
    <t>OC00PO00000273/Sillas/Euromobilia Express/Aut. Eithel S.</t>
  </si>
  <si>
    <t>CM Soluciones</t>
  </si>
  <si>
    <t>Factura 135362</t>
  </si>
  <si>
    <t>OC-055500/Tintas para impresora RRHH/Aut. Yanell C.</t>
  </si>
  <si>
    <t>Allan Esteban Hernandez Camacho</t>
  </si>
  <si>
    <t>Factura 327</t>
  </si>
  <si>
    <t>OC*055330/ Factura de Importacion</t>
  </si>
  <si>
    <t>Factura 328</t>
  </si>
  <si>
    <t>OC*055332/ Factura de Importacion</t>
  </si>
  <si>
    <t>Factura 329</t>
  </si>
  <si>
    <t>OC*055334/ Factura de Importacion</t>
  </si>
  <si>
    <t>Factura 330</t>
  </si>
  <si>
    <t>OC*055335/ Factura de Importacion</t>
  </si>
  <si>
    <t>Factura 331</t>
  </si>
  <si>
    <t>OC*055326/ Factura de Importacion</t>
  </si>
  <si>
    <t>Factura 332</t>
  </si>
  <si>
    <t>OC*055336/ Factura de Importacion</t>
  </si>
  <si>
    <t>Factura 333</t>
  </si>
  <si>
    <t>OC*055338/ Factura de Importacion</t>
  </si>
  <si>
    <t>Erick Hernandez Camacho</t>
  </si>
  <si>
    <t>Factura 2760</t>
  </si>
  <si>
    <t>OC*055333/ Factura de Importacion</t>
  </si>
  <si>
    <t>Factura 2761</t>
  </si>
  <si>
    <t>OC*055331/ Factura de Importacion</t>
  </si>
  <si>
    <t>Factura 2762</t>
  </si>
  <si>
    <t>OC*055340/ Factura de Importacion</t>
  </si>
  <si>
    <t>Ricardo Chaves Jimenez</t>
  </si>
  <si>
    <t>Factura 722</t>
  </si>
  <si>
    <t>Mantenimiento de Edificios</t>
  </si>
  <si>
    <t>OC*055357/Mant. elevador en bodega/Fabricación guias, tornillos avellanados/Solicita Jose Navarro</t>
  </si>
  <si>
    <t>Logica Transport Lodetrans</t>
  </si>
  <si>
    <t>Abono Factura 22093</t>
  </si>
  <si>
    <t>OC*055285/ Factura de importaciones</t>
  </si>
  <si>
    <t>Mecsoft de Costa Rica</t>
  </si>
  <si>
    <t>Factura 762</t>
  </si>
  <si>
    <t>Licencias y Programas</t>
  </si>
  <si>
    <t>OC-055274/Suscripciòn Anual BrisCad Pro V26/Aut. Johnny F.</t>
  </si>
  <si>
    <t>Fritz Egger</t>
  </si>
  <si>
    <t>Pago 100% Factura 1751533597, PO EGG-02/25</t>
  </si>
  <si>
    <t>Materia Prima</t>
  </si>
  <si>
    <t>Stock//Fabrica Barrio Cuba//Tableros de melamina</t>
  </si>
  <si>
    <t>Factura 135350</t>
  </si>
  <si>
    <t>OC*44*1833/Compra cafe,azucar/Material solicitado para consumo en comedor</t>
  </si>
  <si>
    <t>Maderas y Materiales el Cipresal</t>
  </si>
  <si>
    <t>Factura 199790</t>
  </si>
  <si>
    <t>Insumos de Producción</t>
  </si>
  <si>
    <t>OC*44*1834/Compra juego pivotes/Accesorios solicitado para fabricacion de prototipos Kenther Chave</t>
  </si>
  <si>
    <t>Pago 100% Factura FVR06-25-002755, PO OS-054902 / OS-054903 / OS-054904 / OS-054906</t>
  </si>
  <si>
    <t>STOCK//HOGARES FUNCIONALES//MOBILIARIO HOGAR</t>
  </si>
  <si>
    <t>Pago 100% Factura FVR06-25-002752, PO OS-054978</t>
  </si>
  <si>
    <t>JOHANNA GABOUREL//HOGARES FUNCIONALES//MOBILIARIO HOGAR</t>
  </si>
  <si>
    <t>Pago 100% Factura FVR06-25-002753, PO OS-054881</t>
  </si>
  <si>
    <t>RENE CARDONA GARCIA//HOGARES FUNCIONALES//MOBILIARIO HOGAR</t>
  </si>
  <si>
    <t>Pago 100% Factura FVR06-25-002754, PO OS-054888.</t>
  </si>
  <si>
    <t>Factura 489113</t>
  </si>
  <si>
    <t>OC*44*1803/Compra cuchilla cutter y repuestos/Material solicitado para uso en instalaciones</t>
  </si>
  <si>
    <t>Factura 41148</t>
  </si>
  <si>
    <t>OC*055287/Servicio de flete/Placa HC130942 HC131124/Movimiento interno S Sebastian a BC, BC a SF/Proforma 1264</t>
  </si>
  <si>
    <t>3-101-868034 S.A. (HIDRAULICA HCR)</t>
  </si>
  <si>
    <t>Factura 1055</t>
  </si>
  <si>
    <t>OC*055291/Mantenimiento de vehiculo/Placa CL279552/Mantenimientos tapiceria, rotulas de direccion</t>
  </si>
  <si>
    <t>Factura 1054</t>
  </si>
  <si>
    <t>OC*055289/Mantenimiento de vehiculo/Placa PPLV032/Mantenimientos bateria/Proforma 1226</t>
  </si>
  <si>
    <t>Factura 100104</t>
  </si>
  <si>
    <t>OC*055275/ Factura de Importacion</t>
  </si>
  <si>
    <t>Tinza AG</t>
  </si>
  <si>
    <t>Factura 6663</t>
  </si>
  <si>
    <t>OC*055325/ Factura de Importacion</t>
  </si>
  <si>
    <t>Factura 17275</t>
  </si>
  <si>
    <t>OC-054909/Compra de enchufes de 3 picos No. 80 para instalaciones</t>
  </si>
  <si>
    <t>Factura 17426</t>
  </si>
  <si>
    <t>OC-055426/Kits para instalalciòn de electrodomèsticos/Aut. Henry Villalobos</t>
  </si>
  <si>
    <t>Factura 100220</t>
  </si>
  <si>
    <t>OC*055337/ Factura de Importacion</t>
  </si>
  <si>
    <t>Cedi</t>
  </si>
  <si>
    <t>MHE Material Handling Equipment</t>
  </si>
  <si>
    <t>Factura 8350</t>
  </si>
  <si>
    <t>OC*053636/Mantenimiento varios,arnes,tapa,sensor de inclinacion</t>
  </si>
  <si>
    <t>Factura 19507</t>
  </si>
  <si>
    <t>OC*055090/Placa SPB003/Mantenimiento varios, cambio bombillo</t>
  </si>
  <si>
    <t>Oficina Comercializadora Oficomer</t>
  </si>
  <si>
    <t>Factura 151138</t>
  </si>
  <si>
    <t>OC*44*1838/Compra papel carta blanco resma/Material solicitado para consumo interno</t>
  </si>
  <si>
    <t>Electrolux Home Products</t>
  </si>
  <si>
    <t>Pago 100% Factura EH25111028, PO ELE-22/25</t>
  </si>
  <si>
    <t>Electrodomésticos</t>
  </si>
  <si>
    <t>SALUD NEONATAL//HOGARES FUNCIONALES//ELECTRODOMESTICOS</t>
  </si>
  <si>
    <t>Factura 490079</t>
  </si>
  <si>
    <t>OC 09-6113/Suministros solicitados para consumo interno/Tornillo Allen, tornillo, tape electrico,amarra</t>
  </si>
  <si>
    <t>Factura 489933</t>
  </si>
  <si>
    <t>OC 09-6111/Suministros solicitados para consumo interno/cinta metrica tijera, broca, alicate</t>
  </si>
  <si>
    <t>Factura 489941</t>
  </si>
  <si>
    <t>OC 09-6112/Suministros solicitados para consumo interno produccion/Tornillo hexagonal. Arandela</t>
  </si>
  <si>
    <t>Cascosol Ltda</t>
  </si>
  <si>
    <t>Pago 100% Factura 202500000615, PO COL-07/25</t>
  </si>
  <si>
    <t>STOCK//HOGARES FUNCIONALES/MOBILIARIO DE COCINAS</t>
  </si>
  <si>
    <t>Factura 490367</t>
  </si>
  <si>
    <t>OC 09-6114/Suministros solicitados para consumo interno produccion/Disco plano corte para metal</t>
  </si>
  <si>
    <t>Forestales Latinoamericanos</t>
  </si>
  <si>
    <t>Factura 290787</t>
  </si>
  <si>
    <t>OC*55*1253/Compra de MDF 15mmm/Material solicitado para stock produccion</t>
  </si>
  <si>
    <t>Sondel</t>
  </si>
  <si>
    <t>Factura 247072</t>
  </si>
  <si>
    <t>OC-055359/Pasamontañas y guantes para càmaras de frío/Aut. Johnny Fallas</t>
  </si>
  <si>
    <t>Factura 6669</t>
  </si>
  <si>
    <t>OC*055478/ Factura de Importacion</t>
  </si>
  <si>
    <t>Factura 6682</t>
  </si>
  <si>
    <t>OC*055477/ Factura de Importacion</t>
  </si>
  <si>
    <t>Intcomex Costa Rica Mayorista</t>
  </si>
  <si>
    <t>Factura 848131</t>
  </si>
  <si>
    <t>Equipos de Cómputo y Tecnológicos</t>
  </si>
  <si>
    <t>OC*055351/Compra tinta epson, tinta hp/Suministro para consumo interno/Soporte TI BC</t>
  </si>
  <si>
    <t>Factura 1062</t>
  </si>
  <si>
    <t xml:space="preserve">OC*055317/Mantenimiento de vehiculo/Placa CL279552/Mantenimientos varios/Proforma </t>
  </si>
  <si>
    <t>Factura 19512</t>
  </si>
  <si>
    <t>OC*055361/Placa BKT727/Mantenimiento varios, gata tijera</t>
  </si>
  <si>
    <t>Factura 19513</t>
  </si>
  <si>
    <t>OC*055362/Placa CL322073/Mantenimiento varios, cabio: filtros, escobillas, aceite,alineado y tramado de direccion</t>
  </si>
  <si>
    <t>Factura 19516</t>
  </si>
  <si>
    <t>OC*055389/Placa CL303611/Mantenimiento varios, cabio: filtros, escobillas, aceite,alineado y tramado de direccion</t>
  </si>
  <si>
    <t>Factura 199950</t>
  </si>
  <si>
    <t>OC*44*1839/Compra juego pivotes/Accesorios solicitado para fabricacion de prototipos Kenther Chave</t>
  </si>
  <si>
    <t>Factura 1172</t>
  </si>
  <si>
    <t>OC00PO00000275/Euromobilia Express/Aut. Eithel S.</t>
  </si>
  <si>
    <t>Sumi Express Sociedad Anonima</t>
  </si>
  <si>
    <t>Factura 103945</t>
  </si>
  <si>
    <t>OC 31-3481/Suministros solicitados para consumos interno/Alcohol liquido, clips pequeños, marcador permanente, papel carta blanco, bateria</t>
  </si>
  <si>
    <t>Sur Quimica</t>
  </si>
  <si>
    <t>Factura 2799</t>
  </si>
  <si>
    <t>OC*44*1850/Compra thinner/Material solicitado para consumo instalaciones</t>
  </si>
  <si>
    <t xml:space="preserve">Roxana Caravana Diaz </t>
  </si>
  <si>
    <t>Factura 508</t>
  </si>
  <si>
    <t>OC*055483/ Factura de importaciones</t>
  </si>
  <si>
    <t>Corrugados del Guarco</t>
  </si>
  <si>
    <t>Factura 97202</t>
  </si>
  <si>
    <t>OC*44*1827/Compra lamina de carton corrugado</t>
  </si>
  <si>
    <t>Electrodomesticos Mabeca</t>
  </si>
  <si>
    <t>Factura 55508</t>
  </si>
  <si>
    <t>OC HO-513/MBC-33/25 Cliente Camila Jurado Montanari/Plantilla Gas Range Top</t>
  </si>
  <si>
    <t>Factura 19519</t>
  </si>
  <si>
    <t>OC*055430/Placa CL303596/Mantenimiento varios, cabio: filtros, escobillas, aceite,alineado y tramado de direccion</t>
  </si>
  <si>
    <t>Camara de Industrias de Costa Rica</t>
  </si>
  <si>
    <t>Factura 66771</t>
  </si>
  <si>
    <t>Cuotas, Suscripciones y Afiliaciones</t>
  </si>
  <si>
    <t>OC*055512/Membresia ENE,2026</t>
  </si>
  <si>
    <t>Distribuidora Arguedas y Salas</t>
  </si>
  <si>
    <t>Factura 1256634</t>
  </si>
  <si>
    <t>Herramientas Menores</t>
  </si>
  <si>
    <t>OC 55329/Herramienta solicitada para uso en instalaciones/Nivel laser 5 Puntos</t>
  </si>
  <si>
    <t>TEEINSA</t>
  </si>
  <si>
    <t>Factura 17067</t>
  </si>
  <si>
    <t>OC*44*1843/Compra bolsa plastica transparente/Material solicitado para consumo interno</t>
  </si>
  <si>
    <t>Extralum</t>
  </si>
  <si>
    <t>Factura 240918</t>
  </si>
  <si>
    <t>OC 31-3436/Vidrios solicitados para ODP 118843 TSE-Los chiles/Vidrios screen board</t>
  </si>
  <si>
    <t>Todo Frenos RGVV</t>
  </si>
  <si>
    <t>Abono Factura 44371 6 de 6</t>
  </si>
  <si>
    <t xml:space="preserve">OC*051280/ 5/6 pagos Mantenimiento vehiculo/ VB Andres Artavia/  Placa; CL171277/ Cedi Carit/ VB Ivan Ugalde </t>
  </si>
  <si>
    <t>Italgroup</t>
  </si>
  <si>
    <t>Factura 9038</t>
  </si>
  <si>
    <t>OC00PO00000276/Euromobilia Express/Aut. Eithel S.</t>
  </si>
  <si>
    <t>Factura 41248</t>
  </si>
  <si>
    <t>OC*055448/Servicio de flete/Equipo TA12245/Traslado SF-Sabana y viceversa/Proforma 1320</t>
  </si>
  <si>
    <t>Factura 41246</t>
  </si>
  <si>
    <t>OC*055446/Servicio de flete/Equipo CL203471/Traslado Terramall-SF/Proforma 1316</t>
  </si>
  <si>
    <t>Factura 41245</t>
  </si>
  <si>
    <t>OC*055447/Servicio de flete/Equipo CL203471/Traslado SF-Guadalupe/Proforma 1319</t>
  </si>
  <si>
    <t>Factura 217</t>
  </si>
  <si>
    <t>OC*055449/Mantenimiento de vehiculo/Equipo 18100934/Revision general/Proforma 195</t>
  </si>
  <si>
    <t>Factura 218</t>
  </si>
  <si>
    <t>OC*055452/Mantenimiento de vehiculo/Equipo TA0110/Suministros e instalaciones varias/Proforma 197</t>
  </si>
  <si>
    <t>Factura 219</t>
  </si>
  <si>
    <t>OC*055461/Mantenimiento de vehiculo/Equipo ZF050-ZTA00834/Revision y correccion por fallo de encendidio/Proforma 198</t>
  </si>
  <si>
    <t>Factura 220</t>
  </si>
  <si>
    <t>OC*055460/Mantenimiento de vehiculo/Equipo FG35-TA09611/Reparacion de llanta derecha/Proforma 199</t>
  </si>
  <si>
    <t>Factura 221</t>
  </si>
  <si>
    <t>OC*055459/Mantenimiento de vehiculo/Equipo FG25TA01120/Revision sistema de frenos/Proforma 200</t>
  </si>
  <si>
    <t>Factura 222</t>
  </si>
  <si>
    <t>OC*055455/Mantenimiento de vehiculo/Equipo FG35309643B/Suministro e instalaciones varias/Proforma 201</t>
  </si>
  <si>
    <t>Factura 200042</t>
  </si>
  <si>
    <t>OC*55*1257/Compra melamina,chapeta/Material solicitado para cliente Epsilon HYM</t>
  </si>
  <si>
    <t>Factura 247487</t>
  </si>
  <si>
    <t>OC*44*1848/Compra zapatos/Material solicitado para uso personal varios</t>
  </si>
  <si>
    <t>Factura 509</t>
  </si>
  <si>
    <t>OC*055484/ Factura de importaciones</t>
  </si>
  <si>
    <t>Factura 510</t>
  </si>
  <si>
    <t>Factura 491036</t>
  </si>
  <si>
    <t>OC 09-6127/Material solicitado para consumo interno produccion/Disco corte fino</t>
  </si>
  <si>
    <t>Peleteria y Viniles los Angeles</t>
  </si>
  <si>
    <t>Factura 54753</t>
  </si>
  <si>
    <t>OC*44*1818/Compra llavin/Material para uso en produccion</t>
  </si>
  <si>
    <t>Factura 233263</t>
  </si>
  <si>
    <t>OC*055489/ Factura de importaciones</t>
  </si>
  <si>
    <t>Gerardo Antonio Mora Martìnez</t>
  </si>
  <si>
    <t>Abono Factura 495</t>
  </si>
  <si>
    <t>OC-055504/Suministros aseo y limpieza /Aut. Mónica D.</t>
  </si>
  <si>
    <t>Intrep</t>
  </si>
  <si>
    <t>Factura 77</t>
  </si>
  <si>
    <t>OC*44*1847/Compra adhesivo/Material solicitado para consumo interno</t>
  </si>
  <si>
    <t>Lanco y Harris</t>
  </si>
  <si>
    <t>Factura 1323913</t>
  </si>
  <si>
    <t>OC*44*1846/Compra cemento amarillo de contacto/Material solicitado para consumo produccion/Fac PcGraf 1341434</t>
  </si>
  <si>
    <t>Pago 45% Segudo pago  PI 31917, PO NJS-22/25 - LEP</t>
  </si>
  <si>
    <t>Racks</t>
  </si>
  <si>
    <t>EPA//LOGISTICA ESPACIAL</t>
  </si>
  <si>
    <t>Importadora de Tecnologia Global YSMR</t>
  </si>
  <si>
    <t>Factura 160209</t>
  </si>
  <si>
    <t>OC*055488/ Compra auriculares</t>
  </si>
  <si>
    <t>Factura 160208</t>
  </si>
  <si>
    <t>OC*055488/ Compra base telefono inalambrico</t>
  </si>
  <si>
    <t>Mest Multiservicios Empresariales</t>
  </si>
  <si>
    <t>Factura 97931</t>
  </si>
  <si>
    <t xml:space="preserve">OC 09-6144/Suministros solicitados para consumos interno/Papel carta resma </t>
  </si>
  <si>
    <t>Superba</t>
  </si>
  <si>
    <t>Factura 1971</t>
  </si>
  <si>
    <t>OC 09-6143/Material solicitado para consumo produccion/Disco para lijar</t>
  </si>
  <si>
    <t>Factura 341</t>
  </si>
  <si>
    <t>OC*055569/ Factura de Importacion</t>
  </si>
  <si>
    <t>Factura 340</t>
  </si>
  <si>
    <t>OC*055567/ Factura de Importacion</t>
  </si>
  <si>
    <t>Factura 339</t>
  </si>
  <si>
    <t>OC*055566/ Factura de Importacion</t>
  </si>
  <si>
    <t>Factura 338</t>
  </si>
  <si>
    <t>OC*055565/ Factura de Importacion</t>
  </si>
  <si>
    <t>Factura 337</t>
  </si>
  <si>
    <t>OC*055564/ Factura de Importacion</t>
  </si>
  <si>
    <t>Factura 336</t>
  </si>
  <si>
    <t>Factura 724</t>
  </si>
  <si>
    <t>Mant. y Repuestos Maquinaria</t>
  </si>
  <si>
    <t>OC*055563/Fabricacion cuadros nylon/ Solicita Jose Navarro</t>
  </si>
  <si>
    <t>Factura 41006</t>
  </si>
  <si>
    <t>OC*055505/Mantenimiento de vehiculo/Mantenimiento revision y reparacion farol principal,direccional,panel esquinero clutch/Placa CL168310</t>
  </si>
  <si>
    <t>Factura 241534</t>
  </si>
  <si>
    <t>OC*44*1823/Compra rodin empotrable/Accesorio solicitado para Proy Torres Don Bosco</t>
  </si>
  <si>
    <t>Factura 241361</t>
  </si>
  <si>
    <t>OC*054983/Compra rodin/Accesorios solicitados para muestras</t>
  </si>
  <si>
    <t>Factura 3053</t>
  </si>
  <si>
    <t>OC*58*0086/Marco tapa ducto,perfil para puerta,contramarco/Material solicitado para stock</t>
  </si>
  <si>
    <t>Factura 3052</t>
  </si>
  <si>
    <t>OC*58*0087/Marco tubo colgador/Material solicitado para consumo produccion</t>
  </si>
  <si>
    <t>Byrne Electrical Specialists INC</t>
  </si>
  <si>
    <t>Pago 50%Final PI 764232, PO BYR-10/25</t>
  </si>
  <si>
    <t>Muebles Terminados Oficina</t>
  </si>
  <si>
    <t>EPILSON//PRODUCTIVIDAD HUMANA//INCLUYE COMISION BANCARIA</t>
  </si>
  <si>
    <t>Factura 850310</t>
  </si>
  <si>
    <t>OC*055516/Compra ubq switch l3 poe+24/Equipo mantenimiento de red/Soporte Desarrollo BC</t>
  </si>
  <si>
    <t>Factura 41087</t>
  </si>
  <si>
    <t>OC*055510/Mantenimiento de vehiculo/Mantenimiento revision y reparacion plato de presion, disco clutch/Placa CL288930</t>
  </si>
  <si>
    <t>Factura 19547</t>
  </si>
  <si>
    <t>OC*055583/Placa CL284358/Mantenimiento varios, limpieza,filtros,aceite otras instalaciones/Altea</t>
  </si>
  <si>
    <t>Factura 19548</t>
  </si>
  <si>
    <t>OC*055524/Placa CL284340/Mantenimiento varios, filtros,aceite otras instalaciones</t>
  </si>
  <si>
    <t>Sociaco Carga</t>
  </si>
  <si>
    <t>Factura 68742</t>
  </si>
  <si>
    <t>OC*055600/ Factura de importaciones</t>
  </si>
  <si>
    <t>Factura 68741</t>
  </si>
  <si>
    <t>OC*055598/ Factura de importaciones</t>
  </si>
  <si>
    <t>Abono Factura 44431 6 de 6</t>
  </si>
  <si>
    <t>OC*051646/ 6/6 pagos/Servicio mantenimiento/ VB Andres Artavia/  Placa; CL289170/ Cedi-Carit (Pago a 6 meses)</t>
  </si>
  <si>
    <t>Abono Factura 44459 6 de 6</t>
  </si>
  <si>
    <t>OC*052062/ 6/6 pagos/Servicio mantenimiento/ VB Andres Artavia/  Placa; CL171277/ Cedi-Carit (Pago a 6 meses)</t>
  </si>
  <si>
    <t>Importadora Ad Nat</t>
  </si>
  <si>
    <t>Factura 54729</t>
  </si>
  <si>
    <t>OC*055589/Mantenimiento de vehiculo/Placa CL284403/Balanceo, cambio llantas</t>
  </si>
  <si>
    <t xml:space="preserve">Pago 100% Factura EH25120104, PO ELE-23/25  </t>
  </si>
  <si>
    <t>GÉNESIS CORDERO//HOGARES FUNCIONALES//ELECTRODOMESTICOS</t>
  </si>
  <si>
    <t>Factura 291790</t>
  </si>
  <si>
    <t>OC*55*1254/Compra de melamina,chapeta pvc/Material solicitado para area social de park wood</t>
  </si>
  <si>
    <t>Ronny Hidalgo Navarro</t>
  </si>
  <si>
    <t>Factura 14261</t>
  </si>
  <si>
    <t>OC*055593/Recarga de extintores de la planta de Fab BC</t>
  </si>
  <si>
    <t>Factura 19553</t>
  </si>
  <si>
    <t>OC*055583/Placa CL244997/Mantenimiento varios, bateria, instalacion de bateria/Proforma 78958</t>
  </si>
  <si>
    <t>Factura 236</t>
  </si>
  <si>
    <t>OC*055581/Mantenimiento de vehiculo/Equipo ET0055/Revision por fallo de encendido,testeo/Proforma 220</t>
  </si>
  <si>
    <t>Factura 235</t>
  </si>
  <si>
    <t>OC*055579/Mantenimiento de vehiculo/Equipo ET00155/Revision y correcion por fallos Z470 y Za79, fallo de alimentacion/Proforma 221</t>
  </si>
  <si>
    <t>Factura 238</t>
  </si>
  <si>
    <t>OC*055578/Mantenimiento de vehiculo/Equipo TA13759/Revision y correcion por fallos en generacion y control de minimo, kit de tune up/Proforma 222</t>
  </si>
  <si>
    <t>Factura 240</t>
  </si>
  <si>
    <t>OC*055591/Mantenimiento de vehiculo/Equipo TA09611/Revision y correcion por fallos en traccion, cambio de relay control de traccion/Proforma 231</t>
  </si>
  <si>
    <t>Factura 1076</t>
  </si>
  <si>
    <t>OC*055587/Mantenimiento de vehiculo/Placa CL322075/Mantenimientos varios/Proforma 1239</t>
  </si>
  <si>
    <t>Factura 1075</t>
  </si>
  <si>
    <t>OC*055586/Mantenimiento de vehiculo/Placa CL149674/Mantenimientos varios/Proforma 1238</t>
  </si>
  <si>
    <t>Factura 1074</t>
  </si>
  <si>
    <t>OC*055585/Mantenimiento de vehiculo/Placa CL284340/Mantenimientos varios/Proforma 1236</t>
  </si>
  <si>
    <t>Factura 1073</t>
  </si>
  <si>
    <t>OC*055584/Mantenimiento de vehiculo/Placa CL322073/Mantenimientos kit de clutch, roll, cambio clutch/Proforma 1238</t>
  </si>
  <si>
    <t>Factura 1072</t>
  </si>
  <si>
    <t>OC*055582/Mantenimiento de vehiculo/Placa CL203471/Mantenimientos engrase total, roles de bocinas/Proforma 1237</t>
  </si>
  <si>
    <t>Comercializadora VMR</t>
  </si>
  <si>
    <t>Factura 2941</t>
  </si>
  <si>
    <t>Partes de Muebles de Cocina</t>
  </si>
  <si>
    <t>OC HO-492/Pedido: VMR-09/25/Cliente: Trent Jutin Reifert/Grifo de cocina monocromado</t>
  </si>
  <si>
    <t>Factura 349</t>
  </si>
  <si>
    <t>OC*055639/ Factura de Importacion</t>
  </si>
  <si>
    <t>Factura 345</t>
  </si>
  <si>
    <t>OC*055642/ Factura de Importacion</t>
  </si>
  <si>
    <t>Factura 344</t>
  </si>
  <si>
    <t>OC*055641/ Factura de Importacion</t>
  </si>
  <si>
    <t>Abono Factura 343</t>
  </si>
  <si>
    <t>OC*055640/ Factura de Importacion</t>
  </si>
  <si>
    <t>Factura 54764</t>
  </si>
  <si>
    <t>OC*055645/Mantenimiento de vehiculo/Placa CL279552/Balanceo, cambio llantas</t>
  </si>
  <si>
    <t>Factura 82589</t>
  </si>
  <si>
    <t>OC 31-3478/Suministros solicitados para consumo interno/Peapel higienico, toallas</t>
  </si>
  <si>
    <t>Factura 8398</t>
  </si>
  <si>
    <t>OC*055576/Mantenimiento varios, diagnostico baterias apiladores</t>
  </si>
  <si>
    <t>Factura 2942</t>
  </si>
  <si>
    <t>OC HO-496/Pedido: VMR-10/25/Varios clientes/6 grifos de cocina monocromado</t>
  </si>
  <si>
    <t>Ricoh Costa Rica</t>
  </si>
  <si>
    <t>Abono Factura 368719</t>
  </si>
  <si>
    <t>OC*055644/ Servicio de copias e impresiones</t>
  </si>
  <si>
    <t>Aceros Abonos Agro</t>
  </si>
  <si>
    <t>Factura 15505</t>
  </si>
  <si>
    <t>OC 09-6138/Material solicitado para ODP 33082 INARI/Tubo hierro rectangular</t>
  </si>
  <si>
    <t>Equipos de Salud Ocupacional</t>
  </si>
  <si>
    <t>Factura 14531</t>
  </si>
  <si>
    <t>OC 31-3468/Equipos de salud ocupacional uso en el personal/chaleco reflectivo</t>
  </si>
  <si>
    <t>Pago 70% Final PI 32551, PO NJS-01/26</t>
  </si>
  <si>
    <t>EDICA//LOGISTICA ESPACIAL</t>
  </si>
  <si>
    <t>Factura 82785</t>
  </si>
  <si>
    <t>OC*44*1845/Compra papel higenico,toalla de papel/Material solicitado para consumo interno</t>
  </si>
  <si>
    <t>Aplicaciones Electromecanicas B y D</t>
  </si>
  <si>
    <t>Factura 95527</t>
  </si>
  <si>
    <t>OC 55435/Mano de obra herramienta inalambrica, motor e interruptor DCD796D2</t>
  </si>
  <si>
    <t>Factura 2858</t>
  </si>
  <si>
    <t>OC 09-6142/Material solicitado para consumo produccion/Lija de agua, lija de disco, brocha, spray negro, brocha corriente,felpa para rodillo</t>
  </si>
  <si>
    <t>Hafele</t>
  </si>
  <si>
    <t>Pago 100% Factura 110499544,   PO HA-12/2</t>
  </si>
  <si>
    <t>STOCK//FABRICA BARRIO CUBA//INSUMOS PRODUCCION</t>
  </si>
  <si>
    <t>Factura 2943</t>
  </si>
  <si>
    <t>OC HO-501/Pedido: VMR-11/25/Cliente: Maria Emilia Fernandez Mora/Grifo de cocina monocromado</t>
  </si>
  <si>
    <t>Factura 89584</t>
  </si>
  <si>
    <t>OC 55473/Material solicitado para mantenimiento en planta bodegas/malla electrosoldada, tornillos punta</t>
  </si>
  <si>
    <t>CATA</t>
  </si>
  <si>
    <t xml:space="preserve">Pago 100% Factura 12, PO CAT-02/25 </t>
  </si>
  <si>
    <t>DORA EMILIA//HOGARES FUNCIONALES</t>
  </si>
  <si>
    <t>Factura 492791</t>
  </si>
  <si>
    <t>OC*44*1850/Compra tornillos/Material solicitado por Luis Huete pro Sky Garden</t>
  </si>
  <si>
    <t>Pago 45% Segundo pago PI 32961, PO NJS-21/25 - LEP</t>
  </si>
  <si>
    <t>VERTICE STOCK//LOGISTICA ESPACIAL</t>
  </si>
  <si>
    <t>Factura 54972</t>
  </si>
  <si>
    <t>OC 31-3475/Material solicitado paraProyecto MCM/SAGA/Alfombra aislante cubridora</t>
  </si>
  <si>
    <t>Factura 3195</t>
  </si>
  <si>
    <t>OC*58*0089/Compra contramarco/Material solicitado para proy Epsilon</t>
  </si>
  <si>
    <t>Factura 493322</t>
  </si>
  <si>
    <t>OC*44*1836/Compra cinta metrica/Material solicitado para consumo interno</t>
  </si>
  <si>
    <t>Pago 100% Factura FVR06-25-003086, PO OS-055467</t>
  </si>
  <si>
    <t xml:space="preserve">EXTRA OSWALDO ALVARES ///HOGARES FUNCIONALES//MOBILIARIO HOGAR// </t>
  </si>
  <si>
    <t>Factura 292998</t>
  </si>
  <si>
    <t>OC*44*1837/Compra de chapeta pyv/Material solicitado para stock produccion</t>
  </si>
  <si>
    <t>Pago 30% Final PI Stock 12, PO NJS-08/25 -LEP</t>
  </si>
  <si>
    <t>STOCK#12 LEP//Mega Racks //Logistica Espacial                                                                                                                      ID CONTROL:</t>
  </si>
  <si>
    <t>Pago 30% Final PI 31160, PO NJS-11/25- LEP</t>
  </si>
  <si>
    <t>31161 BOSTON SCIENTIFIC//MEGA RACKS//LOGISTICA ESPACIAL                                                                                                 ID CONTROL:LE-NJS-11/25</t>
  </si>
  <si>
    <t>LatinAmericoats</t>
  </si>
  <si>
    <t>Factura 2313</t>
  </si>
  <si>
    <t>OC 03-4557/Material solicitado para consumo interno produccion</t>
  </si>
  <si>
    <t xml:space="preserve">Pago 100% Factura EH25121027, PO ELE-24/25   </t>
  </si>
  <si>
    <t>VANESSA PALACIOS GOMEZ//HOGARES FUNCIONALES//ELECTRODOMESTICOS</t>
  </si>
  <si>
    <t>Factura  494720</t>
  </si>
  <si>
    <t>OC 09-6139/Material solicitado para consumo produccion/Tornillo hexagonal punta broca</t>
  </si>
  <si>
    <t>Factura 242737</t>
  </si>
  <si>
    <t>OC*BV*4895/Compra vidrio/Material solicitado para ODP#119306 TSE Los Chiles</t>
  </si>
  <si>
    <t>Factura 494791</t>
  </si>
  <si>
    <t>OC*44*1844/Compra tornillos/Material solicitado por Luis Huete pro Sky Garden</t>
  </si>
  <si>
    <t>Factura 495113</t>
  </si>
  <si>
    <t>OC*44*1849/Compra espander/Material solicitado para consumo produccion</t>
  </si>
  <si>
    <t>Factura 293817</t>
  </si>
  <si>
    <t>OC*55*1258/Compra de MDF 15mmm/Material solicitado para stock produccion</t>
  </si>
  <si>
    <t>Factura 495428</t>
  </si>
  <si>
    <t>OC 09-6141/Material solicitado para consumo produccion/Tornillo hexagonal punta broca</t>
  </si>
  <si>
    <t>Factura 495494</t>
  </si>
  <si>
    <t>OC 09-6140/Material solicitado para consumo produccion/Tornillo, escuadra,alicate,cinta metrica,disco esmerilar</t>
  </si>
  <si>
    <t>Pago 100% Factura 1751546649, PO EGG-03/25</t>
  </si>
  <si>
    <t>STOCK//FABRICA BARRIO CUBA//TABLEROS DE MELAMINA</t>
  </si>
  <si>
    <t>logística Espacial</t>
  </si>
  <si>
    <t>Pago 30%+3.5% Intereses Pago final  PI stock 13, PO NJS-13/25 - LEP</t>
  </si>
  <si>
    <t>STOCK#13//MEGA RACKS//LOGISTICA ESPACIAL</t>
  </si>
  <si>
    <t>Pago 100% Factura 1751547142, PO EGG-04/25</t>
  </si>
  <si>
    <t>Pago 30% Final  PI Stock 14, PO NJS-19/25</t>
  </si>
  <si>
    <t>STOCK #14//Mega Racks//Logistica Espacial                                                                                                                               ID CONTROL:</t>
  </si>
  <si>
    <t>Pago 30% Final  PI 31917, PO NJS-22/25 - LEP</t>
  </si>
  <si>
    <t>Pago 30% Final PI 32961, PO NJS-21/25 - LEP</t>
  </si>
  <si>
    <t>Paneltech</t>
  </si>
  <si>
    <t>Produccividad Humana</t>
  </si>
  <si>
    <t>2</t>
  </si>
  <si>
    <t>Factura 2764</t>
  </si>
  <si>
    <t>OC 7140/Transporte/Factura de importaciones/FTD-01/25</t>
  </si>
  <si>
    <t>Factura 335</t>
  </si>
  <si>
    <t>OC 7128/Nacionalizacion/Factura de importaciones/FTD-01/25</t>
  </si>
  <si>
    <t>UAB Narbutas International</t>
  </si>
  <si>
    <t>Pago 50% Final PI Q050528-1, PO UAB-02/26P</t>
  </si>
  <si>
    <t>FREUDENBERG//PRODUCTIVIDAD HUMANA</t>
  </si>
  <si>
    <t>Pago 50% Final PI Q055195-1 PO UAB-01/26P</t>
  </si>
  <si>
    <t>Hospedaje Aeropuerto//PRODUCTIVIDAD HUMANA</t>
  </si>
  <si>
    <t>Multiclamp</t>
  </si>
  <si>
    <t xml:space="preserve">Hogares Funcionales </t>
  </si>
  <si>
    <t>IESA</t>
  </si>
  <si>
    <t>Pago 40 PO E-2125 contrato 435</t>
  </si>
  <si>
    <t>E-21/25 Cliente: PROYECTO NIMBU CASA #1</t>
  </si>
  <si>
    <t>Pago 40 PO E-2225 contrato 411</t>
  </si>
  <si>
    <t>E-22/25 Cliente: PROYECTO NIMBU CASA KENNEDY</t>
  </si>
  <si>
    <t>Pago 40 PO E-2325 contrato 411</t>
  </si>
  <si>
    <t>E-23/25 Cliente: PROYECTO NIMBU CASA BUD GIFFELS</t>
  </si>
  <si>
    <t>Pago 40 PO E-2025 contrato 411</t>
  </si>
  <si>
    <t>E-20/25 Cliente: PROYECTO NIMBU CASA VALVERDE</t>
  </si>
  <si>
    <t>Factura 334</t>
  </si>
  <si>
    <t>OC*003110/ Facturas de importaciones</t>
  </si>
  <si>
    <t>Factura 2763</t>
  </si>
  <si>
    <t>OC*003118/ Facturas de importaciones</t>
  </si>
  <si>
    <t>CATALOGO DE MONEDAS</t>
  </si>
  <si>
    <t>Símbolo</t>
  </si>
  <si>
    <t>Proveedor 1</t>
  </si>
  <si>
    <t>Proveedor 2</t>
  </si>
  <si>
    <t>Proveedor 3</t>
  </si>
  <si>
    <t>U. Negocio</t>
  </si>
  <si>
    <t>Responsable 1</t>
  </si>
  <si>
    <t>LEP</t>
  </si>
  <si>
    <t>Responsable 2</t>
  </si>
  <si>
    <t>FBC-HF-PRI</t>
  </si>
  <si>
    <t>Responsable 3</t>
  </si>
  <si>
    <t>FSF-PH-OUT-CEDI</t>
  </si>
  <si>
    <t>Responsable 4</t>
  </si>
  <si>
    <t>BO</t>
  </si>
  <si>
    <t>Ruben R.</t>
  </si>
  <si>
    <t>CONSTRUCTORA</t>
  </si>
  <si>
    <t>Moneda 1</t>
  </si>
  <si>
    <t>Moneda 2</t>
  </si>
  <si>
    <t>Moneda 3</t>
  </si>
  <si>
    <t>EUROMOBILIA S.A. CUENTAS POR PAGAR</t>
  </si>
  <si>
    <t>Etiquetas de fila</t>
  </si>
  <si>
    <t>Suma de Monto en Original Moneda</t>
  </si>
  <si>
    <t>Suma de Monto en $</t>
  </si>
  <si>
    <t>Accesorios de Puertas</t>
  </si>
  <si>
    <t>Fletes Internacionales</t>
  </si>
  <si>
    <t>Vigilancia</t>
  </si>
  <si>
    <t>Gas Línea de Pintura</t>
  </si>
  <si>
    <t>Total general</t>
  </si>
  <si>
    <t>PANELTECH S.A. CUENTAS POR PAGAR</t>
  </si>
  <si>
    <t>Alfombras</t>
  </si>
  <si>
    <t>MULTICLAMP S.A. CUENTAS POR PAGAR</t>
  </si>
  <si>
    <t>Factura 100948</t>
  </si>
  <si>
    <t>OC 7156/Bodegaje/Factura de importaciones/MLK-16/25P</t>
  </si>
  <si>
    <t>Factura 2775</t>
  </si>
  <si>
    <t>OC 7165/Servicio de trasnporte/Factura de importaciones/MLK-16/25</t>
  </si>
  <si>
    <t>Factura 357</t>
  </si>
  <si>
    <t>OC 7166/Nacionalizacion/Factura de impoortaciones/MLK-16/25</t>
  </si>
  <si>
    <t>Nazel S.A.</t>
  </si>
  <si>
    <t>Factura 12928</t>
  </si>
  <si>
    <t>OC  7158/Flete maritimo factura de importaciones/MLK-16/25P</t>
  </si>
  <si>
    <t>Factura 12957</t>
  </si>
  <si>
    <t>OC 7157/Flete maritimo factura de importaciones/MLK-14/25P</t>
  </si>
  <si>
    <t>Factura 12958</t>
  </si>
  <si>
    <t>OC 7159/Flete maritimo factura de imprtaciones/MLK-15/25P</t>
  </si>
  <si>
    <t>Pago 100% PI Q040533, PO UAB-16-17-18/25P</t>
  </si>
  <si>
    <t>AJUSTE EN EL PRECIO DE  PROFORMA Q040533  PEDIDO UAB-16(Diasgnotika)-17(Garantias Freudenberg)-18(Garantias llavines freudenberg)/25P</t>
  </si>
  <si>
    <t>PAGO 60 PROYECTO NIMBU - E 2525 CASA BUD GIFFELS</t>
  </si>
  <si>
    <t>PROYECTO NIMBU - E 2525 CASA BUD GIFFELS</t>
  </si>
  <si>
    <t>Hangzhou Huasen Furniture Decoration</t>
  </si>
  <si>
    <t>Pago 100% PI ,PO OS 055732 ,OS-055728</t>
  </si>
  <si>
    <t>MUESTRAS OLICITADAS POR GABRIEL SALAZAR ADICIONAL UNIKO/MUESTRAS OLICITADAS POR GABRIEL SALAZAR ADICIONAL PANORAMA, TORRES DON BOSCO, AZUL PARAISO</t>
  </si>
  <si>
    <t xml:space="preserve">IWP Manufacturing </t>
  </si>
  <si>
    <t>Pago 50% Inicial PI 2042, PO IWP-01/26 - LEP</t>
  </si>
  <si>
    <t>STOCK//LOGISTICA ESPACIAL//MEGA RACKS</t>
  </si>
  <si>
    <t>Milliken &amp; Company</t>
  </si>
  <si>
    <t xml:space="preserve">Pago 100% Factura 14918923, PO MLK-15/25 </t>
  </si>
  <si>
    <t>A3 ARQUITECTOS//PRODUCTIVIDAD HUMANA//ALFOMBRAS</t>
  </si>
  <si>
    <t>Pago 100% Factura 14922110,PO MLK-16/25</t>
  </si>
  <si>
    <t>Pisos</t>
  </si>
  <si>
    <t>STOCK //PRODUCTIVIDAD HUMANA//PISO LAMINADO</t>
  </si>
  <si>
    <t>Pago 100% Factura FVR06-25-002743, PO OS-054270</t>
  </si>
  <si>
    <t>MUESTRAS-STOCK//HOGARES FUNCIONALES/MOBILIARIO DE COCINAS</t>
  </si>
  <si>
    <t>Pago 100% Factura FVR06-25-003087, PO OS-055469 y OS-055468</t>
  </si>
  <si>
    <t>GARANTIAS//EXTRA LUCES SHOWROOM Y EXTRA OSVALDO//HOGARES FUNCIONALES/MOBILIARIO DE COCINAS</t>
  </si>
  <si>
    <t>Pago 100% Factura FVR06-25-003083, PO BC3-62/25</t>
  </si>
  <si>
    <t>ISABEL FORNAGERA//HOGARES FUNCIONALES/MOBILIARIO DE COCINAS</t>
  </si>
  <si>
    <t>Pago 100% Factura FVR06-25-003084, PO BC3-68/25</t>
  </si>
  <si>
    <t>MACIEJ GUSTAB//HOGARES FUNCIONALES/MOBILIARIO DE COCINAS</t>
  </si>
  <si>
    <t>Pago 100% Factura  FVR06-25-003088, PO BC3-69/25</t>
  </si>
  <si>
    <t>CAMARCO HEAT GROUP//HOGARES FUNCIONALES/MOBILIARIO DE COCINAS</t>
  </si>
  <si>
    <t>Pago 100% Factura FVR06-25-003085, PO BC3-61/25</t>
  </si>
  <si>
    <t>JESSE SHELTHER//HOGARES FUNCIONALES/MOBILIARIO DE COCINAS</t>
  </si>
  <si>
    <t>Arper SPA</t>
  </si>
  <si>
    <t>Factura 64609</t>
  </si>
  <si>
    <t>OC*44*1835/Compra carton corrugado/Material solicitado para consumo produccion</t>
  </si>
  <si>
    <t>Factura 55653</t>
  </si>
  <si>
    <t xml:space="preserve">OC HO-543/Pedido MBC-16/25/MARIA ANDREA MOLIGNANA/Horno 76 cm </t>
  </si>
  <si>
    <t>Factura 55652</t>
  </si>
  <si>
    <t>OC HO-544/Pedido MBC31/25 /ANDRES RAMOS GUTIERREZ/Plantilla touch, Horno</t>
  </si>
  <si>
    <t>Factura 55655</t>
  </si>
  <si>
    <t xml:space="preserve">OC HO 446/Pedido MBC-19/25/CARLOS ANDRES VILALOBOS/Horno pared </t>
  </si>
  <si>
    <t>Factura 55654</t>
  </si>
  <si>
    <t>OC HO-542/Pedido MBC-21/25/ILEANA ROJAS SABORIO/Horno de pared electrico</t>
  </si>
  <si>
    <t>Factura 242976</t>
  </si>
  <si>
    <t>OC 31-3477/Vidrios solicitados para ODP 119159 CEI EPILSON BWI/Vidrio temperado claro</t>
  </si>
  <si>
    <t>Factura 851059</t>
  </si>
  <si>
    <t>OC*055196/Compra accesorios Hikvision (camara de vigilacia)/Equipo solicitado uso en areas Planta SF</t>
  </si>
  <si>
    <t>Kabat Security Systems</t>
  </si>
  <si>
    <t>Factura 28311</t>
  </si>
  <si>
    <t>OC*055789/Seguridad y Vigilancia Mensual ENE,26</t>
  </si>
  <si>
    <t>Karpa Freight Forwarding S.A.</t>
  </si>
  <si>
    <t>Factura 76743</t>
  </si>
  <si>
    <t>OC*055508/ Factura de importaciones</t>
  </si>
  <si>
    <t>Factura 76742</t>
  </si>
  <si>
    <t>OC*055507/ Factura de importaciones</t>
  </si>
  <si>
    <t>Factura 12875</t>
  </si>
  <si>
    <t>OC*055614/ Factura de importaciones</t>
  </si>
  <si>
    <t>Factura 507</t>
  </si>
  <si>
    <t>OC*055733/ Factura de importaciones</t>
  </si>
  <si>
    <t>Factura 511</t>
  </si>
  <si>
    <t>OC*055627/ Factura de importaciones</t>
  </si>
  <si>
    <t>Factura 512</t>
  </si>
  <si>
    <t>OC*055630/ Factura de importaciones</t>
  </si>
  <si>
    <t>Factura 513</t>
  </si>
  <si>
    <t>OC*055631/ Factura de importaciones</t>
  </si>
  <si>
    <t>Factura 514</t>
  </si>
  <si>
    <t>OC*055634/ Factura de importaciones</t>
  </si>
  <si>
    <t>Factura 517</t>
  </si>
  <si>
    <t>OC*055635/ Factura de importaciones</t>
  </si>
  <si>
    <t>Factura 518</t>
  </si>
  <si>
    <t>OC*055744/ Factura de importaciones</t>
  </si>
  <si>
    <t>Factura 519</t>
  </si>
  <si>
    <t>OC*055742/ Factura de importaciones</t>
  </si>
  <si>
    <t>Factura 520</t>
  </si>
  <si>
    <t>OC*055739/ Factura de importaciones</t>
  </si>
  <si>
    <t>Factura 521</t>
  </si>
  <si>
    <t>OC*055740/ Factura de importaciones</t>
  </si>
  <si>
    <t>Savino del Bene CR</t>
  </si>
  <si>
    <t>Factura 14367</t>
  </si>
  <si>
    <t>OC*055588/ Factura de importaciones</t>
  </si>
  <si>
    <t>Sociaco Logistics</t>
  </si>
  <si>
    <t>Factura 258885</t>
  </si>
  <si>
    <t>OC*055810/ Factura de importaciones</t>
  </si>
  <si>
    <t>Aceros Roag</t>
  </si>
  <si>
    <t>Factura 255947</t>
  </si>
  <si>
    <t>OC 09-6146/Material solicitado para ODP 325550 INTACO/Lamina hierro negro</t>
  </si>
  <si>
    <t>Liquidacion de gastos 204</t>
  </si>
  <si>
    <t>OC*055495/ Factura de Importacion</t>
  </si>
  <si>
    <t>Liquidacion de gastos 205</t>
  </si>
  <si>
    <t>OC*055502/ Factura de Importacion</t>
  </si>
  <si>
    <t>Liquidacion de gastos 211</t>
  </si>
  <si>
    <t>OC*055689/ Factura de Importacion</t>
  </si>
  <si>
    <t>Liquidacion de gastos 212</t>
  </si>
  <si>
    <t>OC*055692-055613/ Factura de Importacion</t>
  </si>
  <si>
    <t>Liquidacion de gastos 214</t>
  </si>
  <si>
    <t>OC*055748/ Factura de Importacion</t>
  </si>
  <si>
    <t>Liquidacion de gastos 215</t>
  </si>
  <si>
    <t>OC*055812/ Factura de Importacion</t>
  </si>
  <si>
    <t>Liquidacion de gastos 216</t>
  </si>
  <si>
    <t>OC*055811/ Factura de Importacion</t>
  </si>
  <si>
    <t>Factura 347</t>
  </si>
  <si>
    <t>OC*055693/ Factura de Importacion</t>
  </si>
  <si>
    <t>Factura 348</t>
  </si>
  <si>
    <t>OC*055832/ Factura de Importacion</t>
  </si>
  <si>
    <t>Factura 350</t>
  </si>
  <si>
    <t>OC*055694/ Factura de Importacion</t>
  </si>
  <si>
    <t>Factura 352</t>
  </si>
  <si>
    <t>OC*055696/ Factura de Importacion</t>
  </si>
  <si>
    <t>Factura 353</t>
  </si>
  <si>
    <t>OC*055697/ Factura de Importacion</t>
  </si>
  <si>
    <t>Factura 354</t>
  </si>
  <si>
    <t>OC*055698/ Factura de Importacion</t>
  </si>
  <si>
    <t>Factura 356</t>
  </si>
  <si>
    <t>OC*055736/ Factura de Importacion</t>
  </si>
  <si>
    <t>Factura 358</t>
  </si>
  <si>
    <t>OC*055799/ Factura de Importacion</t>
  </si>
  <si>
    <t>Factura 359</t>
  </si>
  <si>
    <t>OC*055800/ Factura de Importacion</t>
  </si>
  <si>
    <t>Factura 360</t>
  </si>
  <si>
    <t>OC*055801/ Factura de Importacion</t>
  </si>
  <si>
    <t>Factura 361</t>
  </si>
  <si>
    <t>OC*055802/ Factura de Importacion</t>
  </si>
  <si>
    <t>Factura 362</t>
  </si>
  <si>
    <t>OC*055803/ Factura de Importacion</t>
  </si>
  <si>
    <t>Factura 363</t>
  </si>
  <si>
    <t>OC*055805/ Factura de Importacion</t>
  </si>
  <si>
    <t>Factura 364</t>
  </si>
  <si>
    <t>OC*055806/ Factura de Importacion</t>
  </si>
  <si>
    <t>Factura 365</t>
  </si>
  <si>
    <t>Factura 366</t>
  </si>
  <si>
    <t>OC*055835/ Factura de Importacion</t>
  </si>
  <si>
    <t>Factura 367</t>
  </si>
  <si>
    <t>OC*055838/ Factura de Importacion</t>
  </si>
  <si>
    <t>Factura 368</t>
  </si>
  <si>
    <t>OC*055845/ Factura de Importacion</t>
  </si>
  <si>
    <t>Factura 19561</t>
  </si>
  <si>
    <t>OC*055636/ Servicio de mantenimiento Placa SPB008/Suministros para consumo proy Sky Garden</t>
  </si>
  <si>
    <t>Cía de Seguridad Industrial Cruz Verde</t>
  </si>
  <si>
    <t>Factura 12789</t>
  </si>
  <si>
    <t>OC*44*1830/ Compra kit antiderrame/Suministros solicitado Briana Hernandez</t>
  </si>
  <si>
    <t>Factura 136634</t>
  </si>
  <si>
    <t>OC 09-6148/Material solicitado para consumo interno/Pastilla desodorante, pastilla para tanque, escoba, azucar, jabon</t>
  </si>
  <si>
    <t>Factura 136035</t>
  </si>
  <si>
    <t>OC 31-3480/Suministros solicitados para consumo interno/Bolsas de basura, bolsas medianas, jabon lavaplatos, detergente, guante, filtro</t>
  </si>
  <si>
    <t>Factura 136807</t>
  </si>
  <si>
    <t>OC*44*1865/ Compra jabon para manos, esponja, lyson/Suministros para consumo interno</t>
  </si>
  <si>
    <t>Corporación Comercial e Industrial El Lagar</t>
  </si>
  <si>
    <t>Factura 101212</t>
  </si>
  <si>
    <t>OC 09-6147/Material solicitado para ODP 325550 INTACO/Tubo negro</t>
  </si>
  <si>
    <t>Factura 123787</t>
  </si>
  <si>
    <t>OC*055624/Compra material llave de paso, tee lisa, codo liso, tubo/Suministros solicitado Jose Navarro</t>
  </si>
  <si>
    <t>DHL Customs</t>
  </si>
  <si>
    <t>Factura 604759</t>
  </si>
  <si>
    <t>OC*055826/ Factura de Importacion</t>
  </si>
  <si>
    <t>Factura 604825</t>
  </si>
  <si>
    <t>OC*055824/ Factura de Importacion</t>
  </si>
  <si>
    <t>Factura 605333</t>
  </si>
  <si>
    <t>OC*055825/ Factura de Importacion</t>
  </si>
  <si>
    <t>Factura 1258664</t>
  </si>
  <si>
    <t>OC*44*1851/ Compra masking/Suministros solicitado para consumo interno</t>
  </si>
  <si>
    <t>Distribuidora Comercial Tres Ases</t>
  </si>
  <si>
    <t>Factura 283496</t>
  </si>
  <si>
    <t>Consumibles Extraordinarios</t>
  </si>
  <si>
    <t>OC 31-3479/Suministros solicitados para consumo interno/Café molido, azucar</t>
  </si>
  <si>
    <t>Distribuidora de Calzado Mexicano</t>
  </si>
  <si>
    <t>Factura 21272</t>
  </si>
  <si>
    <t>OC*44*1852/ Compra zapatos seguridad/Suministros solicitado para personal planta</t>
  </si>
  <si>
    <t>Factura 55663</t>
  </si>
  <si>
    <t>OC HO-540/Pedido MBC-02/26 Mailyn Ajun Loaiza/Estufa</t>
  </si>
  <si>
    <t>Factura 2765</t>
  </si>
  <si>
    <t>OC*055621/ Factura de Importacion</t>
  </si>
  <si>
    <t>Factura 2766</t>
  </si>
  <si>
    <t>OC*055558/ Factura de Importacion</t>
  </si>
  <si>
    <t>Abono de Factura 2767</t>
  </si>
  <si>
    <t>OC*055622/ Factura de Importacion</t>
  </si>
  <si>
    <t>Factura 2768</t>
  </si>
  <si>
    <t>OC*055623/ Factura de Importacion</t>
  </si>
  <si>
    <t>Factura 2770</t>
  </si>
  <si>
    <t>OC*055626/ Factura de Importacion</t>
  </si>
  <si>
    <t>Factura 2771</t>
  </si>
  <si>
    <t>OC*055625/ Factura de Importacion</t>
  </si>
  <si>
    <t>Factura 2772</t>
  </si>
  <si>
    <t>OC*055746/ Factura de Importacion</t>
  </si>
  <si>
    <t>Factura 2773</t>
  </si>
  <si>
    <t>OC*055741/ Factura de Importacion</t>
  </si>
  <si>
    <t>Factura 2774</t>
  </si>
  <si>
    <t>OC*055737/ Factura de Importacion</t>
  </si>
  <si>
    <t>Factura 2776</t>
  </si>
  <si>
    <t>OC*055807/ Factura de Importacion</t>
  </si>
  <si>
    <t>Factura 2777</t>
  </si>
  <si>
    <t>OC*055808/ Factura de Importacion</t>
  </si>
  <si>
    <t>Factura 2778</t>
  </si>
  <si>
    <t>OC*055848/ Factura de Importacion</t>
  </si>
  <si>
    <t>Factura 2779</t>
  </si>
  <si>
    <t>OC*055851/ Factura de Importacion</t>
  </si>
  <si>
    <t>OC*055854/ Factura de Importacion</t>
  </si>
  <si>
    <t>Factura 293980</t>
  </si>
  <si>
    <t>OC*55*1260/ Compra melamina/Suministros para consumo produccion</t>
  </si>
  <si>
    <t>Gas Nacional Zeta</t>
  </si>
  <si>
    <t>Factura 5623</t>
  </si>
  <si>
    <t>OC 55577/Litros de gas</t>
  </si>
  <si>
    <t>Gerardo Alberto Molina Ulloa</t>
  </si>
  <si>
    <t>Factura 830</t>
  </si>
  <si>
    <t>OC*44*1863/ Compra tornillos/Suministros para consumo produccion</t>
  </si>
  <si>
    <t>Factura 234357</t>
  </si>
  <si>
    <t>OC*055815/ Factura de Importacion</t>
  </si>
  <si>
    <t>Guaypro Seguridad</t>
  </si>
  <si>
    <t>Factura 482</t>
  </si>
  <si>
    <t>OC 55629/Servicio de seguridad privada CEDI-CARIT enero 2026</t>
  </si>
  <si>
    <t>Factura 479</t>
  </si>
  <si>
    <t>OC*055791/Servicio de vigilancia privada en Planta Cuba #1 mes facturado ENE,26</t>
  </si>
  <si>
    <t>Factura 480</t>
  </si>
  <si>
    <t>OC*055792/Servicio de vigilancia privada en Planta Cuba #1 mes facturado ENE,26</t>
  </si>
  <si>
    <t>Factura 481</t>
  </si>
  <si>
    <t>OC*055794/Servicio de vigilancia privada en Planta Cuba #2 mes facturado ene,26</t>
  </si>
  <si>
    <t>Industrial Lithio Quimica</t>
  </si>
  <si>
    <t>Factura 12042</t>
  </si>
  <si>
    <t>OC*59*3401/ Compra grasa lubricante/Suministros para mantenimiento maquinas</t>
  </si>
  <si>
    <t>Factura 12037</t>
  </si>
  <si>
    <t>OC*59*3401/ Compra cubeta de aceite shell/Suministros para mantenimiento maquinas</t>
  </si>
  <si>
    <t>Industrial Lugume</t>
  </si>
  <si>
    <t>Factura 56320</t>
  </si>
  <si>
    <t>OC 09-6145/Equipos solicitados para uso en produccion/antorcha mig lincon pro</t>
  </si>
  <si>
    <t>Ingrid Garcia Solano (Servirepuestos Garcia)</t>
  </si>
  <si>
    <t>Factura 638</t>
  </si>
  <si>
    <t>OC 09-6150/Material solicitado para consumo interno/Bolsa plastica transparente</t>
  </si>
  <si>
    <t>Factura 636</t>
  </si>
  <si>
    <t xml:space="preserve">OC 31-3485/Material solicitado para consumo interno/Bolsas de basura especiales jardin </t>
  </si>
  <si>
    <t>Factura 158</t>
  </si>
  <si>
    <t>OC*44*1866/ Compra adhesivo/Suministros para usar en proy Sky Garden</t>
  </si>
  <si>
    <t>Jesus Francisco Calvo Villalobos</t>
  </si>
  <si>
    <t>Factura 9777</t>
  </si>
  <si>
    <t>OC*44*1868/Compra de tarima estilo europeo/Solicitado para uso en almacenaje</t>
  </si>
  <si>
    <t>Jordan Jimenez Elizondo</t>
  </si>
  <si>
    <t>Factura 226</t>
  </si>
  <si>
    <t>OC*055798/ Factura de Importacion</t>
  </si>
  <si>
    <t>Materiales y servicios GFM</t>
  </si>
  <si>
    <t>Factura 65022</t>
  </si>
  <si>
    <t>OC*055608/Compra materiales para instalacion de maquina planta/Solicita Jose Navarro</t>
  </si>
  <si>
    <t>Mayoreo Ferreteria y Acabados</t>
  </si>
  <si>
    <t>Factura 647238</t>
  </si>
  <si>
    <t>OC*55*1259/ Compra melamina/Suministros para consumo produccion</t>
  </si>
  <si>
    <t>Mexichem</t>
  </si>
  <si>
    <t>Factura 584984</t>
  </si>
  <si>
    <t>OC*44*1857/ Compra tapita adhesiva/Suministros para consumo instalaciones</t>
  </si>
  <si>
    <t>Orlando Elizondo Alvarez</t>
  </si>
  <si>
    <t>Factura 1434</t>
  </si>
  <si>
    <t>Instalacion</t>
  </si>
  <si>
    <t xml:space="preserve">OC-55262/Trabajo de Euromobilia Cliente </t>
  </si>
  <si>
    <t>Factura 55255</t>
  </si>
  <si>
    <t>OC*44*1854/ Compra patas plasticas/Suministros para proy Arbora</t>
  </si>
  <si>
    <t>Factura 55254</t>
  </si>
  <si>
    <t>OC*44*1855/ Compra tiradera/Suministros para proy Arbora</t>
  </si>
  <si>
    <t>Factura 55381</t>
  </si>
  <si>
    <t>OC*44*1870/ Compra llavin paleta/Suministros para consumo produccion</t>
  </si>
  <si>
    <t>Presa Precision Salas</t>
  </si>
  <si>
    <t>Factura 3488</t>
  </si>
  <si>
    <t>OC*055628/Servicio de reparacion maquina/Modificacion de espigas maquina koch/Solicitado por Jose Navarro</t>
  </si>
  <si>
    <t>Ricardo Marin Segura</t>
  </si>
  <si>
    <t>Factura 788</t>
  </si>
  <si>
    <t>OC*055786/Servicio de instalacion y mantenimiento aire acondicionado/Solicitado Jose Navarro</t>
  </si>
  <si>
    <t>Sabesa-Novex</t>
  </si>
  <si>
    <t>Factura 2434</t>
  </si>
  <si>
    <t>OC 54800/Accesorios solicitados para uso en Intalaciones EPILSON</t>
  </si>
  <si>
    <t>Factura 2547</t>
  </si>
  <si>
    <t>OC*055725/Compra cafetera 5 tazas/Para uso interno</t>
  </si>
  <si>
    <t>Factura 2427</t>
  </si>
  <si>
    <t>OC*44*1840/ Compra rejilla, mirilla de seguridad/Suministros para Edifisa Construtora</t>
  </si>
  <si>
    <t>SATGEO</t>
  </si>
  <si>
    <t>Abono Factura 8014</t>
  </si>
  <si>
    <t>OC*055785/Servicio de alquiler y monitoreo mensual ENE.26 a FEB.26 Back Office</t>
  </si>
  <si>
    <t>OC*055785/Servicio de alquiler y monitoreo mensual ENE.26 a FEB.26 CEDI/ALTEA</t>
  </si>
  <si>
    <t>OC*055785/Servicio de alquiler y monitoreo mensual ENE.26 a FEB.26 CEDI</t>
  </si>
  <si>
    <t>OC*055785/Servicio de alquiler y monitoreo mensual ENE.26 a FEB.26 Hogares Funcionales</t>
  </si>
  <si>
    <t>OC*055785/Servicio de alquiler y monitoreo mensual ENE.26 a FEB.26 Logística Espacial</t>
  </si>
  <si>
    <t>OC*055785/Servicio de alquiler y monitoreo mensual ENE.26 a FEB.26 Outlet</t>
  </si>
  <si>
    <t>OC*055785/Servicio de alquiler y monitoreo mensual ENE.26 a FEB.26 Productividad Humana</t>
  </si>
  <si>
    <t>OC*055785/Servicio de alquiler y monitoreo mensual ENE.26 a FEB.26 Proyectos Integrales</t>
  </si>
  <si>
    <t>Abono Factura 8015</t>
  </si>
  <si>
    <t>OC*055804/Servicio de alquiler y monitoreo mensual ENE.26 a FEB.26 CEDI</t>
  </si>
  <si>
    <t>OC*055804/Servicio de alquiler y monitoreo mensual ENE.26 a FEB.26 Fábrica Barrio Cuba</t>
  </si>
  <si>
    <t>OC*055804/Servicio de alquiler y monitoreo mensual ENE.26 a FEB.26 Fábrica San Francisco</t>
  </si>
  <si>
    <t>OC*055804/Servicio de alquiler y monitoreo mensual ENE.26 a FEB.26 Logística Espacial</t>
  </si>
  <si>
    <t>OC*055804/Servicio de alquiler y monitoreo mensual ENE.26 a FEB.26 Outlet</t>
  </si>
  <si>
    <t>Factura 104623</t>
  </si>
  <si>
    <t>OC*44*1860/ Compra jabon, pastilla desorante,desinfectantes, limpiado/Suministros para consumo interno</t>
  </si>
  <si>
    <t>Factura 2921</t>
  </si>
  <si>
    <t>OC*44*1858/ Compra thinner corriente/Suministros para consumo produccion</t>
  </si>
  <si>
    <t>Factura 17108</t>
  </si>
  <si>
    <t>OC 09-6151/Material solicitado para consumo interno/Bolsa plastica transparente</t>
  </si>
  <si>
    <t>Factura 6731</t>
  </si>
  <si>
    <t>OC*055796/ Factura de Importacion</t>
  </si>
  <si>
    <t>Factura 100713</t>
  </si>
  <si>
    <t>OC*055620/ Factura de Importacion</t>
  </si>
  <si>
    <t>Factura 100841</t>
  </si>
  <si>
    <t>OC*055691/ Factura de Importacion</t>
  </si>
  <si>
    <t>Factura 100878</t>
  </si>
  <si>
    <t>OC*055690/ Factura de Importacion</t>
  </si>
  <si>
    <t>Factura 100971</t>
  </si>
  <si>
    <t>OC*055734/ Factura de Importacion</t>
  </si>
  <si>
    <t>Factura 100990</t>
  </si>
  <si>
    <t>OC*055747/ Factura de Importacion</t>
  </si>
  <si>
    <t>Factura 101057</t>
  </si>
  <si>
    <t>OC*055797/ Factura de Importacion</t>
  </si>
  <si>
    <t>Factura 101124</t>
  </si>
  <si>
    <t>OC*055816/ Factura de Importacion</t>
  </si>
  <si>
    <t>Factura 101126</t>
  </si>
  <si>
    <t>OC*055817/ Factura de Importacion</t>
  </si>
  <si>
    <t>Factura 101199</t>
  </si>
  <si>
    <t>OC*055847/ Factura de Importacion</t>
  </si>
  <si>
    <t>Factura 19904</t>
  </si>
  <si>
    <t>OC*44*1853/ Compra plasticos paletizador, cinta transparente/Suministros para consumo produccion</t>
  </si>
  <si>
    <t>Factura 497472</t>
  </si>
  <si>
    <t>OC 09-6149/Material solicitado para consumo produccion/Tornilos y arandela plana</t>
  </si>
  <si>
    <t>Factura 497860</t>
  </si>
  <si>
    <t>OC*44*1864/ Compra tornillos/Suministros para consumo produccion</t>
  </si>
  <si>
    <t xml:space="preserve">Pago 100% PI Q053716-2, PO UAB-23/25P </t>
  </si>
  <si>
    <t xml:space="preserve"> BAC San Jose (Transporte)//PRODUCTIVIDAD HUMANA</t>
  </si>
  <si>
    <t>Pago 100% PI Q058059-2, PO UAB-06/25</t>
  </si>
  <si>
    <t>Work Lab (Transporte)//PRODUCTIVIDAD HUMANA//MOBILIARIO IMPORTADO</t>
  </si>
  <si>
    <t>Factura 497933</t>
  </si>
  <si>
    <t>OC*44*1867/ Compra tornillos/Suministros para consumo proy Sky Garden</t>
  </si>
  <si>
    <t>04/02</t>
  </si>
  <si>
    <t>1</t>
  </si>
  <si>
    <t>1 URGE</t>
  </si>
  <si>
    <t>04/02/26</t>
  </si>
  <si>
    <t>No Proceder Con este pago dejar en stand by consultado comercial</t>
  </si>
  <si>
    <t>Factura 2780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</si>
</sst>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dd/mm/yy;@"/>
    <numFmt numFmtId="165" formatCode="#,##0.0000"/>
    <numFmt numFmtId="166" formatCode="[$$-540A]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00"/>
      <name val="Calibri"/>
      <family val="2"/>
    </font>
    <font>
      <sz val="11"/>
      <color theme="1"/>
      <name val="Calibri"/>
    </font>
    <font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/>
    <xf numFmtId="3" fontId="1" fillId="0" borderId="0" xfId="0" applyNumberFormat="1" applyFont="1"/>
    <xf numFmtId="3" fontId="1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center"/>
    </xf>
    <xf numFmtId="15" fontId="1" fillId="0" borderId="0" xfId="0" applyNumberFormat="1" applyFont="1"/>
    <xf numFmtId="3" fontId="1" fillId="3" borderId="0" xfId="0" applyNumberFormat="1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  <xf numFmtId="0" fontId="0" fillId="0" borderId="0" xfId="0" applyAlignment="1">
      <alignment horizontal="left" indent="2"/>
    </xf>
    <xf numFmtId="3" fontId="3" fillId="0" borderId="0" xfId="0" applyNumberFormat="1" applyFont="1"/>
    <xf numFmtId="4" fontId="1" fillId="0" borderId="0" xfId="0" applyNumberFormat="1" applyFont="1"/>
    <xf numFmtId="15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4" fontId="1" fillId="3" borderId="0" xfId="0" applyNumberFormat="1" applyFont="1" applyFill="1"/>
    <xf numFmtId="166" fontId="2" fillId="4" borderId="0" xfId="0" applyNumberFormat="1" applyFont="1" applyFill="1"/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3" fontId="1" fillId="3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/>
    </xf>
    <xf numFmtId="4" fontId="1" fillId="0" borderId="0" xfId="0" applyNumberFormat="1" applyFont="1" applyAlignment="1">
      <alignment vertical="center"/>
    </xf>
    <xf numFmtId="0" fontId="6" fillId="0" borderId="0" xfId="0" applyFont="1"/>
    <xf numFmtId="4" fontId="1" fillId="3" borderId="0" xfId="0" applyNumberFormat="1" applyFont="1" applyFill="1" applyAlignment="1">
      <alignment vertical="center"/>
    </xf>
    <xf numFmtId="3" fontId="5" fillId="0" borderId="0" xfId="0" applyNumberFormat="1" applyFont="1" applyAlignment="1">
      <alignment vertical="center" wrapText="1"/>
    </xf>
    <xf numFmtId="3" fontId="1" fillId="3" borderId="0" xfId="0" applyNumberFormat="1" applyFont="1" applyFill="1" applyAlignment="1">
      <alignment vertical="center"/>
    </xf>
    <xf numFmtId="0" fontId="3" fillId="0" borderId="0" xfId="1" applyNumberFormat="1" applyFont="1" applyAlignment="1">
      <alignment horizontal="center"/>
    </xf>
    <xf numFmtId="0" fontId="4" fillId="0" borderId="0" xfId="1" applyNumberFormat="1" applyFont="1" applyAlignment="1">
      <alignment horizontal="center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0" borderId="0" xfId="1" applyNumberFormat="1" applyFont="1" applyAlignment="1">
      <alignment horizontal="center"/>
    </xf>
    <xf numFmtId="2" fontId="0" fillId="0" borderId="0" xfId="0" applyNumberFormat="1"/>
    <xf numFmtId="3" fontId="5" fillId="0" borderId="0" xfId="0" applyNumberFormat="1" applyFont="1" applyAlignment="1">
      <alignment vertical="center"/>
    </xf>
    <xf numFmtId="3" fontId="5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3" xfId="0" applyFont="1" applyBorder="1"/>
    <xf numFmtId="3" fontId="1" fillId="0" borderId="3" xfId="0" applyNumberFormat="1" applyFont="1" applyBorder="1" applyAlignment="1">
      <alignment horizontal="left"/>
    </xf>
    <xf numFmtId="0" fontId="0" fillId="0" borderId="3" xfId="0" applyBorder="1"/>
    <xf numFmtId="15" fontId="1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15" fontId="1" fillId="0" borderId="0" xfId="0" applyNumberFormat="1" applyFont="1" applyAlignment="1">
      <alignment vertical="center"/>
    </xf>
    <xf numFmtId="0" fontId="1" fillId="0" borderId="0" xfId="1" applyNumberFormat="1" applyFont="1" applyFill="1" applyAlignment="1">
      <alignment horizontal="center"/>
    </xf>
    <xf numFmtId="14" fontId="1" fillId="0" borderId="0" xfId="0" applyNumberFormat="1" applyFont="1" applyAlignment="1">
      <alignment horizontal="right"/>
    </xf>
    <xf numFmtId="14" fontId="1" fillId="0" borderId="0" xfId="1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9" fillId="2" borderId="1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0" fillId="3" borderId="0" xfId="0" applyNumberFormat="1" applyFont="1" applyFill="1" applyAlignment="1">
      <alignment horizontal="center" vertical="center"/>
    </xf>
    <xf numFmtId="3" fontId="10" fillId="3" borderId="0" xfId="0" applyNumberFormat="1" applyFont="1" applyFill="1" applyAlignment="1">
      <alignment horizontal="center"/>
    </xf>
    <xf numFmtId="4" fontId="10" fillId="3" borderId="0" xfId="0" applyNumberFormat="1" applyFont="1" applyFill="1"/>
    <xf numFmtId="3" fontId="10" fillId="3" borderId="0" xfId="0" applyNumberFormat="1" applyFont="1" applyFill="1"/>
    <xf numFmtId="14" fontId="0" fillId="5" borderId="0" xfId="0" applyNumberFormat="1" applyFill="1"/>
    <xf numFmtId="0" fontId="1" fillId="6" borderId="0" xfId="1" applyNumberFormat="1" applyFont="1" applyFill="1" applyAlignment="1">
      <alignment horizontal="center"/>
    </xf>
    <xf numFmtId="4" fontId="0" fillId="7" borderId="0" xfId="0" applyNumberFormat="1" applyFill="1" applyAlignment="1">
      <alignment vertical="center"/>
    </xf>
    <xf numFmtId="49" fontId="1" fillId="8" borderId="0" xfId="0" applyNumberFormat="1" applyFont="1" applyFill="1" applyAlignment="1">
      <alignment horizontal="center"/>
    </xf>
    <xf numFmtId="14" fontId="11" fillId="0" borderId="0" xfId="0" applyNumberFormat="1" applyFont="1"/>
    <xf numFmtId="15" fontId="12" fillId="0" borderId="0" xfId="0" applyNumberFormat="1" applyFont="1"/>
    <xf numFmtId="14" fontId="3" fillId="5" borderId="0" xfId="1" applyNumberFormat="1" applyFont="1" applyFill="1" applyAlignment="1">
      <alignment horizontal="center" wrapText="1"/>
    </xf>
    <xf numFmtId="14" fontId="12" fillId="0" borderId="0" xfId="0" applyNumberFormat="1" applyFont="1"/>
    <xf numFmtId="14" fontId="12" fillId="0" borderId="0" xfId="1" applyNumberFormat="1" applyFont="1" applyAlignment="1">
      <alignment horizontal="center"/>
    </xf>
    <xf numFmtId="49" fontId="3" fillId="8" borderId="0" xfId="0" applyNumberFormat="1" applyFont="1" applyFill="1" applyAlignment="1">
      <alignment horizontal="center"/>
    </xf>
    <xf numFmtId="14" fontId="1" fillId="9" borderId="0" xfId="0" applyNumberFormat="1" applyFont="1" applyFill="1"/>
    <xf numFmtId="14" fontId="1" fillId="5" borderId="0" xfId="0" applyNumberFormat="1" applyFont="1" applyFill="1" applyAlignment="1">
      <alignment horizontal="right"/>
    </xf>
  </cellXfs>
  <cellStyles count="3">
    <cellStyle name="Millares" xfId="1" builtinId="3"/>
    <cellStyle name="Millares 2" xfId="2" xr:uid="{455C3B4B-9C43-4FBE-A81B-CBC79D621589}"/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numFmt numFmtId="4" formatCode="#,##0.00"/>
      <fill>
        <patternFill patternType="solid">
          <fgColor indexed="64"/>
          <bgColor theme="3" tint="0.49998474074526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0" formatCode="dd/mmm/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0" formatCode="dd/mmm/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0" formatCode="dd/mmm/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0" formatCode="dd/mmm/yy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64" formatCode="dd/mm/yy;@"/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Estilo de tabla 1" pivot="0" count="0" xr9:uid="{F88B5ACD-B821-4550-8E38-88055037316B}"/>
  </tableStyles>
  <colors>
    <mruColors>
      <color rgb="FFFF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ayda Tercero Arauz" refreshedDate="46055.456904629631" createdVersion="8" refreshedVersion="8" minRefreshableVersion="3" recordCount="7" xr:uid="{9700F872-3EA7-42DE-B651-62107FA18DD2}">
  <cacheSource type="worksheet">
    <worksheetSource name="Tabla1"/>
  </cacheSource>
  <cacheFields count="15">
    <cacheField name="Empresa" numFmtId="3">
      <sharedItems/>
    </cacheField>
    <cacheField name="Negocio" numFmtId="3">
      <sharedItems/>
    </cacheField>
    <cacheField name="Responsable (Rosenstock)" numFmtId="3">
      <sharedItems/>
    </cacheField>
    <cacheField name="Vencimiento Fecha" numFmtId="15">
      <sharedItems containsSemiMixedTypes="0" containsNonDate="0" containsDate="1" containsString="0" minDate="2025-12-27T00:00:00" maxDate="2026-02-09T00:00:00"/>
    </cacheField>
    <cacheField name="Fecha Max de pago" numFmtId="15">
      <sharedItems containsNonDate="0" containsDate="1" containsString="0" containsBlank="1" minDate="2026-02-16T00:00:00" maxDate="2026-02-17T00:00:00"/>
    </cacheField>
    <cacheField name="Vencidos Días" numFmtId="3">
      <sharedItems containsSemiMixedTypes="0" containsString="0" containsNumber="1" containsInteger="1" minValue="5" maxValue="48"/>
    </cacheField>
    <cacheField name="Prioridad" numFmtId="3">
      <sharedItems containsString="0" containsBlank="1" containsNumber="1" containsInteger="1" minValue="2" maxValue="3"/>
    </cacheField>
    <cacheField name="Monto en Original Moneda" numFmtId="4">
      <sharedItems containsSemiMixedTypes="0" containsString="0" containsNumber="1" minValue="813.04" maxValue="50850"/>
    </cacheField>
    <cacheField name="Original Moneda" numFmtId="3">
      <sharedItems containsBlank="1" count="3">
        <s v="$"/>
        <s v="¢"/>
        <m u="1"/>
      </sharedItems>
    </cacheField>
    <cacheField name="Monto en $" numFmtId="4">
      <sharedItems containsSemiMixedTypes="0" containsString="0" containsNumber="1" minValue="56.57127981256383" maxValue="20250.439999999999"/>
    </cacheField>
    <cacheField name="Tipo de Proveedor" numFmtId="3">
      <sharedItems containsBlank="1" count="3">
        <s v="EX $"/>
        <s v="LOC"/>
        <m u="1"/>
      </sharedItems>
    </cacheField>
    <cacheField name="Proveedor" numFmtId="3">
      <sharedItems/>
    </cacheField>
    <cacheField name="Detalle" numFmtId="3">
      <sharedItems/>
    </cacheField>
    <cacheField name="Clasificación" numFmtId="3">
      <sharedItems containsBlank="1" count="3">
        <s v="Electrodomésticos"/>
        <s v="Gastos Locales"/>
        <m u="1"/>
      </sharedItems>
    </cacheField>
    <cacheField name="Observación" numFmtId="3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ayda Tercero Arauz" refreshedDate="46055.463308564817" createdVersion="8" refreshedVersion="8" minRefreshableVersion="3" recordCount="12" xr:uid="{BD00A53B-F54B-43A6-8A82-CACB330067C8}">
  <cacheSource type="worksheet">
    <worksheetSource ref="A6:O18" sheet="Paneltech"/>
  </cacheSource>
  <cacheFields count="15">
    <cacheField name="Empresa" numFmtId="3">
      <sharedItems/>
    </cacheField>
    <cacheField name="Negocio" numFmtId="3">
      <sharedItems/>
    </cacheField>
    <cacheField name="Responsable (Rosenstock)" numFmtId="3">
      <sharedItems/>
    </cacheField>
    <cacheField name="Vencimiento Fecha" numFmtId="14">
      <sharedItems containsSemiMixedTypes="0" containsNonDate="0" containsDate="1" containsString="0" minDate="2026-01-22T00:00:00" maxDate="2026-02-27T00:00:00"/>
    </cacheField>
    <cacheField name="Fecha Max de pago" numFmtId="0">
      <sharedItems containsNonDate="0" containsDate="1" containsString="0" containsBlank="1" minDate="2026-01-30T00:00:00" maxDate="2026-02-27T00:00:00"/>
    </cacheField>
    <cacheField name="Vencidos Días" numFmtId="3">
      <sharedItems containsSemiMixedTypes="0" containsString="0" containsNumber="1" containsInteger="1" minValue="-13" maxValue="22"/>
    </cacheField>
    <cacheField name="Prioridad" numFmtId="49">
      <sharedItems/>
    </cacheField>
    <cacheField name="Monto en Original Moneda" numFmtId="0">
      <sharedItems containsSemiMixedTypes="0" containsString="0" containsNumber="1" minValue="85.25" maxValue="100650.23"/>
    </cacheField>
    <cacheField name="Original Moneda" numFmtId="3">
      <sharedItems count="3">
        <s v="$"/>
        <s v="€"/>
        <s v="¢"/>
      </sharedItems>
    </cacheField>
    <cacheField name="Monto en $" numFmtId="4">
      <sharedItems containsSemiMixedTypes="0" containsString="0" containsNumber="1" minValue="56.57127981256383" maxValue="7049.2184280000001"/>
    </cacheField>
    <cacheField name="Tipo de Proveedor" numFmtId="3">
      <sharedItems count="2">
        <s v="LOC"/>
        <s v="EX €"/>
      </sharedItems>
    </cacheField>
    <cacheField name="Proveedor" numFmtId="0">
      <sharedItems/>
    </cacheField>
    <cacheField name="Detalle" numFmtId="0">
      <sharedItems/>
    </cacheField>
    <cacheField name="Clasificación" numFmtId="0">
      <sharedItems count="3">
        <s v="Gastos Locales"/>
        <s v="Muebles Terminados Oficina"/>
        <s v="Fletes Internacionales"/>
      </sharedItems>
    </cacheField>
    <cacheField name="Obser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ayda Tercero Arauz" refreshedDate="46055.465544328705" createdVersion="8" refreshedVersion="8" minRefreshableVersion="3" recordCount="359" xr:uid="{A8CEE35E-B31A-46DA-90EB-82DFB1A25CEC}">
  <cacheSource type="worksheet">
    <worksheetSource ref="A6:O365" sheet="Euromobilia"/>
  </cacheSource>
  <cacheFields count="15">
    <cacheField name="Empresa" numFmtId="3">
      <sharedItems/>
    </cacheField>
    <cacheField name="Negocio" numFmtId="3">
      <sharedItems/>
    </cacheField>
    <cacheField name="Responsable (Rosenstock)" numFmtId="3">
      <sharedItems/>
    </cacheField>
    <cacheField name="Vencimiento Fecha" numFmtId="15">
      <sharedItems containsSemiMixedTypes="0" containsNonDate="0" containsDate="1" containsString="0" minDate="2025-12-15T00:00:00" maxDate="2026-07-09T00:00:00"/>
    </cacheField>
    <cacheField name="Fecha Max de pago" numFmtId="14">
      <sharedItems containsNonDate="0" containsDate="1" containsString="0" containsBlank="1" minDate="2026-02-02T00:00:00" maxDate="2026-07-09T00:00:00"/>
    </cacheField>
    <cacheField name="Vencidos Días" numFmtId="3">
      <sharedItems containsSemiMixedTypes="0" containsString="0" containsNumber="1" containsInteger="1" minValue="-145" maxValue="60"/>
    </cacheField>
    <cacheField name="Prioridad" numFmtId="0">
      <sharedItems containsDate="1" containsMixedTypes="1" minDate="1899-12-31T00:01:04" maxDate="2026-07-09T00:00:00"/>
    </cacheField>
    <cacheField name="Monto en Original Moneda" numFmtId="4">
      <sharedItems containsSemiMixedTypes="0" containsString="0" containsNumber="1" minValue="1.2543000000000002" maxValue="2629410.56"/>
    </cacheField>
    <cacheField name="Original Moneda" numFmtId="3">
      <sharedItems count="3">
        <s v="$"/>
        <s v="¢"/>
        <s v="€"/>
      </sharedItems>
    </cacheField>
    <cacheField name="Monto en $" numFmtId="4">
      <sharedItems containsSemiMixedTypes="0" containsString="0" containsNumber="1" minValue="1.2543000000000002" maxValue="82795.73"/>
    </cacheField>
    <cacheField name="Tipo de Proveedor" numFmtId="3">
      <sharedItems count="3">
        <s v="EX $"/>
        <s v="LOC"/>
        <s v="EX €"/>
      </sharedItems>
    </cacheField>
    <cacheField name="Proveedor" numFmtId="3">
      <sharedItems/>
    </cacheField>
    <cacheField name="Detalle" numFmtId="3">
      <sharedItems/>
    </cacheField>
    <cacheField name="Clasificación" numFmtId="3">
      <sharedItems containsBlank="1" count="30">
        <s v="Insumos para Racks"/>
        <s v="Muebles Terminados Cocina"/>
        <s v="Gastos Locales"/>
        <s v="Accesorios de Puertas"/>
        <s v="Vigilancia"/>
        <s v="Alfombras"/>
        <s v="Gas Línea de Pintura"/>
        <s v="Fletes Internacionales"/>
        <s v="Equipos de Protección Personal"/>
        <s v="Mantenimiento de Vehículos"/>
        <s v="Sillas de Oficina"/>
        <s v="Suministros de instalación"/>
        <s v="Subcontratistas Fletes"/>
        <s v="Consumibles Ordinarios"/>
        <s v="Mantenimiento de Edificios"/>
        <s v="Licencias y Programas"/>
        <s v="Materia Prima"/>
        <s v="Insumos de Producción"/>
        <s v="Electrodomésticos"/>
        <s v="Instalacion"/>
        <s v="Equipos de Cómputo y Tecnológicos"/>
        <s v="Consumibles Extraordinarios"/>
        <s v="Cuotas, Suscripciones y Afiliaciones"/>
        <s v="Herramientas Menores"/>
        <s v="Racks"/>
        <s v="Mant. y Repuestos Maquinaria"/>
        <s v="Muebles Terminados Oficina"/>
        <s v="Partes de Muebles de Cocina"/>
        <s v="Pisos"/>
        <m u="1"/>
      </sharedItems>
    </cacheField>
    <cacheField name="Obser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Multiclamp"/>
    <s v="Hogares Funcionales "/>
    <s v="Sidney R"/>
    <d v="2025-12-27T00:00:00"/>
    <d v="2026-02-16T00:00:00"/>
    <n v="48"/>
    <n v="3"/>
    <n v="813.04"/>
    <x v="0"/>
    <n v="813.04"/>
    <x v="0"/>
    <s v="IESA"/>
    <s v="Pago 40 PO E-2125 contrato 435"/>
    <x v="0"/>
    <s v="E-21/25 Cliente: PROYECTO NIMBU CASA #1"/>
  </r>
  <r>
    <s v="Multiclamp"/>
    <s v="Hogares Funcionales "/>
    <s v="Sidney R"/>
    <d v="2025-12-27T00:00:00"/>
    <d v="2026-02-16T00:00:00"/>
    <n v="48"/>
    <n v="3"/>
    <n v="11928.64"/>
    <x v="0"/>
    <n v="11928.64"/>
    <x v="0"/>
    <s v="IESA"/>
    <s v="Pago 40 PO E-2225 contrato 411"/>
    <x v="0"/>
    <s v="E-22/25 Cliente: PROYECTO NIMBU CASA KENNEDY"/>
  </r>
  <r>
    <s v="Multiclamp"/>
    <s v="Hogares Funcionales "/>
    <s v="Sidney R"/>
    <d v="2025-12-27T00:00:00"/>
    <d v="2026-02-16T00:00:00"/>
    <n v="48"/>
    <n v="3"/>
    <n v="6534.8"/>
    <x v="0"/>
    <n v="6534.8"/>
    <x v="0"/>
    <s v="IESA"/>
    <s v="Pago 40 PO E-2325 contrato 411"/>
    <x v="0"/>
    <s v="E-23/25 Cliente: PROYECTO NIMBU CASA BUD GIFFELS"/>
  </r>
  <r>
    <s v="Multiclamp"/>
    <s v="Hogares Funcionales "/>
    <s v="Sidney R"/>
    <d v="2025-12-27T00:00:00"/>
    <d v="2026-02-16T00:00:00"/>
    <n v="48"/>
    <n v="3"/>
    <n v="20250.439999999999"/>
    <x v="0"/>
    <n v="20250.439999999999"/>
    <x v="0"/>
    <s v="IESA"/>
    <s v="Pago 40 PO E-2025 contrato 411"/>
    <x v="0"/>
    <s v="E-20/25 Cliente: PROYECTO NIMBU CASA VALVERDE"/>
  </r>
  <r>
    <s v="Multiclamp"/>
    <s v="Hogares Funcionales "/>
    <s v="Sidney R"/>
    <d v="2026-02-08T00:00:00"/>
    <m/>
    <n v="5"/>
    <n v="2"/>
    <n v="50850"/>
    <x v="1"/>
    <n v="101.8283036626149"/>
    <x v="1"/>
    <s v="Allan Esteban Hernandez Camacho"/>
    <s v="Factura 334"/>
    <x v="1"/>
    <s v="OC*003110/ Facturas de importaciones"/>
  </r>
  <r>
    <s v="Multiclamp"/>
    <s v="Hogares Funcionales "/>
    <s v="Sidney R"/>
    <d v="2026-02-08T00:00:00"/>
    <m/>
    <n v="5"/>
    <n v="2"/>
    <n v="28250"/>
    <x v="1"/>
    <n v="56.57127981256383"/>
    <x v="1"/>
    <s v="Erick Hernandez Camacho"/>
    <s v="Factura 2763"/>
    <x v="1"/>
    <s v="OC*003118/ Facturas de importaciones"/>
  </r>
  <r>
    <s v="Multiclamp"/>
    <s v="Hogares Funcionales "/>
    <s v="Sidney R"/>
    <d v="2026-02-02T00:00:00"/>
    <m/>
    <n v="11"/>
    <m/>
    <n v="1651.45"/>
    <x v="0"/>
    <n v="1651.45"/>
    <x v="0"/>
    <s v="IESA"/>
    <s v="PAGO 60 PROYECTO NIMBU - E 2525 CASA BUD GIFFELS"/>
    <x v="0"/>
    <s v="PROYECTO NIMBU - E 2525 CASA BUD GIFFEL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Paneltech"/>
    <s v="Produccividad Humana"/>
    <s v="Uri R"/>
    <d v="2026-01-22T00:00:00"/>
    <m/>
    <n v="22"/>
    <s v="NUEVO"/>
    <n v="456.5"/>
    <x v="0"/>
    <n v="456.5"/>
    <x v="0"/>
    <s v="Nazel S.A."/>
    <s v="Factura 12928"/>
    <x v="0"/>
    <s v="OC  7158/Flete maritimo factura de importaciones/MLK-16/25P"/>
  </r>
  <r>
    <s v="Paneltech"/>
    <s v="Produccividad Humana"/>
    <s v="Uri R"/>
    <d v="2026-01-28T00:00:00"/>
    <m/>
    <n v="16"/>
    <s v="NUEVO"/>
    <n v="665.93"/>
    <x v="0"/>
    <n v="665.93"/>
    <x v="0"/>
    <s v="Nazel S.A."/>
    <s v="Factura 12957"/>
    <x v="0"/>
    <s v="OC 7157/Flete maritimo factura de importaciones/MLK-14/25P"/>
  </r>
  <r>
    <s v="Paneltech"/>
    <s v="Produccividad Humana"/>
    <s v="Uri R"/>
    <d v="2026-01-28T00:00:00"/>
    <m/>
    <n v="16"/>
    <s v="NUEVO"/>
    <n v="673.3"/>
    <x v="0"/>
    <n v="673.3"/>
    <x v="0"/>
    <s v="Nazel S.A."/>
    <s v="Factura 12958"/>
    <x v="0"/>
    <s v="OC 7159/Flete maritimo factura de imprtaciones/MLK-15/25P"/>
  </r>
  <r>
    <s v="Paneltech"/>
    <s v="Produccividad Humana"/>
    <s v="Uri R"/>
    <d v="2026-01-29T00:00:00"/>
    <d v="2026-01-30T00:00:00"/>
    <n v="15"/>
    <s v="NUEVO"/>
    <n v="85.25"/>
    <x v="1"/>
    <n v="100.81665000000001"/>
    <x v="1"/>
    <s v="UAB Narbutas International"/>
    <s v="Pago 100% PI Q040533, PO UAB-16-17-18/25P"/>
    <x v="1"/>
    <s v="AJUSTE EN EL PRECIO DE  PROFORMA Q040533  PEDIDO UAB-16(Diasgnotika)-17(Garantias Freudenberg)-18(Garantias llavines freudenberg)/25P"/>
  </r>
  <r>
    <s v="Paneltech"/>
    <s v="Produccividad Humana"/>
    <s v="Uri R"/>
    <d v="2026-02-08T00:00:00"/>
    <m/>
    <n v="5"/>
    <s v="2"/>
    <n v="50850"/>
    <x v="2"/>
    <n v="101.8283036626149"/>
    <x v="0"/>
    <s v="Erick Hernandez Camacho"/>
    <s v="Factura 2764"/>
    <x v="0"/>
    <s v="OC 7140/Transporte/Factura de importaciones/FTD-01/25"/>
  </r>
  <r>
    <s v="Paneltech"/>
    <s v="Produccividad Humana"/>
    <s v="Uri R"/>
    <d v="2026-02-08T00:00:00"/>
    <m/>
    <n v="5"/>
    <s v="2"/>
    <n v="62150"/>
    <x v="2"/>
    <n v="124.45681558764042"/>
    <x v="0"/>
    <s v="Allan Esteban Hernandez Camacho"/>
    <s v="Factura 335"/>
    <x v="0"/>
    <s v="OC 7128/Nacionalizacion/Factura de importaciones/FTD-01/25"/>
  </r>
  <r>
    <s v="Paneltech"/>
    <s v="Produccividad Humana"/>
    <s v="Uri R"/>
    <d v="2026-02-25T00:00:00"/>
    <m/>
    <n v="-12"/>
    <s v="NUEVO"/>
    <n v="100650.23"/>
    <x v="2"/>
    <n v="201.55441856739492"/>
    <x v="0"/>
    <s v="Tinza Internacional"/>
    <s v="Factura 100948"/>
    <x v="0"/>
    <s v="OC 7156/Bodegaje/Factura de importaciones/MLK-16/25P"/>
  </r>
  <r>
    <s v="Paneltech"/>
    <s v="Produccividad Humana"/>
    <s v="Uri R"/>
    <d v="2026-02-25T00:00:00"/>
    <m/>
    <n v="-12"/>
    <s v="NUEVO"/>
    <n v="28250"/>
    <x v="2"/>
    <n v="56.57127981256383"/>
    <x v="0"/>
    <s v="Erick Hernandez Camacho"/>
    <s v="Factura 2775"/>
    <x v="0"/>
    <s v="OC 7165/Servicio de trasnporte/Factura de importaciones/MLK-16/25"/>
  </r>
  <r>
    <s v="Paneltech"/>
    <s v="Produccividad Humana"/>
    <s v="Uri R"/>
    <d v="2026-02-25T00:00:00"/>
    <m/>
    <n v="-12"/>
    <s v="NUEVO"/>
    <n v="39550"/>
    <x v="2"/>
    <n v="79.199791737589365"/>
    <x v="0"/>
    <s v="Allan Esteban Hernandez Camacho"/>
    <s v="Factura 357"/>
    <x v="0"/>
    <s v="OC 7166/Nacionalizacion/Factura de impoortaciones/MLK-16/25"/>
  </r>
  <r>
    <s v="Paneltech"/>
    <s v="Produccividad Humana"/>
    <s v="Uri R"/>
    <d v="2026-02-26T00:00:00"/>
    <d v="2026-02-26T00:00:00"/>
    <n v="-13"/>
    <s v="3"/>
    <n v="1114.3499999999999"/>
    <x v="1"/>
    <n v="1317.8303100000001"/>
    <x v="1"/>
    <s v="UAB Narbutas International"/>
    <s v="Pago 50% Final PI Q050528-1, PO UAB-02/26P"/>
    <x v="1"/>
    <s v="FREUDENBERG//PRODUCTIVIDAD HUMANA"/>
  </r>
  <r>
    <s v="Paneltech"/>
    <s v="Produccividad Humana"/>
    <s v="Uri R"/>
    <d v="2026-02-26T00:00:00"/>
    <d v="2026-02-26T00:00:00"/>
    <n v="-13"/>
    <s v="3"/>
    <n v="5960.78"/>
    <x v="1"/>
    <n v="7049.2184280000001"/>
    <x v="1"/>
    <s v="UAB Narbutas International"/>
    <s v="Pago 50% Final PI Q055195-1 PO UAB-01/26P"/>
    <x v="1"/>
    <s v="Hospedaje Aeropuerto//PRODUCTIVIDAD HUMANA"/>
  </r>
  <r>
    <s v="Paneltech"/>
    <s v="Produccividad Humana"/>
    <s v="Uri R"/>
    <d v="2026-02-04T00:00:00"/>
    <m/>
    <n v="9"/>
    <s v="NUEVO"/>
    <n v="1706"/>
    <x v="1"/>
    <n v="2017.5156000000002"/>
    <x v="1"/>
    <s v="UAB Narbutas International"/>
    <s v="Pago 100% PI Q053716-2, PO UAB-23/25P "/>
    <x v="2"/>
    <s v=" BAC San Jose (Transporte)//PRODUCTIVIDAD HUMAN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">
  <r>
    <s v="Euromobilia "/>
    <s v="Logística Espacial"/>
    <s v="Eitan R"/>
    <d v="2025-12-15T00:00:00"/>
    <d v="2026-02-06T00:00:00"/>
    <n v="60"/>
    <n v="3"/>
    <n v="22507.96"/>
    <x v="0"/>
    <n v="22507.96"/>
    <x v="0"/>
    <s v="Anhui Jinghui Intelligent Logistics"/>
    <s v="Pago 70% Fnal PI 32245, PO NJS-23/25-LEP"/>
    <x v="0"/>
    <s v="CEMACO GUATEMALA//LOGISTICA ESPACIAL"/>
  </r>
  <r>
    <s v="Euromobilia "/>
    <s v="Proyectos Integrales"/>
    <s v="Sidney R"/>
    <d v="2026-01-16T00:00:00"/>
    <d v="2026-03-06T00:00:00"/>
    <n v="28"/>
    <n v="4"/>
    <n v="12223"/>
    <x v="0"/>
    <n v="12223"/>
    <x v="0"/>
    <s v="GoldenHome Living "/>
    <s v="Pago 80% Final PI 20260116, PO GHL-01/26 "/>
    <x v="1"/>
    <s v="PALERMO HOMES // Mobiliario IMPORTADO // Proyectos Integrales"/>
  </r>
  <r>
    <s v="Euromobilia "/>
    <s v="Productividad Humana"/>
    <s v="Uri R"/>
    <d v="2026-01-16T00:00:00"/>
    <m/>
    <n v="28"/>
    <s v="NUEVO"/>
    <n v="10396"/>
    <x v="1"/>
    <n v="20.818230971023489"/>
    <x v="1"/>
    <s v="Allan Esteban Hernandez Camacho"/>
    <s v="Liquidacion de gastos 204"/>
    <x v="2"/>
    <s v="OC*055495/ Factura de Importacion"/>
  </r>
  <r>
    <s v="Euromobilia "/>
    <s v="Productividad Humana"/>
    <s v="Uri R"/>
    <d v="2026-01-16T00:00:00"/>
    <m/>
    <n v="28"/>
    <s v="NUEVO"/>
    <n v="10396"/>
    <x v="1"/>
    <n v="20.818230971023489"/>
    <x v="1"/>
    <s v="Allan Esteban Hernandez Camacho"/>
    <s v="Liquidacion de gastos 205"/>
    <x v="2"/>
    <s v="OC*055502/ Factura de Importacion"/>
  </r>
  <r>
    <s v="Euromobilia "/>
    <s v="Productividad Humana"/>
    <s v="Uri R"/>
    <d v="2026-01-26T00:00:00"/>
    <m/>
    <n v="18"/>
    <s v="NUEVO"/>
    <n v="39632.550000000003"/>
    <x v="1"/>
    <n v="79.365100026032806"/>
    <x v="1"/>
    <s v="Allan Esteban Hernandez Camacho"/>
    <s v="Liquidacion de gastos 211"/>
    <x v="2"/>
    <s v="OC*055689/ Factura de Importacion"/>
  </r>
  <r>
    <s v="Euromobilia "/>
    <s v="Productividad Humana"/>
    <s v="Uri R"/>
    <d v="2026-01-26T00:00:00"/>
    <m/>
    <n v="18"/>
    <s v="NUEVO"/>
    <n v="72861.5"/>
    <x v="1"/>
    <n v="145.90684262170333"/>
    <x v="1"/>
    <s v="Allan Esteban Hernandez Camacho"/>
    <s v="Liquidacion de gastos 212"/>
    <x v="2"/>
    <s v="OC*055692-055613/ Factura de Importacion"/>
  </r>
  <r>
    <s v="Euromobilia "/>
    <s v="Proyectos Integrales"/>
    <s v="Sidney R"/>
    <d v="2026-01-27T00:00:00"/>
    <m/>
    <n v="17"/>
    <s v="NUEVO"/>
    <n v="2814.6"/>
    <x v="0"/>
    <n v="2814.6"/>
    <x v="0"/>
    <s v="Hangzhou Huasen Furniture Decoration"/>
    <s v="Pago 100% PI ,PO OS 055732 ,OS-055728"/>
    <x v="3"/>
    <s v="MUESTRAS OLICITADAS POR GABRIEL SALAZAR ADICIONAL UNIKO/MUESTRAS OLICITADAS POR GABRIEL SALAZAR ADICIONAL PANORAMA, TORRES DON BOSCO, AZUL PARAISO"/>
  </r>
  <r>
    <s v="Euromobilia "/>
    <s v="Hogares Funcionales"/>
    <s v="Sidney R"/>
    <d v="2026-01-28T00:00:00"/>
    <m/>
    <n v="16"/>
    <s v="NUEVO"/>
    <n v="10562.79"/>
    <x v="1"/>
    <n v="21.152231812083226"/>
    <x v="1"/>
    <s v="Allan Esteban Hernandez Camacho"/>
    <s v="Liquidacion de gastos 214"/>
    <x v="2"/>
    <s v="OC*055748/ Factura de Importacion"/>
  </r>
  <r>
    <s v="Euromobilia "/>
    <s v="Productividad Humana"/>
    <s v="Uri R"/>
    <d v="2026-01-28T00:00:00"/>
    <m/>
    <n v="16"/>
    <s v="NUEVO"/>
    <n v="19167.330000000002"/>
    <x v="1"/>
    <n v="38.383022608486698"/>
    <x v="1"/>
    <s v="Allan Esteban Hernandez Camacho"/>
    <s v="Liquidacion de gastos 215"/>
    <x v="2"/>
    <s v="OC*055812/ Factura de Importacion"/>
  </r>
  <r>
    <s v="Euromobilia "/>
    <s v="Productividad Humana"/>
    <s v="Uri R"/>
    <d v="2026-01-28T00:00:00"/>
    <m/>
    <n v="16"/>
    <s v="NUEVO"/>
    <n v="156648.17000000001"/>
    <x v="1"/>
    <n v="313.69159140517053"/>
    <x v="1"/>
    <s v="Allan Esteban Hernandez Camacho"/>
    <s v="Liquidacion de gastos 216"/>
    <x v="2"/>
    <s v="OC*055811/ Factura de Importacion"/>
  </r>
  <r>
    <s v="Euromobilia "/>
    <s v="Hogares Funcionales"/>
    <s v="Sidney R"/>
    <d v="2026-01-30T00:00:00"/>
    <m/>
    <n v="14"/>
    <s v="NUEVO"/>
    <n v="3.3"/>
    <x v="2"/>
    <n v="3.9025799999999999"/>
    <x v="2"/>
    <s v="BC3 Cocinas S.L."/>
    <s v="Pago 100% Factura FVR06-25-002743, PO OS-054270"/>
    <x v="1"/>
    <s v="MUESTRAS-STOCK//HOGARES FUNCIONALES/MOBILIARIO DE COCINAS"/>
  </r>
  <r>
    <s v="Euromobilia "/>
    <s v="Fábrica Barrio Cuba"/>
    <s v="Sidney R"/>
    <d v="2026-02-01T00:00:00"/>
    <m/>
    <n v="12"/>
    <s v="NUEVO"/>
    <n v="79.099999999999994"/>
    <x v="0"/>
    <n v="79.099999999999994"/>
    <x v="1"/>
    <s v="Kabat Security Systems"/>
    <s v="Factura 28311"/>
    <x v="4"/>
    <s v="OC*055789/Seguridad y Vigilancia Mensual ENE,26"/>
  </r>
  <r>
    <s v="Euromobilia "/>
    <s v="Hogares Funcionales"/>
    <s v="Sidney R"/>
    <d v="2026-02-03T00:00:00"/>
    <m/>
    <n v="10"/>
    <s v="NUEVO"/>
    <n v="143431.4"/>
    <x v="1"/>
    <n v="287.22470312593867"/>
    <x v="1"/>
    <s v="DHL Customs"/>
    <s v="Factura 604759"/>
    <x v="2"/>
    <s v="OC*055826/ Factura de Importacion"/>
  </r>
  <r>
    <s v="Euromobilia "/>
    <s v="Proyectos Integrales"/>
    <s v="Sidney R"/>
    <d v="2026-02-03T00:00:00"/>
    <m/>
    <n v="10"/>
    <s v="NUEVO"/>
    <n v="42696.56"/>
    <x v="1"/>
    <n v="85.500851072351153"/>
    <x v="1"/>
    <s v="DHL Customs"/>
    <s v="Factura 604825"/>
    <x v="2"/>
    <s v="OC*055824/ Factura de Importacion"/>
  </r>
  <r>
    <s v="Euromobilia "/>
    <s v="CEDI"/>
    <s v="Uri R"/>
    <d v="2026-02-03T00:00:00"/>
    <m/>
    <n v="10"/>
    <s v="NUEVO"/>
    <n v="1845311.47"/>
    <x v="1"/>
    <n v="3695.278991529327"/>
    <x v="1"/>
    <s v="Guaypro Seguridad"/>
    <s v="Factura 482"/>
    <x v="4"/>
    <s v="OC 55629/Servicio de seguridad privada CEDI-CARIT enero 2026"/>
  </r>
  <r>
    <s v="Euromobilia "/>
    <s v="Fábrica Barrio Cuba"/>
    <s v="Sidney R"/>
    <d v="2026-02-03T00:00:00"/>
    <m/>
    <n v="10"/>
    <s v="NUEVO"/>
    <n v="751150.55"/>
    <x v="1"/>
    <n v="1504.1963874481849"/>
    <x v="1"/>
    <s v="Guaypro Seguridad"/>
    <s v="Factura 479"/>
    <x v="4"/>
    <s v="OC*055791/Servicio de vigilancia privada en Planta Cuba #1 mes facturado ENE,26"/>
  </r>
  <r>
    <s v="Euromobilia "/>
    <s v="Fábrica Barrio Cuba"/>
    <s v="Sidney R"/>
    <d v="2026-02-03T00:00:00"/>
    <m/>
    <n v="10"/>
    <s v="NUEVO"/>
    <n v="1522817.38"/>
    <x v="1"/>
    <n v="3049.4771011474454"/>
    <x v="1"/>
    <s v="Guaypro Seguridad"/>
    <s v="Factura 480"/>
    <x v="4"/>
    <s v="OC*055792/Servicio de vigilancia privada en Planta Cuba #1 mes facturado ENE,26"/>
  </r>
  <r>
    <s v="Euromobilia "/>
    <s v="CEDI"/>
    <s v="Uri R"/>
    <d v="2026-02-03T00:00:00"/>
    <m/>
    <n v="10"/>
    <s v="NUEVO"/>
    <n v="2629410.56"/>
    <x v="1"/>
    <n v="5265.4555940485016"/>
    <x v="1"/>
    <s v="Guaypro Seguridad"/>
    <s v="Factura 481"/>
    <x v="4"/>
    <s v="OC*055794/Servicio de vigilancia privada en Planta Cuba #2 mes facturado ene,26"/>
  </r>
  <r>
    <s v="Euromobilia "/>
    <s v="Logística Espacial"/>
    <s v="Eitan R"/>
    <d v="2026-02-04T00:00:00"/>
    <d v="2026-02-04T00:00:00"/>
    <n v="9"/>
    <d v="2026-02-04T00:00:00"/>
    <n v="49176.76"/>
    <x v="0"/>
    <n v="49176.76"/>
    <x v="0"/>
    <s v="Anhui Jinghui Intelligent Logistics"/>
    <s v="Pago 30% Final PI STOCK 11,  PO NJS-05/25 - LEP"/>
    <x v="0"/>
    <s v="Stock #11 LEP/EM Megarack PO EM NJS-05/25                                                                                            ID CONTROL:LE-NJS-05/25"/>
  </r>
  <r>
    <s v="Euromobilia "/>
    <s v="Productividad Humana"/>
    <s v="Uri R"/>
    <d v="2026-02-04T00:00:00"/>
    <d v="2026-04-10T00:00:00"/>
    <n v="9"/>
    <s v="NUEVO"/>
    <n v="834.31"/>
    <x v="0"/>
    <n v="834.31"/>
    <x v="0"/>
    <s v="Milliken &amp; Company"/>
    <s v="Pago 100% Factura 14918923, PO MLK-15/25 "/>
    <x v="5"/>
    <s v="A3 ARQUITECTOS//PRODUCTIVIDAD HUMANA//ALFOMBRAS"/>
  </r>
  <r>
    <s v="Euromobilia "/>
    <s v="Fábrica San Francisco"/>
    <s v="Uri R"/>
    <d v="2026-02-04T00:00:00"/>
    <m/>
    <n v="9"/>
    <s v="NUEVO"/>
    <n v="682769"/>
    <x v="1"/>
    <n v="1367.2607485431645"/>
    <x v="1"/>
    <s v="Gas Nacional Zeta"/>
    <s v="Factura 5623"/>
    <x v="6"/>
    <s v="OC 55577/Litros de gas"/>
  </r>
  <r>
    <s v="Euromobilia "/>
    <s v="Productividad Humana"/>
    <s v="Uri R"/>
    <d v="2026-02-04T00:00:00"/>
    <m/>
    <n v="9"/>
    <s v="NUEVO"/>
    <n v="704.43"/>
    <x v="2"/>
    <n v="833.05891800000006"/>
    <x v="2"/>
    <s v="UAB Narbutas International"/>
    <s v="Pago 100% PI Q058059-2, PO UAB-06/25"/>
    <x v="7"/>
    <s v="Work Lab (Transporte)//PRODUCTIVIDAD HUMANA//MOBILIARIO IMPORTADO"/>
  </r>
  <r>
    <s v="Euromobilia "/>
    <s v="Fábrica San Francisco"/>
    <s v="Uri R"/>
    <d v="2026-02-05T00:00:00"/>
    <m/>
    <n v="8"/>
    <n v="2"/>
    <n v="837279.2"/>
    <x v="1"/>
    <n v="1676.6710054668881"/>
    <x v="1"/>
    <s v="Capris"/>
    <s v="Factura 39054"/>
    <x v="8"/>
    <s v="OC 09-6134/Equipos solicitados consumos internos auditoria/Tarima antiderrapante 4 estañones"/>
  </r>
  <r>
    <s v="Euromobilia "/>
    <s v="Back Office"/>
    <s v="Judko R"/>
    <d v="2026-02-05T00:00:00"/>
    <m/>
    <n v="8"/>
    <n v="2"/>
    <n v="219083.95"/>
    <x v="1"/>
    <n v="438.72068806696439"/>
    <x v="1"/>
    <s v="Auto Repuestos Avenida 10 S.A. (La Guaca)"/>
    <s v="Factura 19491"/>
    <x v="9"/>
    <s v="OC*055153/Placa CL322074/Mantenimiento varios"/>
  </r>
  <r>
    <s v="Euromobilia "/>
    <s v="CEDI"/>
    <s v="Uri R"/>
    <d v="2026-02-05T00:00:00"/>
    <m/>
    <n v="8"/>
    <n v="2"/>
    <n v="67680"/>
    <x v="1"/>
    <n v="135.5307687686485"/>
    <x v="1"/>
    <s v="Auto Repuestos Avenida 10 S.A. (La Guaca)"/>
    <s v="Factura 19493"/>
    <x v="9"/>
    <s v="OC*055255/Placa C168310/Mantenimiento varios, cambio filtro, aceite"/>
  </r>
  <r>
    <s v="Euromobilia "/>
    <s v="Hogares Funcionales"/>
    <s v="Sidney R"/>
    <d v="2026-02-05T00:00:00"/>
    <m/>
    <n v="8"/>
    <n v="2"/>
    <n v="26452.74"/>
    <x v="1"/>
    <n v="52.97222500350442"/>
    <x v="1"/>
    <s v="Auto Repuestos Avenida 10 S.A. (La Guaca)"/>
    <s v="Factura 5051"/>
    <x v="9"/>
    <s v="OC*055182/Placa JML311/Mantenimiento varios, cambio filtro, aceite"/>
  </r>
  <r>
    <s v="Euromobilia "/>
    <s v="Hogares Funcionales"/>
    <s v="Sidney R"/>
    <d v="2026-02-05T00:00:00"/>
    <m/>
    <n v="8"/>
    <n v="2"/>
    <n v="171574.11499999999"/>
    <x v="1"/>
    <n v="343.58114223922138"/>
    <x v="1"/>
    <s v="Tinza Internacional"/>
    <s v="Factura 99976"/>
    <x v="2"/>
    <s v="OC*055235/ Factura de Importacion"/>
  </r>
  <r>
    <s v="Euromobilia "/>
    <s v="Productividad Humana"/>
    <s v="Uri R"/>
    <d v="2026-02-05T00:00:00"/>
    <m/>
    <n v="8"/>
    <n v="2"/>
    <n v="171919.39"/>
    <x v="1"/>
    <n v="344.27256342992172"/>
    <x v="1"/>
    <s v="Tinza Internacional"/>
    <s v="Factura 99984"/>
    <x v="2"/>
    <s v="OC*055238/ Factura de Importacion"/>
  </r>
  <r>
    <s v="Euromobilia "/>
    <s v="Logística Espacial"/>
    <s v="Eitan R"/>
    <d v="2026-02-05T00:00:00"/>
    <m/>
    <n v="8"/>
    <n v="2"/>
    <n v="343644.87"/>
    <x v="1"/>
    <n v="688.15681759016354"/>
    <x v="1"/>
    <s v="Grupo Servica de CR"/>
    <s v="Factura 232453"/>
    <x v="2"/>
    <s v="OC*055276/ Factura de Importacion"/>
  </r>
  <r>
    <s v="Euromobialia Sala Pavas"/>
    <s v="Outlet"/>
    <s v="Uri R"/>
    <d v="2026-02-05T00:00:00"/>
    <m/>
    <n v="8"/>
    <n v="2"/>
    <n v="109000"/>
    <x v="1"/>
    <n v="218.27502653343211"/>
    <x v="1"/>
    <s v="Poltronieri &amp; Cía, S.A."/>
    <s v="Factura 1142"/>
    <x v="10"/>
    <s v="OC00PO00000272/Sillas/Euromobilia Express/Aut. Eithel S."/>
  </r>
  <r>
    <s v="Euromobialia Sala Pavas"/>
    <s v="Outlet"/>
    <s v="Uri R"/>
    <d v="2026-02-05T00:00:00"/>
    <m/>
    <n v="8"/>
    <n v="2"/>
    <n v="91666"/>
    <x v="1"/>
    <n v="183.56328974507881"/>
    <x v="1"/>
    <s v="Poltronieri &amp; Cía, S.A."/>
    <s v="Factura 1153"/>
    <x v="10"/>
    <s v="OC00PO00000274/Sillas/Euromobilia Express/Aut. Eithel S."/>
  </r>
  <r>
    <s v="Euromobilia "/>
    <s v="Fábrica Barrio Cuba"/>
    <s v="Sidney R"/>
    <d v="2026-02-05T00:00:00"/>
    <m/>
    <n v="8"/>
    <s v="NUEVO"/>
    <n v="80867.759999999995"/>
    <x v="1"/>
    <n v="161.93956385045155"/>
    <x v="1"/>
    <s v="DHL Customs"/>
    <s v="Factura 605333"/>
    <x v="2"/>
    <s v="OC*055825/ Factura de Importacion"/>
  </r>
  <r>
    <s v="Euromobilia "/>
    <s v="Fábrica Barrio Cuba"/>
    <s v="Sidney R"/>
    <d v="2026-02-06T00:00:00"/>
    <m/>
    <n v="7"/>
    <n v="2"/>
    <n v="143519.04999999999"/>
    <x v="1"/>
    <n v="287.40022428259607"/>
    <x v="1"/>
    <s v="Universal de Tornillos y Herramientas"/>
    <s v="Factura 489065"/>
    <x v="11"/>
    <s v="OC*44*1804/Compra tornillos y brocas/Material solicitado para uso en instalaciones"/>
  </r>
  <r>
    <s v="Euromobilia "/>
    <s v="Productividad Humana"/>
    <s v="Uri R"/>
    <d v="2026-02-06T00:00:00"/>
    <m/>
    <n v="7"/>
    <n v="2"/>
    <n v="16591.64"/>
    <x v="1"/>
    <n v="33.225143681038105"/>
    <x v="1"/>
    <s v="Universal de Tornillos y Herramientas"/>
    <s v="Factura 489082"/>
    <x v="11"/>
    <s v="OC 31-3460/Materiales solicitados para el uso en instalaciones EPILSON/Cuchilla cutter, repuestos"/>
  </r>
  <r>
    <s v="Euromobialia Sala Pavas"/>
    <s v="Hogares Funcionales"/>
    <s v="Sidney R"/>
    <d v="2026-02-06T00:00:00"/>
    <m/>
    <n v="7"/>
    <n v="2"/>
    <n v="50264.72"/>
    <x v="1"/>
    <n v="100.65626689628932"/>
    <x v="1"/>
    <s v="Importaciones Modex"/>
    <s v="Factura 17259"/>
    <x v="11"/>
    <s v="OC-054796/Compra de enchufes de 3 picos para instalaciones"/>
  </r>
  <r>
    <s v="Euromobilia "/>
    <s v="CEDI"/>
    <s v="Uri R"/>
    <d v="2026-02-06T00:00:00"/>
    <m/>
    <n v="7"/>
    <n v="2"/>
    <n v="173642.78"/>
    <x v="1"/>
    <n v="347.72369185173318"/>
    <x v="1"/>
    <s v="NKR Motors Group Latin Corp S.A."/>
    <s v="Factura 40641"/>
    <x v="9"/>
    <s v="OC*055109/Mantenimiento de vehiculo/Mantenimiento revision y reparacion de bomda de inyeccion/Placa CL284402"/>
  </r>
  <r>
    <s v="Euromobilia "/>
    <s v="Proyectos Integrales"/>
    <s v="Sidney R"/>
    <d v="2026-02-06T00:00:00"/>
    <m/>
    <n v="7"/>
    <n v="2"/>
    <n v="748489.37"/>
    <x v="1"/>
    <n v="1498.8673128141459"/>
    <x v="1"/>
    <s v="Auto Repuestos Avenida 10 S.A. (La Guaca)"/>
    <s v="Factura 19500"/>
    <x v="9"/>
    <s v="OC*054869/Placa BKT727/Mantenimiento varios"/>
  </r>
  <r>
    <s v="Euromobilia "/>
    <s v="CEDI"/>
    <s v="Uri R"/>
    <d v="2026-02-06T00:00:00"/>
    <m/>
    <n v="7"/>
    <n v="2"/>
    <n v="33900"/>
    <x v="1"/>
    <n v="67.88553577507659"/>
    <x v="1"/>
    <s v="Alexis Alpizar e Hijos"/>
    <s v="Factura 41115"/>
    <x v="12"/>
    <s v="OC*055267/Servicio de flete/Placa  carretilla sin serie/Movimiento interno SF a BC"/>
  </r>
  <r>
    <s v="Euromobilia "/>
    <s v="CEDI"/>
    <s v="Uri R"/>
    <d v="2026-02-06T00:00:00"/>
    <m/>
    <n v="7"/>
    <n v="2"/>
    <n v="203400"/>
    <x v="1"/>
    <n v="407.3132146504596"/>
    <x v="1"/>
    <s v="Alexis Alpizar e Hijos"/>
    <s v="Factura 41116"/>
    <x v="12"/>
    <s v="OC*055266/Servicio de flete/Placa CL171277/Movimiento interno Grecia a Paso Ancho"/>
  </r>
  <r>
    <s v="Euromobilia "/>
    <s v="Fábrica San Francisco"/>
    <s v="Uri R"/>
    <d v="2026-02-06T00:00:00"/>
    <m/>
    <n v="7"/>
    <n v="2"/>
    <n v="48590"/>
    <x v="1"/>
    <n v="97.302601277609782"/>
    <x v="1"/>
    <s v="Intelecba Servicio Tecnico"/>
    <s v="Factura 212"/>
    <x v="9"/>
    <s v="OC*055268/Mantenimiento de vehiculo/Serie 18100937/Mantenimiento preventivo/Proforma 193"/>
  </r>
  <r>
    <s v="Euromobilia "/>
    <s v="Fábrica San Francisco"/>
    <s v="Uri R"/>
    <d v="2026-02-06T00:00:00"/>
    <m/>
    <n v="7"/>
    <n v="2"/>
    <n v="105090"/>
    <x v="1"/>
    <n v="210.44516090273746"/>
    <x v="1"/>
    <s v="Intelecba Servicio Tecnico"/>
    <s v="Factura 211"/>
    <x v="9"/>
    <s v="OC*055269/Mantenimiento de vehiculo/Serie 18100933/Mantenimiento preventivo/Proforma 194"/>
  </r>
  <r>
    <s v="Euromobilia "/>
    <s v="CEDI"/>
    <s v="Uri R"/>
    <d v="2026-02-06T00:00:00"/>
    <m/>
    <n v="7"/>
    <n v="2"/>
    <n v="285302.40000000002"/>
    <x v="1"/>
    <n v="571.32466908304468"/>
    <x v="1"/>
    <s v="Uniempaques"/>
    <s v="Factura 48089"/>
    <x v="13"/>
    <s v="OC 31-3476/Material solicitado para consumo interno/Plastico paletizador, cinta transparente"/>
  </r>
  <r>
    <s v="Euromobilia "/>
    <s v="Hogares Funcionales"/>
    <s v="Sidney R"/>
    <d v="2026-02-06T00:00:00"/>
    <d v="2026-02-13T00:00:00"/>
    <n v="7"/>
    <n v="2"/>
    <n v="2406.63"/>
    <x v="2"/>
    <n v="2846.0806380000004"/>
    <x v="2"/>
    <s v="BC3 Cocinas S.L."/>
    <s v="Pago 100% Factura FVR06-25-002745, PO BC3-55/25"/>
    <x v="1"/>
    <s v="3-102672850 SRL//HOGARES FUNCIONALES//MOBILIARIO HOGAR"/>
  </r>
  <r>
    <s v="Euromobilia "/>
    <s v="Hogares Funcionales"/>
    <s v="Sidney R"/>
    <d v="2026-02-06T00:00:00"/>
    <d v="2026-02-13T00:00:00"/>
    <n v="7"/>
    <n v="2"/>
    <n v="4896.6499999999996"/>
    <x v="2"/>
    <n v="5790.7782900000002"/>
    <x v="2"/>
    <s v="BC3 Cocinas S.L."/>
    <s v="Pago 100% Factura FVR06-25-002746, PO BC3-56/25"/>
    <x v="1"/>
    <s v="JOSE PABLO ULATE//HOGARES FUNCIONALES//MOBILIARIO HOGAR"/>
  </r>
  <r>
    <s v="Euromobilia "/>
    <s v="Hogares Funcionales"/>
    <s v="Sidney R"/>
    <d v="2026-02-06T00:00:00"/>
    <d v="2026-02-13T00:00:00"/>
    <n v="7"/>
    <n v="2"/>
    <n v="5797"/>
    <x v="2"/>
    <n v="6855.5322000000006"/>
    <x v="2"/>
    <s v="BC3 Cocinas S.L."/>
    <s v="Pago 100% Factura FVR06-25-002747 , PO BC3-58/25"/>
    <x v="1"/>
    <s v="PIERRE ALEXIS//HOGARES FUNCIONALES//MOBILIARIO HOGAR"/>
  </r>
  <r>
    <s v="Euromobilia "/>
    <s v="Hogares Funcionales"/>
    <s v="Sidney R"/>
    <d v="2026-02-06T00:00:00"/>
    <d v="2026-02-13T00:00:00"/>
    <n v="7"/>
    <n v="2"/>
    <n v="8025.05"/>
    <x v="2"/>
    <n v="9490.4241300000012"/>
    <x v="2"/>
    <s v="BC3 Cocinas S.L."/>
    <s v="Pago 100% Factura FVR06-25-002748, PO BC3-66/25 "/>
    <x v="1"/>
    <s v="ENRIQUE JOSE ACEVEDO//HOGARES FUNCIONALES//MOBILIARIO HOGAR"/>
  </r>
  <r>
    <s v="Euromobilia "/>
    <s v="Hogares Funcionales"/>
    <s v="Sidney R"/>
    <d v="2026-02-06T00:00:00"/>
    <d v="2026-02-13T00:00:00"/>
    <n v="7"/>
    <n v="2"/>
    <n v="2472.5300000000002"/>
    <x v="2"/>
    <n v="2924.0139780000004"/>
    <x v="2"/>
    <s v="BC3 Cocinas S.L."/>
    <s v="Pago 100% Factura  FVR06-25-002749, PO BC3-67/25"/>
    <x v="1"/>
    <s v="LEDA DEL CARMEN//HOGARES FUNCIONALES//MOBILIARIO HOGAR"/>
  </r>
  <r>
    <s v="Euromobilia "/>
    <s v="Hogares Funcionales"/>
    <s v="Sidney R"/>
    <d v="2026-02-06T00:00:00"/>
    <d v="2026-02-13T00:00:00"/>
    <n v="7"/>
    <n v="2"/>
    <n v="4051.03"/>
    <x v="2"/>
    <n v="4790.7480780000005"/>
    <x v="2"/>
    <s v="BC3 Cocinas S.L."/>
    <s v="Pago 100% Factura FVR06-25-002750, PO BC3-65/25 "/>
    <x v="1"/>
    <s v=" PALM REAL ESTATE//HOGARES FUNCIONALES//MOBILIARIO HOGAR"/>
  </r>
  <r>
    <s v="Euromobilia "/>
    <s v="Hogares Funcionales"/>
    <s v="Sidney R"/>
    <d v="2026-02-06T00:00:00"/>
    <d v="2026-02-13T00:00:00"/>
    <n v="7"/>
    <n v="2"/>
    <n v="7856.2"/>
    <x v="2"/>
    <n v="9290.7421200000008"/>
    <x v="2"/>
    <s v="BC3 Cocinas S.L."/>
    <s v="Pago 100% Factura FVR06-25-002751, PO BC3-64/25"/>
    <x v="1"/>
    <s v="EULLEN GIMENA//HOGARES FUNCIONALES//MOBILIARIO HOGAR"/>
  </r>
  <r>
    <s v="Euromobialia Sala Pavas"/>
    <s v="Outlet"/>
    <s v="Uri R"/>
    <d v="2026-02-06T00:00:00"/>
    <m/>
    <n v="7"/>
    <n v="2"/>
    <n v="293854.28999999998"/>
    <x v="1"/>
    <n v="588.45002703406283"/>
    <x v="1"/>
    <s v="Poltronieri &amp; Cía, S.A."/>
    <s v="Factura 1152"/>
    <x v="10"/>
    <s v="OC00PO00000273/Sillas/Euromobilia Express/Aut. Eithel S."/>
  </r>
  <r>
    <s v="Euromobialia Sala Pavas"/>
    <s v="Back Office"/>
    <s v="Judko R"/>
    <d v="2026-02-06T00:00:00"/>
    <m/>
    <n v="7"/>
    <n v="2"/>
    <n v="30795.13"/>
    <x v="1"/>
    <n v="61.667961631655885"/>
    <x v="1"/>
    <s v="CM Soluciones"/>
    <s v="Factura 135362"/>
    <x v="13"/>
    <s v="OC-055500/Tintas para impresora RRHH/Aut. Yanell C."/>
  </r>
  <r>
    <s v="Euromobilia "/>
    <s v="Proyectos Integrales"/>
    <s v="Sidney R"/>
    <d v="2026-02-06T00:00:00"/>
    <m/>
    <n v="7"/>
    <n v="2"/>
    <n v="73450"/>
    <x v="1"/>
    <n v="147.08532751266597"/>
    <x v="1"/>
    <s v="Allan Esteban Hernandez Camacho"/>
    <s v="Factura 327"/>
    <x v="2"/>
    <s v="OC*055330/ Factura de Importacion"/>
  </r>
  <r>
    <s v="Euromobilia "/>
    <s v="Fábrica Barrio Cuba"/>
    <s v="Sidney R"/>
    <d v="2026-02-06T00:00:00"/>
    <m/>
    <n v="7"/>
    <n v="2"/>
    <n v="50850"/>
    <x v="1"/>
    <n v="101.8283036626149"/>
    <x v="1"/>
    <s v="Allan Esteban Hernandez Camacho"/>
    <s v="Factura 328"/>
    <x v="2"/>
    <s v="OC*055332/ Factura de Importacion"/>
  </r>
  <r>
    <s v="Euromobilia "/>
    <s v="Productividad Humana"/>
    <s v="Uri R"/>
    <d v="2026-02-06T00:00:00"/>
    <m/>
    <n v="7"/>
    <n v="2"/>
    <n v="39550"/>
    <x v="1"/>
    <n v="79.199791737589365"/>
    <x v="1"/>
    <s v="Allan Esteban Hernandez Camacho"/>
    <s v="Factura 329"/>
    <x v="2"/>
    <s v="OC*055334/ Factura de Importacion"/>
  </r>
  <r>
    <s v="Euromobilia "/>
    <s v="Productividad Humana"/>
    <s v="Uri R"/>
    <d v="2026-02-06T00:00:00"/>
    <m/>
    <n v="7"/>
    <n v="2"/>
    <n v="62150"/>
    <x v="1"/>
    <n v="124.45681558764042"/>
    <x v="1"/>
    <s v="Allan Esteban Hernandez Camacho"/>
    <s v="Factura 330"/>
    <x v="2"/>
    <s v="OC*055335/ Factura de Importacion"/>
  </r>
  <r>
    <s v="Euromobilia "/>
    <s v="Hogares Funcionales"/>
    <s v="Sidney R"/>
    <d v="2026-02-06T00:00:00"/>
    <m/>
    <n v="7"/>
    <n v="2"/>
    <n v="62150"/>
    <x v="1"/>
    <n v="124.45681558764042"/>
    <x v="1"/>
    <s v="Allan Esteban Hernandez Camacho"/>
    <s v="Factura 331"/>
    <x v="2"/>
    <s v="OC*055326/ Factura de Importacion"/>
  </r>
  <r>
    <s v="Euromobilia "/>
    <s v="Logística Espacial"/>
    <s v="Eitan R"/>
    <d v="2026-02-06T00:00:00"/>
    <m/>
    <n v="7"/>
    <n v="2"/>
    <n v="101700"/>
    <x v="1"/>
    <n v="203.6566073252298"/>
    <x v="1"/>
    <s v="Allan Esteban Hernandez Camacho"/>
    <s v="Factura 332"/>
    <x v="2"/>
    <s v="OC*055336/ Factura de Importacion"/>
  </r>
  <r>
    <s v="Euromobilia "/>
    <s v="Proyectos Integrales"/>
    <s v="Sidney R"/>
    <d v="2026-02-06T00:00:00"/>
    <m/>
    <n v="7"/>
    <n v="2"/>
    <n v="73450"/>
    <x v="1"/>
    <n v="147.08532751266597"/>
    <x v="1"/>
    <s v="Allan Esteban Hernandez Camacho"/>
    <s v="Factura 333"/>
    <x v="2"/>
    <s v="OC*055338/ Factura de Importacion"/>
  </r>
  <r>
    <s v="Euromobilia "/>
    <s v="Productividad Humana"/>
    <s v="Uri R"/>
    <d v="2026-02-06T00:00:00"/>
    <m/>
    <n v="7"/>
    <n v="2"/>
    <n v="22600"/>
    <x v="1"/>
    <n v="45.257023850051063"/>
    <x v="1"/>
    <s v="Erick Hernandez Camacho"/>
    <s v="Factura 2760"/>
    <x v="2"/>
    <s v="OC*055333/ Factura de Importacion"/>
  </r>
  <r>
    <s v="Euromobilia "/>
    <s v="Fábrica Barrio Cuba"/>
    <s v="Sidney R"/>
    <d v="2026-02-06T00:00:00"/>
    <m/>
    <n v="7"/>
    <n v="2"/>
    <n v="28250"/>
    <x v="1"/>
    <n v="56.57127981256383"/>
    <x v="1"/>
    <s v="Erick Hernandez Camacho"/>
    <s v="Factura 2761"/>
    <x v="2"/>
    <s v="OC*055331/ Factura de Importacion"/>
  </r>
  <r>
    <s v="Euromobilia "/>
    <s v="Fábrica Barrio Cuba"/>
    <s v="Sidney R"/>
    <d v="2026-02-06T00:00:00"/>
    <m/>
    <n v="7"/>
    <n v="2"/>
    <n v="28250"/>
    <x v="1"/>
    <n v="56.57127981256383"/>
    <x v="1"/>
    <s v="Erick Hernandez Camacho"/>
    <s v="Factura 2762"/>
    <x v="2"/>
    <s v="OC*055340/ Factura de Importacion"/>
  </r>
  <r>
    <s v="Euromobilia "/>
    <s v="Fábrica Barrio Cuba"/>
    <s v="Sidney R"/>
    <d v="2026-02-06T00:00:00"/>
    <m/>
    <n v="7"/>
    <n v="2"/>
    <n v="226000"/>
    <x v="1"/>
    <n v="452.57023850051064"/>
    <x v="1"/>
    <s v="Ricardo Chaves Jimenez"/>
    <s v="Factura 722"/>
    <x v="14"/>
    <s v="OC*055357/Mant. elevador en bodega/Fabricación guias, tornillos avellanados/Solicita Jose Navarro"/>
  </r>
  <r>
    <s v="Euromobilia "/>
    <s v="Productividad Humana"/>
    <s v="Uri R"/>
    <d v="2026-02-06T00:00:00"/>
    <m/>
    <n v="7"/>
    <n v="2"/>
    <n v="168.3836"/>
    <x v="0"/>
    <n v="168.3836"/>
    <x v="1"/>
    <s v="Logica Transport Lodetrans"/>
    <s v="Abono Factura 22093"/>
    <x v="2"/>
    <s v="OC*055285/ Factura de importaciones"/>
  </r>
  <r>
    <s v="Euromobilia "/>
    <s v="Fábrica Barrio Cuba"/>
    <s v="Sidney R"/>
    <d v="2026-02-06T00:00:00"/>
    <m/>
    <n v="7"/>
    <n v="2"/>
    <n v="137.76839999999999"/>
    <x v="0"/>
    <n v="137.76839999999999"/>
    <x v="1"/>
    <s v="Logica Transport Lodetrans"/>
    <s v="Abono Factura 22093"/>
    <x v="2"/>
    <s v="OC*055285/ Factura de importaciones"/>
  </r>
  <r>
    <s v="Euromobilia "/>
    <s v="Hogares Funcionales"/>
    <s v="Sidney R"/>
    <d v="2026-02-06T00:00:00"/>
    <m/>
    <n v="7"/>
    <n v="2"/>
    <n v="459.22799999999995"/>
    <x v="0"/>
    <n v="459.22799999999995"/>
    <x v="1"/>
    <s v="Logica Transport Lodetrans"/>
    <s v="Abono Factura 22093"/>
    <x v="2"/>
    <s v="OC*055285/ Factura de importaciones"/>
  </r>
  <r>
    <s v="Euromobialia Sala Pavas"/>
    <s v="Logística Espacial"/>
    <s v="Eitan R"/>
    <d v="2026-02-06T00:00:00"/>
    <m/>
    <n v="7"/>
    <n v="2"/>
    <n v="803.73"/>
    <x v="0"/>
    <n v="803.73"/>
    <x v="1"/>
    <s v="Mecsoft de Costa Rica"/>
    <s v="Factura 762"/>
    <x v="15"/>
    <s v="OC-055274/Suscripciòn Anual BrisCad Pro V26/Aut. Johnny F."/>
  </r>
  <r>
    <s v="Euromobilia "/>
    <s v="Fábrica Barrio Cuba"/>
    <s v="Sidney R"/>
    <d v="2026-02-06T00:00:00"/>
    <d v="2026-02-06T00:00:00"/>
    <n v="-63"/>
    <d v="2026-02-06T00:00:00"/>
    <n v="11956.84"/>
    <x v="2"/>
    <n v="13796.997675999999"/>
    <x v="2"/>
    <s v="Fritz Egger"/>
    <s v="Pago 100% Factura 1751533597, PO EGG-02/25"/>
    <x v="16"/>
    <s v="Stock//Fabrica Barrio Cuba//Tableros de melamina"/>
  </r>
  <r>
    <s v="Euromobilia "/>
    <s v="Fábrica Barrio Cuba"/>
    <s v="Sidney R"/>
    <d v="2026-02-06T00:00:00"/>
    <m/>
    <n v="7"/>
    <n v="2"/>
    <n v="132175.84"/>
    <x v="1"/>
    <n v="264.68518333099706"/>
    <x v="1"/>
    <s v="CM Soluciones"/>
    <s v="Factura 135350"/>
    <x v="13"/>
    <s v="OC*44*1833/Compra cafe,azucar/Material solicitado para consumo en comedor"/>
  </r>
  <r>
    <s v="Euromobilia "/>
    <s v="Productividad Humana"/>
    <s v="Uri R"/>
    <d v="2026-02-06T00:00:00"/>
    <m/>
    <n v="7"/>
    <n v="2"/>
    <n v="171284.99"/>
    <x v="1"/>
    <n v="343.00216272503354"/>
    <x v="1"/>
    <s v="Maderas y Materiales el Cipresal"/>
    <s v="Factura 199790"/>
    <x v="17"/>
    <s v="OC*44*1834/Compra juego pivotes/Accesorios solicitado para fabricacion de prototipos Kenther Chave"/>
  </r>
  <r>
    <s v="Euromobilia "/>
    <s v="Hogares Funcionales"/>
    <s v="Sidney R"/>
    <d v="2026-02-06T00:00:00"/>
    <d v="2026-02-13T00:00:00"/>
    <n v="7"/>
    <n v="2"/>
    <n v="42.9"/>
    <x v="2"/>
    <n v="50.733540000000005"/>
    <x v="2"/>
    <s v="BC3 Cocinas S.L."/>
    <s v="Pago 100% Factura FVR06-25-002755, PO OS-054902 / OS-054903 / OS-054904 / OS-054906"/>
    <x v="1"/>
    <s v="STOCK//HOGARES FUNCIONALES//MOBILIARIO HOGAR"/>
  </r>
  <r>
    <s v="Euromobilia "/>
    <s v="Hogares Funcionales"/>
    <s v="Sidney R"/>
    <d v="2026-02-06T00:00:00"/>
    <d v="2026-02-13T00:00:00"/>
    <n v="7"/>
    <n v="2"/>
    <n v="107.8"/>
    <x v="2"/>
    <n v="127.48428000000001"/>
    <x v="2"/>
    <s v="BC3 Cocinas S.L."/>
    <s v="Pago 100% Factura FVR06-25-002752, PO OS-054978"/>
    <x v="1"/>
    <s v="JOHANNA GABOUREL//HOGARES FUNCIONALES//MOBILIARIO HOGAR"/>
  </r>
  <r>
    <s v="Euromobilia "/>
    <s v="Hogares Funcionales"/>
    <s v="Sidney R"/>
    <d v="2026-02-06T00:00:00"/>
    <d v="2026-02-13T00:00:00"/>
    <n v="7"/>
    <n v="2"/>
    <n v="888.42"/>
    <x v="2"/>
    <n v="1050.6454920000001"/>
    <x v="2"/>
    <s v="BC3 Cocinas S.L."/>
    <s v="Pago 100% Factura FVR06-25-002753, PO OS-054881"/>
    <x v="1"/>
    <s v="RENE CARDONA GARCIA//HOGARES FUNCIONALES//MOBILIARIO HOGAR"/>
  </r>
  <r>
    <s v="Euromobilia "/>
    <s v="Hogares Funcionales"/>
    <s v="Sidney R"/>
    <d v="2026-02-06T00:00:00"/>
    <d v="2026-02-13T00:00:00"/>
    <n v="7"/>
    <n v="2"/>
    <n v="631.17999999999995"/>
    <x v="2"/>
    <n v="746.43346799999995"/>
    <x v="2"/>
    <s v="BC3 Cocinas S.L."/>
    <s v="Pago 100% Factura FVR06-25-002754, PO OS-054888."/>
    <x v="1"/>
    <s v="ENRIQUE JOSE ACEVEDO//HOGARES FUNCIONALES//MOBILIARIO HOGAR"/>
  </r>
  <r>
    <s v="Euromobilia "/>
    <s v="Fábrica Barrio Cuba"/>
    <s v="Sidney R"/>
    <d v="2026-02-07T00:00:00"/>
    <m/>
    <n v="6"/>
    <n v="2"/>
    <n v="29352.83"/>
    <x v="1"/>
    <n v="58.779722450287366"/>
    <x v="1"/>
    <s v="Universal de Tornillos y Herramientas"/>
    <s v="Factura 489113"/>
    <x v="11"/>
    <s v="OC*44*1803/Compra cuchilla cutter y repuestos/Material solicitado para uso en instalaciones"/>
  </r>
  <r>
    <s v="Euromobilia "/>
    <s v="Logística Espacial"/>
    <s v="Eitan R"/>
    <d v="2026-02-07T00:00:00"/>
    <m/>
    <n v="6"/>
    <n v="2"/>
    <n v="56500"/>
    <x v="1"/>
    <n v="113.14255962512766"/>
    <x v="1"/>
    <s v="Alexis Alpizar e Hijos"/>
    <s v="Factura 41148"/>
    <x v="12"/>
    <s v="OC*055287/Servicio de flete/Placa HC130942 HC131124/Movimiento interno S Sebastian a BC, BC a SF/Proforma 1264"/>
  </r>
  <r>
    <s v="Euromobilia "/>
    <s v="Outlet"/>
    <s v="Uri R"/>
    <d v="2026-02-07T00:00:00"/>
    <m/>
    <n v="6"/>
    <n v="2"/>
    <n v="639580"/>
    <x v="1"/>
    <n v="1280.7737749564451"/>
    <x v="1"/>
    <s v="3-101-868034 S.A. (HIDRAULICA HCR)"/>
    <s v="Factura 1055"/>
    <x v="9"/>
    <s v="OC*055291/Mantenimiento de vehiculo/Placa CL279552/Mantenimientos tapiceria, rotulas de direccion"/>
  </r>
  <r>
    <s v="Euromobilia "/>
    <s v="Back Office"/>
    <s v="Judko R"/>
    <d v="2026-02-07T00:00:00"/>
    <m/>
    <n v="6"/>
    <n v="2"/>
    <n v="156505"/>
    <x v="1"/>
    <n v="313.40489016160365"/>
    <x v="1"/>
    <s v="3-101-868034 S.A. (HIDRAULICA HCR)"/>
    <s v="Factura 1054"/>
    <x v="9"/>
    <s v="OC*055289/Mantenimiento de vehiculo/Placa PPLV032/Mantenimientos bateria/Proforma 1226"/>
  </r>
  <r>
    <s v="Euromobilia "/>
    <s v="Logística Espacial"/>
    <s v="Eitan R"/>
    <d v="2026-02-07T00:00:00"/>
    <m/>
    <n v="6"/>
    <n v="2"/>
    <n v="282584.75"/>
    <x v="1"/>
    <n v="565.88251196507599"/>
    <x v="1"/>
    <s v="Tinza Internacional"/>
    <s v="Factura 100104"/>
    <x v="2"/>
    <s v="OC*055275/ Factura de Importacion"/>
  </r>
  <r>
    <s v="Euromobilia "/>
    <s v="Hogares Funcionales"/>
    <s v="Sidney R"/>
    <d v="2026-02-07T00:00:00"/>
    <m/>
    <n v="6"/>
    <n v="2"/>
    <n v="135600"/>
    <x v="1"/>
    <n v="271.54214310030636"/>
    <x v="1"/>
    <s v="Tinza AG"/>
    <s v="Factura 6663"/>
    <x v="2"/>
    <s v="OC*055325/ Factura de Importacion"/>
  </r>
  <r>
    <s v="Euromobialia Sala Pavas"/>
    <s v="Hogares Funcionales"/>
    <s v="Sidney R"/>
    <d v="2026-02-08T00:00:00"/>
    <m/>
    <n v="5"/>
    <n v="2"/>
    <n v="80423.55"/>
    <x v="1"/>
    <n v="161.05002302901656"/>
    <x v="1"/>
    <s v="Importaciones Modex"/>
    <s v="Factura 17275"/>
    <x v="11"/>
    <s v="OC-054909/Compra de enchufes de 3 picos No. 80 para instalaciones"/>
  </r>
  <r>
    <s v="Euromobilia "/>
    <s v="Hogares Funcionales"/>
    <s v="Sidney R"/>
    <d v="2026-02-08T00:00:00"/>
    <m/>
    <n v="5"/>
    <n v="2"/>
    <n v="303525.27"/>
    <x v="1"/>
    <n v="607.81638864969864"/>
    <x v="1"/>
    <s v="Importaciones Modex"/>
    <s v="Factura 17426"/>
    <x v="11"/>
    <s v="OC-055426/Kits para instalalciòn de electrodomèsticos/Aut. Henry Villalobos"/>
  </r>
  <r>
    <s v="Euromobilia "/>
    <s v="Proyectos Integrales"/>
    <s v="Sidney R"/>
    <d v="2026-02-08T00:00:00"/>
    <m/>
    <n v="5"/>
    <n v="2"/>
    <n v="203493.56"/>
    <x v="1"/>
    <n v="407.50057071910607"/>
    <x v="1"/>
    <s v="Tinza Internacional"/>
    <s v="Factura 100220"/>
    <x v="2"/>
    <s v="OC*055337/ Factura de Importacion"/>
  </r>
  <r>
    <s v="Euromobilia "/>
    <s v="CEDI"/>
    <s v="Uri R"/>
    <d v="2026-02-08T00:00:00"/>
    <m/>
    <n v="5"/>
    <n v="2"/>
    <n v="3960.42"/>
    <x v="0"/>
    <n v="3960.42"/>
    <x v="1"/>
    <s v="MHE Material Handling Equipment"/>
    <s v="Factura 8350"/>
    <x v="9"/>
    <s v="OC*053636/Mantenimiento varios,arnes,tapa,sensor de inclinacion"/>
  </r>
  <r>
    <s v="Euromobilia "/>
    <s v="Productividad Humana"/>
    <s v="Uri R"/>
    <d v="2026-02-08T00:00:00"/>
    <m/>
    <n v="5"/>
    <n v="2"/>
    <n v="4324.01"/>
    <x v="1"/>
    <n v="8.6589302521176688"/>
    <x v="1"/>
    <s v="Auto Repuestos Avenida 10 S.A. (La Guaca)"/>
    <s v="Factura 19507"/>
    <x v="9"/>
    <s v="OC*055090/Placa SPB003/Mantenimiento varios, cambio bombillo"/>
  </r>
  <r>
    <s v="Euromobilia "/>
    <s v="Fábrica Barrio Cuba"/>
    <s v="Sidney R"/>
    <d v="2026-02-08T00:00:00"/>
    <m/>
    <n v="5"/>
    <n v="2"/>
    <n v="166650"/>
    <x v="1"/>
    <n v="333.72048781464645"/>
    <x v="1"/>
    <s v="Oficina Comercializadora Oficomer"/>
    <s v="Factura 151138"/>
    <x v="13"/>
    <s v="OC*44*1838/Compra papel carta blanco resma/Material solicitado para consumo interno"/>
  </r>
  <r>
    <s v="Euromobilia "/>
    <s v="Hogares Funcionales"/>
    <s v="Sidney R"/>
    <d v="2026-02-08T00:00:00"/>
    <d v="2026-03-08T00:00:00"/>
    <n v="5"/>
    <s v="NUEVO"/>
    <n v="1172.05"/>
    <x v="2"/>
    <n v="1386.0663300000001"/>
    <x v="2"/>
    <s v="BC3 Cocinas S.L."/>
    <s v="Pago 100% Factura FVR06-25-003083, PO BC3-62/25"/>
    <x v="1"/>
    <s v="ISABEL FORNAGERA//HOGARES FUNCIONALES/MOBILIARIO DE COCINAS"/>
  </r>
  <r>
    <s v="Euromobilia "/>
    <s v="Hogares Funcionales"/>
    <s v="Sidney R"/>
    <d v="2026-02-08T00:00:00"/>
    <d v="2026-03-08T00:00:00"/>
    <n v="5"/>
    <s v="NUEVO"/>
    <n v="4167.7"/>
    <x v="2"/>
    <n v="4928.7220200000002"/>
    <x v="2"/>
    <s v="BC3 Cocinas S.L."/>
    <s v="Pago 100% Factura FVR06-25-003084, PO BC3-68/25"/>
    <x v="1"/>
    <s v="MACIEJ GUSTAB//HOGARES FUNCIONALES/MOBILIARIO DE COCINAS"/>
  </r>
  <r>
    <s v="Euromobilia "/>
    <s v="Hogares Funcionales"/>
    <s v="Sidney R"/>
    <d v="2026-02-08T00:00:00"/>
    <d v="2026-03-08T00:00:00"/>
    <n v="5"/>
    <s v="NUEVO"/>
    <n v="8629.5"/>
    <x v="2"/>
    <n v="10205.246700000002"/>
    <x v="2"/>
    <s v="BC3 Cocinas S.L."/>
    <s v="Pago 100% Factura  FVR06-25-003088, PO BC3-69/25"/>
    <x v="1"/>
    <s v="CAMARCO HEAT GROUP//HOGARES FUNCIONALES/MOBILIARIO DE COCINAS"/>
  </r>
  <r>
    <s v="Euromobilia "/>
    <s v="Hogares Funcionales"/>
    <s v="Sidney R"/>
    <d v="2026-02-08T00:00:00"/>
    <d v="2026-03-08T00:00:00"/>
    <n v="5"/>
    <s v="NUEVO"/>
    <n v="7481.65"/>
    <x v="2"/>
    <n v="8847.7992900000008"/>
    <x v="2"/>
    <s v="BC3 Cocinas S.L."/>
    <s v="Pago 100% Factura FVR06-25-003085, PO BC3-61/25"/>
    <x v="1"/>
    <s v="JESSE SHELTHER//HOGARES FUNCIONALES/MOBILIARIO DE COCINAS"/>
  </r>
  <r>
    <s v="Euromobilia "/>
    <s v="Hogares Funcionales"/>
    <s v="Sidney R"/>
    <d v="2026-02-09T00:00:00"/>
    <d v="2026-02-13T00:00:00"/>
    <n v="4"/>
    <n v="2"/>
    <n v="6063"/>
    <x v="0"/>
    <n v="6063"/>
    <x v="0"/>
    <s v="Electrolux Home Products"/>
    <s v="Pago 100% Factura EH25111028, PO ELE-22/25"/>
    <x v="18"/>
    <s v="SALUD NEONATAL//HOGARES FUNCIONALES//ELECTRODOMESTICOS"/>
  </r>
  <r>
    <s v="Euromobilia "/>
    <s v="Fábrica San Francisco"/>
    <s v="Uri R"/>
    <d v="2026-02-09T00:00:00"/>
    <m/>
    <n v="4"/>
    <n v="2"/>
    <n v="64013.89"/>
    <x v="1"/>
    <n v="128.18929851613032"/>
    <x v="1"/>
    <s v="Universal de Tornillos y Herramientas"/>
    <s v="Factura 490079"/>
    <x v="17"/>
    <s v="OC 09-6113/Suministros solicitados para consumo interno/Tornillo Allen, tornillo, tape electrico,amarra"/>
  </r>
  <r>
    <s v="Euromobilia "/>
    <s v="Fábrica San Francisco"/>
    <s v="Uri R"/>
    <d v="2026-02-09T00:00:00"/>
    <m/>
    <n v="4"/>
    <n v="2"/>
    <n v="418509.36"/>
    <x v="1"/>
    <n v="838.0746941145843"/>
    <x v="1"/>
    <s v="Universal de Tornillos y Herramientas"/>
    <s v="Factura 489933"/>
    <x v="17"/>
    <s v="OC 09-6111/Suministros solicitados para consumo interno/cinta metrica tijera, broca, alicate"/>
  </r>
  <r>
    <s v="Euromobilia "/>
    <s v="Fábrica San Francisco"/>
    <s v="Uri R"/>
    <d v="2026-02-09T00:00:00"/>
    <m/>
    <n v="4"/>
    <n v="2"/>
    <n v="486275.16"/>
    <x v="1"/>
    <n v="973.77727937200871"/>
    <x v="1"/>
    <s v="Universal de Tornillos y Herramientas"/>
    <s v="Factura 489941"/>
    <x v="17"/>
    <s v="OC 09-6112/Suministros solicitados para consumo interno produccion/Tornillo hexagonal. Arandela"/>
  </r>
  <r>
    <s v="Euromobilia "/>
    <s v="Hogares Funcionales"/>
    <s v="Sidney R"/>
    <d v="2026-02-09T00:00:00"/>
    <d v="2026-02-09T00:00:00"/>
    <n v="4"/>
    <d v="2026-02-09T00:00:00"/>
    <n v="50952.639999999999"/>
    <x v="2"/>
    <n v="60256.592064000004"/>
    <x v="2"/>
    <s v="Cascosol Ltda"/>
    <s v="Pago 100% Factura 202500000615, PO COL-07/25"/>
    <x v="1"/>
    <s v="STOCK//HOGARES FUNCIONALES/MOBILIARIO DE COCINAS"/>
  </r>
  <r>
    <s v="Euromobilia "/>
    <s v="Fábrica San Francisco"/>
    <s v="Uri R"/>
    <d v="2026-02-10T00:00:00"/>
    <m/>
    <n v="3"/>
    <n v="2"/>
    <n v="516365.48"/>
    <x v="1"/>
    <n v="1034.0338426417286"/>
    <x v="1"/>
    <s v="Universal de Tornillos y Herramientas"/>
    <s v="Factura 490367"/>
    <x v="17"/>
    <s v="OC 09-6114/Suministros solicitados para consumo interno produccion/Disco plano corte para metal"/>
  </r>
  <r>
    <s v="Euromobilia "/>
    <s v="Fábrica Barrio Cuba"/>
    <s v="Sidney R"/>
    <d v="2026-02-10T00:00:00"/>
    <m/>
    <n v="3"/>
    <n v="2"/>
    <n v="1205755.2"/>
    <x v="1"/>
    <n v="2414.5527364479244"/>
    <x v="1"/>
    <s v="Forestales Latinoamericanos"/>
    <s v="Factura 290787"/>
    <x v="16"/>
    <s v="OC*55*1253/Compra de MDF 15mmm/Material solicitado para stock produccion"/>
  </r>
  <r>
    <s v="Euromobilia "/>
    <s v="Hogares Funcionales"/>
    <s v="Sidney R"/>
    <d v="2026-02-10T00:00:00"/>
    <m/>
    <n v="3"/>
    <s v="NUEVO"/>
    <n v="118650"/>
    <x v="1"/>
    <n v="237.59937521276808"/>
    <x v="1"/>
    <s v="Orlando Elizondo Alvarez"/>
    <s v="Factura 1434"/>
    <x v="19"/>
    <s v="OC-55262/Trabajo de Euromobilia Cliente "/>
  </r>
  <r>
    <s v="Euromobialia Sala Pavas"/>
    <s v="Logística Espacial"/>
    <s v="Eitan R"/>
    <d v="2026-02-11T00:00:00"/>
    <m/>
    <n v="2"/>
    <n v="2"/>
    <n v="35783.949999999997"/>
    <x v="1"/>
    <n v="71.658189318541361"/>
    <x v="1"/>
    <s v="Sondel"/>
    <s v="Factura 247072"/>
    <x v="8"/>
    <s v="OC-055359/Pasamontañas y guantes para càmaras de frío/Aut. Johnny Fallas"/>
  </r>
  <r>
    <s v="Euromobilia "/>
    <s v="Productividad Humana"/>
    <s v="Uri R"/>
    <d v="2026-02-11T00:00:00"/>
    <m/>
    <n v="2"/>
    <n v="2"/>
    <n v="79100"/>
    <x v="1"/>
    <n v="158.39958347517873"/>
    <x v="1"/>
    <s v="Tinza AG"/>
    <s v="Factura 6669"/>
    <x v="2"/>
    <s v="OC*055478/ Factura de Importacion"/>
  </r>
  <r>
    <s v="Euromobilia "/>
    <s v="Proyectos Integrales"/>
    <s v="Sidney R"/>
    <d v="2026-02-11T00:00:00"/>
    <m/>
    <n v="2"/>
    <n v="2"/>
    <n v="135600"/>
    <x v="1"/>
    <n v="271.54214310030636"/>
    <x v="1"/>
    <s v="Tinza AG"/>
    <s v="Factura 6682"/>
    <x v="2"/>
    <s v="OC*055477/ Factura de Importacion"/>
  </r>
  <r>
    <s v="Euromobilia "/>
    <s v="Back Office"/>
    <s v="Judko R"/>
    <d v="2026-02-11T00:00:00"/>
    <m/>
    <n v="2"/>
    <n v="2"/>
    <n v="161.22"/>
    <x v="0"/>
    <n v="161.22"/>
    <x v="1"/>
    <s v="Intcomex Costa Rica Mayorista"/>
    <s v="Factura 848131"/>
    <x v="20"/>
    <s v="OC*055351/Compra tinta epson, tinta hp/Suministro para consumo interno/Soporte TI BC"/>
  </r>
  <r>
    <s v="Euromobilia "/>
    <s v="Outlet"/>
    <s v="Uri R"/>
    <d v="2026-02-11T00:00:00"/>
    <m/>
    <n v="2"/>
    <n v="2"/>
    <n v="457085"/>
    <x v="1"/>
    <n v="915.32330736728272"/>
    <x v="1"/>
    <s v="3-101-868034 S.A. (HIDRAULICA HCR)"/>
    <s v="Factura 1062"/>
    <x v="9"/>
    <s v="OC*055317/Mantenimiento de vehiculo/Placa CL279552/Mantenimientos varios/Proforma "/>
  </r>
  <r>
    <s v="Euromobilia "/>
    <s v="Proyectos Integrales"/>
    <s v="Sidney R"/>
    <d v="2026-02-11T00:00:00"/>
    <m/>
    <n v="2"/>
    <n v="2"/>
    <n v="10276.5"/>
    <x v="1"/>
    <n v="20.578929451108397"/>
    <x v="1"/>
    <s v="Auto Repuestos Avenida 10 S.A. (La Guaca)"/>
    <s v="Factura 19512"/>
    <x v="9"/>
    <s v="OC*055361/Placa BKT727/Mantenimiento varios, gata tijera"/>
  </r>
  <r>
    <s v="Euromobilia "/>
    <s v="Hogares Funcionales"/>
    <s v="Sidney R"/>
    <d v="2026-02-11T00:00:00"/>
    <m/>
    <n v="2"/>
    <n v="2"/>
    <n v="66572.58"/>
    <x v="1"/>
    <n v="133.31313454953241"/>
    <x v="1"/>
    <s v="Auto Repuestos Avenida 10 S.A. (La Guaca)"/>
    <s v="Factura 19513"/>
    <x v="9"/>
    <s v="OC*055362/Placa CL322073/Mantenimiento varios, cabio: filtros, escobillas, aceite,alineado y tramado de direccion"/>
  </r>
  <r>
    <s v="Euromobilia "/>
    <s v="Hogares Funcionales"/>
    <s v="Sidney R"/>
    <d v="2026-02-11T00:00:00"/>
    <m/>
    <n v="2"/>
    <n v="2"/>
    <n v="99909.09"/>
    <x v="1"/>
    <n v="200.07026853835833"/>
    <x v="1"/>
    <s v="Auto Repuestos Avenida 10 S.A. (La Guaca)"/>
    <s v="Factura 19516"/>
    <x v="9"/>
    <s v="OC*055389/Placa CL303611/Mantenimiento varios, cabio: filtros, escobillas, aceite,alineado y tramado de direccion"/>
  </r>
  <r>
    <s v="Euromobilia "/>
    <s v="Fábrica Barrio Cuba"/>
    <s v="Sidney R"/>
    <d v="2026-02-11T00:00:00"/>
    <m/>
    <n v="2"/>
    <n v="2"/>
    <n v="85642.5"/>
    <x v="1"/>
    <n v="171.50109137513266"/>
    <x v="1"/>
    <s v="Maderas y Materiales el Cipresal"/>
    <s v="Factura 199950"/>
    <x v="17"/>
    <s v="OC*44*1839/Compra juego pivotes/Accesorios solicitado para fabricacion de prototipos Kenther Chave"/>
  </r>
  <r>
    <s v="Euromobilia "/>
    <s v="Outlet"/>
    <s v="Uri R"/>
    <d v="2026-02-11T00:00:00"/>
    <m/>
    <n v="2"/>
    <n v="2"/>
    <n v="587700.44999999995"/>
    <x v="1"/>
    <n v="1176.8837735546788"/>
    <x v="1"/>
    <s v="Poltronieri &amp; Cía, S.A."/>
    <s v="Factura 1172"/>
    <x v="10"/>
    <s v="OC00PO00000275/Euromobilia Express/Aut. Eithel S."/>
  </r>
  <r>
    <s v="Euromobilia "/>
    <s v="CEDI"/>
    <s v="Uri R"/>
    <d v="2026-02-11T00:00:00"/>
    <m/>
    <n v="2"/>
    <n v="2"/>
    <n v="114324.84"/>
    <x v="1"/>
    <n v="228.93814205899432"/>
    <x v="1"/>
    <s v="Sumi Express Sociedad Anonima"/>
    <s v="Factura 103945"/>
    <x v="13"/>
    <s v="OC 31-3481/Suministros solicitados para consumos interno/Alcohol liquido, clips pequeños, marcador permanente, papel carta blanco, bateria"/>
  </r>
  <r>
    <s v="Euromobilia "/>
    <s v="Fábrica Barrio Cuba"/>
    <s v="Sidney R"/>
    <d v="2026-02-11T00:00:00"/>
    <m/>
    <n v="2"/>
    <n v="2"/>
    <n v="148848.73000000001"/>
    <x v="1"/>
    <n v="298.07303202034564"/>
    <x v="1"/>
    <s v="Sur Quimica"/>
    <s v="Factura 2799"/>
    <x v="17"/>
    <s v="OC*44*1850/Compra thinner/Material solicitado para consumo instalaciones"/>
  </r>
  <r>
    <s v="Euromobilia "/>
    <s v="Fábrica Barrio Cuba"/>
    <s v="Sidney R"/>
    <d v="2026-02-11T00:00:00"/>
    <m/>
    <n v="2"/>
    <n v="2"/>
    <n v="282.5"/>
    <x v="0"/>
    <n v="282.5"/>
    <x v="1"/>
    <s v="Roxana Caravana Diaz "/>
    <s v="Factura 508"/>
    <x v="2"/>
    <s v="OC*055483/ Factura de importaciones"/>
  </r>
  <r>
    <s v="Euromobilia "/>
    <s v="Fábrica Barrio Cuba"/>
    <s v="Sidney R"/>
    <d v="2026-02-11T00:00:00"/>
    <m/>
    <n v="2"/>
    <s v="NUEVO"/>
    <n v="650"/>
    <x v="0"/>
    <n v="650"/>
    <x v="1"/>
    <s v="Roxana Caravana Diaz "/>
    <s v="Factura 507"/>
    <x v="2"/>
    <s v="OC*055733/ Factura de importaciones"/>
  </r>
  <r>
    <s v="Euromobilia "/>
    <s v="CEDI"/>
    <s v="Uri R"/>
    <d v="2026-02-11T00:00:00"/>
    <m/>
    <n v="2"/>
    <s v="NUEVO"/>
    <n v="236677.87"/>
    <x v="1"/>
    <n v="473.95292068005688"/>
    <x v="1"/>
    <s v="Distribuidora Comercial Tres Ases"/>
    <s v="Factura 283496"/>
    <x v="21"/>
    <s v="OC 31-3479/Suministros solicitados para consumo interno/Café molido, azucar"/>
  </r>
  <r>
    <s v="Euromobilia "/>
    <s v="Proyectos Integrales"/>
    <s v="Sidney R"/>
    <d v="2026-02-11T00:00:00"/>
    <m/>
    <n v="2"/>
    <s v="NUEVO"/>
    <n v="282500"/>
    <x v="1"/>
    <n v="565.7127981256383"/>
    <x v="1"/>
    <s v="Jordan Jimenez Elizondo"/>
    <s v="Factura 226"/>
    <x v="2"/>
    <s v="OC*055798/ Factura de Importacion"/>
  </r>
  <r>
    <s v="Euromobilia "/>
    <s v="Fábrica Barrio Cuba"/>
    <s v="Sidney R"/>
    <d v="2026-02-12T00:00:00"/>
    <m/>
    <n v="1"/>
    <n v="2"/>
    <n v="3077.06"/>
    <x v="0"/>
    <n v="3077.06"/>
    <x v="1"/>
    <s v="Corrugados del Guarco"/>
    <s v="Factura 97202"/>
    <x v="17"/>
    <s v="OC*44*1827/Compra lamina de carton corrugado"/>
  </r>
  <r>
    <s v="Euromobilia "/>
    <s v="Hogares Funcionales"/>
    <s v="Sidney R"/>
    <d v="2026-02-12T00:00:00"/>
    <m/>
    <n v="1"/>
    <n v="2"/>
    <n v="1169.3499999999999"/>
    <x v="0"/>
    <n v="1169.3499999999999"/>
    <x v="1"/>
    <s v="Electrodomesticos Mabeca"/>
    <s v="Factura 55508"/>
    <x v="18"/>
    <s v="OC HO-513/MBC-33/25 Cliente Camila Jurado Montanari/Plantilla Gas Range Top"/>
  </r>
  <r>
    <s v="Euromobilia "/>
    <s v="Hogares Funcionales"/>
    <s v="Sidney R"/>
    <d v="2026-02-12T00:00:00"/>
    <m/>
    <n v="1"/>
    <n v="2"/>
    <n v="158932.57999999999"/>
    <x v="1"/>
    <n v="318.26617538098003"/>
    <x v="1"/>
    <s v="Auto Repuestos Avenida 10 S.A. (La Guaca)"/>
    <s v="Factura 19519"/>
    <x v="9"/>
    <s v="OC*055430/Placa CL303596/Mantenimiento varios, cabio: filtros, escobillas, aceite,alineado y tramado de direccion"/>
  </r>
  <r>
    <s v="Euromobilia "/>
    <s v="Back Office"/>
    <s v="Judko R"/>
    <d v="2026-02-12T00:00:00"/>
    <m/>
    <n v="1"/>
    <n v="2"/>
    <n v="131450"/>
    <x v="1"/>
    <n v="263.23167190660234"/>
    <x v="1"/>
    <s v="Camara de Industrias de Costa Rica"/>
    <s v="Factura 66771"/>
    <x v="22"/>
    <s v="OC*055512/Membresia ENE,2026"/>
  </r>
  <r>
    <s v="Euromobilia "/>
    <s v="Productividad Humana"/>
    <s v="Uri R"/>
    <d v="2026-02-12T00:00:00"/>
    <m/>
    <n v="1"/>
    <n v="2"/>
    <n v="63171.519999999997"/>
    <x v="1"/>
    <n v="126.50243306566273"/>
    <x v="1"/>
    <s v="Distribuidora Arguedas y Salas"/>
    <s v="Factura 1256634"/>
    <x v="23"/>
    <s v="OC 55329/Herramienta solicitada para uso en instalaciones/Nivel laser 5 Puntos"/>
  </r>
  <r>
    <s v="Euromobilia "/>
    <s v="Fábrica Barrio Cuba"/>
    <s v="Sidney R"/>
    <d v="2026-02-12T00:00:00"/>
    <m/>
    <n v="1"/>
    <n v="2"/>
    <n v="3367.4"/>
    <x v="1"/>
    <n v="6.7432965536576086"/>
    <x v="1"/>
    <s v="TEEINSA"/>
    <s v="Factura 17067"/>
    <x v="13"/>
    <s v="OC*44*1843/Compra bolsa plastica transparente/Material solicitado para consumo interno"/>
  </r>
  <r>
    <s v="Euromobilia "/>
    <s v="Productividad Humana"/>
    <s v="Uri R"/>
    <d v="2026-02-13T00:00:00"/>
    <d v="2026-02-13T00:00:00"/>
    <n v="0"/>
    <n v="2"/>
    <n v="395.16"/>
    <x v="0"/>
    <n v="395.16"/>
    <x v="1"/>
    <s v="Extralum"/>
    <s v="Factura 240918"/>
    <x v="11"/>
    <s v="OC 31-3436/Vidrios solicitados para ODP 118843 TSE-Los chiles/Vidrios screen board"/>
  </r>
  <r>
    <s v="Euromobilia "/>
    <s v="CEDI"/>
    <s v="Uri R"/>
    <d v="2026-02-13T00:00:00"/>
    <m/>
    <n v="0"/>
    <n v="2"/>
    <n v="680241.66"/>
    <x v="1"/>
    <n v="1362.1996916114304"/>
    <x v="1"/>
    <s v="Todo Frenos RGVV"/>
    <s v="Abono Factura 44371 6 de 6"/>
    <x v="9"/>
    <s v="OC*051280/ 5/6 pagos Mantenimiento vehiculo/ VB Andres Artavia/  Placa; CL171277/ Cedi Carit/ VB Ivan Ugalde "/>
  </r>
  <r>
    <s v="Euromobilia "/>
    <s v="Outlet"/>
    <s v="Uri R"/>
    <d v="2026-02-13T00:00:00"/>
    <m/>
    <n v="0"/>
    <n v="2"/>
    <n v="3749.16"/>
    <x v="0"/>
    <n v="3749.16"/>
    <x v="1"/>
    <s v="Italgroup"/>
    <s v="Factura 9038"/>
    <x v="18"/>
    <s v="OC00PO00000276/Euromobilia Express/Aut. Eithel S."/>
  </r>
  <r>
    <s v="Euromobilia "/>
    <s v="CEDI"/>
    <s v="Uri R"/>
    <d v="2026-02-13T00:00:00"/>
    <m/>
    <n v="0"/>
    <n v="2"/>
    <n v="113000"/>
    <x v="1"/>
    <n v="226.28511925025532"/>
    <x v="1"/>
    <s v="Alexis Alpizar e Hijos"/>
    <s v="Factura 41248"/>
    <x v="12"/>
    <s v="OC*055448/Servicio de flete/Equipo TA12245/Traslado SF-Sabana y viceversa/Proforma 1320"/>
  </r>
  <r>
    <s v="Euromobilia "/>
    <s v="Logística Espacial"/>
    <s v="Eitan R"/>
    <d v="2026-02-13T00:00:00"/>
    <m/>
    <n v="0"/>
    <n v="2"/>
    <n v="118650"/>
    <x v="1"/>
    <n v="237.59937521276808"/>
    <x v="1"/>
    <s v="Alexis Alpizar e Hijos"/>
    <s v="Factura 41246"/>
    <x v="12"/>
    <s v="OC*055446/Servicio de flete/Equipo CL203471/Traslado Terramall-SF/Proforma 1316"/>
  </r>
  <r>
    <s v="Euromobilia "/>
    <s v="Logística Espacial"/>
    <s v="Eitan R"/>
    <d v="2026-02-13T00:00:00"/>
    <m/>
    <n v="0"/>
    <n v="2"/>
    <n v="50850"/>
    <x v="1"/>
    <n v="101.8283036626149"/>
    <x v="1"/>
    <s v="Alexis Alpizar e Hijos"/>
    <s v="Factura 41245"/>
    <x v="12"/>
    <s v="OC*055447/Servicio de flete/Equipo CL203471/Traslado SF-Guadalupe/Proforma 1319"/>
  </r>
  <r>
    <s v="Euromobilia "/>
    <s v="Fábrica San Francisco"/>
    <s v="Uri R"/>
    <d v="2026-02-13T00:00:00"/>
    <m/>
    <n v="0"/>
    <n v="2"/>
    <n v="48590"/>
    <x v="1"/>
    <n v="97.302601277609782"/>
    <x v="1"/>
    <s v="Intelecba Servicio Tecnico"/>
    <s v="Factura 217"/>
    <x v="9"/>
    <s v="OC*055449/Mantenimiento de vehiculo/Equipo 18100934/Revision general/Proforma 195"/>
  </r>
  <r>
    <s v="Euromobilia "/>
    <s v="Logística Espacial"/>
    <s v="Eitan R"/>
    <d v="2026-02-13T00:00:00"/>
    <m/>
    <n v="0"/>
    <n v="2"/>
    <n v="99440"/>
    <x v="1"/>
    <n v="199.13090494022467"/>
    <x v="1"/>
    <s v="Intelecba Servicio Tecnico"/>
    <s v="Factura 218"/>
    <x v="9"/>
    <s v="OC*055452/Mantenimiento de vehiculo/Equipo TA0110/Suministros e instalaciones varias/Proforma 197"/>
  </r>
  <r>
    <s v="Euromobilia "/>
    <s v="Logística Espacial"/>
    <s v="Eitan R"/>
    <d v="2026-02-13T00:00:00"/>
    <m/>
    <n v="0"/>
    <n v="2"/>
    <n v="54240"/>
    <x v="1"/>
    <n v="108.61685724012256"/>
    <x v="1"/>
    <s v="Intelecba Servicio Tecnico"/>
    <s v="Factura 219"/>
    <x v="9"/>
    <s v="OC*055461/Mantenimiento de vehiculo/Equipo ZF050-ZTA00834/Revision y correccion por fallo de encendidio/Proforma 198"/>
  </r>
  <r>
    <s v="Euromobilia "/>
    <s v="Logística Espacial"/>
    <s v="Eitan R"/>
    <d v="2026-02-13T00:00:00"/>
    <m/>
    <n v="0"/>
    <n v="2"/>
    <n v="67800"/>
    <x v="1"/>
    <n v="135.77107155015318"/>
    <x v="1"/>
    <s v="Intelecba Servicio Tecnico"/>
    <s v="Factura 220"/>
    <x v="9"/>
    <s v="OC*055460/Mantenimiento de vehiculo/Equipo FG35-TA09611/Reparacion de llanta derecha/Proforma 199"/>
  </r>
  <r>
    <s v="Euromobilia "/>
    <s v="Logística Espacial"/>
    <s v="Eitan R"/>
    <d v="2026-02-13T00:00:00"/>
    <m/>
    <n v="0"/>
    <n v="2"/>
    <n v="166110"/>
    <x v="1"/>
    <n v="332.6391252978753"/>
    <x v="1"/>
    <s v="Intelecba Servicio Tecnico"/>
    <s v="Factura 221"/>
    <x v="9"/>
    <s v="OC*055459/Mantenimiento de vehiculo/Equipo FG25TA01120/Revision sistema de frenos/Proforma 200"/>
  </r>
  <r>
    <s v="Euromobilia "/>
    <s v="Logística Espacial"/>
    <s v="Eitan R"/>
    <d v="2026-02-13T00:00:00"/>
    <m/>
    <n v="0"/>
    <n v="2"/>
    <n v="158200"/>
    <x v="1"/>
    <n v="316.79916695035746"/>
    <x v="1"/>
    <s v="Intelecba Servicio Tecnico"/>
    <s v="Factura 222"/>
    <x v="9"/>
    <s v="OC*055455/Mantenimiento de vehiculo/Equipo FG35309643B/Suministro e instalaciones varias/Proforma 201"/>
  </r>
  <r>
    <s v="Euromobilia "/>
    <s v="Fábrica Barrio Cuba"/>
    <s v="Sidney R"/>
    <d v="2026-02-13T00:00:00"/>
    <m/>
    <n v="0"/>
    <n v="2"/>
    <n v="288529.74"/>
    <x v="1"/>
    <n v="577.7874922402226"/>
    <x v="1"/>
    <s v="Maderas y Materiales el Cipresal"/>
    <s v="Factura 200042"/>
    <x v="16"/>
    <s v="OC*55*1257/Compra melamina,chapeta/Material solicitado para cliente Epsilon HYM"/>
  </r>
  <r>
    <s v="Euromobilia "/>
    <s v="Fábrica Barrio Cuba"/>
    <s v="Sidney R"/>
    <d v="2026-02-13T00:00:00"/>
    <m/>
    <n v="0"/>
    <n v="2"/>
    <n v="221300.01"/>
    <x v="1"/>
    <n v="443.15839958347522"/>
    <x v="1"/>
    <s v="Sondel"/>
    <s v="Factura 247487"/>
    <x v="8"/>
    <s v="OC*44*1848/Compra zapatos/Material solicitado para uso personal varios"/>
  </r>
  <r>
    <s v="Euromobilia "/>
    <s v="Hogares Funcionales"/>
    <s v="Sidney R"/>
    <d v="2026-02-13T00:00:00"/>
    <m/>
    <n v="0"/>
    <n v="2"/>
    <n v="6345"/>
    <x v="0"/>
    <n v="6345"/>
    <x v="1"/>
    <s v="Roxana Caravana Diaz "/>
    <s v="Factura 509"/>
    <x v="2"/>
    <s v="OC*055484/ Factura de importaciones"/>
  </r>
  <r>
    <s v="Euromobilia "/>
    <s v="Hogares Funcionales"/>
    <s v="Sidney R"/>
    <d v="2026-02-13T00:00:00"/>
    <m/>
    <n v="0"/>
    <n v="2"/>
    <n v="1819.3"/>
    <x v="0"/>
    <n v="1819.3"/>
    <x v="1"/>
    <s v="Roxana Caravana Diaz "/>
    <s v="Factura 510"/>
    <x v="2"/>
    <s v="OC*055484/ Factura de importaciones"/>
  </r>
  <r>
    <s v="Euromobilia "/>
    <s v="Logística Espacial"/>
    <s v="Eitan R"/>
    <d v="2026-02-13T00:00:00"/>
    <d v="2026-02-02T00:00:00"/>
    <n v="0"/>
    <s v="NUEVO"/>
    <n v="19505"/>
    <x v="0"/>
    <n v="19505"/>
    <x v="0"/>
    <s v="IWP Manufacturing "/>
    <s v="Pago 50% Inicial PI 2042, PO IWP-01/26 - LEP"/>
    <x v="0"/>
    <s v="STOCK//LOGISTICA ESPACIAL//MEGA RACKS"/>
  </r>
  <r>
    <s v="Euromobilia "/>
    <s v="Logística Espacial"/>
    <s v="Eitan R"/>
    <d v="2026-02-13T00:00:00"/>
    <m/>
    <n v="0"/>
    <s v="NUEVO"/>
    <n v="1943.6"/>
    <x v="0"/>
    <n v="1943.6"/>
    <x v="1"/>
    <s v="Savino del Bene CR"/>
    <s v="Factura 14367"/>
    <x v="2"/>
    <s v="OC*055588/ Factura de importaciones"/>
  </r>
  <r>
    <s v="Euromobilia "/>
    <s v="Fábrica Barrio Cuba"/>
    <s v="Sidney R"/>
    <d v="2026-02-13T00:00:00"/>
    <m/>
    <n v="0"/>
    <s v="NUEVO"/>
    <n v="230520"/>
    <x v="1"/>
    <n v="461.62164327052085"/>
    <x v="1"/>
    <s v="Jesus Francisco Calvo Villalobos"/>
    <s v="Factura 9777"/>
    <x v="16"/>
    <s v="OC*44*1868/Compra de tarima estilo europeo/Solicitado para uso en almacenaje"/>
  </r>
  <r>
    <s v="Euromobilia "/>
    <s v="Fábrica San Francisco"/>
    <s v="Uri R"/>
    <d v="2026-02-14T00:00:00"/>
    <m/>
    <n v="-1"/>
    <n v="2"/>
    <n v="326596.33"/>
    <x v="1"/>
    <n v="654.01672106854642"/>
    <x v="1"/>
    <s v="Universal de Tornillos y Herramientas"/>
    <s v="Factura 491036"/>
    <x v="17"/>
    <s v="OC 09-6127/Material solicitado para consumo interno produccion/Disco corte fino"/>
  </r>
  <r>
    <s v="Euromobilia "/>
    <s v="Fábrica Barrio Cuba"/>
    <s v="Sidney R"/>
    <d v="2026-02-14T00:00:00"/>
    <m/>
    <n v="-1"/>
    <n v="2"/>
    <n v="169001"/>
    <x v="1"/>
    <n v="338.42841980895929"/>
    <x v="1"/>
    <s v="Peleteria y Viniles los Angeles"/>
    <s v="Factura 54753"/>
    <x v="17"/>
    <s v="OC*44*1818/Compra llavin/Material para uso en produccion"/>
  </r>
  <r>
    <s v="Euromobilia "/>
    <s v="Logística Espacial"/>
    <s v="Eitan R"/>
    <d v="2026-02-14T00:00:00"/>
    <m/>
    <n v="-1"/>
    <n v="2"/>
    <n v="69073.5"/>
    <x v="0"/>
    <n v="69073.5"/>
    <x v="1"/>
    <s v="Grupo Servica de CR"/>
    <s v="Factura 233263"/>
    <x v="2"/>
    <s v="OC*055489/ Factura de importaciones"/>
  </r>
  <r>
    <s v="Euromobilia "/>
    <s v="Productividad Humana"/>
    <s v="Uri R"/>
    <d v="2026-02-14T00:00:00"/>
    <m/>
    <n v="-1"/>
    <n v="2"/>
    <n v="81945.977127659571"/>
    <x v="1"/>
    <n v="164.09871864080657"/>
    <x v="1"/>
    <s v="Gerardo Antonio Mora Martìnez"/>
    <s v="Abono Factura 495"/>
    <x v="13"/>
    <s v="OC-055504/Suministros aseo y limpieza /Aut. Mónica D."/>
  </r>
  <r>
    <s v="Euromobilia "/>
    <s v="Hogares Funcionales"/>
    <s v="Sidney R"/>
    <d v="2026-02-14T00:00:00"/>
    <m/>
    <n v="-1"/>
    <n v="2"/>
    <n v="62664.570744680852"/>
    <x v="1"/>
    <n v="125.48725543120501"/>
    <x v="1"/>
    <s v="Gerardo Antonio Mora Martìnez"/>
    <s v="Abono Factura 495"/>
    <x v="13"/>
    <s v="OC-055504/Suministros aseo y limpieza /Aut. Mónica D."/>
  </r>
  <r>
    <s v="Euromobilia "/>
    <s v="Proyectos Integrales"/>
    <s v="Sidney R"/>
    <d v="2026-02-14T00:00:00"/>
    <m/>
    <n v="-1"/>
    <n v="2"/>
    <n v="62664.570744680852"/>
    <x v="1"/>
    <n v="125.48725543120501"/>
    <x v="1"/>
    <s v="Gerardo Antonio Mora Martìnez"/>
    <s v="Abono Factura 495"/>
    <x v="13"/>
    <s v="OC-055504/Suministros aseo y limpieza /Aut. Mónica D."/>
  </r>
  <r>
    <s v="Euromobilia "/>
    <s v="Logística Espacial"/>
    <s v="Eitan R"/>
    <d v="2026-02-14T00:00:00"/>
    <m/>
    <n v="-1"/>
    <n v="2"/>
    <n v="96407.031914893611"/>
    <x v="1"/>
    <n v="193.05731604800772"/>
    <x v="1"/>
    <s v="Gerardo Antonio Mora Martìnez"/>
    <s v="Abono Factura 495"/>
    <x v="13"/>
    <s v="OC-055504/Suministros aseo y limpieza /Aut. Mónica D."/>
  </r>
  <r>
    <s v="Euromobilia "/>
    <s v="Back Office"/>
    <s v="Judko R"/>
    <d v="2026-02-14T00:00:00"/>
    <m/>
    <n v="-1"/>
    <n v="2"/>
    <n v="149430.9"/>
    <x v="1"/>
    <n v="299.23884093958384"/>
    <x v="1"/>
    <s v="Gerardo Antonio Mora Martìnez"/>
    <s v="Abono Factura 495"/>
    <x v="13"/>
    <s v="OC-055504/Suministros aseo y limpieza /Aut. Mónica D."/>
  </r>
  <r>
    <s v="Euromobilia "/>
    <s v="Fábrica Barrio Cuba"/>
    <s v="Sidney R"/>
    <d v="2026-02-14T00:00:00"/>
    <m/>
    <n v="-1"/>
    <n v="2"/>
    <n v="319141.38"/>
    <x v="1"/>
    <n v="639.08801089372605"/>
    <x v="1"/>
    <s v="Intrep"/>
    <s v="Factura 77"/>
    <x v="17"/>
    <s v="OC*44*1847/Compra adhesivo/Material solicitado para consumo interno"/>
  </r>
  <r>
    <s v="Euromobilia "/>
    <s v="Fábrica Barrio Cuba"/>
    <s v="Sidney R"/>
    <d v="2026-02-14T00:00:00"/>
    <m/>
    <n v="-1"/>
    <n v="2"/>
    <n v="77178.100000000006"/>
    <x v="1"/>
    <n v="154.55093417706311"/>
    <x v="1"/>
    <s v="Lanco y Harris"/>
    <s v="Factura 1323913"/>
    <x v="17"/>
    <s v="OC*44*1846/Compra cemento amarillo de contacto/Material solicitado para consumo produccion/Fac PcGraf 1341434"/>
  </r>
  <r>
    <s v="Euromobilia "/>
    <s v="CEDI"/>
    <s v="Uri R"/>
    <d v="2026-02-14T00:00:00"/>
    <m/>
    <n v="-1"/>
    <s v="NUEVO"/>
    <n v="253489.81"/>
    <x v="1"/>
    <n v="507.61922021747398"/>
    <x v="1"/>
    <s v="CM Soluciones"/>
    <s v="Factura 136035"/>
    <x v="13"/>
    <s v="OC 31-3480/Suministros solicitados para consumo interno/Bolsas de basura, bolsas medianas, jabon lavaplatos, detergente, guante, filtro"/>
  </r>
  <r>
    <s v="Euromobilia "/>
    <s v="Fábrica Barrio Cuba"/>
    <s v="Sidney R"/>
    <d v="2026-02-14T00:00:00"/>
    <m/>
    <n v="-1"/>
    <s v="NUEVO"/>
    <n v="127995.55"/>
    <x v="1"/>
    <n v="256.31405571019485"/>
    <x v="1"/>
    <s v="Distribuidora Arguedas y Salas"/>
    <s v="Factura 1258664"/>
    <x v="17"/>
    <s v="OC*44*1851/ Compra masking/Suministros solicitado para consumo interno"/>
  </r>
  <r>
    <s v="Euromobilia "/>
    <s v="Fábrica Barrio Cuba"/>
    <s v="Sidney R"/>
    <d v="2026-02-14T00:00:00"/>
    <m/>
    <n v="-1"/>
    <s v="NUEVO"/>
    <n v="70060"/>
    <x v="1"/>
    <n v="140.29677393515828"/>
    <x v="1"/>
    <s v="Distribuidora de Calzado Mexicano"/>
    <s v="Factura 21272"/>
    <x v="8"/>
    <s v="OC*44*1852/ Compra zapatos seguridad/Suministros solicitado para personal planta"/>
  </r>
  <r>
    <s v="Euromobilia "/>
    <s v="Logística Espacial"/>
    <s v="Eitan R"/>
    <d v="2026-02-15T00:00:00"/>
    <d v="2026-02-15T00:00:00"/>
    <n v="-2"/>
    <d v="2026-02-15T00:00:00"/>
    <n v="82795.73"/>
    <x v="0"/>
    <n v="82795.73"/>
    <x v="0"/>
    <s v="Anhui Jinghui Intelligent Logistics"/>
    <s v="Pago 45% Segudo pago  PI 31917, PO NJS-22/25 - LEP"/>
    <x v="24"/>
    <s v="EPA//LOGISTICA ESPACIAL"/>
  </r>
  <r>
    <s v="Euromobilia "/>
    <s v="Productividad Humana"/>
    <s v="Uri R"/>
    <d v="2026-02-15T00:00:00"/>
    <m/>
    <n v="-2"/>
    <n v="2"/>
    <n v="32.21"/>
    <x v="0"/>
    <n v="32.21"/>
    <x v="1"/>
    <s v="Importadora de Tecnologia Global YSMR"/>
    <s v="Factura 160209"/>
    <x v="20"/>
    <s v="OC*055488/ Compra auriculares"/>
  </r>
  <r>
    <s v="Euromobilia "/>
    <s v="Productividad Humana"/>
    <s v="Uri R"/>
    <d v="2026-02-15T00:00:00"/>
    <m/>
    <n v="-2"/>
    <n v="2"/>
    <n v="161.87"/>
    <x v="0"/>
    <n v="161.87"/>
    <x v="1"/>
    <s v="Importadora de Tecnologia Global YSMR"/>
    <s v="Factura 160208"/>
    <x v="20"/>
    <s v="OC*055488/ Compra base telefono inalambrico"/>
  </r>
  <r>
    <s v="Euromobilia "/>
    <s v="Fábrica San Francisco"/>
    <s v="Uri R"/>
    <d v="2026-02-15T00:00:00"/>
    <m/>
    <n v="-2"/>
    <n v="2"/>
    <n v="35314.65"/>
    <x v="1"/>
    <n v="70.718405190540082"/>
    <x v="1"/>
    <s v="Mest Multiservicios Empresariales"/>
    <s v="Factura 97931"/>
    <x v="17"/>
    <s v="OC 09-6144/Suministros solicitados para consumos interno/Papel carta resma "/>
  </r>
  <r>
    <s v="Euromobilia "/>
    <s v="Fábrica San Francisco"/>
    <s v="Uri R"/>
    <d v="2026-02-15T00:00:00"/>
    <m/>
    <n v="-2"/>
    <n v="2"/>
    <n v="242272"/>
    <x v="1"/>
    <n v="485.15529567254742"/>
    <x v="1"/>
    <s v="Superba"/>
    <s v="Factura 1971"/>
    <x v="17"/>
    <s v="OC 09-6143/Material solicitado para consumo produccion/Disco para lijar"/>
  </r>
  <r>
    <s v="Euromobilia "/>
    <s v="Productividad Humana"/>
    <s v="Uri R"/>
    <d v="2026-02-15T00:00:00"/>
    <m/>
    <n v="-2"/>
    <n v="2"/>
    <n v="39550"/>
    <x v="1"/>
    <n v="79.199791737589365"/>
    <x v="1"/>
    <s v="Allan Esteban Hernandez Camacho"/>
    <s v="Factura 341"/>
    <x v="2"/>
    <s v="OC*055569/ Factura de Importacion"/>
  </r>
  <r>
    <s v="Euromobilia "/>
    <s v="Hogares Funcionales"/>
    <s v="Sidney R"/>
    <d v="2026-02-15T00:00:00"/>
    <m/>
    <n v="-2"/>
    <n v="2"/>
    <n v="56500"/>
    <x v="1"/>
    <n v="113.14255962512766"/>
    <x v="1"/>
    <s v="Allan Esteban Hernandez Camacho"/>
    <s v="Factura 340"/>
    <x v="2"/>
    <s v="OC*055567/ Factura de Importacion"/>
  </r>
  <r>
    <s v="Euromobilia "/>
    <s v="Proyectos Integrales"/>
    <s v="Sidney R"/>
    <d v="2026-02-15T00:00:00"/>
    <m/>
    <n v="-2"/>
    <n v="2"/>
    <n v="73450"/>
    <x v="1"/>
    <n v="147.08532751266597"/>
    <x v="1"/>
    <s v="Allan Esteban Hernandez Camacho"/>
    <s v="Factura 339"/>
    <x v="2"/>
    <s v="OC*055566/ Factura de Importacion"/>
  </r>
  <r>
    <s v="Euromobilia "/>
    <s v="Proyectos Integrales"/>
    <s v="Sidney R"/>
    <d v="2026-02-15T00:00:00"/>
    <m/>
    <n v="-2"/>
    <n v="2"/>
    <n v="73450"/>
    <x v="1"/>
    <n v="147.08532751266597"/>
    <x v="1"/>
    <s v="Allan Esteban Hernandez Camacho"/>
    <s v="Factura 338"/>
    <x v="2"/>
    <s v="OC*055565/ Factura de Importacion"/>
  </r>
  <r>
    <s v="Euromobilia "/>
    <s v="Proyectos Integrales"/>
    <s v="Sidney R"/>
    <d v="2026-02-15T00:00:00"/>
    <m/>
    <n v="-2"/>
    <n v="2"/>
    <n v="73450"/>
    <x v="1"/>
    <n v="147.08532751266597"/>
    <x v="1"/>
    <s v="Allan Esteban Hernandez Camacho"/>
    <s v="Factura 337"/>
    <x v="2"/>
    <s v="OC*055564/ Factura de Importacion"/>
  </r>
  <r>
    <s v="Euromobilia "/>
    <s v="Hogares Funcionales"/>
    <s v="Sidney R"/>
    <d v="2026-02-15T00:00:00"/>
    <m/>
    <n v="-2"/>
    <n v="2"/>
    <n v="101700"/>
    <x v="1"/>
    <n v="203.6566073252298"/>
    <x v="1"/>
    <s v="Allan Esteban Hernandez Camacho"/>
    <s v="Factura 336"/>
    <x v="2"/>
    <s v="OC*055564/ Factura de Importacion"/>
  </r>
  <r>
    <s v="Euromobilia "/>
    <s v="Fábrica Barrio Cuba"/>
    <s v="Sidney R"/>
    <d v="2026-02-15T00:00:00"/>
    <m/>
    <n v="-2"/>
    <n v="2"/>
    <n v="118650"/>
    <x v="1"/>
    <n v="237.59937521276808"/>
    <x v="1"/>
    <s v="Ricardo Chaves Jimenez"/>
    <s v="Factura 724"/>
    <x v="25"/>
    <s v="OC*055563/Fabricacion cuadros nylon/ Solicita Jose Navarro"/>
  </r>
  <r>
    <s v="Euromobilia "/>
    <s v="CEDI"/>
    <s v="Uri R"/>
    <d v="2026-02-15T00:00:00"/>
    <m/>
    <n v="-2"/>
    <n v="2"/>
    <n v="269680.86"/>
    <x v="1"/>
    <n v="540.042173138154"/>
    <x v="1"/>
    <s v="NKR Motors Group Latin Corp S.A."/>
    <s v="Factura 41006"/>
    <x v="9"/>
    <s v="OC*055505/Mantenimiento de vehiculo/Mantenimiento revision y reparacion farol principal,direccional,panel esquinero clutch/Placa CL168310"/>
  </r>
  <r>
    <s v="Euromobilia "/>
    <s v="Proyectos Integrales"/>
    <s v="Sidney R"/>
    <d v="2026-02-15T00:00:00"/>
    <m/>
    <n v="-2"/>
    <s v="NUEVO"/>
    <n v="4585.1499999999996"/>
    <x v="0"/>
    <n v="4585.1499999999996"/>
    <x v="1"/>
    <s v="Karpa Freight Forwarding S.A."/>
    <s v="Factura 76743"/>
    <x v="2"/>
    <s v="OC*055508/ Factura de importaciones"/>
  </r>
  <r>
    <s v="Euromobilia "/>
    <s v="Proyectos Integrales"/>
    <s v="Sidney R"/>
    <d v="2026-02-15T00:00:00"/>
    <m/>
    <n v="-2"/>
    <s v="NUEVO"/>
    <n v="5703.3"/>
    <x v="0"/>
    <n v="5703.3"/>
    <x v="1"/>
    <s v="Karpa Freight Forwarding S.A."/>
    <s v="Factura 76742"/>
    <x v="2"/>
    <s v="OC*055507/ Factura de importaciones"/>
  </r>
  <r>
    <s v="Euromobilia "/>
    <s v="Proyectos Integrales"/>
    <s v="Sidney R"/>
    <d v="2026-02-15T00:00:00"/>
    <m/>
    <n v="-2"/>
    <s v="NUEVO"/>
    <n v="805.2"/>
    <x v="0"/>
    <n v="805.2"/>
    <x v="1"/>
    <s v="Roxana Caravana Diaz "/>
    <s v="Factura 511"/>
    <x v="2"/>
    <s v="OC*055627/ Factura de importaciones"/>
  </r>
  <r>
    <s v="Euromobilia "/>
    <s v="Proyectos Integrales"/>
    <s v="Sidney R"/>
    <d v="2026-02-15T00:00:00"/>
    <m/>
    <n v="-2"/>
    <s v="NUEVO"/>
    <n v="389.85"/>
    <x v="0"/>
    <n v="389.85"/>
    <x v="1"/>
    <s v="Roxana Caravana Diaz "/>
    <s v="Factura 512"/>
    <x v="2"/>
    <s v="OC*055630/ Factura de importaciones"/>
  </r>
  <r>
    <s v="Euromobilia "/>
    <s v="Fábrica Barrio Cuba"/>
    <s v="Sidney R"/>
    <d v="2026-02-15T00:00:00"/>
    <m/>
    <n v="-2"/>
    <s v="NUEVO"/>
    <n v="774"/>
    <x v="0"/>
    <n v="774"/>
    <x v="1"/>
    <s v="Roxana Caravana Diaz "/>
    <s v="Factura 513"/>
    <x v="2"/>
    <s v="OC*055631/ Factura de importaciones"/>
  </r>
  <r>
    <s v="Euromobilia "/>
    <s v="Fábrica Barrio Cuba"/>
    <s v="Sidney R"/>
    <d v="2026-02-15T00:00:00"/>
    <m/>
    <n v="-2"/>
    <s v="NUEVO"/>
    <n v="282.5"/>
    <x v="0"/>
    <n v="282.5"/>
    <x v="1"/>
    <s v="Roxana Caravana Diaz "/>
    <s v="Factura 514"/>
    <x v="2"/>
    <s v="OC*055634/ Factura de importaciones"/>
  </r>
  <r>
    <s v="Euromobilia "/>
    <s v="Hogares Funcionales"/>
    <s v="Sidney R"/>
    <d v="2026-02-15T00:00:00"/>
    <m/>
    <n v="-2"/>
    <s v="NUEVO"/>
    <n v="39550"/>
    <x v="1"/>
    <n v="79.199791737589365"/>
    <x v="1"/>
    <s v="Erick Hernandez Camacho"/>
    <s v="Factura 2765"/>
    <x v="2"/>
    <s v="OC*055621/ Factura de Importacion"/>
  </r>
  <r>
    <s v="Euromobilia "/>
    <s v="Productividad Humana"/>
    <s v="Uri R"/>
    <d v="2026-02-15T00:00:00"/>
    <m/>
    <n v="-2"/>
    <s v="NUEVO"/>
    <n v="22600"/>
    <x v="1"/>
    <n v="45.257023850051063"/>
    <x v="1"/>
    <s v="Erick Hernandez Camacho"/>
    <s v="Factura 2766"/>
    <x v="2"/>
    <s v="OC*055558/ Factura de Importacion"/>
  </r>
  <r>
    <s v="Euromobilia "/>
    <s v="Productividad Humana"/>
    <s v="Uri R"/>
    <d v="2026-02-15T00:00:00"/>
    <m/>
    <n v="-2"/>
    <s v="NUEVO"/>
    <n v="14579.98"/>
    <x v="1"/>
    <n v="29.196747902356968"/>
    <x v="1"/>
    <s v="Sabesa-Novex"/>
    <s v="Factura 2427"/>
    <x v="17"/>
    <s v="OC*44*1840/ Compra rejilla, mirilla de seguridad/Suministros para Edifisa Construtora"/>
  </r>
  <r>
    <s v="Euromobilia "/>
    <s v="Fábrica Barrio Cuba"/>
    <s v="Sidney R"/>
    <d v="2026-02-15T00:00:00"/>
    <m/>
    <n v="-2"/>
    <s v="NUEVO"/>
    <n v="331496.8"/>
    <x v="1"/>
    <n v="663.83002583254893"/>
    <x v="1"/>
    <s v="Uniempaques"/>
    <s v="Factura 19904"/>
    <x v="17"/>
    <s v="OC*44*1853/ Compra plasticos paletizador, cinta transparente/Suministros para consumo produccion"/>
  </r>
  <r>
    <s v="Euromobilia "/>
    <s v="Fábrica Barrio Cuba"/>
    <s v="Sidney R"/>
    <d v="2026-02-16T00:00:00"/>
    <d v="2026-02-16T00:00:00"/>
    <n v="-3"/>
    <d v="2026-02-16T00:00:00"/>
    <n v="4.09"/>
    <x v="0"/>
    <n v="4.09"/>
    <x v="1"/>
    <s v="Extralum"/>
    <s v="Factura 241534"/>
    <x v="11"/>
    <s v="OC*44*1823/Compra rodin empotrable/Accesorio solicitado para Proy Torres Don Bosco"/>
  </r>
  <r>
    <s v="Euromobilia "/>
    <s v="Productividad Humana"/>
    <s v="Uri R"/>
    <d v="2026-02-16T00:00:00"/>
    <d v="2026-02-16T00:00:00"/>
    <n v="-3"/>
    <d v="2026-02-16T00:00:00"/>
    <n v="2.74"/>
    <x v="0"/>
    <n v="2.74"/>
    <x v="1"/>
    <s v="Extralum"/>
    <s v="Factura 241361"/>
    <x v="11"/>
    <s v="OC*054983/Compra rodin/Accesorios solicitados para muestras"/>
  </r>
  <r>
    <s v="Euromobilia "/>
    <s v="Fábrica Barrio Cuba"/>
    <s v="Sidney R"/>
    <d v="2026-02-16T00:00:00"/>
    <d v="2026-02-16T00:00:00"/>
    <n v="-3"/>
    <d v="2026-02-16T00:00:00"/>
    <n v="7242.79"/>
    <x v="0"/>
    <n v="7242.79"/>
    <x v="1"/>
    <s v="Extralum"/>
    <s v="Factura 3053"/>
    <x v="16"/>
    <s v="OC*58*0086/Marco tapa ducto,perfil para puerta,contramarco/Material solicitado para stock"/>
  </r>
  <r>
    <s v="Euromobilia "/>
    <s v="Fábrica Barrio Cuba"/>
    <s v="Sidney R"/>
    <d v="2026-02-16T00:00:00"/>
    <d v="2026-02-16T00:00:00"/>
    <n v="-3"/>
    <d v="2026-02-16T00:00:00"/>
    <n v="4144.72"/>
    <x v="0"/>
    <n v="4144.72"/>
    <x v="1"/>
    <s v="Extralum"/>
    <s v="Factura 3052"/>
    <x v="16"/>
    <s v="OC*58*0087/Marco tubo colgador/Material solicitado para consumo produccion"/>
  </r>
  <r>
    <s v="Euromobilia "/>
    <s v="Productividad Humana"/>
    <s v="Uri R"/>
    <d v="2026-02-16T00:00:00"/>
    <d v="2026-02-16T00:00:00"/>
    <n v="-3"/>
    <n v="3"/>
    <n v="11157.07"/>
    <x v="0"/>
    <n v="11157.07"/>
    <x v="0"/>
    <s v="Byrne Electrical Specialists INC"/>
    <s v="Pago 50%Final PI 764232, PO BYR-10/25"/>
    <x v="26"/>
    <s v="EPILSON//PRODUCTIVIDAD HUMANA//INCLUYE COMISION BANCARIA"/>
  </r>
  <r>
    <s v="Euromobilia "/>
    <s v="Fábrica Barrio Cuba"/>
    <s v="Sidney R"/>
    <d v="2026-02-16T00:00:00"/>
    <m/>
    <n v="-3"/>
    <s v="NUEVO"/>
    <n v="1497.69"/>
    <x v="0"/>
    <n v="1497.69"/>
    <x v="1"/>
    <s v="Arper SPA"/>
    <s v="Factura 64609"/>
    <x v="17"/>
    <s v="OC*44*1835/Compra carton corrugado/Material solicitado para consumo produccion"/>
  </r>
  <r>
    <s v="Euromobilia "/>
    <s v="Productividad Humana"/>
    <s v="Uri R"/>
    <d v="2026-02-16T00:00:00"/>
    <m/>
    <n v="-3"/>
    <s v="NUEVO"/>
    <n v="47219.99"/>
    <x v="1"/>
    <n v="94.559124496866048"/>
    <x v="1"/>
    <s v="Sabesa-Novex"/>
    <s v="Factura 2434"/>
    <x v="13"/>
    <s v="OC 54800/Accesorios solicitados para uso en Intalaciones EPILSON"/>
  </r>
  <r>
    <s v="Euromobilia "/>
    <s v="Back Office"/>
    <s v="Judko R"/>
    <d v="2026-02-18T00:00:00"/>
    <m/>
    <n v="-5"/>
    <n v="3"/>
    <n v="881.8"/>
    <x v="0"/>
    <n v="881.8"/>
    <x v="1"/>
    <s v="Intcomex Costa Rica Mayorista"/>
    <s v="Factura 850310"/>
    <x v="20"/>
    <s v="OC*055516/Compra ubq switch l3 poe+24/Equipo mantenimiento de red/Soporte Desarrollo BC"/>
  </r>
  <r>
    <s v="Euromobilia "/>
    <s v="CEDI"/>
    <s v="Uri R"/>
    <d v="2026-02-18T00:00:00"/>
    <m/>
    <n v="-5"/>
    <n v="3"/>
    <n v="289546.02"/>
    <x v="1"/>
    <n v="579.82261649678594"/>
    <x v="1"/>
    <s v="NKR Motors Group Latin Corp S.A."/>
    <s v="Factura 41087"/>
    <x v="9"/>
    <s v="OC*055510/Mantenimiento de vehiculo/Mantenimiento revision y reparacion plato de presion, disco clutch/Placa CL288930"/>
  </r>
  <r>
    <s v="Euromobilia "/>
    <s v="CEDI"/>
    <s v="Uri R"/>
    <d v="2026-02-18T00:00:00"/>
    <m/>
    <n v="-5"/>
    <n v="3"/>
    <n v="88258.5"/>
    <x v="1"/>
    <n v="176.73969201193503"/>
    <x v="1"/>
    <s v="Auto Repuestos Avenida 10 S.A. (La Guaca)"/>
    <s v="Factura 19547"/>
    <x v="9"/>
    <s v="OC*055583/Placa CL284358/Mantenimiento varios, limpieza,filtros,aceite otras instalaciones/Altea"/>
  </r>
  <r>
    <s v="Euromobilia "/>
    <s v="CEDI"/>
    <s v="Uri R"/>
    <d v="2026-02-18T00:00:00"/>
    <m/>
    <n v="-5"/>
    <n v="3"/>
    <n v="47810"/>
    <x v="1"/>
    <n v="95.740633197829268"/>
    <x v="1"/>
    <s v="Auto Repuestos Avenida 10 S.A. (La Guaca)"/>
    <s v="Factura 19548"/>
    <x v="9"/>
    <s v="OC*055524/Placa CL284340/Mantenimiento varios, filtros,aceite otras instalaciones"/>
  </r>
  <r>
    <s v="Euromobilia "/>
    <s v="Hogares Funcionales"/>
    <s v="Sidney R"/>
    <d v="2026-02-18T00:00:00"/>
    <m/>
    <n v="-5"/>
    <n v="2"/>
    <n v="262.23"/>
    <x v="0"/>
    <n v="262.23"/>
    <x v="1"/>
    <s v="Sociaco Carga"/>
    <s v="Factura 68742"/>
    <x v="2"/>
    <s v="OC*055600/ Factura de importaciones"/>
  </r>
  <r>
    <s v="Euromobilia "/>
    <s v="Hogares Funcionales"/>
    <s v="Sidney R"/>
    <d v="2026-02-18T00:00:00"/>
    <m/>
    <n v="-5"/>
    <n v="2"/>
    <n v="83.82"/>
    <x v="0"/>
    <n v="83.82"/>
    <x v="1"/>
    <s v="Sociaco Carga"/>
    <s v="Factura 68741"/>
    <x v="2"/>
    <s v="OC*055598/ Factura de importaciones"/>
  </r>
  <r>
    <s v="Euromobilia "/>
    <s v="Hogares Funcionales"/>
    <s v="Sidney R"/>
    <d v="2026-02-18T00:00:00"/>
    <m/>
    <n v="-5"/>
    <s v="NUEVO"/>
    <n v="746.49"/>
    <x v="0"/>
    <n v="746.49"/>
    <x v="1"/>
    <s v="Nazel S.A."/>
    <s v="Factura 12875"/>
    <x v="2"/>
    <s v="OC*055614/ Factura de importaciones"/>
  </r>
  <r>
    <s v="Euromobilia "/>
    <s v="CEDI"/>
    <s v="Uri R"/>
    <d v="2026-02-19T00:00:00"/>
    <m/>
    <n v="-6"/>
    <n v="3"/>
    <n v="509797.5"/>
    <x v="1"/>
    <n v="1020.8813104511685"/>
    <x v="1"/>
    <s v="Todo Frenos RGVV"/>
    <s v="Abono Factura 44431 6 de 6"/>
    <x v="9"/>
    <s v="OC*051646/ 6/6 pagos/Servicio mantenimiento/ VB Andres Artavia/  Placa; CL289170/ Cedi-Carit (Pago a 6 meses)"/>
  </r>
  <r>
    <s v="Euromobilia "/>
    <s v="CEDI"/>
    <s v="Uri R"/>
    <d v="2026-02-19T00:00:00"/>
    <m/>
    <n v="-6"/>
    <n v="3"/>
    <n v="124621.66666666667"/>
    <x v="1"/>
    <n v="249.55777613125872"/>
    <x v="1"/>
    <s v="Todo Frenos RGVV"/>
    <s v="Abono Factura 44459 6 de 6"/>
    <x v="9"/>
    <s v="OC*052062/ 6/6 pagos/Servicio mantenimiento/ VB Andres Artavia/  Placa; CL171277/ Cedi-Carit (Pago a 6 meses)"/>
  </r>
  <r>
    <s v="Euromobilia "/>
    <s v="CEDI"/>
    <s v="Uri R"/>
    <d v="2026-02-19T00:00:00"/>
    <m/>
    <n v="-6"/>
    <n v="3"/>
    <n v="381553.54"/>
    <x v="1"/>
    <n v="764.06980795802701"/>
    <x v="1"/>
    <s v="Importadora Ad Nat"/>
    <s v="Factura 54729"/>
    <x v="9"/>
    <s v="OC*055589/Mantenimiento de vehiculo/Placa CL284403/Balanceo, cambio llantas"/>
  </r>
  <r>
    <s v="Euromobilia "/>
    <s v="Hogares Funcionales"/>
    <s v="Sidney R"/>
    <d v="2026-02-19T00:00:00"/>
    <m/>
    <n v="-6"/>
    <s v="NUEVO"/>
    <n v="3119.35"/>
    <x v="0"/>
    <n v="3119.35"/>
    <x v="1"/>
    <s v="Electrodomesticos Mabeca"/>
    <s v="Factura 55653"/>
    <x v="18"/>
    <s v="OC HO-543/Pedido MBC-16/25/MARIA ANDREA MOLIGNANA/Horno 76 cm "/>
  </r>
  <r>
    <s v="Euromobilia "/>
    <s v="Hogares Funcionales"/>
    <s v="Sidney R"/>
    <d v="2026-02-19T00:00:00"/>
    <m/>
    <n v="-6"/>
    <s v="NUEVO"/>
    <n v="4743.71"/>
    <x v="0"/>
    <n v="4743.71"/>
    <x v="1"/>
    <s v="Electrodomesticos Mabeca"/>
    <s v="Factura 55652"/>
    <x v="18"/>
    <s v="OC HO-544/Pedido MBC31/25 /ANDRES RAMOS GUTIERREZ/Plantilla touch, Horno"/>
  </r>
  <r>
    <s v="Euromobilia "/>
    <s v="Hogares Funcionales"/>
    <s v="Sidney R"/>
    <d v="2026-02-19T00:00:00"/>
    <m/>
    <n v="-6"/>
    <s v="NUEVO"/>
    <n v="4809.3500000000004"/>
    <x v="0"/>
    <n v="4809.3500000000004"/>
    <x v="1"/>
    <s v="Electrodomesticos Mabeca"/>
    <s v="Factura 55655"/>
    <x v="18"/>
    <s v="OC HO 446/Pedido MBC-19/25/CARLOS ANDRES VILALOBOS/Horno pared "/>
  </r>
  <r>
    <s v="Euromobilia "/>
    <s v="Hogares Funcionales"/>
    <s v="Sidney R"/>
    <d v="2026-02-19T00:00:00"/>
    <m/>
    <n v="-6"/>
    <s v="NUEVO"/>
    <n v="3827.2"/>
    <x v="0"/>
    <n v="3827.2"/>
    <x v="1"/>
    <s v="Electrodomesticos Mabeca"/>
    <s v="Factura 55654"/>
    <x v="18"/>
    <s v="OC HO-542/Pedido MBC-21/25/ILEANA ROJAS SABORIO/Horno de pared electrico"/>
  </r>
  <r>
    <s v="Euromobilia "/>
    <s v="Fábrica Barrio Cuba"/>
    <s v="Sidney R"/>
    <d v="2026-02-19T00:00:00"/>
    <m/>
    <n v="-6"/>
    <s v="NUEVO"/>
    <n v="117700.8"/>
    <x v="1"/>
    <n v="235.69858021106594"/>
    <x v="1"/>
    <s v="Cía de Seguridad Industrial Cruz Verde"/>
    <s v="Factura 12789"/>
    <x v="8"/>
    <s v="OC*44*1830/ Compra kit antiderrame/Suministros solicitado Briana Hernandez"/>
  </r>
  <r>
    <s v="Euromobilia "/>
    <s v="Productividad Humana"/>
    <s v="Uri R"/>
    <d v="2026-02-19T00:00:00"/>
    <m/>
    <n v="-6"/>
    <s v="NUEVO"/>
    <n v="664992.56999999995"/>
    <x v="1"/>
    <n v="1331.6630354246349"/>
    <x v="1"/>
    <s v="Electrodomesticos Mabeca"/>
    <s v="Factura 55663"/>
    <x v="18"/>
    <s v="OC HO-540/Pedido MBC-02/26 Mailyn Ajun Loaiza/Estufa"/>
  </r>
  <r>
    <s v="Euromobilia "/>
    <s v="CEDI"/>
    <s v="Uri R"/>
    <d v="2026-02-19T00:00:00"/>
    <m/>
    <n v="-6"/>
    <s v="NUEVO"/>
    <n v="122462.5"/>
    <x v="1"/>
    <n v="245.23399483349019"/>
    <x v="1"/>
    <s v="Ingrid Garcia Solano (Servirepuestos Garcia)"/>
    <s v="Factura 636"/>
    <x v="13"/>
    <s v="OC 31-3485/Material solicitado para consumo interno/Bolsas de basura especiales jardin "/>
  </r>
  <r>
    <s v="Euromobilia "/>
    <s v="Hogares Funcionales"/>
    <s v="Sidney R"/>
    <d v="2026-02-20T00:00:00"/>
    <d v="2026-02-13T00:00:00"/>
    <n v="-7"/>
    <n v="2"/>
    <n v="4229"/>
    <x v="0"/>
    <n v="4229"/>
    <x v="0"/>
    <s v="Electrolux Home Products"/>
    <s v="Pago 100% Factura EH25120104, PO ELE-23/25  "/>
    <x v="18"/>
    <s v="GÉNESIS CORDERO//HOGARES FUNCIONALES//ELECTRODOMESTICOS"/>
  </r>
  <r>
    <s v="Euromobilia "/>
    <s v="Proyectos Integrales"/>
    <s v="Sidney R"/>
    <d v="2026-02-20T00:00:00"/>
    <m/>
    <n v="-7"/>
    <n v="3"/>
    <n v="264308.03999999998"/>
    <x v="1"/>
    <n v="529.28297655045355"/>
    <x v="1"/>
    <s v="Forestales Latinoamericanos"/>
    <s v="Factura 291790"/>
    <x v="16"/>
    <s v="OC*55*1254/Compra de melamina,chapeta pvc/Material solicitado para area social de park wood"/>
  </r>
  <r>
    <s v="Euromobilia "/>
    <s v="Fábrica Barrio Cuba"/>
    <s v="Sidney R"/>
    <d v="2026-02-20T00:00:00"/>
    <m/>
    <n v="-7"/>
    <n v="3"/>
    <n v="193004"/>
    <x v="1"/>
    <n v="386.49498367943607"/>
    <x v="1"/>
    <s v="Ronny Hidalgo Navarro"/>
    <s v="Factura 14261"/>
    <x v="25"/>
    <s v="OC*055593/Recarga de extintores de la planta de Fab BC"/>
  </r>
  <r>
    <s v="Euromobilia "/>
    <s v="Hogares Funcionales"/>
    <s v="Sidney R"/>
    <d v="2026-02-20T00:00:00"/>
    <m/>
    <n v="-7"/>
    <n v="3"/>
    <n v="37342.699999999997"/>
    <x v="1"/>
    <n v="74.779622324128397"/>
    <x v="1"/>
    <s v="Auto Repuestos Avenida 10 S.A. (La Guaca)"/>
    <s v="Factura 19553"/>
    <x v="9"/>
    <s v="OC*055583/Placa CL244997/Mantenimiento varios, bateria, instalacion de bateria/Proforma 78958"/>
  </r>
  <r>
    <s v="Euromobilia "/>
    <s v="Fábrica San Francisco"/>
    <s v="Uri R"/>
    <d v="2026-02-20T00:00:00"/>
    <m/>
    <n v="-7"/>
    <n v="3"/>
    <n v="50850"/>
    <x v="1"/>
    <n v="101.8283036626149"/>
    <x v="1"/>
    <s v="Intelecba Servicio Tecnico"/>
    <s v="Factura 236"/>
    <x v="9"/>
    <s v="OC*055581/Mantenimiento de vehiculo/Equipo ET0055/Revision por fallo de encendido,testeo/Proforma 220"/>
  </r>
  <r>
    <s v="Euromobilia "/>
    <s v="Fábrica San Francisco"/>
    <s v="Uri R"/>
    <d v="2026-02-20T00:00:00"/>
    <m/>
    <n v="-7"/>
    <n v="3"/>
    <n v="99440"/>
    <x v="1"/>
    <n v="199.13090494022467"/>
    <x v="1"/>
    <s v="Intelecba Servicio Tecnico"/>
    <s v="Factura 235"/>
    <x v="9"/>
    <s v="OC*055579/Mantenimiento de vehiculo/Equipo ET00155/Revision y correcion por fallos Z470 y Za79, fallo de alimentacion/Proforma 221"/>
  </r>
  <r>
    <s v="Euromobilia "/>
    <s v="CEDI"/>
    <s v="Uri R"/>
    <d v="2026-02-20T00:00:00"/>
    <m/>
    <n v="-7"/>
    <n v="3"/>
    <n v="251990"/>
    <x v="1"/>
    <n v="504.61581592806937"/>
    <x v="1"/>
    <s v="Intelecba Servicio Tecnico"/>
    <s v="Factura 238"/>
    <x v="9"/>
    <s v="OC*055578/Mantenimiento de vehiculo/Equipo TA13759/Revision y correcion por fallos en generacion y control de minimo, kit de tune up/Proforma 222"/>
  </r>
  <r>
    <s v="Euromobilia "/>
    <s v="Fábrica San Francisco"/>
    <s v="Uri R"/>
    <d v="2026-02-20T00:00:00"/>
    <m/>
    <n v="-7"/>
    <n v="3"/>
    <n v="101700"/>
    <x v="1"/>
    <n v="203.6566073252298"/>
    <x v="1"/>
    <s v="Intelecba Servicio Tecnico"/>
    <s v="Factura 240"/>
    <x v="9"/>
    <s v="OC*055591/Mantenimiento de vehiculo/Equipo TA09611/Revision y correcion por fallos en traccion, cambio de relay control de traccion/Proforma 231"/>
  </r>
  <r>
    <s v="Euromobilia "/>
    <s v="Productividad Humana"/>
    <s v="Uri R"/>
    <d v="2026-02-20T00:00:00"/>
    <m/>
    <n v="-7"/>
    <n v="3"/>
    <n v="101813"/>
    <x v="1"/>
    <n v="203.88289244448004"/>
    <x v="1"/>
    <s v="3-101-868034 S.A. (HIDRAULICA HCR)"/>
    <s v="Factura 1076"/>
    <x v="9"/>
    <s v="OC*055587/Mantenimiento de vehiculo/Placa CL322075/Mantenimientos varios/Proforma 1239"/>
  </r>
  <r>
    <s v="Euromobilia "/>
    <s v="Logística Espacial"/>
    <s v="Eitan R"/>
    <d v="2026-02-20T00:00:00"/>
    <m/>
    <n v="-7"/>
    <n v="3"/>
    <n v="851342"/>
    <x v="1"/>
    <n v="1704.8320884314235"/>
    <x v="1"/>
    <s v="3-101-868034 S.A. (HIDRAULICA HCR)"/>
    <s v="Factura 1075"/>
    <x v="9"/>
    <s v="OC*055586/Mantenimiento de vehiculo/Placa CL149674/Mantenimientos varios/Proforma 1238"/>
  </r>
  <r>
    <s v="Euromobilia "/>
    <s v="CEDI"/>
    <s v="Uri R"/>
    <d v="2026-02-20T00:00:00"/>
    <m/>
    <n v="-7"/>
    <n v="3"/>
    <n v="379454"/>
    <x v="1"/>
    <n v="759.86543044235736"/>
    <x v="1"/>
    <s v="3-101-868034 S.A. (HIDRAULICA HCR)"/>
    <s v="Factura 1074"/>
    <x v="9"/>
    <s v="OC*055585/Mantenimiento de vehiculo/Placa CL284340/Mantenimientos varios/Proforma 1236"/>
  </r>
  <r>
    <s v="Euromobilia "/>
    <s v="Hogares Funcionales"/>
    <s v="Sidney R"/>
    <d v="2026-02-20T00:00:00"/>
    <m/>
    <n v="-7"/>
    <n v="3"/>
    <n v="223175"/>
    <x v="1"/>
    <n v="446.91311051925425"/>
    <x v="1"/>
    <s v="3-101-868034 S.A. (HIDRAULICA HCR)"/>
    <s v="Factura 1073"/>
    <x v="9"/>
    <s v="OC*055584/Mantenimiento de vehiculo/Placa CL322073/Mantenimientos kit de clutch, roll, cambio clutch/Proforma 1238"/>
  </r>
  <r>
    <s v="Euromobilia "/>
    <s v="Logística Espacial"/>
    <s v="Eitan R"/>
    <d v="2026-02-20T00:00:00"/>
    <m/>
    <n v="-7"/>
    <n v="3"/>
    <n v="376855"/>
    <x v="1"/>
    <n v="754.66087269960144"/>
    <x v="1"/>
    <s v="3-101-868034 S.A. (HIDRAULICA HCR)"/>
    <s v="Factura 1072"/>
    <x v="9"/>
    <s v="OC*055582/Mantenimiento de vehiculo/Placa CL203471/Mantenimientos engrase total, roles de bocinas/Proforma 1237"/>
  </r>
  <r>
    <s v="Euromobilia "/>
    <s v="Fábrica San Francisco"/>
    <s v="Uri R"/>
    <d v="2026-02-20T00:00:00"/>
    <m/>
    <n v="-7"/>
    <s v="NUEVO"/>
    <n v="768.67"/>
    <x v="0"/>
    <n v="768.67"/>
    <x v="1"/>
    <s v="Intcomex Costa Rica Mayorista"/>
    <s v="Factura 851059"/>
    <x v="20"/>
    <s v="OC*055196/Compra accesorios Hikvision (camara de vigilacia)/Equipo solicitado uso en areas Planta SF"/>
  </r>
  <r>
    <s v="Euromobilia "/>
    <s v="Productividad Humana"/>
    <s v="Uri R"/>
    <d v="2026-02-20T00:00:00"/>
    <m/>
    <n v="-7"/>
    <s v="NUEVO"/>
    <n v="7345"/>
    <x v="1"/>
    <n v="14.708532751266596"/>
    <x v="1"/>
    <s v="Erick Hernandez Camacho"/>
    <s v="Abono de Factura 2767"/>
    <x v="2"/>
    <s v="OC*055622/ Factura de Importacion"/>
  </r>
  <r>
    <s v="Euromobilia "/>
    <s v="Hogares Funcionales"/>
    <s v="Sidney R"/>
    <d v="2026-02-20T00:00:00"/>
    <m/>
    <n v="-7"/>
    <s v="NUEVO"/>
    <n v="20905"/>
    <x v="1"/>
    <n v="41.862747061297235"/>
    <x v="1"/>
    <s v="Erick Hernandez Camacho"/>
    <s v="Abono de Factura 2767"/>
    <x v="2"/>
    <s v="OC*055622/ Factura de Importacion"/>
  </r>
  <r>
    <s v="Euromobilia "/>
    <s v="Fábrica Barrio Cuba"/>
    <s v="Sidney R"/>
    <d v="2026-02-20T00:00:00"/>
    <m/>
    <n v="-7"/>
    <s v="NUEVO"/>
    <n v="11300"/>
    <x v="1"/>
    <n v="22.628511925025531"/>
    <x v="1"/>
    <s v="Erick Hernandez Camacho"/>
    <s v="Factura 2768"/>
    <x v="2"/>
    <s v="OC*055623/ Factura de Importacion"/>
  </r>
  <r>
    <s v="Euromobilia "/>
    <s v="Productividad Humana"/>
    <s v="Uri R"/>
    <d v="2026-02-20T00:00:00"/>
    <m/>
    <n v="-7"/>
    <s v="NUEVO"/>
    <n v="28250"/>
    <x v="1"/>
    <n v="56.57127981256383"/>
    <x v="1"/>
    <s v="Erick Hernandez Camacho"/>
    <s v="Factura 2770"/>
    <x v="2"/>
    <s v="OC*055626/ Factura de Importacion"/>
  </r>
  <r>
    <s v="Euromobilia "/>
    <s v="Hogares Funcionales"/>
    <s v="Sidney R"/>
    <d v="2026-02-20T00:00:00"/>
    <m/>
    <n v="-7"/>
    <s v="NUEVO"/>
    <n v="28250"/>
    <x v="1"/>
    <n v="56.57127981256383"/>
    <x v="1"/>
    <s v="Erick Hernandez Camacho"/>
    <s v="Factura 2771"/>
    <x v="2"/>
    <s v="OC*055625/ Factura de Importacion"/>
  </r>
  <r>
    <s v="Euromobilia "/>
    <s v="Fábrica Barrio Cuba"/>
    <s v="Sidney R"/>
    <d v="2026-02-20T00:00:00"/>
    <m/>
    <n v="-7"/>
    <s v="NUEVO"/>
    <n v="410004"/>
    <x v="1"/>
    <n v="821.04251356709449"/>
    <x v="1"/>
    <s v="Peleteria y Viniles los Angeles"/>
    <s v="Factura 55255"/>
    <x v="17"/>
    <s v="OC*44*1854/ Compra patas plasticas/Suministros para proy Arbora"/>
  </r>
  <r>
    <s v="Euromobilia "/>
    <s v="Fábrica Barrio Cuba"/>
    <s v="Sidney R"/>
    <d v="2026-02-20T00:00:00"/>
    <m/>
    <n v="-7"/>
    <s v="NUEVO"/>
    <n v="815157"/>
    <x v="1"/>
    <n v="1632.3707871918618"/>
    <x v="1"/>
    <s v="Peleteria y Viniles los Angeles"/>
    <s v="Factura 55254"/>
    <x v="17"/>
    <s v="OC*44*1855/ Compra tiradera/Suministros para proy Arbora"/>
  </r>
  <r>
    <s v="Euromobilia "/>
    <s v="Proyectos Integrales"/>
    <s v="Sidney R"/>
    <d v="2026-02-20T00:00:00"/>
    <m/>
    <n v="-7"/>
    <s v="NUEVO"/>
    <n v="139114.29999999999"/>
    <x v="1"/>
    <n v="278.57961030898929"/>
    <x v="1"/>
    <s v="Tinza Internacional"/>
    <s v="Factura 100713"/>
    <x v="2"/>
    <s v="OC*055620/ Factura de Importacion"/>
  </r>
  <r>
    <s v="Euromobilia "/>
    <s v="Hogares Funcionales"/>
    <s v="Sidney R"/>
    <d v="2026-02-21T00:00:00"/>
    <m/>
    <n v="-8"/>
    <n v="3"/>
    <n v="371.21"/>
    <x v="0"/>
    <n v="371.21"/>
    <x v="1"/>
    <s v="Comercializadora VMR"/>
    <s v="Factura 2941"/>
    <x v="27"/>
    <s v="OC HO-492/Pedido: VMR-09/25/Cliente: Trent Jutin Reifert/Grifo de cocina monocromado"/>
  </r>
  <r>
    <s v="Euromobilia "/>
    <s v="Hogares Funcionales"/>
    <s v="Sidney R"/>
    <d v="2026-02-21T00:00:00"/>
    <m/>
    <n v="-8"/>
    <n v="3"/>
    <n v="104769.62"/>
    <x v="1"/>
    <n v="209.80359252658349"/>
    <x v="1"/>
    <s v="Allan Esteban Hernandez Camacho"/>
    <s v="Factura 349"/>
    <x v="2"/>
    <s v="OC*055639/ Factura de Importacion"/>
  </r>
  <r>
    <s v="Euromobilia "/>
    <s v="Hogares Funcionales"/>
    <s v="Sidney R"/>
    <d v="2026-02-21T00:00:00"/>
    <m/>
    <n v="-8"/>
    <n v="3"/>
    <n v="39550"/>
    <x v="1"/>
    <n v="79.199791737589365"/>
    <x v="1"/>
    <s v="Allan Esteban Hernandez Camacho"/>
    <s v="Factura 345"/>
    <x v="2"/>
    <s v="OC*055642/ Factura de Importacion"/>
  </r>
  <r>
    <s v="Euromobilia "/>
    <s v="Productividad Humana"/>
    <s v="Uri R"/>
    <d v="2026-02-21T00:00:00"/>
    <m/>
    <n v="-8"/>
    <n v="3"/>
    <n v="45200"/>
    <x v="1"/>
    <n v="90.514047700102125"/>
    <x v="1"/>
    <s v="Allan Esteban Hernandez Camacho"/>
    <s v="Factura 344"/>
    <x v="2"/>
    <s v="OC*055641/ Factura de Importacion"/>
  </r>
  <r>
    <s v="Euromobilia "/>
    <s v="Productividad Humana"/>
    <s v="Uri R"/>
    <d v="2026-02-21T00:00:00"/>
    <m/>
    <n v="-8"/>
    <n v="3"/>
    <n v="11187"/>
    <x v="1"/>
    <n v="22.402226805775278"/>
    <x v="1"/>
    <s v="Allan Esteban Hernandez Camacho"/>
    <s v="Abono Factura 343"/>
    <x v="2"/>
    <s v="OC*055640/ Factura de Importacion"/>
  </r>
  <r>
    <s v="Euromobilia "/>
    <s v="Fábrica Barrio Cuba"/>
    <s v="Sidney R"/>
    <d v="2026-02-21T00:00:00"/>
    <m/>
    <n v="-8"/>
    <n v="3"/>
    <n v="9153"/>
    <x v="1"/>
    <n v="18.32909465927068"/>
    <x v="1"/>
    <s v="Allan Esteban Hernandez Camacho"/>
    <s v="Abono Factura 343"/>
    <x v="2"/>
    <s v="OC*055640/ Factura de Importacion"/>
  </r>
  <r>
    <s v="Euromobilia "/>
    <s v="Hogares Funcionales"/>
    <s v="Sidney R"/>
    <d v="2026-02-21T00:00:00"/>
    <m/>
    <n v="-8"/>
    <n v="3"/>
    <n v="30510"/>
    <x v="1"/>
    <n v="61.096982197568934"/>
    <x v="1"/>
    <s v="Allan Esteban Hernandez Camacho"/>
    <s v="Abono Factura 343"/>
    <x v="2"/>
    <s v="OC*055640/ Factura de Importacion"/>
  </r>
  <r>
    <s v="Euromobilia "/>
    <s v="Outlet"/>
    <s v="Uri R"/>
    <d v="2026-02-21T00:00:00"/>
    <m/>
    <n v="-8"/>
    <n v="3"/>
    <n v="60981.57"/>
    <x v="1"/>
    <n v="122.117007429361"/>
    <x v="1"/>
    <s v="Importadora Ad Nat"/>
    <s v="Factura 54764"/>
    <x v="9"/>
    <s v="OC*055645/Mantenimiento de vehiculo/Placa CL279552/Balanceo, cambio llantas"/>
  </r>
  <r>
    <s v="Euromobilia "/>
    <s v="Hogares Funcionales"/>
    <s v="Sidney R"/>
    <d v="2026-02-21T00:00:00"/>
    <m/>
    <n v="-8"/>
    <s v="NUEVO"/>
    <n v="395.5"/>
    <x v="0"/>
    <n v="395.5"/>
    <x v="1"/>
    <s v="Roxana Caravana Diaz "/>
    <s v="Factura 517"/>
    <x v="2"/>
    <s v="OC*055635/ Factura de importaciones"/>
  </r>
  <r>
    <s v="Euromobilia "/>
    <s v="Fábrica San Francisco"/>
    <s v="Uri R"/>
    <d v="2026-02-21T00:00:00"/>
    <m/>
    <n v="-8"/>
    <s v="NUEVO"/>
    <n v="748240.8"/>
    <x v="1"/>
    <n v="1498.3695456274907"/>
    <x v="1"/>
    <s v="Aceros Roag"/>
    <s v="Factura 255947"/>
    <x v="17"/>
    <s v="OC 09-6146/Material solicitado para ODP 325550 INTACO/Lamina hierro negro"/>
  </r>
  <r>
    <s v="Euromobilia "/>
    <s v="Productividad Humana"/>
    <s v="Uri R"/>
    <d v="2026-02-21T00:00:00"/>
    <m/>
    <n v="-8"/>
    <s v="NUEVO"/>
    <n v="107350"/>
    <x v="1"/>
    <n v="214.97086328774256"/>
    <x v="1"/>
    <s v="Allan Esteban Hernandez Camacho"/>
    <s v="Factura 347"/>
    <x v="2"/>
    <s v="OC*055693/ Factura de Importacion"/>
  </r>
  <r>
    <s v="Euromobilia "/>
    <s v="Proyectos Integrales"/>
    <s v="Sidney R"/>
    <d v="2026-02-21T00:00:00"/>
    <m/>
    <n v="-8"/>
    <s v="NUEVO"/>
    <n v="73450"/>
    <x v="1"/>
    <n v="147.08532751266597"/>
    <x v="1"/>
    <s v="Allan Esteban Hernandez Camacho"/>
    <s v="Factura 348"/>
    <x v="2"/>
    <s v="OC*055832/ Factura de Importacion"/>
  </r>
  <r>
    <s v="Euromobilia "/>
    <s v="Hogares Funcionales"/>
    <s v="Sidney R"/>
    <d v="2026-02-21T00:00:00"/>
    <m/>
    <n v="-8"/>
    <s v="NUEVO"/>
    <n v="107350"/>
    <x v="1"/>
    <n v="214.97086328774256"/>
    <x v="1"/>
    <s v="Allan Esteban Hernandez Camacho"/>
    <s v="Factura 350"/>
    <x v="2"/>
    <s v="OC*055694/ Factura de Importacion"/>
  </r>
  <r>
    <s v="Euromobilia "/>
    <s v="Fábrica San Francisco"/>
    <s v="Uri R"/>
    <d v="2026-02-21T00:00:00"/>
    <m/>
    <n v="-8"/>
    <s v="NUEVO"/>
    <n v="59240"/>
    <x v="1"/>
    <n v="118.62947313615155"/>
    <x v="1"/>
    <s v="Corporación Comercial e Industrial El Lagar"/>
    <s v="Factura 101212"/>
    <x v="17"/>
    <s v="OC 09-6147/Material solicitado para ODP 325550 INTACO/Tubo negro"/>
  </r>
  <r>
    <s v="Euromobilia "/>
    <s v="Fábrica San Francisco"/>
    <s v="Uri R"/>
    <d v="2026-02-21T00:00:00"/>
    <m/>
    <n v="-8"/>
    <s v="NUEVO"/>
    <n v="454825"/>
    <x v="1"/>
    <n v="910.79760498227768"/>
    <x v="1"/>
    <s v="Industrial Lugume"/>
    <s v="Factura 56320"/>
    <x v="17"/>
    <s v="OC 09-6145/Equipos solicitados para uso en produccion/antorcha mig lincon pro"/>
  </r>
  <r>
    <s v="Euromobilia "/>
    <s v="Fábrica Barrio Cuba"/>
    <s v="Sidney R"/>
    <d v="2026-02-21T00:00:00"/>
    <m/>
    <n v="-8"/>
    <s v="NUEVO"/>
    <n v="88119.77"/>
    <x v="1"/>
    <n v="176.46188197128382"/>
    <x v="1"/>
    <s v="Materiales y servicios GFM"/>
    <s v="Factura 65022"/>
    <x v="25"/>
    <s v="OC*055608/Compra materiales para instalacion de maquina planta/Solicita Jose Navarro"/>
  </r>
  <r>
    <s v="Euromobilia "/>
    <s v="Fábrica Barrio Cuba"/>
    <s v="Sidney R"/>
    <d v="2026-02-21T00:00:00"/>
    <m/>
    <n v="-8"/>
    <s v="NUEVO"/>
    <n v="101700"/>
    <x v="1"/>
    <n v="203.6566073252298"/>
    <x v="1"/>
    <s v="Presa Precision Salas"/>
    <s v="Factura 3488"/>
    <x v="25"/>
    <s v="OC*055628/Servicio de reparacion maquina/Modificacion de espigas maquina koch/Solicitado por Jose Navarro"/>
  </r>
  <r>
    <s v="Euromobilia "/>
    <s v="CEDI"/>
    <s v="Uri R"/>
    <d v="2026-02-22T00:00:00"/>
    <m/>
    <n v="-9"/>
    <n v="3"/>
    <n v="235324.6"/>
    <x v="1"/>
    <n v="471.24296613733304"/>
    <x v="1"/>
    <s v="Capris"/>
    <s v="Factura 82589"/>
    <x v="13"/>
    <s v="OC 31-3478/Suministros solicitados para consumo interno/Peapel higienico, toallas"/>
  </r>
  <r>
    <s v="Euromobilia "/>
    <s v="CEDI"/>
    <s v="Uri R"/>
    <d v="2026-02-22T00:00:00"/>
    <m/>
    <n v="-9"/>
    <n v="3"/>
    <n v="813.6"/>
    <x v="0"/>
    <n v="813.6"/>
    <x v="1"/>
    <s v="MHE Material Handling Equipment"/>
    <s v="Factura 8398"/>
    <x v="9"/>
    <s v="OC*055576/Mantenimiento varios, diagnostico baterias apiladores"/>
  </r>
  <r>
    <s v="Euromobilia "/>
    <s v="Productividad Humana"/>
    <s v="Uri R"/>
    <d v="2026-02-22T00:00:00"/>
    <m/>
    <n v="-9"/>
    <s v="NUEVO"/>
    <n v="277458.23"/>
    <x v="1"/>
    <n v="555.61653683641384"/>
    <x v="1"/>
    <s v="Auto Repuestos Avenida 10 S.A. (La Guaca)"/>
    <s v="Factura 19561"/>
    <x v="9"/>
    <s v="OC*055636/ Servicio de mantenimiento Placa SPB008/Suministros para consumo proy Sky Garden"/>
  </r>
  <r>
    <s v="Euromobilia "/>
    <s v="Fábrica San Francisco"/>
    <s v="Uri R"/>
    <d v="2026-02-22T00:00:00"/>
    <m/>
    <n v="-9"/>
    <s v="NUEVO"/>
    <n v="75811.520000000004"/>
    <x v="1"/>
    <n v="151.81432605082404"/>
    <x v="1"/>
    <s v="CM Soluciones"/>
    <s v="Factura 136634"/>
    <x v="13"/>
    <s v="OC 09-6148/Material solicitado para consumo interno/Pastilla desodorante, pastilla para tanque, escoba, azucar, jabon"/>
  </r>
  <r>
    <s v="Euromobilia "/>
    <s v="Back Office"/>
    <s v="Judko R"/>
    <d v="2026-02-22T00:00:00"/>
    <m/>
    <n v="-9"/>
    <s v="NUEVO"/>
    <n v="21357"/>
    <x v="1"/>
    <n v="42.767887538298254"/>
    <x v="1"/>
    <s v="SATGEO"/>
    <s v="Abono Factura 8014"/>
    <x v="22"/>
    <s v="OC*055785/Servicio de alquiler y monitoreo mensual ENE.26 a FEB.26 Back Office"/>
  </r>
  <r>
    <s v="Euromobilia "/>
    <s v="CEDI"/>
    <s v="Uri R"/>
    <d v="2026-02-22T00:00:00"/>
    <m/>
    <n v="-9"/>
    <s v="NUEVO"/>
    <n v="21357"/>
    <x v="1"/>
    <n v="42.767887538298254"/>
    <x v="1"/>
    <s v="SATGEO"/>
    <s v="Abono Factura 8014"/>
    <x v="22"/>
    <s v="OC*055785/Servicio de alquiler y monitoreo mensual ENE.26 a FEB.26 CEDI/ALTEA"/>
  </r>
  <r>
    <s v="Euromobilia "/>
    <s v="CEDI"/>
    <s v="Uri R"/>
    <d v="2026-02-22T00:00:00"/>
    <m/>
    <n v="-9"/>
    <s v="NUEVO"/>
    <n v="78309"/>
    <x v="1"/>
    <n v="156.81558764042694"/>
    <x v="1"/>
    <s v="SATGEO"/>
    <s v="Abono Factura 8014"/>
    <x v="22"/>
    <s v="OC*055785/Servicio de alquiler y monitoreo mensual ENE.26 a FEB.26 CEDI"/>
  </r>
  <r>
    <s v="Euromobilia "/>
    <s v="Hogares Funcionales"/>
    <s v="Sidney R"/>
    <d v="2026-02-22T00:00:00"/>
    <m/>
    <n v="-9"/>
    <s v="NUEVO"/>
    <n v="56952"/>
    <x v="1"/>
    <n v="114.04770010212869"/>
    <x v="1"/>
    <s v="SATGEO"/>
    <s v="Abono Factura 8014"/>
    <x v="22"/>
    <s v="OC*055785/Servicio de alquiler y monitoreo mensual ENE.26 a FEB.26 Hogares Funcionales"/>
  </r>
  <r>
    <s v="Euromobilia "/>
    <s v="Logística Espacial"/>
    <s v="Eitan R"/>
    <d v="2026-02-22T00:00:00"/>
    <m/>
    <n v="-9"/>
    <s v="NUEVO"/>
    <n v="71190"/>
    <x v="1"/>
    <n v="142.55962512766087"/>
    <x v="1"/>
    <s v="SATGEO"/>
    <s v="Abono Factura 8014"/>
    <x v="22"/>
    <s v="OC*055785/Servicio de alquiler y monitoreo mensual ENE.26 a FEB.26 Logística Espacial"/>
  </r>
  <r>
    <s v="Euromobilia "/>
    <s v="Outlet"/>
    <s v="Uri R"/>
    <d v="2026-02-22T00:00:00"/>
    <m/>
    <n v="-9"/>
    <s v="NUEVO"/>
    <n v="7119"/>
    <x v="1"/>
    <n v="14.255962512766086"/>
    <x v="1"/>
    <s v="SATGEO"/>
    <s v="Abono Factura 8014"/>
    <x v="22"/>
    <s v="OC*055785/Servicio de alquiler y monitoreo mensual ENE.26 a FEB.26 Outlet"/>
  </r>
  <r>
    <s v="Euromobilia "/>
    <s v="Productividad Humana"/>
    <s v="Uri R"/>
    <d v="2026-02-22T00:00:00"/>
    <m/>
    <n v="-9"/>
    <s v="NUEVO"/>
    <n v="56952"/>
    <x v="1"/>
    <n v="114.04770010212869"/>
    <x v="1"/>
    <s v="SATGEO"/>
    <s v="Abono Factura 8014"/>
    <x v="22"/>
    <s v="OC*055785/Servicio de alquiler y monitoreo mensual ENE.26 a FEB.26 Productividad Humana"/>
  </r>
  <r>
    <s v="Euromobilia "/>
    <s v="Proyectos Integrales"/>
    <s v="Sidney R"/>
    <d v="2026-02-22T00:00:00"/>
    <m/>
    <n v="-9"/>
    <s v="NUEVO"/>
    <n v="42714"/>
    <x v="1"/>
    <n v="85.535775076596508"/>
    <x v="1"/>
    <s v="SATGEO"/>
    <s v="Abono Factura 8014"/>
    <x v="22"/>
    <s v="OC*055785/Servicio de alquiler y monitoreo mensual ENE.26 a FEB.26 Proyectos Integrales"/>
  </r>
  <r>
    <s v="Euromobilia "/>
    <s v="CEDI"/>
    <s v="Uri R"/>
    <d v="2026-02-22T00:00:00"/>
    <m/>
    <n v="-9"/>
    <s v="NUEVO"/>
    <n v="35595"/>
    <x v="1"/>
    <n v="71.279812563830433"/>
    <x v="1"/>
    <s v="SATGEO"/>
    <s v="Abono Factura 8015"/>
    <x v="22"/>
    <s v="OC*055804/Servicio de alquiler y monitoreo mensual ENE.26 a FEB.26 CEDI"/>
  </r>
  <r>
    <s v="Euromobilia "/>
    <s v="Fábrica Barrio Cuba"/>
    <s v="Sidney R"/>
    <d v="2026-02-22T00:00:00"/>
    <m/>
    <n v="-9"/>
    <s v="NUEVO"/>
    <n v="14238"/>
    <x v="1"/>
    <n v="28.511925025532172"/>
    <x v="1"/>
    <s v="SATGEO"/>
    <s v="Abono Factura 8015"/>
    <x v="22"/>
    <s v="OC*055804/Servicio de alquiler y monitoreo mensual ENE.26 a FEB.26 Fábrica Barrio Cuba"/>
  </r>
  <r>
    <s v="Euromobilia "/>
    <s v="Fábrica San Francisco"/>
    <s v="Uri R"/>
    <d v="2026-02-22T00:00:00"/>
    <m/>
    <n v="-9"/>
    <s v="NUEVO"/>
    <n v="21357"/>
    <x v="1"/>
    <n v="42.767887538298254"/>
    <x v="1"/>
    <s v="SATGEO"/>
    <s v="Abono Factura 8015"/>
    <x v="22"/>
    <s v="OC*055804/Servicio de alquiler y monitoreo mensual ENE.26 a FEB.26 Fábrica San Francisco"/>
  </r>
  <r>
    <s v="Euromobilia "/>
    <s v="Logística Espacial"/>
    <s v="Eitan R"/>
    <d v="2026-02-22T00:00:00"/>
    <m/>
    <n v="-9"/>
    <s v="NUEVO"/>
    <n v="85428"/>
    <x v="1"/>
    <n v="171.07155015319302"/>
    <x v="1"/>
    <s v="SATGEO"/>
    <s v="Abono Factura 8015"/>
    <x v="22"/>
    <s v="OC*055804/Servicio de alquiler y monitoreo mensual ENE.26 a FEB.26 Logística Espacial"/>
  </r>
  <r>
    <s v="Euromobilia "/>
    <s v="Outlet"/>
    <s v="Uri R"/>
    <d v="2026-02-22T00:00:00"/>
    <m/>
    <n v="-9"/>
    <s v="NUEVO"/>
    <n v="7119"/>
    <x v="1"/>
    <n v="14.255962512766086"/>
    <x v="1"/>
    <s v="SATGEO"/>
    <s v="Abono Factura 8015"/>
    <x v="22"/>
    <s v="OC*055804/Servicio de alquiler y monitoreo mensual ENE.26 a FEB.26 Outlet"/>
  </r>
  <r>
    <s v="Euromobilia "/>
    <s v="Hogares Funcionales"/>
    <s v="Sidney R"/>
    <d v="2026-02-22T00:00:00"/>
    <m/>
    <n v="-9"/>
    <s v="NUEVO"/>
    <n v="100650.23"/>
    <x v="1"/>
    <n v="201.55441856739492"/>
    <x v="1"/>
    <s v="Tinza Internacional"/>
    <s v="Factura 100841"/>
    <x v="2"/>
    <s v="OC*055691/ Factura de Importacion"/>
  </r>
  <r>
    <s v="Euromobilia "/>
    <s v="Fábrica Barrio Cuba"/>
    <s v="Sidney R"/>
    <d v="2026-02-22T00:00:00"/>
    <m/>
    <n v="-9"/>
    <s v="NUEVO"/>
    <n v="123269.33"/>
    <x v="1"/>
    <n v="246.84969061016881"/>
    <x v="1"/>
    <s v="Tinza Internacional"/>
    <s v="Factura 100878"/>
    <x v="2"/>
    <s v="OC*055690/ Factura de Importacion"/>
  </r>
  <r>
    <s v="Euromobilia "/>
    <s v="Hogares Funcionales"/>
    <s v="Sidney R"/>
    <d v="2026-02-24T00:00:00"/>
    <m/>
    <n v="-11"/>
    <n v="3"/>
    <n v="1352.61"/>
    <x v="0"/>
    <n v="1352.61"/>
    <x v="1"/>
    <s v="Comercializadora VMR"/>
    <s v="Factura 2942"/>
    <x v="27"/>
    <s v="OC HO-496/Pedido: VMR-10/25/Varios clientes/6 grifos de cocina monocromado"/>
  </r>
  <r>
    <s v="Euromobilia "/>
    <s v="CEDI"/>
    <s v="Uri R"/>
    <d v="2026-02-25T00:00:00"/>
    <m/>
    <n v="-12"/>
    <n v="3"/>
    <n v="65.212299999999999"/>
    <x v="0"/>
    <n v="65.212299999999999"/>
    <x v="1"/>
    <s v="Ricoh Costa Rica"/>
    <s v="Abono Factura 368719"/>
    <x v="20"/>
    <s v="OC*055644/ Servicio de copias e impresiones"/>
  </r>
  <r>
    <s v="Euromobilia "/>
    <s v="Back Office"/>
    <s v="Judko R"/>
    <d v="2026-02-25T00:00:00"/>
    <m/>
    <n v="-12"/>
    <n v="3"/>
    <n v="1.6385000000000001"/>
    <x v="0"/>
    <n v="1.6385000000000001"/>
    <x v="1"/>
    <s v="Ricoh Costa Rica"/>
    <s v="Abono Factura 368719"/>
    <x v="20"/>
    <s v="OC*055644/ Servicio de copias e impresiones"/>
  </r>
  <r>
    <s v="Euromobilia "/>
    <s v="Fábrica Barrio Cuba"/>
    <s v="Sidney R"/>
    <d v="2026-02-25T00:00:00"/>
    <m/>
    <n v="-12"/>
    <n v="3"/>
    <n v="527.1902"/>
    <x v="0"/>
    <n v="527.1902"/>
    <x v="1"/>
    <s v="Ricoh Costa Rica"/>
    <s v="Abono Factura 368719"/>
    <x v="20"/>
    <s v="OC*055644/ Servicio de copias e impresiones"/>
  </r>
  <r>
    <s v="Euromobilia "/>
    <s v="Fábrica San Francisco"/>
    <s v="Uri R"/>
    <d v="2026-02-25T00:00:00"/>
    <m/>
    <n v="-12"/>
    <n v="3"/>
    <n v="39.662999999999997"/>
    <x v="0"/>
    <n v="39.662999999999997"/>
    <x v="1"/>
    <s v="Ricoh Costa Rica"/>
    <s v="Abono Factura 368719"/>
    <x v="20"/>
    <s v="OC*055644/ Servicio de copias e impresiones"/>
  </r>
  <r>
    <s v="Euromobilia "/>
    <s v="Back Office"/>
    <s v="Judko R"/>
    <d v="2026-02-25T00:00:00"/>
    <m/>
    <n v="-12"/>
    <n v="3"/>
    <n v="82.0154"/>
    <x v="0"/>
    <n v="82.0154"/>
    <x v="1"/>
    <s v="Ricoh Costa Rica"/>
    <s v="Abono Factura 368719"/>
    <x v="20"/>
    <s v="OC*055644/ Servicio de copias e impresiones"/>
  </r>
  <r>
    <s v="Euromobilia "/>
    <s v="Logística Espacial"/>
    <s v="Eitan R"/>
    <d v="2026-02-25T00:00:00"/>
    <m/>
    <n v="-12"/>
    <n v="3"/>
    <n v="24.701799999999999"/>
    <x v="0"/>
    <n v="24.701799999999999"/>
    <x v="1"/>
    <s v="Ricoh Costa Rica"/>
    <s v="Abono Factura 368719"/>
    <x v="20"/>
    <s v="OC*055644/ Servicio de copias e impresiones"/>
  </r>
  <r>
    <s v="Euromobilia "/>
    <s v="Hogares Funcionales"/>
    <s v="Sidney R"/>
    <d v="2026-02-25T00:00:00"/>
    <m/>
    <n v="-12"/>
    <n v="3"/>
    <n v="36.442499999999995"/>
    <x v="0"/>
    <n v="36.442499999999995"/>
    <x v="1"/>
    <s v="Ricoh Costa Rica"/>
    <s v="Abono Factura 368719"/>
    <x v="20"/>
    <s v="OC*055644/ Servicio de copias e impresiones"/>
  </r>
  <r>
    <s v="Euromobilia "/>
    <s v="Proyectos Integrales"/>
    <s v="Sidney R"/>
    <d v="2026-02-25T00:00:00"/>
    <m/>
    <n v="-12"/>
    <n v="3"/>
    <n v="21.9785"/>
    <x v="0"/>
    <n v="21.9785"/>
    <x v="1"/>
    <s v="Ricoh Costa Rica"/>
    <s v="Abono Factura 368719"/>
    <x v="20"/>
    <s v="OC*055644/ Servicio de copias e impresiones"/>
  </r>
  <r>
    <s v="Euromobilia "/>
    <s v="Productividad Humana"/>
    <s v="Uri R"/>
    <d v="2026-02-25T00:00:00"/>
    <m/>
    <n v="-12"/>
    <n v="3"/>
    <n v="141.12569999999999"/>
    <x v="0"/>
    <n v="141.12569999999999"/>
    <x v="1"/>
    <s v="Ricoh Costa Rica"/>
    <s v="Abono Factura 368719"/>
    <x v="20"/>
    <s v="OC*055644/ Servicio de copias e impresiones"/>
  </r>
  <r>
    <s v="Euromobilia "/>
    <s v="Back Office"/>
    <s v="Judko R"/>
    <d v="2026-02-25T00:00:00"/>
    <m/>
    <n v="-12"/>
    <n v="3"/>
    <n v="1.2543000000000002"/>
    <x v="0"/>
    <n v="1.2543000000000002"/>
    <x v="1"/>
    <s v="Ricoh Costa Rica"/>
    <s v="Abono Factura 368719"/>
    <x v="20"/>
    <s v="OC*055644/ Servicio de copias e impresiones"/>
  </r>
  <r>
    <s v="Euromobilia "/>
    <s v="Fábrica Barrio Cuba"/>
    <s v="Sidney R"/>
    <d v="2026-02-25T00:00:00"/>
    <m/>
    <n v="-12"/>
    <s v="NUEVO"/>
    <n v="650"/>
    <x v="0"/>
    <n v="650"/>
    <x v="1"/>
    <s v="Roxana Caravana Diaz "/>
    <s v="Factura 518"/>
    <x v="2"/>
    <s v="OC*055744/ Factura de importaciones"/>
  </r>
  <r>
    <s v="Euromobilia "/>
    <s v="Fábrica Barrio Cuba"/>
    <s v="Sidney R"/>
    <d v="2026-02-25T00:00:00"/>
    <m/>
    <n v="-12"/>
    <s v="NUEVO"/>
    <n v="389.85"/>
    <x v="0"/>
    <n v="389.85"/>
    <x v="1"/>
    <s v="Roxana Caravana Diaz "/>
    <s v="Factura 519"/>
    <x v="2"/>
    <s v="OC*055742/ Factura de importaciones"/>
  </r>
  <r>
    <s v="Euromobilia "/>
    <s v="Fábrica Barrio Cuba"/>
    <s v="Sidney R"/>
    <d v="2026-02-25T00:00:00"/>
    <m/>
    <n v="-12"/>
    <s v="NUEVO"/>
    <n v="1379.15"/>
    <x v="0"/>
    <n v="1379.15"/>
    <x v="1"/>
    <s v="Roxana Caravana Diaz "/>
    <s v="Factura 520"/>
    <x v="2"/>
    <s v="OC*055739/ Factura de importaciones"/>
  </r>
  <r>
    <s v="Euromobilia "/>
    <s v="Fábrica Barrio Cuba"/>
    <s v="Sidney R"/>
    <d v="2026-02-25T00:00:00"/>
    <m/>
    <n v="-12"/>
    <s v="NUEVO"/>
    <n v="282.5"/>
    <x v="0"/>
    <n v="282.5"/>
    <x v="1"/>
    <s v="Roxana Caravana Diaz "/>
    <s v="Factura 521"/>
    <x v="2"/>
    <s v="OC*055740/ Factura de importaciones"/>
  </r>
  <r>
    <s v="Euromobilia "/>
    <s v="Fábrica Barrio Cuba"/>
    <s v="Sidney R"/>
    <d v="2026-02-25T00:00:00"/>
    <m/>
    <n v="-12"/>
    <s v="NUEVO"/>
    <n v="84750"/>
    <x v="1"/>
    <n v="169.71383943769149"/>
    <x v="1"/>
    <s v="Allan Esteban Hernandez Camacho"/>
    <s v="Factura 352"/>
    <x v="2"/>
    <s v="OC*055696/ Factura de Importacion"/>
  </r>
  <r>
    <s v="Euromobilia "/>
    <s v="Productividad Humana"/>
    <s v="Uri R"/>
    <d v="2026-02-25T00:00:00"/>
    <m/>
    <n v="-12"/>
    <s v="NUEVO"/>
    <n v="45200"/>
    <x v="1"/>
    <n v="90.514047700102125"/>
    <x v="1"/>
    <s v="Allan Esteban Hernandez Camacho"/>
    <s v="Factura 353"/>
    <x v="2"/>
    <s v="OC*055697/ Factura de Importacion"/>
  </r>
  <r>
    <s v="Euromobilia "/>
    <s v="Productividad Humana"/>
    <s v="Uri R"/>
    <d v="2026-02-25T00:00:00"/>
    <m/>
    <n v="-12"/>
    <s v="NUEVO"/>
    <n v="50850"/>
    <x v="1"/>
    <n v="101.8283036626149"/>
    <x v="1"/>
    <s v="Allan Esteban Hernandez Camacho"/>
    <s v="Factura 354"/>
    <x v="2"/>
    <s v="OC*055698/ Factura de Importacion"/>
  </r>
  <r>
    <s v="Euromobilia "/>
    <s v="Proyectos Integrales"/>
    <s v="Sidney R"/>
    <d v="2026-02-25T00:00:00"/>
    <m/>
    <n v="-12"/>
    <s v="NUEVO"/>
    <n v="73450"/>
    <x v="1"/>
    <n v="147.08532751266597"/>
    <x v="1"/>
    <s v="Allan Esteban Hernandez Camacho"/>
    <s v="Factura 356"/>
    <x v="2"/>
    <s v="OC*055736/ Factura de Importacion"/>
  </r>
  <r>
    <s v="Euromobilia "/>
    <s v="Fábrica Barrio Cuba"/>
    <s v="Sidney R"/>
    <d v="2026-02-25T00:00:00"/>
    <m/>
    <n v="-12"/>
    <s v="NUEVO"/>
    <n v="149808.97"/>
    <x v="1"/>
    <n v="299.99593487794618"/>
    <x v="1"/>
    <s v="CM Soluciones"/>
    <s v="Factura 136807"/>
    <x v="13"/>
    <s v="OC*44*1865/ Compra jabon para manos, esponja, lyson/Suministros para consumo interno"/>
  </r>
  <r>
    <s v="Euromobilia "/>
    <s v="Productividad Humana"/>
    <s v="Uri R"/>
    <d v="2026-02-25T00:00:00"/>
    <m/>
    <n v="-12"/>
    <s v="NUEVO"/>
    <n v="28250"/>
    <x v="1"/>
    <n v="56.57127981256383"/>
    <x v="1"/>
    <s v="Erick Hernandez Camacho"/>
    <s v="Factura 2772"/>
    <x v="2"/>
    <s v="OC*055746/ Factura de Importacion"/>
  </r>
  <r>
    <s v="Euromobilia "/>
    <s v="Fábrica Barrio Cuba"/>
    <s v="Sidney R"/>
    <d v="2026-02-25T00:00:00"/>
    <m/>
    <n v="-12"/>
    <s v="NUEVO"/>
    <n v="28250"/>
    <x v="1"/>
    <n v="56.57127981256383"/>
    <x v="1"/>
    <s v="Erick Hernandez Camacho"/>
    <s v="Factura 2773"/>
    <x v="2"/>
    <s v="OC*055741/ Factura de Importacion"/>
  </r>
  <r>
    <s v="Euromobilia "/>
    <s v="Productividad Humana"/>
    <s v="Uri R"/>
    <d v="2026-02-25T00:00:00"/>
    <m/>
    <n v="-12"/>
    <s v="NUEVO"/>
    <n v="28250"/>
    <x v="1"/>
    <n v="56.57127981256383"/>
    <x v="1"/>
    <s v="Erick Hernandez Camacho"/>
    <s v="Factura 2774"/>
    <x v="2"/>
    <s v="OC*055737/ Factura de Importacion"/>
  </r>
  <r>
    <s v="Euromobilia "/>
    <s v="Fábrica Barrio Cuba"/>
    <s v="Sidney R"/>
    <d v="2026-02-25T00:00:00"/>
    <m/>
    <n v="-12"/>
    <s v="NUEVO"/>
    <n v="420925"/>
    <x v="1"/>
    <n v="842.91206920720106"/>
    <x v="1"/>
    <s v="Industrial Lithio Quimica"/>
    <s v="Factura 12037"/>
    <x v="25"/>
    <s v="OC*59*3401/ Compra cubeta de aceite shell/Suministros para mantenimiento maquinas"/>
  </r>
  <r>
    <s v="Euromobilia "/>
    <s v="Fábrica Barrio Cuba"/>
    <s v="Sidney R"/>
    <d v="2026-02-25T00:00:00"/>
    <m/>
    <n v="-12"/>
    <s v="NUEVO"/>
    <n v="79300.070000000007"/>
    <x v="1"/>
    <n v="158.80022828764245"/>
    <x v="1"/>
    <s v="Sumi Express Sociedad Anonima"/>
    <s v="Factura 104623"/>
    <x v="13"/>
    <s v="OC*44*1860/ Compra jabon, pastilla desorante,desinfectantes, limpiado/Suministros para consumo interno"/>
  </r>
  <r>
    <s v="Euromobilia "/>
    <s v="Proyectos Integrales"/>
    <s v="Sidney R"/>
    <d v="2026-02-25T00:00:00"/>
    <m/>
    <n v="-12"/>
    <s v="NUEVO"/>
    <n v="141312.15"/>
    <x v="1"/>
    <n v="282.98085587840677"/>
    <x v="1"/>
    <s v="Tinza Internacional"/>
    <s v="Factura 100971"/>
    <x v="2"/>
    <s v="OC*055734/ Factura de Importacion"/>
  </r>
  <r>
    <s v="Euromobilia "/>
    <s v="Proyectos Integrales"/>
    <s v="Sidney R"/>
    <d v="2026-02-25T00:00:00"/>
    <m/>
    <n v="-12"/>
    <s v="NUEVO"/>
    <n v="141476"/>
    <x v="1"/>
    <n v="283.30896930131968"/>
    <x v="1"/>
    <s v="Tinza Internacional"/>
    <s v="Factura 100990"/>
    <x v="2"/>
    <s v="OC*055747/ Factura de Importacion"/>
  </r>
  <r>
    <s v="Euromobilia "/>
    <s v="Fábrica San Francisco"/>
    <s v="Uri R"/>
    <d v="2026-02-26T00:00:00"/>
    <m/>
    <n v="-13"/>
    <n v="3"/>
    <n v="643817.43999999994"/>
    <x v="1"/>
    <n v="1289.2593467769389"/>
    <x v="1"/>
    <s v="Aceros Abonos Agro"/>
    <s v="Factura 15505"/>
    <x v="17"/>
    <s v="OC 09-6138/Material solicitado para ODP 33082 INARI/Tubo hierro rectangular"/>
  </r>
  <r>
    <s v="Euromobilia "/>
    <s v="Fábrica Barrio Cuba"/>
    <s v="Sidney R"/>
    <d v="2026-02-26T00:00:00"/>
    <m/>
    <n v="-13"/>
    <s v="NUEVO"/>
    <n v="161025"/>
    <x v="1"/>
    <n v="322.45629493161385"/>
    <x v="1"/>
    <s v="Gerardo Alberto Molina Ulloa"/>
    <s v="Factura 830"/>
    <x v="17"/>
    <s v="OC*44*1863/ Compra tornillos/Suministros para consumo produccion"/>
  </r>
  <r>
    <s v="Euromobilia "/>
    <s v="Logística Espacial"/>
    <s v="Eitan R"/>
    <d v="2026-02-26T00:00:00"/>
    <m/>
    <n v="-13"/>
    <s v="NUEVO"/>
    <n v="166251.25"/>
    <x v="1"/>
    <n v="332.92198169693813"/>
    <x v="1"/>
    <s v="Grupo Servica de CR"/>
    <s v="Factura 234357"/>
    <x v="2"/>
    <s v="OC*055815/ Factura de Importacion"/>
  </r>
  <r>
    <s v="Euromobilia "/>
    <s v="Fábrica Barrio Cuba"/>
    <s v="Sidney R"/>
    <d v="2026-02-26T00:00:00"/>
    <m/>
    <n v="-13"/>
    <s v="NUEVO"/>
    <n v="22035"/>
    <x v="1"/>
    <n v="44.125598253799787"/>
    <x v="1"/>
    <s v="Industrial Lithio Quimica"/>
    <s v="Factura 12042"/>
    <x v="25"/>
    <s v="OC*59*3401/ Compra grasa lubricante/Suministros para mantenimiento maquinas"/>
  </r>
  <r>
    <s v="Euromobilia "/>
    <s v="Fábrica San Francisco"/>
    <s v="Uri R"/>
    <d v="2026-02-26T00:00:00"/>
    <m/>
    <n v="-13"/>
    <s v="NUEVO"/>
    <n v="11639"/>
    <x v="1"/>
    <n v="23.307367282776298"/>
    <x v="1"/>
    <s v="Ingrid Garcia Solano (Servirepuestos Garcia)"/>
    <s v="Factura 638"/>
    <x v="13"/>
    <s v="OC 09-6150/Material solicitado para consumo interno/Bolsa plastica transparente"/>
  </r>
  <r>
    <s v="Euromobilia "/>
    <s v="Proyectos Integrales"/>
    <s v="Sidney R"/>
    <d v="2026-02-26T00:00:00"/>
    <m/>
    <n v="-13"/>
    <s v="NUEVO"/>
    <n v="105403.1"/>
    <x v="1"/>
    <n v="211.0721509101468"/>
    <x v="1"/>
    <s v="Intrep"/>
    <s v="Factura 158"/>
    <x v="17"/>
    <s v="OC*44*1866/ Compra adhesivo/Suministros para usar en proy Sky Garden"/>
  </r>
  <r>
    <s v="Euromobilia "/>
    <s v="Fábrica Barrio Cuba"/>
    <s v="Sidney R"/>
    <d v="2026-02-26T00:00:00"/>
    <m/>
    <n v="-13"/>
    <s v="NUEVO"/>
    <n v="180800"/>
    <x v="1"/>
    <n v="362.0561908004085"/>
    <x v="1"/>
    <s v="Ricardo Marin Segura"/>
    <s v="Factura 788"/>
    <x v="14"/>
    <s v="OC*055786/Servicio de instalacion y mantenimiento aire acondicionado/Solicitado Jose Navarro"/>
  </r>
  <r>
    <s v="Euromobilia "/>
    <s v="Fábrica Barrio Cuba"/>
    <s v="Sidney R"/>
    <d v="2026-02-26T00:00:00"/>
    <m/>
    <n v="-13"/>
    <s v="NUEVO"/>
    <n v="13410"/>
    <x v="1"/>
    <n v="26.85383583314977"/>
    <x v="1"/>
    <s v="Sabesa-Novex"/>
    <s v="Factura 2547"/>
    <x v="18"/>
    <s v="OC*055725/Compra cafetera 5 tazas/Para uso interno"/>
  </r>
  <r>
    <s v="Euromobilia "/>
    <s v="Fábrica San Francisco"/>
    <s v="Uri R"/>
    <d v="2026-02-26T00:00:00"/>
    <m/>
    <n v="-13"/>
    <s v="NUEVO"/>
    <n v="8418.5"/>
    <x v="1"/>
    <n v="16.858241384144023"/>
    <x v="1"/>
    <s v="TEEINSA"/>
    <s v="Factura 17108"/>
    <x v="13"/>
    <s v="OC 09-6151/Material solicitado para consumo interno/Bolsa plastica transparente"/>
  </r>
  <r>
    <s v="Euromobilia "/>
    <s v="Hogares Funcionales"/>
    <s v="Sidney R"/>
    <d v="2026-02-26T00:00:00"/>
    <m/>
    <n v="-13"/>
    <s v="NUEVO"/>
    <n v="79100"/>
    <x v="1"/>
    <n v="158.39958347517873"/>
    <x v="1"/>
    <s v="Tinza AG"/>
    <s v="Factura 6731"/>
    <x v="2"/>
    <s v="OC*055796/ Factura de Importacion"/>
  </r>
  <r>
    <s v="Euromobilia "/>
    <s v="CEDI"/>
    <s v="Uri R"/>
    <d v="2026-02-27T00:00:00"/>
    <m/>
    <n v="-14"/>
    <n v="3"/>
    <n v="29764.2"/>
    <x v="1"/>
    <n v="59.603500410517256"/>
    <x v="1"/>
    <s v="Equipos de Salud Ocupacional"/>
    <s v="Factura 14531"/>
    <x v="8"/>
    <s v="OC 31-3468/Equipos de salud ocupacional uso en el personal/chaleco reflectivo"/>
  </r>
  <r>
    <s v="Euromobilia "/>
    <s v="Logística Espacial"/>
    <s v="Eitan R"/>
    <d v="2026-02-27T00:00:00"/>
    <d v="2026-02-27T00:00:00"/>
    <n v="-14"/>
    <n v="3"/>
    <n v="19691.259999999998"/>
    <x v="0"/>
    <n v="19691.259999999998"/>
    <x v="0"/>
    <s v="Anhui Jinghui Intelligent Logistics"/>
    <s v="Pago 70% Final PI 32551, PO NJS-01/26"/>
    <x v="0"/>
    <s v="EDICA//LOGISTICA ESPACIAL"/>
  </r>
  <r>
    <s v="Euromobilia "/>
    <s v="Hogares Funcionales"/>
    <s v="Sidney R"/>
    <d v="2026-02-27T00:00:00"/>
    <m/>
    <n v="-14"/>
    <s v="NUEVO"/>
    <n v="39550"/>
    <x v="1"/>
    <n v="79.199791737589365"/>
    <x v="1"/>
    <s v="Allan Esteban Hernandez Camacho"/>
    <s v="Factura 358"/>
    <x v="2"/>
    <s v="OC*055799/ Factura de Importacion"/>
  </r>
  <r>
    <s v="Euromobilia "/>
    <s v="Productividad Humana"/>
    <s v="Uri R"/>
    <d v="2026-02-27T00:00:00"/>
    <m/>
    <n v="-14"/>
    <s v="NUEVO"/>
    <n v="39550"/>
    <x v="1"/>
    <n v="79.199791737589365"/>
    <x v="1"/>
    <s v="Allan Esteban Hernandez Camacho"/>
    <s v="Factura 359"/>
    <x v="2"/>
    <s v="OC*055800/ Factura de Importacion"/>
  </r>
  <r>
    <s v="Euromobilia "/>
    <s v="Productividad Humana"/>
    <s v="Uri R"/>
    <d v="2026-02-27T00:00:00"/>
    <m/>
    <n v="-14"/>
    <s v="NUEVO"/>
    <n v="56500"/>
    <x v="1"/>
    <n v="113.14255962512766"/>
    <x v="1"/>
    <s v="Allan Esteban Hernandez Camacho"/>
    <s v="Factura 360"/>
    <x v="2"/>
    <s v="OC*055801/ Factura de Importacion"/>
  </r>
  <r>
    <s v="Euromobilia "/>
    <s v="Proyectos Integrales"/>
    <s v="Sidney R"/>
    <d v="2026-02-27T00:00:00"/>
    <m/>
    <n v="-14"/>
    <s v="NUEVO"/>
    <n v="73450"/>
    <x v="1"/>
    <n v="147.08532751266597"/>
    <x v="1"/>
    <s v="Allan Esteban Hernandez Camacho"/>
    <s v="Factura 361"/>
    <x v="2"/>
    <s v="OC*055802/ Factura de Importacion"/>
  </r>
  <r>
    <s v="Euromobilia "/>
    <s v="Proyectos Integrales"/>
    <s v="Sidney R"/>
    <d v="2026-02-27T00:00:00"/>
    <m/>
    <n v="-14"/>
    <s v="NUEVO"/>
    <n v="73450"/>
    <x v="1"/>
    <n v="147.08532751266597"/>
    <x v="1"/>
    <s v="Allan Esteban Hernandez Camacho"/>
    <s v="Factura 362"/>
    <x v="2"/>
    <s v="OC*055803/ Factura de Importacion"/>
  </r>
  <r>
    <s v="Euromobilia "/>
    <s v="Proyectos Integrales"/>
    <s v="Sidney R"/>
    <d v="2026-02-27T00:00:00"/>
    <m/>
    <n v="-14"/>
    <s v="NUEVO"/>
    <n v="73450"/>
    <x v="1"/>
    <n v="147.08532751266597"/>
    <x v="1"/>
    <s v="Allan Esteban Hernandez Camacho"/>
    <s v="Factura 363"/>
    <x v="2"/>
    <s v="OC*055805/ Factura de Importacion"/>
  </r>
  <r>
    <s v="Euromobilia "/>
    <s v="Proyectos Integrales"/>
    <s v="Sidney R"/>
    <d v="2026-02-27T00:00:00"/>
    <m/>
    <n v="-14"/>
    <s v="NUEVO"/>
    <n v="62150"/>
    <x v="1"/>
    <n v="124.45681558764042"/>
    <x v="1"/>
    <s v="Allan Esteban Hernandez Camacho"/>
    <s v="Factura 364"/>
    <x v="2"/>
    <s v="OC*055806/ Factura de Importacion"/>
  </r>
  <r>
    <s v="Euromobilia "/>
    <s v="Hogares Funcionales"/>
    <s v="Sidney R"/>
    <d v="2026-02-27T00:00:00"/>
    <m/>
    <n v="-14"/>
    <s v="NUEVO"/>
    <n v="16950"/>
    <x v="1"/>
    <n v="33.942767887538295"/>
    <x v="1"/>
    <s v="Erick Hernandez Camacho"/>
    <s v="Factura 2776"/>
    <x v="2"/>
    <s v="OC*055807/ Factura de Importacion"/>
  </r>
  <r>
    <s v="Euromobilia "/>
    <s v="Productividad Humana"/>
    <s v="Uri R"/>
    <d v="2026-02-27T00:00:00"/>
    <m/>
    <n v="-14"/>
    <s v="NUEVO"/>
    <n v="22600"/>
    <x v="1"/>
    <n v="45.257023850051063"/>
    <x v="1"/>
    <s v="Erick Hernandez Camacho"/>
    <s v="Factura 2777"/>
    <x v="2"/>
    <s v="OC*055808/ Factura de Importacion"/>
  </r>
  <r>
    <s v="Euromobilia "/>
    <s v="Fábrica Barrio Cuba"/>
    <s v="Sidney R"/>
    <d v="2026-02-27T00:00:00"/>
    <m/>
    <n v="-14"/>
    <s v="NUEVO"/>
    <n v="137000"/>
    <x v="1"/>
    <n v="274.34567555119452"/>
    <x v="1"/>
    <s v="Peleteria y Viniles los Angeles"/>
    <s v="Factura 55381"/>
    <x v="17"/>
    <s v="OC*44*1870/ Compra llavin paleta/Suministros para consumo produccion"/>
  </r>
  <r>
    <s v="Euromobilia "/>
    <s v="Proyectos Integrales"/>
    <s v="Sidney R"/>
    <d v="2026-02-27T00:00:00"/>
    <m/>
    <n v="-14"/>
    <s v="NUEVO"/>
    <n v="152794.07999999999"/>
    <x v="1"/>
    <n v="305.97368684542522"/>
    <x v="1"/>
    <s v="Tinza Internacional"/>
    <s v="Factura 101057"/>
    <x v="2"/>
    <s v="OC*055797/ Factura de Importacion"/>
  </r>
  <r>
    <s v="Euromobilia "/>
    <s v="Fábrica Barrio Cuba"/>
    <s v="Sidney R"/>
    <d v="2026-02-28T00:00:00"/>
    <m/>
    <n v="-15"/>
    <n v="3"/>
    <n v="338946.9"/>
    <x v="1"/>
    <n v="678.74902376995021"/>
    <x v="1"/>
    <s v="Capris"/>
    <s v="Factura 82785"/>
    <x v="13"/>
    <s v="OC*44*1845/Compra papel higenico,toalla de papel/Material solicitado para consumo interno"/>
  </r>
  <r>
    <s v="Euromobilia "/>
    <s v="Hogares Funcionales"/>
    <s v="Sidney R"/>
    <d v="2026-02-28T00:00:00"/>
    <m/>
    <n v="-15"/>
    <s v="NUEVO"/>
    <n v="132.78"/>
    <x v="0"/>
    <n v="132.78"/>
    <x v="1"/>
    <s v="Sociaco Logistics"/>
    <s v="Factura 258885"/>
    <x v="2"/>
    <s v="OC*055810/ Factura de importaciones"/>
  </r>
  <r>
    <s v="Euromobilia "/>
    <s v="Fábrica Barrio Cuba"/>
    <s v="Sidney R"/>
    <d v="2026-02-28T00:00:00"/>
    <m/>
    <n v="-15"/>
    <s v="NUEVO"/>
    <n v="123258.71"/>
    <x v="1"/>
    <n v="246.82842381400565"/>
    <x v="1"/>
    <s v="Tinza Internacional"/>
    <s v="Factura 101124"/>
    <x v="2"/>
    <s v="OC*055816/ Factura de Importacion"/>
  </r>
  <r>
    <s v="Euromobilia "/>
    <s v="Proyectos Integrales"/>
    <s v="Sidney R"/>
    <d v="2026-02-28T00:00:00"/>
    <m/>
    <n v="-15"/>
    <s v="NUEVO"/>
    <n v="123257.71"/>
    <x v="1"/>
    <n v="246.82642129082646"/>
    <x v="1"/>
    <s v="Tinza Internacional"/>
    <s v="Factura 101126"/>
    <x v="2"/>
    <s v="OC*055817/ Factura de Importacion"/>
  </r>
  <r>
    <s v="Euromobilia "/>
    <s v="Fábrica San Francisco"/>
    <s v="Uri R"/>
    <d v="2026-03-01T00:00:00"/>
    <m/>
    <n v="-16"/>
    <n v="4"/>
    <n v="75949.56"/>
    <x v="1"/>
    <n v="152.0907543504816"/>
    <x v="1"/>
    <s v="Aplicaciones Electromecanicas B y D"/>
    <s v="Factura 95527"/>
    <x v="25"/>
    <s v="OC 55435/Mano de obra herramienta inalambrica, motor e interruptor DCD796D2"/>
  </r>
  <r>
    <s v="Euromobilia "/>
    <s v="Fábrica San Francisco"/>
    <s v="Uri R"/>
    <d v="2026-03-01T00:00:00"/>
    <m/>
    <n v="-16"/>
    <n v="4"/>
    <n v="237090.09"/>
    <x v="1"/>
    <n v="474.77840078498906"/>
    <x v="1"/>
    <s v="Sur Quimica"/>
    <s v="Factura 2858"/>
    <x v="17"/>
    <s v="OC 09-6142/Material solicitado para consumo produccion/Lija de agua, lija de disco, brocha, spray negro, brocha corriente,felpa para rodillo"/>
  </r>
  <r>
    <s v="Euromobilia "/>
    <s v="Fábrica Barrio Cuba"/>
    <s v="Sidney R"/>
    <d v="2026-03-01T00:00:00"/>
    <m/>
    <n v="-16"/>
    <s v="NUEVO"/>
    <n v="50850"/>
    <x v="1"/>
    <n v="101.8283036626149"/>
    <x v="1"/>
    <s v="Allan Esteban Hernandez Camacho"/>
    <s v="Factura 365"/>
    <x v="2"/>
    <s v="OC*055806/ Factura de Importacion"/>
  </r>
  <r>
    <s v="Euromobilia "/>
    <s v="Proyectos Integrales"/>
    <s v="Sidney R"/>
    <d v="2026-03-01T00:00:00"/>
    <m/>
    <n v="-16"/>
    <s v="NUEVO"/>
    <n v="45200"/>
    <x v="1"/>
    <n v="90.514047700102125"/>
    <x v="1"/>
    <s v="Allan Esteban Hernandez Camacho"/>
    <s v="Factura 366"/>
    <x v="2"/>
    <s v="OC*055835/ Factura de Importacion"/>
  </r>
  <r>
    <s v="Euromobilia "/>
    <s v="Proyectos Integrales"/>
    <s v="Sidney R"/>
    <d v="2026-03-01T00:00:00"/>
    <m/>
    <n v="-16"/>
    <s v="NUEVO"/>
    <n v="73450"/>
    <x v="1"/>
    <n v="147.08532751266597"/>
    <x v="1"/>
    <s v="Allan Esteban Hernandez Camacho"/>
    <s v="Factura 367"/>
    <x v="2"/>
    <s v="OC*055838/ Factura de Importacion"/>
  </r>
  <r>
    <s v="Euromobilia "/>
    <s v="Fábrica Barrio Cuba"/>
    <s v="Sidney R"/>
    <d v="2026-03-01T00:00:00"/>
    <m/>
    <n v="-16"/>
    <s v="NUEVO"/>
    <n v="56500"/>
    <x v="1"/>
    <n v="113.14255962512766"/>
    <x v="1"/>
    <s v="Allan Esteban Hernandez Camacho"/>
    <s v="Factura 368"/>
    <x v="2"/>
    <s v="OC*055845/ Factura de Importacion"/>
  </r>
  <r>
    <s v="Euromobilia "/>
    <s v="Fábrica Barrio Cuba"/>
    <s v="Sidney R"/>
    <d v="2026-03-01T00:00:00"/>
    <m/>
    <n v="-16"/>
    <s v="NUEVO"/>
    <n v="92650"/>
    <x v="1"/>
    <n v="185.53377255341729"/>
    <x v="1"/>
    <s v="Corporación Comercial e Industrial El Lagar"/>
    <s v="Factura 123787"/>
    <x v="25"/>
    <s v="OC*055624/Compra material llave de paso, tee lisa, codo liso, tubo/Suministros solicitado Jose Navarro"/>
  </r>
  <r>
    <s v="Euromobilia "/>
    <s v="Productividad Humana"/>
    <s v="Uri R"/>
    <d v="2026-03-01T00:00:00"/>
    <m/>
    <n v="-16"/>
    <s v="NUEVO"/>
    <n v="67800"/>
    <x v="1"/>
    <n v="135.77107155015318"/>
    <x v="1"/>
    <s v="Erick Hernandez Camacho"/>
    <s v="Factura 2778"/>
    <x v="2"/>
    <s v="OC*055848/ Factura de Importacion"/>
  </r>
  <r>
    <s v="Euromobilia "/>
    <s v="Fábrica Barrio Cuba"/>
    <s v="Sidney R"/>
    <d v="2026-03-01T00:00:00"/>
    <m/>
    <n v="-16"/>
    <s v="NUEVO"/>
    <n v="28250"/>
    <x v="1"/>
    <n v="56.57127981256383"/>
    <x v="1"/>
    <s v="Erick Hernandez Camacho"/>
    <s v="Factura 2779"/>
    <x v="2"/>
    <s v="OC*055851/ Factura de Importacion"/>
  </r>
  <r>
    <s v="Euromobilia "/>
    <s v="Proyectos Integrales"/>
    <s v="Sidney R"/>
    <d v="2026-03-01T00:00:00"/>
    <m/>
    <n v="-16"/>
    <s v="NUEVO"/>
    <n v="28250"/>
    <x v="1"/>
    <n v="56.57127981256383"/>
    <x v="1"/>
    <s v="Erick Hernandez Camacho"/>
    <s v="r"/>
    <x v="2"/>
    <s v="OC*055854/ Factura de Importacion"/>
  </r>
  <r>
    <s v="Euromobilia "/>
    <s v="Fábrica Barrio Cuba"/>
    <s v="Sidney R"/>
    <d v="2026-03-01T00:00:00"/>
    <m/>
    <n v="-16"/>
    <s v="NUEVO"/>
    <n v="123268.99"/>
    <x v="1"/>
    <n v="246.84900975228788"/>
    <x v="1"/>
    <s v="Tinza Internacional"/>
    <s v="Factura 101199"/>
    <x v="2"/>
    <s v="OC*055847/ Factura de Importacion"/>
  </r>
  <r>
    <s v="Euromobilia "/>
    <s v="Fábrica Barrio Cuba"/>
    <s v="Sidney R"/>
    <d v="2026-03-02T00:00:00"/>
    <d v="2026-03-02T00:00:00"/>
    <n v="-17"/>
    <d v="2026-03-02T00:00:00"/>
    <n v="216.5"/>
    <x v="0"/>
    <n v="216.5"/>
    <x v="0"/>
    <s v="Hafele"/>
    <s v="Pago 100% Factura 110499544,   PO HA-12/2"/>
    <x v="17"/>
    <s v="STOCK//FABRICA BARRIO CUBA//INSUMOS PRODUCCION"/>
  </r>
  <r>
    <s v="Euromobilia "/>
    <s v="Fábrica Barrio Cuba"/>
    <s v="Sidney R"/>
    <d v="2026-03-02T00:00:00"/>
    <m/>
    <n v="-17"/>
    <s v="NUEVO"/>
    <n v="166621.66"/>
    <x v="1"/>
    <n v="333.66373630774774"/>
    <x v="1"/>
    <s v="Mayoreo Ferreteria y Acabados"/>
    <s v="Factura 647238"/>
    <x v="16"/>
    <s v="OC*55*1259/ Compra melamina/Suministros para consumo produccion"/>
  </r>
  <r>
    <s v="Euromobilia "/>
    <s v="Hogares Funcionales"/>
    <s v="Sidney R"/>
    <d v="2026-03-03T00:00:00"/>
    <m/>
    <n v="-18"/>
    <n v="4"/>
    <n v="344.65"/>
    <x v="0"/>
    <n v="344.65"/>
    <x v="1"/>
    <s v="Comercializadora VMR"/>
    <s v="Factura 2943"/>
    <x v="27"/>
    <s v="OC HO-501/Pedido: VMR-11/25/Cliente: Maria Emilia Fernandez Mora/Grifo de cocina monocromado"/>
  </r>
  <r>
    <s v="Euromobilia "/>
    <s v="Fábrica San Francisco"/>
    <s v="Uri R"/>
    <d v="2026-03-05T00:00:00"/>
    <m/>
    <n v="-20"/>
    <n v="4"/>
    <n v="256681.91"/>
    <x v="1"/>
    <n v="514.0114744578168"/>
    <x v="1"/>
    <s v="Aceros Abonos Agro"/>
    <s v="Factura 89584"/>
    <x v="14"/>
    <s v="OC 55473/Material solicitado para mantenimiento en planta bodegas/malla electrosoldada, tornillos punta"/>
  </r>
  <r>
    <s v="Euromobilia "/>
    <s v="Hogares Funcionales"/>
    <s v="Sidney R"/>
    <d v="2026-03-06T00:00:00"/>
    <d v="2026-03-06T00:00:00"/>
    <n v="-21"/>
    <n v="4"/>
    <n v="90.02"/>
    <x v="0"/>
    <n v="90.02"/>
    <x v="0"/>
    <s v="CATA"/>
    <s v="Pago 100% Factura 12, PO CAT-02/25 "/>
    <x v="18"/>
    <s v="DORA EMILIA//HOGARES FUNCIONALES"/>
  </r>
  <r>
    <s v="Euromobilia "/>
    <s v="Proyectos Integrales"/>
    <s v="Sidney R"/>
    <d v="2026-03-07T00:00:00"/>
    <m/>
    <n v="-22"/>
    <n v="4"/>
    <n v="55544.02"/>
    <x v="1"/>
    <n v="111.22818751627049"/>
    <x v="1"/>
    <s v="Universal de Tornillos y Herramientas"/>
    <s v="Factura 492791"/>
    <x v="17"/>
    <s v="OC*44*1850/Compra tornillos/Material solicitado por Luis Huete pro Sky Garden"/>
  </r>
  <r>
    <s v="Euromobilia "/>
    <s v="Logística Espacial"/>
    <s v="Eitan R"/>
    <d v="2026-03-08T00:00:00"/>
    <d v="2026-03-08T00:00:00"/>
    <n v="-23"/>
    <d v="2026-03-08T00:00:00"/>
    <n v="33243.35"/>
    <x v="0"/>
    <n v="33243.35"/>
    <x v="0"/>
    <s v="Anhui Jinghui Intelligent Logistics"/>
    <s v="Pago 45% Segundo pago PI 32961, PO NJS-21/25 - LEP"/>
    <x v="0"/>
    <s v="VERTICE STOCK//LOGISTICA ESPACIAL"/>
  </r>
  <r>
    <s v="Euromobilia "/>
    <s v="Productividad Humana"/>
    <s v="Uri R"/>
    <d v="2026-03-08T00:00:00"/>
    <m/>
    <n v="-23"/>
    <n v="4"/>
    <n v="260001"/>
    <x v="1"/>
    <n v="520.65802911668698"/>
    <x v="1"/>
    <s v="Peleteria y Viniles los Angeles"/>
    <s v="Factura 54972"/>
    <x v="13"/>
    <s v="OC 31-3475/Material solicitado paraProyecto MCM/SAGA/Alfombra aislante cubridora"/>
  </r>
  <r>
    <s v="Euromobilia "/>
    <s v="Fábrica Barrio Cuba"/>
    <s v="Sidney R"/>
    <d v="2026-03-08T00:00:00"/>
    <m/>
    <n v="-23"/>
    <s v="NUEVO"/>
    <n v="323431.11"/>
    <x v="1"/>
    <n v="647.67829465126056"/>
    <x v="1"/>
    <s v="Sur Quimica"/>
    <s v="Factura 2921"/>
    <x v="17"/>
    <s v="OC*44*1858/ Compra thinner corriente/Suministros para consumo produccion"/>
  </r>
  <r>
    <s v="Euromobilia "/>
    <s v="Fábrica Barrio Cuba"/>
    <s v="Sidney R"/>
    <d v="2026-03-09T00:00:00"/>
    <d v="2026-03-09T00:00:00"/>
    <n v="-24"/>
    <d v="2026-03-09T00:00:00"/>
    <n v="547.5"/>
    <x v="0"/>
    <n v="547.5"/>
    <x v="1"/>
    <s v="Extralum"/>
    <s v="Factura 3195"/>
    <x v="11"/>
    <s v="OC*58*0089/Compra contramarco/Material solicitado para proy Epsilon"/>
  </r>
  <r>
    <s v="Euromobilia "/>
    <s v="Fábrica Barrio Cuba"/>
    <s v="Sidney R"/>
    <d v="2026-03-09T00:00:00"/>
    <m/>
    <n v="-24"/>
    <n v="4"/>
    <n v="28022.66"/>
    <x v="1"/>
    <n v="56.116026193003187"/>
    <x v="1"/>
    <s v="Universal de Tornillos y Herramientas"/>
    <s v="Factura 493322"/>
    <x v="17"/>
    <s v="OC*44*1836/Compra cinta metrica/Material solicitado para consumo interno"/>
  </r>
  <r>
    <s v="Euromobilia "/>
    <s v="Hogares Funcionales"/>
    <s v="Sidney R"/>
    <d v="2026-03-09T00:00:00"/>
    <d v="2026-03-09T00:00:00"/>
    <n v="-24"/>
    <n v="4"/>
    <n v="705.1"/>
    <x v="2"/>
    <n v="833.85126000000014"/>
    <x v="2"/>
    <s v="BC3 Cocinas S.L."/>
    <s v="Pago 100% Factura FVR06-25-003086, PO OS-055467"/>
    <x v="1"/>
    <s v="EXTRA OSWALDO ALVARES ///HOGARES FUNCIONALES//MOBILIARIO HOGAR// "/>
  </r>
  <r>
    <s v="Euromobilia "/>
    <s v="Hogares Funcionales"/>
    <s v="Sidney R"/>
    <d v="2026-03-09T00:00:00"/>
    <d v="2026-03-09T00:00:00"/>
    <n v="-24"/>
    <s v="NUEVO"/>
    <n v="3.75"/>
    <x v="2"/>
    <n v="4.4347500000000002"/>
    <x v="2"/>
    <s v="BC3 Cocinas S.L."/>
    <s v="Pago 100% Factura FVR06-25-003087, PO OS-055469 y OS-055468"/>
    <x v="1"/>
    <s v="GARANTIAS//EXTRA LUCES SHOWROOM Y EXTRA OSVALDO//HOGARES FUNCIONALES/MOBILIARIO DE COCINAS"/>
  </r>
  <r>
    <s v="Euromobilia "/>
    <s v="Fábrica Barrio Cuba"/>
    <s v="Sidney R"/>
    <d v="2026-03-09T00:00:00"/>
    <m/>
    <n v="-24"/>
    <s v="NUEVO"/>
    <n v="284618.75"/>
    <x v="1"/>
    <n v="569.95564411158057"/>
    <x v="1"/>
    <s v="Mexichem"/>
    <s v="Factura 584984"/>
    <x v="17"/>
    <s v="OC*44*1857/ Compra tapita adhesiva/Suministros para consumo instalaciones"/>
  </r>
  <r>
    <s v="Euromobilia "/>
    <s v="Fábrica Barrio Cuba"/>
    <s v="Sidney R"/>
    <d v="2026-03-10T00:00:00"/>
    <m/>
    <n v="-25"/>
    <n v="4"/>
    <n v="112928.58"/>
    <x v="1"/>
    <n v="226.14209904479645"/>
    <x v="1"/>
    <s v="Forestales Latinoamericanos"/>
    <s v="Factura 292998"/>
    <x v="16"/>
    <s v="OC*44*1837/Compra de chapeta pyv/Material solicitado para stock produccion"/>
  </r>
  <r>
    <s v="Euromobilia "/>
    <s v="Logística Espacial"/>
    <s v="Eitan R"/>
    <d v="2026-03-11T00:00:00"/>
    <d v="2026-03-11T00:00:00"/>
    <n v="-26"/>
    <d v="2026-03-11T00:00:00"/>
    <n v="74749.009999999995"/>
    <x v="0"/>
    <n v="74749.009999999995"/>
    <x v="0"/>
    <s v="Anhui Jinghui Intelligent Logistics"/>
    <s v="Pago 30% Final PI Stock 12, PO NJS-08/25 -LEP"/>
    <x v="0"/>
    <s v="STOCK#12 LEP//Mega Racks //Logistica Espacial                                                                                                                      ID CONTROL:"/>
  </r>
  <r>
    <s v="Euromobilia "/>
    <s v="Logística Espacial"/>
    <s v="Eitan R"/>
    <d v="2026-03-12T00:00:00"/>
    <d v="2026-03-11T00:00:00"/>
    <n v="-27"/>
    <d v="2026-03-11T00:00:00"/>
    <n v="53026.23"/>
    <x v="0"/>
    <n v="53026.23"/>
    <x v="0"/>
    <s v="Anhui Jinghui Intelligent Logistics"/>
    <s v="Pago 30% Final PI 31160, PO NJS-11/25- LEP"/>
    <x v="0"/>
    <s v="31161 BOSTON SCIENTIFIC//MEGA RACKS//LOGISTICA ESPACIAL                                                                                                 ID CONTROL:LE-NJS-11/25"/>
  </r>
  <r>
    <s v="Euromobilia "/>
    <s v="Fábrica San Francisco"/>
    <s v="Uri R"/>
    <d v="2026-03-12T00:00:00"/>
    <d v="2026-03-12T00:00:00"/>
    <n v="-27"/>
    <d v="2026-03-12T00:00:00"/>
    <n v="7921.3"/>
    <x v="0"/>
    <n v="7921.3"/>
    <x v="1"/>
    <s v="LatinAmericoats"/>
    <s v="Factura 2313"/>
    <x v="16"/>
    <s v="OC 03-4557/Material solicitado para consumo interno produccion"/>
  </r>
  <r>
    <s v="Euromobilia "/>
    <s v="Hogares Funcionales"/>
    <s v="Sidney R"/>
    <d v="2026-03-13T00:00:00"/>
    <d v="2026-03-13T00:00:00"/>
    <n v="-28"/>
    <n v="4"/>
    <n v="4628"/>
    <x v="0"/>
    <n v="4628"/>
    <x v="0"/>
    <s v="Electrolux Home Products"/>
    <s v="Pago 100% Factura EH25121027, PO ELE-24/25   "/>
    <x v="18"/>
    <s v="VANESSA PALACIOS GOMEZ//HOGARES FUNCIONALES//ELECTRODOMESTICOS"/>
  </r>
  <r>
    <s v="Euromobilia "/>
    <s v="Fábrica San Francisco"/>
    <s v="Uri R"/>
    <d v="2026-03-14T00:00:00"/>
    <m/>
    <n v="-29"/>
    <n v="4"/>
    <n v="98297.57"/>
    <x v="1"/>
    <n v="196.84316238460463"/>
    <x v="1"/>
    <s v="Universal de Tornillos y Herramientas"/>
    <s v="Factura  494720"/>
    <x v="17"/>
    <s v="OC 09-6139/Material solicitado para consumo produccion/Tornillo hexagonal punta broca"/>
  </r>
  <r>
    <s v="Euromobilia "/>
    <s v="Fábrica Barrio Cuba"/>
    <s v="Sidney R"/>
    <d v="2026-03-15T00:00:00"/>
    <m/>
    <n v="-30"/>
    <n v="4"/>
    <n v="58.13"/>
    <x v="0"/>
    <n v="58.13"/>
    <x v="1"/>
    <s v="Extralum"/>
    <s v="Factura 242737"/>
    <x v="17"/>
    <s v="OC*BV*4895/Compra vidrio/Material solicitado para ODP#119306 TSE Los Chiles"/>
  </r>
  <r>
    <s v="Euromobilia "/>
    <s v="Proyectos Integrales"/>
    <s v="Sidney R"/>
    <d v="2026-03-15T00:00:00"/>
    <m/>
    <n v="-30"/>
    <n v="4"/>
    <n v="96572.63"/>
    <x v="1"/>
    <n v="193.38893005186534"/>
    <x v="1"/>
    <s v="Universal de Tornillos y Herramientas"/>
    <s v="Factura 494791"/>
    <x v="17"/>
    <s v="OC*44*1844/Compra tornillos/Material solicitado por Luis Huete pro Sky Garden"/>
  </r>
  <r>
    <s v="Euromobilia "/>
    <s v="Fábrica Barrio Cuba"/>
    <s v="Sidney R"/>
    <d v="2026-03-15T00:00:00"/>
    <m/>
    <n v="-30"/>
    <n v="4"/>
    <n v="50734.74"/>
    <x v="1"/>
    <n v="101.59749284097963"/>
    <x v="1"/>
    <s v="Universal de Tornillos y Herramientas"/>
    <s v="Factura 495113"/>
    <x v="17"/>
    <s v="OC*44*1849/Compra espander/Material solicitado para consumo produccion"/>
  </r>
  <r>
    <s v="Euromobilia "/>
    <s v="Fábrica Barrio Cuba"/>
    <s v="Sidney R"/>
    <d v="2026-03-16T00:00:00"/>
    <m/>
    <n v="-31"/>
    <n v="4"/>
    <n v="890403.83999999997"/>
    <x v="1"/>
    <n v="1783.0543284538517"/>
    <x v="1"/>
    <s v="Forestales Latinoamericanos"/>
    <s v="Factura 293817"/>
    <x v="16"/>
    <s v="OC*55*1258/Compra de MDF 15mmm/Material solicitado para stock produccion"/>
  </r>
  <r>
    <s v="Euromobilia "/>
    <s v="Fábrica San Francisco"/>
    <s v="Uri R"/>
    <d v="2026-03-16T00:00:00"/>
    <m/>
    <n v="-31"/>
    <n v="4"/>
    <n v="98297.57"/>
    <x v="1"/>
    <n v="196.84316238460463"/>
    <x v="1"/>
    <s v="Universal de Tornillos y Herramientas"/>
    <s v="Factura 495428"/>
    <x v="17"/>
    <s v="OC 09-6141/Material solicitado para consumo produccion/Tornillo hexagonal punta broca"/>
  </r>
  <r>
    <s v="Euromobilia "/>
    <s v="Fábrica San Francisco"/>
    <s v="Uri R"/>
    <d v="2026-03-16T00:00:00"/>
    <m/>
    <n v="-31"/>
    <n v="4"/>
    <n v="257037.39"/>
    <x v="1"/>
    <n v="514.72333139756097"/>
    <x v="1"/>
    <s v="Universal de Tornillos y Herramientas"/>
    <s v="Factura 495494"/>
    <x v="17"/>
    <s v="OC 09-6140/Material solicitado para consumo produccion/Tornillo, escuadra,alicate,cinta metrica,disco esmerilar"/>
  </r>
  <r>
    <s v="Euromobilia "/>
    <s v="Productividad Humana"/>
    <s v="Uri R"/>
    <d v="2026-03-17T00:00:00"/>
    <m/>
    <n v="-32"/>
    <s v="NUEVO"/>
    <n v="375.08"/>
    <x v="0"/>
    <n v="375.08"/>
    <x v="1"/>
    <s v="Extralum"/>
    <s v="Factura 242976"/>
    <x v="11"/>
    <s v="OC 31-3477/Vidrios solicitados para ODP 119159 CEI EPILSON BWI/Vidrio temperado claro"/>
  </r>
  <r>
    <s v="Euromobilia "/>
    <s v="Fábrica Barrio Cuba"/>
    <s v="Sidney R"/>
    <d v="2026-03-17T00:00:00"/>
    <m/>
    <n v="-32"/>
    <s v="NUEVO"/>
    <n v="1230520"/>
    <x v="1"/>
    <n v="2464.1448224763203"/>
    <x v="1"/>
    <s v="Forestales Latinoamericanos"/>
    <s v="Factura 293980"/>
    <x v="16"/>
    <s v="OC*55*1260/ Compra melamina/Suministros para consumo produccion"/>
  </r>
  <r>
    <s v="Euromobilia "/>
    <s v="Fábrica Barrio Cuba"/>
    <s v="Sidney R"/>
    <d v="2026-03-18T00:00:00"/>
    <d v="2026-03-18T00:00:00"/>
    <n v="-33"/>
    <d v="2026-03-18T00:00:00"/>
    <n v="21630.023000000001"/>
    <x v="2"/>
    <n v="25579.665199800002"/>
    <x v="2"/>
    <s v="Fritz Egger"/>
    <s v="Pago 100% Factura 1751546649, PO EGG-03/25"/>
    <x v="16"/>
    <s v="STOCK//FABRICA BARRIO CUBA//TABLEROS DE MELAMINA"/>
  </r>
  <r>
    <s v="Euromobilia "/>
    <s v="Logística Espacial"/>
    <s v="Eitan R"/>
    <d v="2026-03-22T00:00:00"/>
    <d v="2026-03-22T00:00:00"/>
    <n v="-37"/>
    <d v="2026-03-22T00:00:00"/>
    <n v="49087.58"/>
    <x v="0"/>
    <n v="49087.58"/>
    <x v="0"/>
    <s v="Anhui Jinghui Intelligent Logistics"/>
    <s v="Pago 30%+3.5% Intereses Pago final  PI stock 13, PO NJS-13/25 - LEP"/>
    <x v="0"/>
    <s v="STOCK#13//MEGA RACKS//LOGISTICA ESPACIAL"/>
  </r>
  <r>
    <s v="Euromobilia "/>
    <s v="Fábrica Barrio Cuba"/>
    <s v="Sidney R"/>
    <d v="2026-03-22T00:00:00"/>
    <d v="2026-03-22T00:00:00"/>
    <n v="-37"/>
    <d v="2026-03-22T00:00:00"/>
    <n v="11956.84"/>
    <x v="2"/>
    <n v="14140.158984000002"/>
    <x v="2"/>
    <s v="Fritz Egger"/>
    <s v="Pago 100% Factura 1751547142, PO EGG-04/25"/>
    <x v="16"/>
    <s v="STOCK//FABRICA BARRIO CUBA//TABLEROS DE MELAMINA"/>
  </r>
  <r>
    <s v="Euromobilia "/>
    <s v="Fábrica San Francisco"/>
    <s v="Uri R"/>
    <d v="2026-03-24T00:00:00"/>
    <m/>
    <n v="-39"/>
    <s v="NUEVO"/>
    <n v="389916.9"/>
    <x v="1"/>
    <n v="780.81763021406982"/>
    <x v="1"/>
    <s v="Universal de Tornillos y Herramientas"/>
    <s v="Factura 497472"/>
    <x v="17"/>
    <s v="OC 09-6149/Material solicitado para consumo produccion/Tornilos y arandela plana"/>
  </r>
  <r>
    <s v="Euromobilia "/>
    <s v="Fábrica Barrio Cuba"/>
    <s v="Sidney R"/>
    <d v="2026-03-27T00:00:00"/>
    <m/>
    <n v="-42"/>
    <s v="NUEVO"/>
    <n v="294859.38"/>
    <x v="1"/>
    <n v="590.46274305625093"/>
    <x v="1"/>
    <s v="Universal de Tornillos y Herramientas"/>
    <s v="Factura 497860"/>
    <x v="17"/>
    <s v="OC*44*1864/ Compra tornillos/Suministros para consumo produccion"/>
  </r>
  <r>
    <s v="Euromobilia "/>
    <s v="Fábrica Barrio Cuba"/>
    <s v="Sidney R"/>
    <d v="2026-03-27T00:00:00"/>
    <m/>
    <n v="-42"/>
    <s v="NUEVO"/>
    <n v="32464.9"/>
    <x v="1"/>
    <n v="65.011714760598352"/>
    <x v="1"/>
    <s v="Universal de Tornillos y Herramientas"/>
    <s v="Factura 497933"/>
    <x v="17"/>
    <s v="OC*44*1867/ Compra tornillos/Suministros para consumo proy Sky Garden"/>
  </r>
  <r>
    <s v="Euromobilia "/>
    <s v="Productividad Humana"/>
    <s v="Uri R"/>
    <d v="2026-03-28T00:00:00"/>
    <d v="2026-03-06T00:00:00"/>
    <n v="-43"/>
    <s v="NUEVO"/>
    <n v="30459.05"/>
    <x v="0"/>
    <n v="30459.05"/>
    <x v="0"/>
    <s v="Milliken &amp; Company"/>
    <s v="Pago 100% Factura 14922110,PO MLK-16/25"/>
    <x v="28"/>
    <s v="STOCK //PRODUCTIVIDAD HUMANA//PISO LAMINADO"/>
  </r>
  <r>
    <s v="Euromobilia "/>
    <s v="Logística Espacial"/>
    <s v="Eitan R"/>
    <d v="2026-04-03T00:00:00"/>
    <d v="2026-04-04T00:00:00"/>
    <n v="-49"/>
    <d v="2026-04-04T00:00:00"/>
    <n v="56485.07"/>
    <x v="0"/>
    <n v="56485.07"/>
    <x v="0"/>
    <s v="Anhui Jinghui Intelligent Logistics"/>
    <s v="Pago 30% Final  PI Stock 14, PO NJS-19/25"/>
    <x v="0"/>
    <s v="STOCK #14//Mega Racks//Logistica Espacial                                                                                                                               ID CONTROL:"/>
  </r>
  <r>
    <s v="Euromobilia "/>
    <s v="Logística Espacial"/>
    <s v="Eitan R"/>
    <d v="2026-05-15T00:00:00"/>
    <d v="2026-05-15T00:00:00"/>
    <n v="-91"/>
    <d v="2026-05-15T00:00:00"/>
    <n v="57129.05"/>
    <x v="0"/>
    <n v="57129.05"/>
    <x v="0"/>
    <s v="Anhui Jinghui Intelligent Logistics"/>
    <s v="Pago 30% Final  PI 31917, PO NJS-22/25 - LEP"/>
    <x v="24"/>
    <s v="EPA//LOGISTICA ESPACIAL"/>
  </r>
  <r>
    <s v="Euromobilia "/>
    <s v="Logística Espacial"/>
    <s v="Eitan R"/>
    <d v="2026-07-08T00:00:00"/>
    <d v="2026-07-08T00:00:00"/>
    <n v="-145"/>
    <d v="2026-07-08T00:00:00"/>
    <n v="22937.91"/>
    <x v="0"/>
    <n v="22937.91"/>
    <x v="0"/>
    <s v="Anhui Jinghui Intelligent Logistics"/>
    <s v="Pago 30% Final PI 32961, PO NJS-21/25 - LEP"/>
    <x v="0"/>
    <s v="VERTICE STOCK//LOGISTICA ESPACI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DD949-9762-48E1-9793-AC37287026F4}" name="TablaDinámica2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C50" firstHeaderRow="0" firstDataRow="1" firstDataCol="1"/>
  <pivotFields count="15">
    <pivotField showAll="0"/>
    <pivotField showAll="0"/>
    <pivotField showAll="0"/>
    <pivotField numFmtId="15" showAll="0"/>
    <pivotField showAll="0"/>
    <pivotField numFmtId="3" showAll="0"/>
    <pivotField showAll="0"/>
    <pivotField dataField="1" numFmtId="4" showAll="0"/>
    <pivotField axis="axisRow" showAll="0">
      <items count="4">
        <item x="0"/>
        <item x="1"/>
        <item x="2"/>
        <item t="default"/>
      </items>
    </pivotField>
    <pivotField dataField="1" numFmtId="4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31">
        <item x="3"/>
        <item x="5"/>
        <item x="21"/>
        <item x="13"/>
        <item x="22"/>
        <item x="18"/>
        <item x="20"/>
        <item x="8"/>
        <item x="6"/>
        <item x="2"/>
        <item x="23"/>
        <item x="19"/>
        <item x="17"/>
        <item x="0"/>
        <item x="15"/>
        <item x="25"/>
        <item x="14"/>
        <item x="9"/>
        <item x="16"/>
        <item x="1"/>
        <item x="26"/>
        <item x="27"/>
        <item x="28"/>
        <item x="24"/>
        <item x="10"/>
        <item x="12"/>
        <item x="11"/>
        <item x="4"/>
        <item x="7"/>
        <item m="1" x="29"/>
        <item t="default"/>
      </items>
    </pivotField>
    <pivotField showAll="0"/>
  </pivotFields>
  <rowFields count="3">
    <field x="8"/>
    <field x="10"/>
    <field x="13"/>
  </rowFields>
  <rowItems count="48">
    <i>
      <x/>
    </i>
    <i r="1">
      <x/>
    </i>
    <i r="2">
      <x/>
    </i>
    <i r="2">
      <x v="1"/>
    </i>
    <i r="2">
      <x v="5"/>
    </i>
    <i r="2">
      <x v="12"/>
    </i>
    <i r="2">
      <x v="13"/>
    </i>
    <i r="2">
      <x v="19"/>
    </i>
    <i r="2">
      <x v="20"/>
    </i>
    <i r="2">
      <x v="22"/>
    </i>
    <i r="2">
      <x v="23"/>
    </i>
    <i r="1">
      <x v="2"/>
    </i>
    <i r="2">
      <x v="5"/>
    </i>
    <i r="2">
      <x v="6"/>
    </i>
    <i r="2">
      <x v="9"/>
    </i>
    <i r="2">
      <x v="12"/>
    </i>
    <i r="2">
      <x v="14"/>
    </i>
    <i r="2">
      <x v="17"/>
    </i>
    <i r="2">
      <x v="18"/>
    </i>
    <i r="2">
      <x v="21"/>
    </i>
    <i r="2">
      <x v="26"/>
    </i>
    <i r="2">
      <x v="27"/>
    </i>
    <i>
      <x v="1"/>
    </i>
    <i r="1">
      <x v="2"/>
    </i>
    <i r="2">
      <x v="2"/>
    </i>
    <i r="2"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5"/>
    </i>
    <i r="2">
      <x v="16"/>
    </i>
    <i r="2">
      <x v="17"/>
    </i>
    <i r="2">
      <x v="18"/>
    </i>
    <i r="2">
      <x v="24"/>
    </i>
    <i r="2">
      <x v="25"/>
    </i>
    <i r="2">
      <x v="26"/>
    </i>
    <i r="2">
      <x v="27"/>
    </i>
    <i>
      <x v="2"/>
    </i>
    <i r="1">
      <x v="1"/>
    </i>
    <i r="2">
      <x v="18"/>
    </i>
    <i r="2">
      <x v="19"/>
    </i>
    <i r="2"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onto en Original Moneda" fld="7" baseField="0" baseItem="0" numFmtId="4"/>
    <dataField name="Suma de Monto en $" fld="9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E4154-FED8-40A5-8C48-5AFE4282D47C}" name="TablaDinámica1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C13" firstHeaderRow="0" firstDataRow="1" firstDataCol="1"/>
  <pivotFields count="15">
    <pivotField showAll="0"/>
    <pivotField showAll="0"/>
    <pivotField showAll="0"/>
    <pivotField numFmtId="14" showAll="0"/>
    <pivotField showAll="0"/>
    <pivotField numFmtId="3" showAll="0"/>
    <pivotField showAll="0"/>
    <pivotField dataField="1" showAll="0"/>
    <pivotField axis="axisRow" showAll="0">
      <items count="4">
        <item x="0"/>
        <item x="2"/>
        <item x="1"/>
        <item t="default"/>
      </items>
    </pivotField>
    <pivotField dataField="1" numFmtId="4" showAll="0"/>
    <pivotField axis="axisRow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3">
    <field x="8"/>
    <field x="10"/>
    <field x="13"/>
  </rowFields>
  <rowItems count="11">
    <i>
      <x/>
    </i>
    <i r="1">
      <x v="1"/>
    </i>
    <i r="2">
      <x/>
    </i>
    <i>
      <x v="1"/>
    </i>
    <i r="1">
      <x v="1"/>
    </i>
    <i r="2">
      <x/>
    </i>
    <i>
      <x v="2"/>
    </i>
    <i r="1">
      <x/>
    </i>
    <i r="2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onto en Original Moneda" fld="7" baseField="0" baseItem="0"/>
    <dataField name="Suma de Monto en $" fld="9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95DCF-F894-4694-AF58-8D1DC320EAA6}" name="TablaDinámica3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C9" firstHeaderRow="0" firstDataRow="1" firstDataCol="1"/>
  <pivotFields count="15">
    <pivotField showAll="0"/>
    <pivotField showAll="0"/>
    <pivotField showAll="0"/>
    <pivotField numFmtId="15" showAll="0"/>
    <pivotField showAll="0"/>
    <pivotField numFmtId="3" showAll="0"/>
    <pivotField showAll="0"/>
    <pivotField dataField="1" numFmtId="4" showAll="0"/>
    <pivotField axis="axisRow" showAll="0">
      <items count="4">
        <item x="0"/>
        <item x="1"/>
        <item m="1" x="2"/>
        <item t="default"/>
      </items>
    </pivotField>
    <pivotField dataField="1" numFmtId="4" showAll="0"/>
    <pivotField axis="axisRow" showAll="0">
      <items count="4">
        <item x="0"/>
        <item x="1"/>
        <item m="1" x="2"/>
        <item t="default"/>
      </items>
    </pivotField>
    <pivotField showAll="0"/>
    <pivotField showAll="0"/>
    <pivotField axis="axisRow" showAll="0">
      <items count="4">
        <item x="0"/>
        <item x="1"/>
        <item m="1" x="2"/>
        <item t="default"/>
      </items>
    </pivotField>
    <pivotField showAll="0"/>
  </pivotFields>
  <rowFields count="3">
    <field x="8"/>
    <field x="10"/>
    <field x="13"/>
  </rowFields>
  <rowItems count="7">
    <i>
      <x/>
    </i>
    <i r="1">
      <x/>
    </i>
    <i r="2">
      <x/>
    </i>
    <i>
      <x v="1"/>
    </i>
    <i r="1">
      <x v="1"/>
    </i>
    <i r="2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onto en Original Moneda" fld="7" baseField="0" baseItem="0" numFmtId="4"/>
    <dataField name="Suma de Monto en $" fld="9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2FA7EC-0545-4BC2-9AAE-4C42A813E88C}" name="Tabla1" displayName="Tabla1" ref="A6:O14" totalsRowCount="1" headerRowDxfId="34" totalsRowDxfId="32" tableBorderDxfId="33">
  <autoFilter ref="A6:O13" xr:uid="{7E2FA7EC-0545-4BC2-9AAE-4C42A813E88C}"/>
  <sortState xmlns:xlrd2="http://schemas.microsoft.com/office/spreadsheetml/2017/richdata2" ref="A7:O12">
    <sortCondition ref="D6:D12"/>
  </sortState>
  <tableColumns count="15">
    <tableColumn id="1" xr3:uid="{7CEA833F-C2EA-4E95-A455-0535DDE70F85}" name="Empresa" dataDxfId="31" totalsRowDxfId="30"/>
    <tableColumn id="2" xr3:uid="{A39E9C63-C8C6-4599-B200-05EE7D84A057}" name="Negocio" dataDxfId="29" totalsRowDxfId="28"/>
    <tableColumn id="3" xr3:uid="{E9CE1F11-E15B-49C8-AE2B-4F07DA65F69D}" name="Responsable (Rosenstock)" dataDxfId="27" totalsRowDxfId="26"/>
    <tableColumn id="4" xr3:uid="{A993949A-6058-4A0F-AF1A-595B6FE0ABC6}" name="Vencimiento Fecha" dataDxfId="25" totalsRowDxfId="24"/>
    <tableColumn id="15" xr3:uid="{7CDE1A34-478C-483A-9873-C0DF9D4EFCF2}" name="Fecha Max de pago" dataDxfId="23" totalsRowDxfId="22"/>
    <tableColumn id="5" xr3:uid="{4D919B5E-7CF2-41CE-809D-502BAA1508CB}" name="Vencidos Días" dataDxfId="21" totalsRowDxfId="20">
      <calculatedColumnFormula>IF(D7=0,0,+F$4-D7)</calculatedColumnFormula>
    </tableColumn>
    <tableColumn id="6" xr3:uid="{3D94B09D-E848-418E-A3ED-32920E7FD9DB}" name="Prioridad" dataDxfId="19" totalsRowDxfId="18"/>
    <tableColumn id="7" xr3:uid="{F844B58F-C64E-48E0-A6DC-7348534E7B05}" name="Monto en Original Moneda" dataDxfId="17" totalsRowDxfId="16"/>
    <tableColumn id="8" xr3:uid="{64C8AED2-4B72-4C41-8ACD-E441B10B77FF}" name="Original Moneda" dataDxfId="15" totalsRowDxfId="14"/>
    <tableColumn id="9" xr3:uid="{2C919382-6CF3-4FBF-B459-848F709EFE0F}" name="Monto en $" totalsRowFunction="custom" dataDxfId="13" totalsRowDxfId="12">
      <calculatedColumnFormula>IF(I7="¢",IFERROR(H7/G$4,0),IF(I7="€",H7*H$4,H7))</calculatedColumnFormula>
      <totalsRowFormula>SUM(J7:J13)</totalsRowFormula>
    </tableColumn>
    <tableColumn id="10" xr3:uid="{044DA7B6-7A4A-46E0-9CD2-C9C96C1A16AC}" name="Tipo de Proveedor" dataDxfId="11" totalsRowDxfId="10"/>
    <tableColumn id="11" xr3:uid="{A50A3904-C002-4CDD-BA7C-3CDE93B5B791}" name="Proveedor" dataDxfId="9" totalsRowDxfId="8"/>
    <tableColumn id="12" xr3:uid="{CA9E2AED-17AE-406E-B5AA-E4DAF53013C3}" name="Detalle" dataDxfId="7" totalsRowDxfId="6"/>
    <tableColumn id="13" xr3:uid="{D2C1F9F9-12D1-4D51-BC07-C9704437D419}" name="Clasificación" dataDxfId="5" totalsRowDxfId="4"/>
    <tableColumn id="14" xr3:uid="{7DB3BEC4-5C06-424D-B236-77F16DDEB70E}" name="Observación" dataDxfId="3" totalsRowDxfId="2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BB1E-2C68-4FAE-AD3B-FEB01955464B}">
  <sheetPr codeName="Hoja1" filterMode="1">
    <tabColor theme="7" tint="-0.249977111117893"/>
  </sheetPr>
  <dimension ref="A1:P366"/>
  <sheetViews>
    <sheetView showGridLines="0" tabSelected="1" topLeftCell="D1" zoomScale="115" zoomScaleNormal="115" workbookViewId="0">
      <pane ySplit="6" topLeftCell="A9" activePane="bottomLeft" state="frozen"/>
      <selection activeCell="C1" sqref="C1"/>
      <selection pane="bottomLeft" activeCell="G6" sqref="G6"/>
    </sheetView>
  </sheetViews>
  <sheetFormatPr baseColWidth="10" defaultColWidth="12.5703125" defaultRowHeight="15" x14ac:dyDescent="0.25"/>
  <cols>
    <col min="1" max="1" width="20.5703125" style="3" bestFit="1" customWidth="1"/>
    <col min="2" max="2" width="37.5703125" style="3" bestFit="1" customWidth="1"/>
    <col min="3" max="3" width="12.42578125" style="4" bestFit="1" customWidth="1"/>
    <col min="4" max="4" width="17.42578125" style="6" bestFit="1" customWidth="1"/>
    <col min="5" max="5" width="22.5703125" style="51" bestFit="1" customWidth="1"/>
    <col min="6" max="6" width="12.5703125" style="3" bestFit="1" customWidth="1"/>
    <col min="7" max="7" width="26.42578125" style="35" customWidth="1"/>
    <col min="8" max="8" width="15.42578125" style="17" bestFit="1" customWidth="1"/>
    <col min="9" max="9" width="8.42578125" style="4" bestFit="1" customWidth="1"/>
    <col min="10" max="10" width="14" style="3" bestFit="1" customWidth="1"/>
    <col min="11" max="11" width="10" style="3" bestFit="1" customWidth="1"/>
    <col min="12" max="12" width="45.42578125" style="3" bestFit="1" customWidth="1"/>
    <col min="13" max="13" width="61.85546875" style="3" bestFit="1" customWidth="1"/>
    <col min="14" max="14" width="31.5703125" style="3" bestFit="1" customWidth="1"/>
    <col min="15" max="15" width="158" style="3" bestFit="1" customWidth="1"/>
    <col min="16" max="16" width="21.42578125" style="3" bestFit="1" customWidth="1"/>
    <col min="17" max="16384" width="12.5703125" style="3"/>
  </cols>
  <sheetData>
    <row r="1" spans="1:16" x14ac:dyDescent="0.25">
      <c r="B1" s="1" t="s">
        <v>0</v>
      </c>
      <c r="C1" s="1"/>
      <c r="D1" s="2"/>
      <c r="F1" s="1"/>
      <c r="G1" s="32" t="s">
        <v>1</v>
      </c>
      <c r="J1" s="1" t="s">
        <v>2</v>
      </c>
    </row>
    <row r="2" spans="1:16" x14ac:dyDescent="0.25">
      <c r="B2" s="1" t="s">
        <v>3</v>
      </c>
      <c r="C2" s="1"/>
      <c r="D2" s="2"/>
      <c r="F2" s="1" t="s">
        <v>4</v>
      </c>
      <c r="G2" s="32" t="s">
        <v>5</v>
      </c>
      <c r="J2" s="1" t="s">
        <v>5</v>
      </c>
    </row>
    <row r="3" spans="1:16" x14ac:dyDescent="0.25">
      <c r="B3" s="1" t="s">
        <v>6</v>
      </c>
      <c r="C3" s="1"/>
      <c r="D3" s="2"/>
      <c r="F3" s="1" t="s">
        <v>7</v>
      </c>
      <c r="G3" s="32" t="s">
        <v>8</v>
      </c>
      <c r="J3" s="1" t="s">
        <v>9</v>
      </c>
    </row>
    <row r="4" spans="1:16" ht="14.1" customHeight="1" x14ac:dyDescent="0.25">
      <c r="B4" s="1" t="s">
        <v>10</v>
      </c>
      <c r="C4" s="1"/>
      <c r="D4" s="2"/>
      <c r="F4" s="18">
        <v>46066</v>
      </c>
      <c r="G4" s="33">
        <v>499.37</v>
      </c>
      <c r="H4" s="3"/>
      <c r="J4" s="19">
        <v>1.1826000000000001</v>
      </c>
      <c r="P4" s="4"/>
    </row>
    <row r="6" spans="1:16" s="4" customFormat="1" ht="48" customHeight="1" x14ac:dyDescent="0.25">
      <c r="A6" s="8" t="s">
        <v>11</v>
      </c>
      <c r="B6" s="9" t="s">
        <v>12</v>
      </c>
      <c r="C6" s="9" t="s">
        <v>13</v>
      </c>
      <c r="D6" s="9" t="s">
        <v>14</v>
      </c>
      <c r="E6" s="52" t="s">
        <v>15</v>
      </c>
      <c r="F6" s="8" t="s">
        <v>16</v>
      </c>
      <c r="G6" s="34" t="s">
        <v>17</v>
      </c>
      <c r="H6" s="10" t="s">
        <v>20</v>
      </c>
      <c r="I6" s="8" t="s">
        <v>19</v>
      </c>
      <c r="J6" s="10" t="s">
        <v>18</v>
      </c>
      <c r="K6" s="8" t="s">
        <v>21</v>
      </c>
      <c r="L6" s="8" t="s">
        <v>22</v>
      </c>
      <c r="M6" s="9" t="s">
        <v>23</v>
      </c>
      <c r="N6" s="9" t="s">
        <v>24</v>
      </c>
      <c r="O6" s="9" t="s">
        <v>25</v>
      </c>
      <c r="P6" s="53"/>
    </row>
    <row r="7" spans="1:16" hidden="1" x14ac:dyDescent="0.25">
      <c r="A7" s="3" t="s">
        <v>26</v>
      </c>
      <c r="B7" s="3" t="s">
        <v>27</v>
      </c>
      <c r="C7" s="4" t="s">
        <v>28</v>
      </c>
      <c r="D7" s="6">
        <v>46006</v>
      </c>
      <c r="E7" s="48">
        <v>46059</v>
      </c>
      <c r="F7" s="25">
        <f t="shared" ref="F7:F70" si="0">IF(D7=0,0,+F$4-D7)</f>
        <v>60</v>
      </c>
      <c r="G7" s="47" t="s">
        <v>906</v>
      </c>
      <c r="H7" s="20">
        <f t="shared" ref="H7:H70" si="1">IF(I7="¢",IFERROR(J7/G$4,0),IF(I7="€",J7*J$4,J7))</f>
        <v>22507.96</v>
      </c>
      <c r="I7" s="26" t="s">
        <v>29</v>
      </c>
      <c r="J7" s="17">
        <v>22507.96</v>
      </c>
      <c r="K7" s="7" t="s">
        <v>30</v>
      </c>
      <c r="L7" s="3" t="s">
        <v>31</v>
      </c>
      <c r="M7" s="3" t="s">
        <v>32</v>
      </c>
      <c r="N7" s="3" t="s">
        <v>33</v>
      </c>
      <c r="O7" s="3" t="s">
        <v>34</v>
      </c>
    </row>
    <row r="8" spans="1:16" hidden="1" x14ac:dyDescent="0.25">
      <c r="A8" s="3" t="s">
        <v>26</v>
      </c>
      <c r="B8" s="3" t="s">
        <v>27</v>
      </c>
      <c r="C8" s="4" t="s">
        <v>28</v>
      </c>
      <c r="D8" s="6">
        <v>46057</v>
      </c>
      <c r="E8" s="48">
        <v>46059</v>
      </c>
      <c r="F8" s="25">
        <f t="shared" si="0"/>
        <v>9</v>
      </c>
      <c r="G8" s="47" t="s">
        <v>906</v>
      </c>
      <c r="H8" s="20">
        <f t="shared" si="1"/>
        <v>49176.76</v>
      </c>
      <c r="I8" s="26" t="s">
        <v>29</v>
      </c>
      <c r="J8" s="14">
        <v>49176.76</v>
      </c>
      <c r="K8" s="7" t="s">
        <v>30</v>
      </c>
      <c r="L8" s="3" t="s">
        <v>31</v>
      </c>
      <c r="M8" s="3" t="s">
        <v>41</v>
      </c>
      <c r="N8" s="3" t="s">
        <v>33</v>
      </c>
      <c r="O8" s="2" t="s">
        <v>42</v>
      </c>
    </row>
    <row r="9" spans="1:16" x14ac:dyDescent="0.25">
      <c r="A9" s="3" t="s">
        <v>26</v>
      </c>
      <c r="B9" s="3" t="s">
        <v>67</v>
      </c>
      <c r="C9" s="4" t="s">
        <v>44</v>
      </c>
      <c r="D9" s="6">
        <v>46038</v>
      </c>
      <c r="F9" s="25">
        <f t="shared" si="0"/>
        <v>28</v>
      </c>
      <c r="G9" s="35">
        <v>1</v>
      </c>
      <c r="H9" s="20">
        <f t="shared" si="1"/>
        <v>20.818230971023489</v>
      </c>
      <c r="I9" s="26" t="s">
        <v>45</v>
      </c>
      <c r="J9" s="17">
        <v>10396</v>
      </c>
      <c r="K9" s="7" t="s">
        <v>46</v>
      </c>
      <c r="L9" s="3" t="s">
        <v>133</v>
      </c>
      <c r="M9" s="3" t="s">
        <v>668</v>
      </c>
      <c r="N9" s="3" t="s">
        <v>65</v>
      </c>
      <c r="O9" s="3" t="s">
        <v>669</v>
      </c>
    </row>
    <row r="10" spans="1:16" x14ac:dyDescent="0.25">
      <c r="A10" s="3" t="s">
        <v>26</v>
      </c>
      <c r="B10" s="3" t="s">
        <v>67</v>
      </c>
      <c r="C10" s="4" t="s">
        <v>44</v>
      </c>
      <c r="D10" s="6">
        <v>46038</v>
      </c>
      <c r="F10" s="25">
        <f t="shared" si="0"/>
        <v>28</v>
      </c>
      <c r="G10" s="35">
        <v>1</v>
      </c>
      <c r="H10" s="20">
        <f t="shared" si="1"/>
        <v>20.818230971023489</v>
      </c>
      <c r="I10" s="26" t="s">
        <v>45</v>
      </c>
      <c r="J10" s="17">
        <v>10396</v>
      </c>
      <c r="K10" s="7" t="s">
        <v>46</v>
      </c>
      <c r="L10" s="3" t="s">
        <v>133</v>
      </c>
      <c r="M10" s="3" t="s">
        <v>670</v>
      </c>
      <c r="N10" s="3" t="s">
        <v>65</v>
      </c>
      <c r="O10" s="3" t="s">
        <v>671</v>
      </c>
    </row>
    <row r="11" spans="1:16" x14ac:dyDescent="0.25">
      <c r="A11" s="3" t="s">
        <v>26</v>
      </c>
      <c r="B11" s="3" t="s">
        <v>67</v>
      </c>
      <c r="C11" s="4" t="s">
        <v>44</v>
      </c>
      <c r="D11" s="6">
        <v>46048</v>
      </c>
      <c r="F11" s="25">
        <f t="shared" si="0"/>
        <v>18</v>
      </c>
      <c r="G11" s="35">
        <v>1</v>
      </c>
      <c r="H11" s="20">
        <f t="shared" si="1"/>
        <v>79.365100026032806</v>
      </c>
      <c r="I11" s="26" t="s">
        <v>45</v>
      </c>
      <c r="J11" s="17">
        <v>39632.550000000003</v>
      </c>
      <c r="K11" s="7" t="s">
        <v>46</v>
      </c>
      <c r="L11" s="3" t="s">
        <v>133</v>
      </c>
      <c r="M11" s="3" t="s">
        <v>672</v>
      </c>
      <c r="N11" s="3" t="s">
        <v>65</v>
      </c>
      <c r="O11" s="3" t="s">
        <v>673</v>
      </c>
    </row>
    <row r="12" spans="1:16" x14ac:dyDescent="0.25">
      <c r="A12" s="3" t="s">
        <v>26</v>
      </c>
      <c r="B12" s="3" t="s">
        <v>67</v>
      </c>
      <c r="C12" s="4" t="s">
        <v>44</v>
      </c>
      <c r="D12" s="6">
        <v>46048</v>
      </c>
      <c r="F12" s="25">
        <f t="shared" si="0"/>
        <v>18</v>
      </c>
      <c r="G12" s="35">
        <v>1</v>
      </c>
      <c r="H12" s="20">
        <f t="shared" si="1"/>
        <v>145.90684262170333</v>
      </c>
      <c r="I12" s="26" t="s">
        <v>45</v>
      </c>
      <c r="J12" s="17">
        <v>72861.5</v>
      </c>
      <c r="K12" s="7" t="s">
        <v>46</v>
      </c>
      <c r="L12" s="3" t="s">
        <v>133</v>
      </c>
      <c r="M12" s="3" t="s">
        <v>674</v>
      </c>
      <c r="N12" s="3" t="s">
        <v>65</v>
      </c>
      <c r="O12" s="3" t="s">
        <v>675</v>
      </c>
    </row>
    <row r="13" spans="1:16" ht="45" hidden="1" x14ac:dyDescent="0.25">
      <c r="A13" s="3" t="s">
        <v>26</v>
      </c>
      <c r="B13" s="3" t="s">
        <v>27</v>
      </c>
      <c r="C13" s="4" t="s">
        <v>28</v>
      </c>
      <c r="D13" s="6">
        <v>46068</v>
      </c>
      <c r="E13" s="73">
        <v>46068</v>
      </c>
      <c r="F13" s="25">
        <f t="shared" si="0"/>
        <v>-2</v>
      </c>
      <c r="G13" s="68" t="s">
        <v>908</v>
      </c>
      <c r="H13" s="20">
        <f t="shared" si="1"/>
        <v>82795.73</v>
      </c>
      <c r="I13" s="26" t="s">
        <v>29</v>
      </c>
      <c r="J13" s="17">
        <v>82795.73</v>
      </c>
      <c r="K13" s="7" t="s">
        <v>30</v>
      </c>
      <c r="L13" s="3" t="s">
        <v>31</v>
      </c>
      <c r="M13" s="3" t="s">
        <v>331</v>
      </c>
      <c r="N13" s="3" t="s">
        <v>332</v>
      </c>
      <c r="O13" s="3" t="s">
        <v>333</v>
      </c>
    </row>
    <row r="14" spans="1:16" x14ac:dyDescent="0.25">
      <c r="A14" s="3" t="s">
        <v>26</v>
      </c>
      <c r="B14" s="3" t="s">
        <v>60</v>
      </c>
      <c r="C14" s="4" t="s">
        <v>36</v>
      </c>
      <c r="D14" s="6">
        <v>46050</v>
      </c>
      <c r="F14" s="25">
        <f t="shared" si="0"/>
        <v>16</v>
      </c>
      <c r="G14" s="35">
        <v>1</v>
      </c>
      <c r="H14" s="20">
        <f t="shared" si="1"/>
        <v>21.152231812083226</v>
      </c>
      <c r="I14" s="26" t="s">
        <v>45</v>
      </c>
      <c r="J14" s="17">
        <v>10562.79</v>
      </c>
      <c r="K14" s="7" t="s">
        <v>46</v>
      </c>
      <c r="L14" s="3" t="s">
        <v>133</v>
      </c>
      <c r="M14" s="3" t="s">
        <v>676</v>
      </c>
      <c r="N14" s="3" t="s">
        <v>65</v>
      </c>
      <c r="O14" s="3" t="s">
        <v>677</v>
      </c>
    </row>
    <row r="15" spans="1:16" x14ac:dyDescent="0.25">
      <c r="A15" s="3" t="s">
        <v>26</v>
      </c>
      <c r="B15" s="3" t="s">
        <v>67</v>
      </c>
      <c r="C15" s="4" t="s">
        <v>44</v>
      </c>
      <c r="D15" s="6">
        <v>46050</v>
      </c>
      <c r="F15" s="25">
        <f t="shared" si="0"/>
        <v>16</v>
      </c>
      <c r="G15" s="35">
        <v>1</v>
      </c>
      <c r="H15" s="20">
        <f t="shared" si="1"/>
        <v>38.383022608486698</v>
      </c>
      <c r="I15" s="26" t="s">
        <v>45</v>
      </c>
      <c r="J15" s="17">
        <v>19167.330000000002</v>
      </c>
      <c r="K15" s="7" t="s">
        <v>46</v>
      </c>
      <c r="L15" s="3" t="s">
        <v>133</v>
      </c>
      <c r="M15" s="3" t="s">
        <v>678</v>
      </c>
      <c r="N15" s="3" t="s">
        <v>65</v>
      </c>
      <c r="O15" s="3" t="s">
        <v>679</v>
      </c>
    </row>
    <row r="16" spans="1:16" x14ac:dyDescent="0.25">
      <c r="A16" s="3" t="s">
        <v>26</v>
      </c>
      <c r="B16" s="3" t="s">
        <v>67</v>
      </c>
      <c r="C16" s="4" t="s">
        <v>44</v>
      </c>
      <c r="D16" s="6">
        <v>46050</v>
      </c>
      <c r="F16" s="25">
        <f t="shared" si="0"/>
        <v>16</v>
      </c>
      <c r="G16" s="35">
        <v>1</v>
      </c>
      <c r="H16" s="20">
        <f t="shared" si="1"/>
        <v>313.69159140517053</v>
      </c>
      <c r="I16" s="26" t="s">
        <v>45</v>
      </c>
      <c r="J16" s="17">
        <v>156648.17000000001</v>
      </c>
      <c r="K16" s="7" t="s">
        <v>46</v>
      </c>
      <c r="L16" s="3" t="s">
        <v>133</v>
      </c>
      <c r="M16" s="3" t="s">
        <v>680</v>
      </c>
      <c r="N16" s="3" t="s">
        <v>65</v>
      </c>
      <c r="O16" s="3" t="s">
        <v>681</v>
      </c>
    </row>
    <row r="17" spans="1:15" hidden="1" x14ac:dyDescent="0.25">
      <c r="A17" s="3" t="s">
        <v>26</v>
      </c>
      <c r="B17" s="3" t="s">
        <v>27</v>
      </c>
      <c r="C17" s="4" t="s">
        <v>28</v>
      </c>
      <c r="D17" s="6">
        <v>46080</v>
      </c>
      <c r="E17" s="51">
        <v>46080</v>
      </c>
      <c r="F17" s="25">
        <f t="shared" si="0"/>
        <v>-14</v>
      </c>
      <c r="G17" s="35">
        <v>2</v>
      </c>
      <c r="H17" s="20">
        <f t="shared" si="1"/>
        <v>19691.259999999998</v>
      </c>
      <c r="I17" s="26" t="s">
        <v>29</v>
      </c>
      <c r="J17" s="17">
        <v>19691.259999999998</v>
      </c>
      <c r="K17" s="7" t="s">
        <v>30</v>
      </c>
      <c r="L17" s="3" t="s">
        <v>31</v>
      </c>
      <c r="M17" s="3" t="s">
        <v>449</v>
      </c>
      <c r="N17" s="3" t="s">
        <v>33</v>
      </c>
      <c r="O17" s="3" t="s">
        <v>450</v>
      </c>
    </row>
    <row r="18" spans="1:15" x14ac:dyDescent="0.25">
      <c r="A18" s="3" t="s">
        <v>26</v>
      </c>
      <c r="B18" s="3" t="s">
        <v>81</v>
      </c>
      <c r="C18" s="4" t="s">
        <v>36</v>
      </c>
      <c r="D18" s="6">
        <v>46054</v>
      </c>
      <c r="F18" s="25">
        <f t="shared" si="0"/>
        <v>12</v>
      </c>
      <c r="G18" s="35">
        <v>1</v>
      </c>
      <c r="H18" s="20">
        <f t="shared" si="1"/>
        <v>79.099999999999994</v>
      </c>
      <c r="I18" s="26" t="s">
        <v>29</v>
      </c>
      <c r="J18" s="17">
        <v>79.099999999999994</v>
      </c>
      <c r="K18" s="7" t="s">
        <v>46</v>
      </c>
      <c r="L18" s="3" t="s">
        <v>629</v>
      </c>
      <c r="M18" s="3" t="s">
        <v>630</v>
      </c>
      <c r="N18" s="3" t="s">
        <v>567</v>
      </c>
      <c r="O18" s="3" t="s">
        <v>631</v>
      </c>
    </row>
    <row r="19" spans="1:15" x14ac:dyDescent="0.25">
      <c r="A19" s="3" t="s">
        <v>26</v>
      </c>
      <c r="B19" s="3" t="s">
        <v>60</v>
      </c>
      <c r="C19" s="4" t="s">
        <v>36</v>
      </c>
      <c r="D19" s="6">
        <v>46056</v>
      </c>
      <c r="F19" s="25">
        <f t="shared" si="0"/>
        <v>10</v>
      </c>
      <c r="G19" s="35">
        <v>1</v>
      </c>
      <c r="H19" s="20">
        <f t="shared" si="1"/>
        <v>287.22470312593867</v>
      </c>
      <c r="I19" s="26" t="s">
        <v>45</v>
      </c>
      <c r="J19" s="17">
        <v>143431.4</v>
      </c>
      <c r="K19" s="7" t="s">
        <v>46</v>
      </c>
      <c r="L19" s="3" t="s">
        <v>733</v>
      </c>
      <c r="M19" s="3" t="s">
        <v>734</v>
      </c>
      <c r="N19" s="3" t="s">
        <v>65</v>
      </c>
      <c r="O19" s="3" t="s">
        <v>735</v>
      </c>
    </row>
    <row r="20" spans="1:15" x14ac:dyDescent="0.25">
      <c r="A20" s="3" t="s">
        <v>26</v>
      </c>
      <c r="B20" s="3" t="s">
        <v>35</v>
      </c>
      <c r="C20" s="4" t="s">
        <v>36</v>
      </c>
      <c r="D20" s="6">
        <v>46056</v>
      </c>
      <c r="F20" s="25">
        <f t="shared" si="0"/>
        <v>10</v>
      </c>
      <c r="G20" s="35">
        <v>1</v>
      </c>
      <c r="H20" s="20">
        <f t="shared" si="1"/>
        <v>85.500851072351153</v>
      </c>
      <c r="I20" s="26" t="s">
        <v>45</v>
      </c>
      <c r="J20" s="17">
        <v>42696.56</v>
      </c>
      <c r="K20" s="7" t="s">
        <v>46</v>
      </c>
      <c r="L20" s="3" t="s">
        <v>733</v>
      </c>
      <c r="M20" s="3" t="s">
        <v>736</v>
      </c>
      <c r="N20" s="3" t="s">
        <v>65</v>
      </c>
      <c r="O20" s="3" t="s">
        <v>737</v>
      </c>
    </row>
    <row r="21" spans="1:15" x14ac:dyDescent="0.25">
      <c r="A21" s="3" t="s">
        <v>26</v>
      </c>
      <c r="B21" s="3" t="s">
        <v>57</v>
      </c>
      <c r="C21" s="4" t="s">
        <v>44</v>
      </c>
      <c r="D21" s="6">
        <v>46056</v>
      </c>
      <c r="F21" s="25">
        <f t="shared" si="0"/>
        <v>10</v>
      </c>
      <c r="G21" s="35">
        <v>1</v>
      </c>
      <c r="H21" s="20">
        <f t="shared" si="1"/>
        <v>3695.278991529327</v>
      </c>
      <c r="I21" s="26" t="s">
        <v>45</v>
      </c>
      <c r="J21" s="17">
        <v>1845311.47</v>
      </c>
      <c r="K21" s="7" t="s">
        <v>46</v>
      </c>
      <c r="L21" s="3" t="s">
        <v>788</v>
      </c>
      <c r="M21" s="3" t="s">
        <v>789</v>
      </c>
      <c r="N21" s="3" t="s">
        <v>567</v>
      </c>
      <c r="O21" s="3" t="s">
        <v>790</v>
      </c>
    </row>
    <row r="22" spans="1:15" x14ac:dyDescent="0.25">
      <c r="A22" s="3" t="s">
        <v>26</v>
      </c>
      <c r="B22" s="3" t="s">
        <v>81</v>
      </c>
      <c r="C22" s="4" t="s">
        <v>36</v>
      </c>
      <c r="D22" s="6">
        <v>46056</v>
      </c>
      <c r="F22" s="25">
        <f t="shared" si="0"/>
        <v>10</v>
      </c>
      <c r="G22" s="35">
        <v>1</v>
      </c>
      <c r="H22" s="20">
        <f t="shared" si="1"/>
        <v>1504.1963874481849</v>
      </c>
      <c r="I22" s="26" t="s">
        <v>45</v>
      </c>
      <c r="J22" s="17">
        <v>751150.55</v>
      </c>
      <c r="K22" s="7" t="s">
        <v>46</v>
      </c>
      <c r="L22" s="3" t="s">
        <v>788</v>
      </c>
      <c r="M22" s="3" t="s">
        <v>791</v>
      </c>
      <c r="N22" s="3" t="s">
        <v>567</v>
      </c>
      <c r="O22" s="3" t="s">
        <v>792</v>
      </c>
    </row>
    <row r="23" spans="1:15" x14ac:dyDescent="0.25">
      <c r="A23" s="3" t="s">
        <v>26</v>
      </c>
      <c r="B23" s="3" t="s">
        <v>81</v>
      </c>
      <c r="C23" s="4" t="s">
        <v>36</v>
      </c>
      <c r="D23" s="6">
        <v>46056</v>
      </c>
      <c r="F23" s="25">
        <f t="shared" si="0"/>
        <v>10</v>
      </c>
      <c r="G23" s="35">
        <v>1</v>
      </c>
      <c r="H23" s="20">
        <f t="shared" si="1"/>
        <v>3049.4771011474454</v>
      </c>
      <c r="I23" s="26" t="s">
        <v>45</v>
      </c>
      <c r="J23" s="17">
        <v>1522817.38</v>
      </c>
      <c r="K23" s="7" t="s">
        <v>46</v>
      </c>
      <c r="L23" s="3" t="s">
        <v>788</v>
      </c>
      <c r="M23" s="3" t="s">
        <v>793</v>
      </c>
      <c r="N23" s="3" t="s">
        <v>567</v>
      </c>
      <c r="O23" s="3" t="s">
        <v>794</v>
      </c>
    </row>
    <row r="24" spans="1:15" x14ac:dyDescent="0.25">
      <c r="A24" s="3" t="s">
        <v>26</v>
      </c>
      <c r="B24" s="3" t="s">
        <v>57</v>
      </c>
      <c r="C24" s="4" t="s">
        <v>44</v>
      </c>
      <c r="D24" s="6">
        <v>46056</v>
      </c>
      <c r="F24" s="25">
        <f t="shared" si="0"/>
        <v>10</v>
      </c>
      <c r="G24" s="35">
        <v>1</v>
      </c>
      <c r="H24" s="20">
        <f t="shared" si="1"/>
        <v>5265.4555940485016</v>
      </c>
      <c r="I24" s="26" t="s">
        <v>45</v>
      </c>
      <c r="J24" s="17">
        <v>2629410.56</v>
      </c>
      <c r="K24" s="7" t="s">
        <v>46</v>
      </c>
      <c r="L24" s="3" t="s">
        <v>788</v>
      </c>
      <c r="M24" s="3" t="s">
        <v>795</v>
      </c>
      <c r="N24" s="3" t="s">
        <v>567</v>
      </c>
      <c r="O24" s="3" t="s">
        <v>796</v>
      </c>
    </row>
    <row r="25" spans="1:15" hidden="1" x14ac:dyDescent="0.25">
      <c r="A25" s="3" t="s">
        <v>26</v>
      </c>
      <c r="B25" s="3" t="s">
        <v>27</v>
      </c>
      <c r="C25" s="4" t="s">
        <v>28</v>
      </c>
      <c r="D25" s="6">
        <v>46089</v>
      </c>
      <c r="E25" s="48">
        <v>46089</v>
      </c>
      <c r="F25" s="25">
        <f t="shared" si="0"/>
        <v>-23</v>
      </c>
      <c r="G25" s="35">
        <v>3</v>
      </c>
      <c r="H25" s="20">
        <f t="shared" si="1"/>
        <v>33243.35</v>
      </c>
      <c r="I25" s="26" t="s">
        <v>29</v>
      </c>
      <c r="J25" s="17">
        <v>33243.35</v>
      </c>
      <c r="K25" s="7" t="s">
        <v>30</v>
      </c>
      <c r="L25" s="3" t="s">
        <v>31</v>
      </c>
      <c r="M25" s="3" t="s">
        <v>470</v>
      </c>
      <c r="N25" s="3" t="s">
        <v>33</v>
      </c>
      <c r="O25" s="3" t="s">
        <v>471</v>
      </c>
    </row>
    <row r="26" spans="1:15" hidden="1" x14ac:dyDescent="0.25">
      <c r="A26" s="3" t="s">
        <v>26</v>
      </c>
      <c r="B26" s="3" t="s">
        <v>27</v>
      </c>
      <c r="C26" s="4" t="s">
        <v>28</v>
      </c>
      <c r="D26" s="6">
        <v>46092</v>
      </c>
      <c r="E26" s="48">
        <v>46092</v>
      </c>
      <c r="F26" s="25">
        <f t="shared" si="0"/>
        <v>-26</v>
      </c>
      <c r="G26" s="35">
        <v>3</v>
      </c>
      <c r="H26" s="20">
        <f t="shared" si="1"/>
        <v>74749.009999999995</v>
      </c>
      <c r="I26" s="26" t="s">
        <v>29</v>
      </c>
      <c r="J26" s="14">
        <v>74749.009999999995</v>
      </c>
      <c r="K26" s="7" t="s">
        <v>30</v>
      </c>
      <c r="L26" s="3" t="s">
        <v>31</v>
      </c>
      <c r="M26" s="3" t="s">
        <v>482</v>
      </c>
      <c r="N26" s="3" t="s">
        <v>33</v>
      </c>
      <c r="O26" s="2" t="s">
        <v>483</v>
      </c>
    </row>
    <row r="27" spans="1:15" x14ac:dyDescent="0.25">
      <c r="A27" s="3" t="s">
        <v>26</v>
      </c>
      <c r="B27" s="3" t="s">
        <v>43</v>
      </c>
      <c r="C27" s="4" t="s">
        <v>44</v>
      </c>
      <c r="D27" s="6">
        <v>46057</v>
      </c>
      <c r="F27" s="25">
        <f t="shared" si="0"/>
        <v>9</v>
      </c>
      <c r="G27" s="35">
        <v>1</v>
      </c>
      <c r="H27" s="20">
        <f t="shared" si="1"/>
        <v>1367.2607485431645</v>
      </c>
      <c r="I27" s="26" t="s">
        <v>45</v>
      </c>
      <c r="J27" s="17">
        <v>682769</v>
      </c>
      <c r="K27" s="7" t="s">
        <v>46</v>
      </c>
      <c r="L27" s="3" t="s">
        <v>780</v>
      </c>
      <c r="M27" s="3" t="s">
        <v>781</v>
      </c>
      <c r="N27" s="3" t="s">
        <v>568</v>
      </c>
      <c r="O27" s="3" t="s">
        <v>782</v>
      </c>
    </row>
    <row r="28" spans="1:15" hidden="1" x14ac:dyDescent="0.25">
      <c r="A28" s="3" t="s">
        <v>26</v>
      </c>
      <c r="B28" s="3" t="s">
        <v>27</v>
      </c>
      <c r="C28" s="4" t="s">
        <v>28</v>
      </c>
      <c r="D28" s="6">
        <v>46093</v>
      </c>
      <c r="E28" s="48">
        <v>46092</v>
      </c>
      <c r="F28" s="25">
        <f t="shared" si="0"/>
        <v>-27</v>
      </c>
      <c r="G28" s="35">
        <v>3</v>
      </c>
      <c r="H28" s="20">
        <f t="shared" si="1"/>
        <v>53026.23</v>
      </c>
      <c r="I28" s="26" t="s">
        <v>29</v>
      </c>
      <c r="J28" s="17">
        <v>53026.23</v>
      </c>
      <c r="K28" s="7" t="s">
        <v>30</v>
      </c>
      <c r="L28" s="3" t="s">
        <v>31</v>
      </c>
      <c r="M28" s="3" t="s">
        <v>484</v>
      </c>
      <c r="N28" s="3" t="s">
        <v>33</v>
      </c>
      <c r="O28" s="3" t="s">
        <v>485</v>
      </c>
    </row>
    <row r="29" spans="1:15" x14ac:dyDescent="0.25">
      <c r="A29" s="3" t="s">
        <v>26</v>
      </c>
      <c r="B29" s="3" t="s">
        <v>43</v>
      </c>
      <c r="C29" s="4" t="s">
        <v>44</v>
      </c>
      <c r="D29" s="6">
        <v>46058</v>
      </c>
      <c r="F29" s="25">
        <f t="shared" si="0"/>
        <v>8</v>
      </c>
      <c r="G29" s="35">
        <v>1</v>
      </c>
      <c r="H29" s="20">
        <f t="shared" si="1"/>
        <v>1676.6710054668881</v>
      </c>
      <c r="I29" s="26" t="s">
        <v>45</v>
      </c>
      <c r="J29" s="17">
        <v>837279.2</v>
      </c>
      <c r="K29" s="7" t="s">
        <v>46</v>
      </c>
      <c r="L29" s="3" t="s">
        <v>47</v>
      </c>
      <c r="M29" s="3" t="s">
        <v>48</v>
      </c>
      <c r="N29" s="3" t="s">
        <v>49</v>
      </c>
      <c r="O29" s="3" t="s">
        <v>50</v>
      </c>
    </row>
    <row r="30" spans="1:15" x14ac:dyDescent="0.25">
      <c r="A30" s="3" t="s">
        <v>26</v>
      </c>
      <c r="B30" s="3" t="s">
        <v>51</v>
      </c>
      <c r="C30" s="4" t="s">
        <v>52</v>
      </c>
      <c r="D30" s="6">
        <v>46058</v>
      </c>
      <c r="F30" s="25">
        <f t="shared" si="0"/>
        <v>8</v>
      </c>
      <c r="G30" s="35">
        <v>1</v>
      </c>
      <c r="H30" s="20">
        <f t="shared" si="1"/>
        <v>438.72068806696439</v>
      </c>
      <c r="I30" s="26" t="s">
        <v>45</v>
      </c>
      <c r="J30" s="17">
        <v>219083.95</v>
      </c>
      <c r="K30" s="7" t="s">
        <v>46</v>
      </c>
      <c r="L30" s="3" t="s">
        <v>53</v>
      </c>
      <c r="M30" s="3" t="s">
        <v>54</v>
      </c>
      <c r="N30" s="3" t="s">
        <v>55</v>
      </c>
      <c r="O30" s="3" t="s">
        <v>56</v>
      </c>
    </row>
    <row r="31" spans="1:15" x14ac:dyDescent="0.25">
      <c r="A31" s="3" t="s">
        <v>26</v>
      </c>
      <c r="B31" s="3" t="s">
        <v>57</v>
      </c>
      <c r="C31" s="4" t="s">
        <v>44</v>
      </c>
      <c r="D31" s="6">
        <v>46058</v>
      </c>
      <c r="F31" s="25">
        <f t="shared" si="0"/>
        <v>8</v>
      </c>
      <c r="G31" s="35">
        <v>1</v>
      </c>
      <c r="H31" s="20">
        <f t="shared" si="1"/>
        <v>135.5307687686485</v>
      </c>
      <c r="I31" s="26" t="s">
        <v>45</v>
      </c>
      <c r="J31" s="17">
        <v>67680</v>
      </c>
      <c r="K31" s="7" t="s">
        <v>46</v>
      </c>
      <c r="L31" s="3" t="s">
        <v>53</v>
      </c>
      <c r="M31" s="3" t="s">
        <v>58</v>
      </c>
      <c r="N31" s="3" t="s">
        <v>55</v>
      </c>
      <c r="O31" s="3" t="s">
        <v>59</v>
      </c>
    </row>
    <row r="32" spans="1:15" x14ac:dyDescent="0.25">
      <c r="A32" s="3" t="s">
        <v>26</v>
      </c>
      <c r="B32" s="3" t="s">
        <v>60</v>
      </c>
      <c r="C32" s="4" t="s">
        <v>36</v>
      </c>
      <c r="D32" s="6">
        <v>46058</v>
      </c>
      <c r="F32" s="25">
        <f t="shared" si="0"/>
        <v>8</v>
      </c>
      <c r="G32" s="35">
        <v>1</v>
      </c>
      <c r="H32" s="20">
        <f t="shared" si="1"/>
        <v>52.97222500350442</v>
      </c>
      <c r="I32" s="26" t="s">
        <v>45</v>
      </c>
      <c r="J32" s="17">
        <v>26452.74</v>
      </c>
      <c r="K32" s="7" t="s">
        <v>46</v>
      </c>
      <c r="L32" s="3" t="s">
        <v>53</v>
      </c>
      <c r="M32" s="3" t="s">
        <v>61</v>
      </c>
      <c r="N32" s="3" t="s">
        <v>55</v>
      </c>
      <c r="O32" s="3" t="s">
        <v>62</v>
      </c>
    </row>
    <row r="33" spans="1:15" x14ac:dyDescent="0.25">
      <c r="A33" s="3" t="s">
        <v>26</v>
      </c>
      <c r="B33" s="3" t="s">
        <v>60</v>
      </c>
      <c r="C33" s="4" t="s">
        <v>36</v>
      </c>
      <c r="D33" s="6">
        <v>46058</v>
      </c>
      <c r="F33" s="25">
        <f t="shared" si="0"/>
        <v>8</v>
      </c>
      <c r="G33" s="35">
        <v>1</v>
      </c>
      <c r="H33" s="20">
        <f t="shared" si="1"/>
        <v>343.58114223922138</v>
      </c>
      <c r="I33" s="26" t="s">
        <v>45</v>
      </c>
      <c r="J33" s="17">
        <v>171574.11499999999</v>
      </c>
      <c r="K33" s="7" t="s">
        <v>46</v>
      </c>
      <c r="L33" s="3" t="s">
        <v>63</v>
      </c>
      <c r="M33" s="3" t="s">
        <v>64</v>
      </c>
      <c r="N33" s="3" t="s">
        <v>65</v>
      </c>
      <c r="O33" s="3" t="s">
        <v>66</v>
      </c>
    </row>
    <row r="34" spans="1:15" x14ac:dyDescent="0.25">
      <c r="A34" s="3" t="s">
        <v>26</v>
      </c>
      <c r="B34" s="3" t="s">
        <v>67</v>
      </c>
      <c r="C34" s="4" t="s">
        <v>44</v>
      </c>
      <c r="D34" s="6">
        <v>46058</v>
      </c>
      <c r="F34" s="25">
        <f t="shared" si="0"/>
        <v>8</v>
      </c>
      <c r="G34" s="35">
        <v>1</v>
      </c>
      <c r="H34" s="20">
        <f t="shared" si="1"/>
        <v>344.27256342992172</v>
      </c>
      <c r="I34" s="26" t="s">
        <v>45</v>
      </c>
      <c r="J34" s="17">
        <v>171919.39</v>
      </c>
      <c r="K34" s="7" t="s">
        <v>46</v>
      </c>
      <c r="L34" s="3" t="s">
        <v>63</v>
      </c>
      <c r="M34" s="3" t="s">
        <v>68</v>
      </c>
      <c r="N34" s="3" t="s">
        <v>65</v>
      </c>
      <c r="O34" s="3" t="s">
        <v>69</v>
      </c>
    </row>
    <row r="35" spans="1:15" x14ac:dyDescent="0.25">
      <c r="A35" s="3" t="s">
        <v>26</v>
      </c>
      <c r="B35" s="3" t="s">
        <v>27</v>
      </c>
      <c r="C35" s="4" t="s">
        <v>28</v>
      </c>
      <c r="D35" s="6">
        <v>46058</v>
      </c>
      <c r="F35" s="25">
        <f t="shared" si="0"/>
        <v>8</v>
      </c>
      <c r="G35" s="35">
        <v>1</v>
      </c>
      <c r="H35" s="20">
        <f t="shared" si="1"/>
        <v>688.15681759016354</v>
      </c>
      <c r="I35" s="26" t="s">
        <v>45</v>
      </c>
      <c r="J35" s="17">
        <v>343644.87</v>
      </c>
      <c r="K35" s="7" t="s">
        <v>46</v>
      </c>
      <c r="L35" s="3" t="s">
        <v>70</v>
      </c>
      <c r="M35" s="3" t="s">
        <v>71</v>
      </c>
      <c r="N35" s="3" t="s">
        <v>65</v>
      </c>
      <c r="O35" s="3" t="s">
        <v>72</v>
      </c>
    </row>
    <row r="36" spans="1:15" x14ac:dyDescent="0.25">
      <c r="A36" s="3" t="s">
        <v>73</v>
      </c>
      <c r="B36" s="3" t="s">
        <v>74</v>
      </c>
      <c r="C36" s="4" t="s">
        <v>44</v>
      </c>
      <c r="D36" s="6">
        <v>46058</v>
      </c>
      <c r="F36" s="25">
        <f t="shared" si="0"/>
        <v>8</v>
      </c>
      <c r="G36" s="35">
        <v>1</v>
      </c>
      <c r="H36" s="20">
        <f t="shared" si="1"/>
        <v>218.27502653343211</v>
      </c>
      <c r="I36" s="26" t="s">
        <v>45</v>
      </c>
      <c r="J36" s="17">
        <v>109000</v>
      </c>
      <c r="K36" s="7" t="s">
        <v>46</v>
      </c>
      <c r="L36" s="3" t="s">
        <v>75</v>
      </c>
      <c r="M36" s="3" t="s">
        <v>76</v>
      </c>
      <c r="N36" s="3" t="s">
        <v>77</v>
      </c>
      <c r="O36" s="3" t="s">
        <v>78</v>
      </c>
    </row>
    <row r="37" spans="1:15" x14ac:dyDescent="0.25">
      <c r="A37" s="3" t="s">
        <v>73</v>
      </c>
      <c r="B37" s="3" t="s">
        <v>74</v>
      </c>
      <c r="C37" s="4" t="s">
        <v>44</v>
      </c>
      <c r="D37" s="6">
        <v>46058</v>
      </c>
      <c r="F37" s="25">
        <f t="shared" si="0"/>
        <v>8</v>
      </c>
      <c r="G37" s="35">
        <v>1</v>
      </c>
      <c r="H37" s="20">
        <f t="shared" si="1"/>
        <v>183.56328974507881</v>
      </c>
      <c r="I37" s="26" t="s">
        <v>45</v>
      </c>
      <c r="J37" s="17">
        <v>91666</v>
      </c>
      <c r="K37" s="7" t="s">
        <v>46</v>
      </c>
      <c r="L37" s="3" t="s">
        <v>75</v>
      </c>
      <c r="M37" s="3" t="s">
        <v>79</v>
      </c>
      <c r="N37" s="3" t="s">
        <v>77</v>
      </c>
      <c r="O37" s="3" t="s">
        <v>80</v>
      </c>
    </row>
    <row r="38" spans="1:15" x14ac:dyDescent="0.25">
      <c r="A38" s="3" t="s">
        <v>26</v>
      </c>
      <c r="B38" s="3" t="s">
        <v>81</v>
      </c>
      <c r="C38" s="4" t="s">
        <v>36</v>
      </c>
      <c r="D38" s="6">
        <v>46058</v>
      </c>
      <c r="F38" s="25">
        <f t="shared" si="0"/>
        <v>8</v>
      </c>
      <c r="G38" s="35">
        <v>1</v>
      </c>
      <c r="H38" s="20">
        <f t="shared" si="1"/>
        <v>161.93956385045155</v>
      </c>
      <c r="I38" s="26" t="s">
        <v>45</v>
      </c>
      <c r="J38" s="17">
        <v>80867.759999999995</v>
      </c>
      <c r="K38" s="7" t="s">
        <v>46</v>
      </c>
      <c r="L38" s="3" t="s">
        <v>733</v>
      </c>
      <c r="M38" s="3" t="s">
        <v>738</v>
      </c>
      <c r="N38" s="3" t="s">
        <v>65</v>
      </c>
      <c r="O38" s="3" t="s">
        <v>739</v>
      </c>
    </row>
    <row r="39" spans="1:15" x14ac:dyDescent="0.25">
      <c r="A39" s="3" t="s">
        <v>26</v>
      </c>
      <c r="B39" s="3" t="s">
        <v>81</v>
      </c>
      <c r="C39" s="4" t="s">
        <v>36</v>
      </c>
      <c r="D39" s="6">
        <v>46059</v>
      </c>
      <c r="E39" s="48"/>
      <c r="F39" s="25">
        <f t="shared" si="0"/>
        <v>7</v>
      </c>
      <c r="G39" s="35">
        <v>1</v>
      </c>
      <c r="H39" s="20">
        <f t="shared" si="1"/>
        <v>287.40022428259607</v>
      </c>
      <c r="I39" s="26" t="s">
        <v>45</v>
      </c>
      <c r="J39" s="17">
        <v>143519.04999999999</v>
      </c>
      <c r="K39" s="7" t="s">
        <v>46</v>
      </c>
      <c r="L39" s="3" t="s">
        <v>82</v>
      </c>
      <c r="M39" s="3" t="s">
        <v>83</v>
      </c>
      <c r="N39" s="3" t="s">
        <v>84</v>
      </c>
      <c r="O39" s="3" t="s">
        <v>85</v>
      </c>
    </row>
    <row r="40" spans="1:15" x14ac:dyDescent="0.25">
      <c r="A40" s="3" t="s">
        <v>26</v>
      </c>
      <c r="B40" s="3" t="s">
        <v>67</v>
      </c>
      <c r="C40" s="4" t="s">
        <v>44</v>
      </c>
      <c r="D40" s="6">
        <v>46059</v>
      </c>
      <c r="E40" s="48"/>
      <c r="F40" s="25">
        <f t="shared" si="0"/>
        <v>7</v>
      </c>
      <c r="G40" s="35">
        <v>1</v>
      </c>
      <c r="H40" s="20">
        <f t="shared" si="1"/>
        <v>33.225143681038105</v>
      </c>
      <c r="I40" s="26" t="s">
        <v>45</v>
      </c>
      <c r="J40" s="17">
        <v>16591.64</v>
      </c>
      <c r="K40" s="7" t="s">
        <v>46</v>
      </c>
      <c r="L40" s="3" t="s">
        <v>82</v>
      </c>
      <c r="M40" s="3" t="s">
        <v>86</v>
      </c>
      <c r="N40" s="3" t="s">
        <v>84</v>
      </c>
      <c r="O40" s="3" t="s">
        <v>87</v>
      </c>
    </row>
    <row r="41" spans="1:15" x14ac:dyDescent="0.25">
      <c r="A41" s="3" t="s">
        <v>73</v>
      </c>
      <c r="B41" s="3" t="s">
        <v>60</v>
      </c>
      <c r="C41" s="4" t="s">
        <v>36</v>
      </c>
      <c r="D41" s="6">
        <v>46059</v>
      </c>
      <c r="F41" s="25">
        <f t="shared" si="0"/>
        <v>7</v>
      </c>
      <c r="G41" s="35">
        <v>1</v>
      </c>
      <c r="H41" s="20">
        <f t="shared" si="1"/>
        <v>100.65626689628932</v>
      </c>
      <c r="I41" s="26" t="s">
        <v>45</v>
      </c>
      <c r="J41" s="17">
        <v>50264.72</v>
      </c>
      <c r="K41" s="7" t="s">
        <v>46</v>
      </c>
      <c r="L41" s="3" t="s">
        <v>88</v>
      </c>
      <c r="M41" s="3" t="s">
        <v>89</v>
      </c>
      <c r="N41" s="3" t="s">
        <v>84</v>
      </c>
      <c r="O41" s="3" t="s">
        <v>90</v>
      </c>
    </row>
    <row r="42" spans="1:15" x14ac:dyDescent="0.25">
      <c r="A42" s="3" t="s">
        <v>26</v>
      </c>
      <c r="B42" s="3" t="s">
        <v>57</v>
      </c>
      <c r="C42" s="4" t="s">
        <v>44</v>
      </c>
      <c r="D42" s="6">
        <v>46059</v>
      </c>
      <c r="F42" s="25">
        <f t="shared" si="0"/>
        <v>7</v>
      </c>
      <c r="G42" s="35">
        <v>1</v>
      </c>
      <c r="H42" s="20">
        <f t="shared" si="1"/>
        <v>347.72369185173318</v>
      </c>
      <c r="I42" s="26" t="s">
        <v>45</v>
      </c>
      <c r="J42" s="17">
        <v>173642.78</v>
      </c>
      <c r="K42" s="7" t="s">
        <v>46</v>
      </c>
      <c r="L42" s="3" t="s">
        <v>91</v>
      </c>
      <c r="M42" s="3" t="s">
        <v>92</v>
      </c>
      <c r="N42" s="3" t="s">
        <v>55</v>
      </c>
      <c r="O42" s="3" t="s">
        <v>93</v>
      </c>
    </row>
    <row r="43" spans="1:15" x14ac:dyDescent="0.25">
      <c r="A43" s="3" t="s">
        <v>26</v>
      </c>
      <c r="B43" s="3" t="s">
        <v>35</v>
      </c>
      <c r="C43" s="4" t="s">
        <v>36</v>
      </c>
      <c r="D43" s="6">
        <v>46059</v>
      </c>
      <c r="F43" s="25">
        <f t="shared" si="0"/>
        <v>7</v>
      </c>
      <c r="G43" s="35">
        <v>1</v>
      </c>
      <c r="H43" s="20">
        <f t="shared" si="1"/>
        <v>1498.8673128141459</v>
      </c>
      <c r="I43" s="26" t="s">
        <v>45</v>
      </c>
      <c r="J43" s="17">
        <v>748489.37</v>
      </c>
      <c r="K43" s="7" t="s">
        <v>46</v>
      </c>
      <c r="L43" s="3" t="s">
        <v>53</v>
      </c>
      <c r="M43" s="3" t="s">
        <v>94</v>
      </c>
      <c r="N43" s="3" t="s">
        <v>55</v>
      </c>
      <c r="O43" s="3" t="s">
        <v>95</v>
      </c>
    </row>
    <row r="44" spans="1:15" x14ac:dyDescent="0.25">
      <c r="A44" s="3" t="s">
        <v>26</v>
      </c>
      <c r="B44" s="3" t="s">
        <v>57</v>
      </c>
      <c r="C44" s="4" t="s">
        <v>44</v>
      </c>
      <c r="D44" s="6">
        <v>46059</v>
      </c>
      <c r="F44" s="25">
        <f t="shared" si="0"/>
        <v>7</v>
      </c>
      <c r="G44" s="35">
        <v>1</v>
      </c>
      <c r="H44" s="20">
        <f t="shared" si="1"/>
        <v>67.88553577507659</v>
      </c>
      <c r="I44" s="26" t="s">
        <v>45</v>
      </c>
      <c r="J44" s="17">
        <v>33900</v>
      </c>
      <c r="K44" s="7" t="s">
        <v>46</v>
      </c>
      <c r="L44" s="3" t="s">
        <v>96</v>
      </c>
      <c r="M44" s="3" t="s">
        <v>97</v>
      </c>
      <c r="N44" s="3" t="s">
        <v>98</v>
      </c>
      <c r="O44" s="3" t="s">
        <v>99</v>
      </c>
    </row>
    <row r="45" spans="1:15" x14ac:dyDescent="0.25">
      <c r="A45" s="3" t="s">
        <v>26</v>
      </c>
      <c r="B45" s="3" t="s">
        <v>57</v>
      </c>
      <c r="C45" s="4" t="s">
        <v>44</v>
      </c>
      <c r="D45" s="6">
        <v>46059</v>
      </c>
      <c r="F45" s="25">
        <f t="shared" si="0"/>
        <v>7</v>
      </c>
      <c r="G45" s="35">
        <v>1</v>
      </c>
      <c r="H45" s="20">
        <f t="shared" si="1"/>
        <v>407.3132146504596</v>
      </c>
      <c r="I45" s="26" t="s">
        <v>45</v>
      </c>
      <c r="J45" s="17">
        <v>203400</v>
      </c>
      <c r="K45" s="7" t="s">
        <v>46</v>
      </c>
      <c r="L45" s="3" t="s">
        <v>96</v>
      </c>
      <c r="M45" s="3" t="s">
        <v>100</v>
      </c>
      <c r="N45" s="3" t="s">
        <v>98</v>
      </c>
      <c r="O45" s="3" t="s">
        <v>101</v>
      </c>
    </row>
    <row r="46" spans="1:15" x14ac:dyDescent="0.25">
      <c r="A46" s="3" t="s">
        <v>26</v>
      </c>
      <c r="B46" s="3" t="s">
        <v>43</v>
      </c>
      <c r="C46" s="4" t="s">
        <v>44</v>
      </c>
      <c r="D46" s="6">
        <v>46059</v>
      </c>
      <c r="F46" s="25">
        <f t="shared" si="0"/>
        <v>7</v>
      </c>
      <c r="G46" s="35">
        <v>1</v>
      </c>
      <c r="H46" s="20">
        <f t="shared" si="1"/>
        <v>97.302601277609782</v>
      </c>
      <c r="I46" s="26" t="s">
        <v>45</v>
      </c>
      <c r="J46" s="17">
        <v>48590</v>
      </c>
      <c r="K46" s="7" t="s">
        <v>46</v>
      </c>
      <c r="L46" s="3" t="s">
        <v>102</v>
      </c>
      <c r="M46" s="3" t="s">
        <v>103</v>
      </c>
      <c r="N46" s="3" t="s">
        <v>55</v>
      </c>
      <c r="O46" s="3" t="s">
        <v>104</v>
      </c>
    </row>
    <row r="47" spans="1:15" x14ac:dyDescent="0.25">
      <c r="A47" s="3" t="s">
        <v>26</v>
      </c>
      <c r="B47" s="3" t="s">
        <v>43</v>
      </c>
      <c r="C47" s="4" t="s">
        <v>44</v>
      </c>
      <c r="D47" s="6">
        <v>46059</v>
      </c>
      <c r="F47" s="25">
        <f t="shared" si="0"/>
        <v>7</v>
      </c>
      <c r="G47" s="35">
        <v>1</v>
      </c>
      <c r="H47" s="20">
        <f t="shared" si="1"/>
        <v>210.44516090273746</v>
      </c>
      <c r="I47" s="26" t="s">
        <v>45</v>
      </c>
      <c r="J47" s="17">
        <v>105090</v>
      </c>
      <c r="K47" s="7" t="s">
        <v>46</v>
      </c>
      <c r="L47" s="3" t="s">
        <v>102</v>
      </c>
      <c r="M47" s="3" t="s">
        <v>105</v>
      </c>
      <c r="N47" s="3" t="s">
        <v>55</v>
      </c>
      <c r="O47" s="3" t="s">
        <v>106</v>
      </c>
    </row>
    <row r="48" spans="1:15" x14ac:dyDescent="0.25">
      <c r="A48" s="3" t="s">
        <v>26</v>
      </c>
      <c r="B48" s="3" t="s">
        <v>57</v>
      </c>
      <c r="C48" s="4" t="s">
        <v>44</v>
      </c>
      <c r="D48" s="6">
        <v>46059</v>
      </c>
      <c r="F48" s="25">
        <f t="shared" si="0"/>
        <v>7</v>
      </c>
      <c r="G48" s="35">
        <v>1</v>
      </c>
      <c r="H48" s="20">
        <f t="shared" si="1"/>
        <v>571.32466908304468</v>
      </c>
      <c r="I48" s="26" t="s">
        <v>45</v>
      </c>
      <c r="J48" s="17">
        <v>285302.40000000002</v>
      </c>
      <c r="K48" s="7" t="s">
        <v>46</v>
      </c>
      <c r="L48" s="3" t="s">
        <v>107</v>
      </c>
      <c r="M48" s="3" t="s">
        <v>108</v>
      </c>
      <c r="N48" s="3" t="s">
        <v>109</v>
      </c>
      <c r="O48" s="3" t="s">
        <v>110</v>
      </c>
    </row>
    <row r="49" spans="1:15" hidden="1" x14ac:dyDescent="0.25">
      <c r="A49" s="3" t="s">
        <v>26</v>
      </c>
      <c r="B49" s="3" t="s">
        <v>507</v>
      </c>
      <c r="C49" s="4" t="s">
        <v>28</v>
      </c>
      <c r="D49" s="6">
        <v>46103</v>
      </c>
      <c r="E49" s="48">
        <v>46103</v>
      </c>
      <c r="F49" s="25">
        <f t="shared" si="0"/>
        <v>-37</v>
      </c>
      <c r="G49" s="35">
        <v>3</v>
      </c>
      <c r="H49" s="20">
        <f t="shared" si="1"/>
        <v>49087.58</v>
      </c>
      <c r="I49" s="26" t="s">
        <v>29</v>
      </c>
      <c r="J49" s="14">
        <v>49087.58</v>
      </c>
      <c r="K49" s="7" t="s">
        <v>30</v>
      </c>
      <c r="L49" s="3" t="s">
        <v>31</v>
      </c>
      <c r="M49" s="3" t="s">
        <v>508</v>
      </c>
      <c r="N49" s="3" t="s">
        <v>33</v>
      </c>
      <c r="O49" s="2" t="s">
        <v>509</v>
      </c>
    </row>
    <row r="50" spans="1:15" hidden="1" x14ac:dyDescent="0.25">
      <c r="A50" s="3" t="s">
        <v>26</v>
      </c>
      <c r="B50" s="3" t="s">
        <v>27</v>
      </c>
      <c r="C50" s="4" t="s">
        <v>28</v>
      </c>
      <c r="D50" s="6">
        <v>46115</v>
      </c>
      <c r="E50" s="48">
        <v>46116</v>
      </c>
      <c r="F50" s="25">
        <f t="shared" si="0"/>
        <v>-49</v>
      </c>
      <c r="G50" s="49">
        <v>46116</v>
      </c>
      <c r="H50" s="20">
        <f t="shared" si="1"/>
        <v>56485.07</v>
      </c>
      <c r="I50" s="26" t="s">
        <v>29</v>
      </c>
      <c r="J50" s="14">
        <v>56485.07</v>
      </c>
      <c r="K50" s="7" t="s">
        <v>30</v>
      </c>
      <c r="L50" s="3" t="s">
        <v>31</v>
      </c>
      <c r="M50" s="3" t="s">
        <v>511</v>
      </c>
      <c r="N50" s="3" t="s">
        <v>33</v>
      </c>
      <c r="O50" s="2" t="s">
        <v>512</v>
      </c>
    </row>
    <row r="51" spans="1:15" hidden="1" x14ac:dyDescent="0.25">
      <c r="A51" s="3" t="s">
        <v>26</v>
      </c>
      <c r="B51" s="3" t="s">
        <v>27</v>
      </c>
      <c r="C51" s="4" t="s">
        <v>28</v>
      </c>
      <c r="D51" s="6">
        <v>46157</v>
      </c>
      <c r="E51" s="48">
        <v>46157</v>
      </c>
      <c r="F51" s="25">
        <f t="shared" si="0"/>
        <v>-91</v>
      </c>
      <c r="G51" s="49">
        <v>46157</v>
      </c>
      <c r="H51" s="20">
        <f t="shared" si="1"/>
        <v>57129.05</v>
      </c>
      <c r="I51" s="26" t="s">
        <v>29</v>
      </c>
      <c r="J51" s="17">
        <v>57129.05</v>
      </c>
      <c r="K51" s="7" t="s">
        <v>30</v>
      </c>
      <c r="L51" s="3" t="s">
        <v>31</v>
      </c>
      <c r="M51" s="3" t="s">
        <v>513</v>
      </c>
      <c r="N51" s="3" t="s">
        <v>332</v>
      </c>
      <c r="O51" s="3" t="s">
        <v>333</v>
      </c>
    </row>
    <row r="52" spans="1:15" hidden="1" x14ac:dyDescent="0.25">
      <c r="A52" s="3" t="s">
        <v>26</v>
      </c>
      <c r="B52" s="3" t="s">
        <v>27</v>
      </c>
      <c r="C52" s="4" t="s">
        <v>28</v>
      </c>
      <c r="D52" s="6">
        <v>46211</v>
      </c>
      <c r="E52" s="48">
        <v>46211</v>
      </c>
      <c r="F52" s="25">
        <f t="shared" si="0"/>
        <v>-145</v>
      </c>
      <c r="G52" s="49">
        <v>46211</v>
      </c>
      <c r="H52" s="20">
        <f t="shared" si="1"/>
        <v>22937.91</v>
      </c>
      <c r="I52" s="26" t="s">
        <v>29</v>
      </c>
      <c r="J52" s="17">
        <v>22937.91</v>
      </c>
      <c r="K52" s="7" t="s">
        <v>30</v>
      </c>
      <c r="L52" s="3" t="s">
        <v>31</v>
      </c>
      <c r="M52" s="3" t="s">
        <v>514</v>
      </c>
      <c r="N52" s="3" t="s">
        <v>33</v>
      </c>
      <c r="O52" s="3" t="s">
        <v>471</v>
      </c>
    </row>
    <row r="53" spans="1:15" hidden="1" x14ac:dyDescent="0.25">
      <c r="A53" s="3" t="s">
        <v>26</v>
      </c>
      <c r="B53" s="3" t="s">
        <v>60</v>
      </c>
      <c r="C53" s="4" t="s">
        <v>36</v>
      </c>
      <c r="D53" s="6">
        <v>46052</v>
      </c>
      <c r="E53" s="51">
        <v>46066</v>
      </c>
      <c r="F53" s="25">
        <f t="shared" si="0"/>
        <v>14</v>
      </c>
      <c r="G53" s="35">
        <v>2</v>
      </c>
      <c r="H53" s="20">
        <f t="shared" si="1"/>
        <v>3.9025799999999999</v>
      </c>
      <c r="I53" s="26" t="s">
        <v>111</v>
      </c>
      <c r="J53" s="17">
        <v>3.3</v>
      </c>
      <c r="K53" s="7" t="s">
        <v>112</v>
      </c>
      <c r="L53" s="3" t="s">
        <v>113</v>
      </c>
      <c r="M53" s="3" t="s">
        <v>602</v>
      </c>
      <c r="N53" s="3" t="s">
        <v>39</v>
      </c>
      <c r="O53" s="3" t="s">
        <v>603</v>
      </c>
    </row>
    <row r="54" spans="1:15" hidden="1" x14ac:dyDescent="0.25">
      <c r="A54" s="3" t="s">
        <v>26</v>
      </c>
      <c r="B54" s="3" t="s">
        <v>60</v>
      </c>
      <c r="C54" s="4" t="s">
        <v>36</v>
      </c>
      <c r="D54" s="6">
        <v>46059</v>
      </c>
      <c r="E54" s="51">
        <v>46066</v>
      </c>
      <c r="F54" s="25">
        <f t="shared" si="0"/>
        <v>7</v>
      </c>
      <c r="G54" s="63">
        <v>2</v>
      </c>
      <c r="H54" s="20">
        <f t="shared" si="1"/>
        <v>2846.0806380000004</v>
      </c>
      <c r="I54" s="26" t="s">
        <v>111</v>
      </c>
      <c r="J54" s="17">
        <v>2406.63</v>
      </c>
      <c r="K54" s="7" t="s">
        <v>112</v>
      </c>
      <c r="L54" s="3" t="s">
        <v>113</v>
      </c>
      <c r="M54" s="3" t="s">
        <v>114</v>
      </c>
      <c r="N54" s="3" t="s">
        <v>39</v>
      </c>
      <c r="O54" s="3" t="s">
        <v>115</v>
      </c>
    </row>
    <row r="55" spans="1:15" hidden="1" x14ac:dyDescent="0.25">
      <c r="A55" s="3" t="s">
        <v>26</v>
      </c>
      <c r="B55" s="3" t="s">
        <v>60</v>
      </c>
      <c r="C55" s="4" t="s">
        <v>36</v>
      </c>
      <c r="D55" s="6">
        <v>46059</v>
      </c>
      <c r="E55" s="51">
        <v>46066</v>
      </c>
      <c r="F55" s="25">
        <f t="shared" si="0"/>
        <v>7</v>
      </c>
      <c r="G55" s="63">
        <v>2</v>
      </c>
      <c r="H55" s="20">
        <f t="shared" si="1"/>
        <v>5790.7782900000002</v>
      </c>
      <c r="I55" s="26" t="s">
        <v>111</v>
      </c>
      <c r="J55" s="17">
        <v>4896.6499999999996</v>
      </c>
      <c r="K55" s="7" t="s">
        <v>112</v>
      </c>
      <c r="L55" s="3" t="s">
        <v>113</v>
      </c>
      <c r="M55" s="3" t="s">
        <v>116</v>
      </c>
      <c r="N55" s="3" t="s">
        <v>39</v>
      </c>
      <c r="O55" s="3" t="s">
        <v>117</v>
      </c>
    </row>
    <row r="56" spans="1:15" x14ac:dyDescent="0.25">
      <c r="A56" s="3" t="s">
        <v>73</v>
      </c>
      <c r="B56" s="3" t="s">
        <v>74</v>
      </c>
      <c r="C56" s="4" t="s">
        <v>44</v>
      </c>
      <c r="D56" s="6">
        <v>46059</v>
      </c>
      <c r="F56" s="25">
        <f t="shared" si="0"/>
        <v>7</v>
      </c>
      <c r="G56" s="35">
        <v>1</v>
      </c>
      <c r="H56" s="20">
        <f t="shared" si="1"/>
        <v>588.45002703406283</v>
      </c>
      <c r="I56" s="26" t="s">
        <v>45</v>
      </c>
      <c r="J56" s="17">
        <v>293854.28999999998</v>
      </c>
      <c r="K56" s="7" t="s">
        <v>46</v>
      </c>
      <c r="L56" s="3" t="s">
        <v>75</v>
      </c>
      <c r="M56" s="3" t="s">
        <v>128</v>
      </c>
      <c r="N56" s="3" t="s">
        <v>77</v>
      </c>
      <c r="O56" s="3" t="s">
        <v>129</v>
      </c>
    </row>
    <row r="57" spans="1:15" x14ac:dyDescent="0.25">
      <c r="A57" s="3" t="s">
        <v>73</v>
      </c>
      <c r="B57" s="3" t="s">
        <v>51</v>
      </c>
      <c r="C57" s="4" t="s">
        <v>52</v>
      </c>
      <c r="D57" s="6">
        <v>46059</v>
      </c>
      <c r="F57" s="25">
        <f t="shared" si="0"/>
        <v>7</v>
      </c>
      <c r="G57" s="35">
        <v>1</v>
      </c>
      <c r="H57" s="20">
        <f t="shared" si="1"/>
        <v>61.667961631655885</v>
      </c>
      <c r="I57" s="26" t="s">
        <v>45</v>
      </c>
      <c r="J57" s="17">
        <v>30795.13</v>
      </c>
      <c r="K57" s="7" t="s">
        <v>46</v>
      </c>
      <c r="L57" s="3" t="s">
        <v>130</v>
      </c>
      <c r="M57" s="3" t="s">
        <v>131</v>
      </c>
      <c r="N57" s="3" t="s">
        <v>109</v>
      </c>
      <c r="O57" s="3" t="s">
        <v>132</v>
      </c>
    </row>
    <row r="58" spans="1:15" x14ac:dyDescent="0.25">
      <c r="A58" s="3" t="s">
        <v>26</v>
      </c>
      <c r="B58" s="3" t="s">
        <v>35</v>
      </c>
      <c r="C58" s="4" t="s">
        <v>36</v>
      </c>
      <c r="D58" s="6">
        <v>46059</v>
      </c>
      <c r="F58" s="25">
        <f t="shared" si="0"/>
        <v>7</v>
      </c>
      <c r="G58" s="35">
        <v>1</v>
      </c>
      <c r="H58" s="20">
        <f t="shared" si="1"/>
        <v>147.08532751266597</v>
      </c>
      <c r="I58" s="26" t="s">
        <v>45</v>
      </c>
      <c r="J58" s="17">
        <v>73450</v>
      </c>
      <c r="K58" s="7" t="s">
        <v>46</v>
      </c>
      <c r="L58" s="3" t="s">
        <v>133</v>
      </c>
      <c r="M58" s="3" t="s">
        <v>134</v>
      </c>
      <c r="N58" s="3" t="s">
        <v>65</v>
      </c>
      <c r="O58" s="3" t="s">
        <v>135</v>
      </c>
    </row>
    <row r="59" spans="1:15" x14ac:dyDescent="0.25">
      <c r="A59" s="3" t="s">
        <v>26</v>
      </c>
      <c r="B59" s="3" t="s">
        <v>81</v>
      </c>
      <c r="C59" s="4" t="s">
        <v>36</v>
      </c>
      <c r="D59" s="6">
        <v>46059</v>
      </c>
      <c r="F59" s="25">
        <f t="shared" si="0"/>
        <v>7</v>
      </c>
      <c r="G59" s="35">
        <v>1</v>
      </c>
      <c r="H59" s="20">
        <f t="shared" si="1"/>
        <v>101.8283036626149</v>
      </c>
      <c r="I59" s="26" t="s">
        <v>45</v>
      </c>
      <c r="J59" s="17">
        <v>50850</v>
      </c>
      <c r="K59" s="7" t="s">
        <v>46</v>
      </c>
      <c r="L59" s="3" t="s">
        <v>133</v>
      </c>
      <c r="M59" s="3" t="s">
        <v>136</v>
      </c>
      <c r="N59" s="3" t="s">
        <v>65</v>
      </c>
      <c r="O59" s="3" t="s">
        <v>137</v>
      </c>
    </row>
    <row r="60" spans="1:15" x14ac:dyDescent="0.25">
      <c r="A60" s="3" t="s">
        <v>26</v>
      </c>
      <c r="B60" s="3" t="s">
        <v>67</v>
      </c>
      <c r="C60" s="4" t="s">
        <v>44</v>
      </c>
      <c r="D60" s="6">
        <v>46059</v>
      </c>
      <c r="F60" s="25">
        <f t="shared" si="0"/>
        <v>7</v>
      </c>
      <c r="G60" s="35">
        <v>1</v>
      </c>
      <c r="H60" s="20">
        <f t="shared" si="1"/>
        <v>79.199791737589365</v>
      </c>
      <c r="I60" s="26" t="s">
        <v>45</v>
      </c>
      <c r="J60" s="17">
        <v>39550</v>
      </c>
      <c r="K60" s="7" t="s">
        <v>46</v>
      </c>
      <c r="L60" s="3" t="s">
        <v>133</v>
      </c>
      <c r="M60" s="3" t="s">
        <v>138</v>
      </c>
      <c r="N60" s="3" t="s">
        <v>65</v>
      </c>
      <c r="O60" s="3" t="s">
        <v>139</v>
      </c>
    </row>
    <row r="61" spans="1:15" x14ac:dyDescent="0.25">
      <c r="A61" s="3" t="s">
        <v>26</v>
      </c>
      <c r="B61" s="3" t="s">
        <v>67</v>
      </c>
      <c r="C61" s="4" t="s">
        <v>44</v>
      </c>
      <c r="D61" s="6">
        <v>46059</v>
      </c>
      <c r="F61" s="25">
        <f t="shared" si="0"/>
        <v>7</v>
      </c>
      <c r="G61" s="35">
        <v>1</v>
      </c>
      <c r="H61" s="20">
        <f t="shared" si="1"/>
        <v>124.45681558764042</v>
      </c>
      <c r="I61" s="26" t="s">
        <v>45</v>
      </c>
      <c r="J61" s="17">
        <v>62150</v>
      </c>
      <c r="K61" s="7" t="s">
        <v>46</v>
      </c>
      <c r="L61" s="3" t="s">
        <v>133</v>
      </c>
      <c r="M61" s="3" t="s">
        <v>140</v>
      </c>
      <c r="N61" s="3" t="s">
        <v>65</v>
      </c>
      <c r="O61" s="3" t="s">
        <v>141</v>
      </c>
    </row>
    <row r="62" spans="1:15" x14ac:dyDescent="0.25">
      <c r="A62" s="3" t="s">
        <v>26</v>
      </c>
      <c r="B62" s="3" t="s">
        <v>60</v>
      </c>
      <c r="C62" s="4" t="s">
        <v>36</v>
      </c>
      <c r="D62" s="6">
        <v>46059</v>
      </c>
      <c r="F62" s="25">
        <f t="shared" si="0"/>
        <v>7</v>
      </c>
      <c r="G62" s="35">
        <v>1</v>
      </c>
      <c r="H62" s="20">
        <f t="shared" si="1"/>
        <v>124.45681558764042</v>
      </c>
      <c r="I62" s="26" t="s">
        <v>45</v>
      </c>
      <c r="J62" s="17">
        <v>62150</v>
      </c>
      <c r="K62" s="7" t="s">
        <v>46</v>
      </c>
      <c r="L62" s="3" t="s">
        <v>133</v>
      </c>
      <c r="M62" s="3" t="s">
        <v>142</v>
      </c>
      <c r="N62" s="3" t="s">
        <v>65</v>
      </c>
      <c r="O62" s="3" t="s">
        <v>143</v>
      </c>
    </row>
    <row r="63" spans="1:15" x14ac:dyDescent="0.25">
      <c r="A63" s="3" t="s">
        <v>26</v>
      </c>
      <c r="B63" s="3" t="s">
        <v>27</v>
      </c>
      <c r="C63" s="4" t="s">
        <v>28</v>
      </c>
      <c r="D63" s="6">
        <v>46059</v>
      </c>
      <c r="F63" s="25">
        <f t="shared" si="0"/>
        <v>7</v>
      </c>
      <c r="G63" s="35">
        <v>1</v>
      </c>
      <c r="H63" s="20">
        <f t="shared" si="1"/>
        <v>203.6566073252298</v>
      </c>
      <c r="I63" s="26" t="s">
        <v>45</v>
      </c>
      <c r="J63" s="17">
        <v>101700</v>
      </c>
      <c r="K63" s="7" t="s">
        <v>46</v>
      </c>
      <c r="L63" s="3" t="s">
        <v>133</v>
      </c>
      <c r="M63" s="3" t="s">
        <v>144</v>
      </c>
      <c r="N63" s="3" t="s">
        <v>65</v>
      </c>
      <c r="O63" s="3" t="s">
        <v>145</v>
      </c>
    </row>
    <row r="64" spans="1:15" x14ac:dyDescent="0.25">
      <c r="A64" s="3" t="s">
        <v>26</v>
      </c>
      <c r="B64" s="3" t="s">
        <v>35</v>
      </c>
      <c r="C64" s="4" t="s">
        <v>36</v>
      </c>
      <c r="D64" s="6">
        <v>46059</v>
      </c>
      <c r="F64" s="25">
        <f t="shared" si="0"/>
        <v>7</v>
      </c>
      <c r="G64" s="35">
        <v>1</v>
      </c>
      <c r="H64" s="20">
        <f t="shared" si="1"/>
        <v>147.08532751266597</v>
      </c>
      <c r="I64" s="26" t="s">
        <v>45</v>
      </c>
      <c r="J64" s="17">
        <v>73450</v>
      </c>
      <c r="K64" s="7" t="s">
        <v>46</v>
      </c>
      <c r="L64" s="3" t="s">
        <v>133</v>
      </c>
      <c r="M64" s="3" t="s">
        <v>146</v>
      </c>
      <c r="N64" s="3" t="s">
        <v>65</v>
      </c>
      <c r="O64" s="3" t="s">
        <v>147</v>
      </c>
    </row>
    <row r="65" spans="1:15" x14ac:dyDescent="0.25">
      <c r="A65" s="3" t="s">
        <v>26</v>
      </c>
      <c r="B65" s="3" t="s">
        <v>67</v>
      </c>
      <c r="C65" s="4" t="s">
        <v>44</v>
      </c>
      <c r="D65" s="6">
        <v>46059</v>
      </c>
      <c r="F65" s="25">
        <f t="shared" si="0"/>
        <v>7</v>
      </c>
      <c r="G65" s="35">
        <v>1</v>
      </c>
      <c r="H65" s="20">
        <f t="shared" si="1"/>
        <v>45.257023850051063</v>
      </c>
      <c r="I65" s="26" t="s">
        <v>45</v>
      </c>
      <c r="J65" s="17">
        <v>22600</v>
      </c>
      <c r="K65" s="7" t="s">
        <v>46</v>
      </c>
      <c r="L65" s="3" t="s">
        <v>148</v>
      </c>
      <c r="M65" s="3" t="s">
        <v>149</v>
      </c>
      <c r="N65" s="3" t="s">
        <v>65</v>
      </c>
      <c r="O65" s="3" t="s">
        <v>150</v>
      </c>
    </row>
    <row r="66" spans="1:15" x14ac:dyDescent="0.25">
      <c r="A66" s="3" t="s">
        <v>26</v>
      </c>
      <c r="B66" s="3" t="s">
        <v>81</v>
      </c>
      <c r="C66" s="4" t="s">
        <v>36</v>
      </c>
      <c r="D66" s="6">
        <v>46059</v>
      </c>
      <c r="F66" s="25">
        <f t="shared" si="0"/>
        <v>7</v>
      </c>
      <c r="G66" s="35">
        <v>1</v>
      </c>
      <c r="H66" s="20">
        <f t="shared" si="1"/>
        <v>56.57127981256383</v>
      </c>
      <c r="I66" s="26" t="s">
        <v>45</v>
      </c>
      <c r="J66" s="17">
        <v>28250</v>
      </c>
      <c r="K66" s="7" t="s">
        <v>46</v>
      </c>
      <c r="L66" s="3" t="s">
        <v>148</v>
      </c>
      <c r="M66" s="3" t="s">
        <v>151</v>
      </c>
      <c r="N66" s="3" t="s">
        <v>65</v>
      </c>
      <c r="O66" s="3" t="s">
        <v>152</v>
      </c>
    </row>
    <row r="67" spans="1:15" x14ac:dyDescent="0.25">
      <c r="A67" s="3" t="s">
        <v>26</v>
      </c>
      <c r="B67" s="3" t="s">
        <v>81</v>
      </c>
      <c r="C67" s="4" t="s">
        <v>36</v>
      </c>
      <c r="D67" s="6">
        <v>46059</v>
      </c>
      <c r="F67" s="25">
        <f t="shared" si="0"/>
        <v>7</v>
      </c>
      <c r="G67" s="35">
        <v>1</v>
      </c>
      <c r="H67" s="20">
        <f t="shared" si="1"/>
        <v>56.57127981256383</v>
      </c>
      <c r="I67" s="26" t="s">
        <v>45</v>
      </c>
      <c r="J67" s="17">
        <v>28250</v>
      </c>
      <c r="K67" s="7" t="s">
        <v>46</v>
      </c>
      <c r="L67" s="3" t="s">
        <v>148</v>
      </c>
      <c r="M67" s="3" t="s">
        <v>153</v>
      </c>
      <c r="N67" s="3" t="s">
        <v>65</v>
      </c>
      <c r="O67" s="3" t="s">
        <v>154</v>
      </c>
    </row>
    <row r="68" spans="1:15" x14ac:dyDescent="0.25">
      <c r="A68" s="3" t="s">
        <v>26</v>
      </c>
      <c r="B68" s="3" t="s">
        <v>81</v>
      </c>
      <c r="C68" s="4" t="s">
        <v>36</v>
      </c>
      <c r="D68" s="6">
        <v>46059</v>
      </c>
      <c r="F68" s="25">
        <f t="shared" si="0"/>
        <v>7</v>
      </c>
      <c r="G68" s="35">
        <v>1</v>
      </c>
      <c r="H68" s="20">
        <f t="shared" si="1"/>
        <v>452.57023850051064</v>
      </c>
      <c r="I68" s="26" t="s">
        <v>45</v>
      </c>
      <c r="J68" s="17">
        <v>226000</v>
      </c>
      <c r="K68" s="7" t="s">
        <v>46</v>
      </c>
      <c r="L68" s="3" t="s">
        <v>155</v>
      </c>
      <c r="M68" s="3" t="s">
        <v>156</v>
      </c>
      <c r="N68" s="3" t="s">
        <v>157</v>
      </c>
      <c r="O68" s="3" t="s">
        <v>158</v>
      </c>
    </row>
    <row r="69" spans="1:15" x14ac:dyDescent="0.25">
      <c r="A69" s="3" t="s">
        <v>26</v>
      </c>
      <c r="B69" s="3" t="s">
        <v>67</v>
      </c>
      <c r="C69" s="4" t="s">
        <v>44</v>
      </c>
      <c r="D69" s="6">
        <v>46059</v>
      </c>
      <c r="F69" s="25">
        <f t="shared" si="0"/>
        <v>7</v>
      </c>
      <c r="G69" s="35">
        <v>1</v>
      </c>
      <c r="H69" s="20">
        <f t="shared" si="1"/>
        <v>168.3836</v>
      </c>
      <c r="I69" s="26" t="s">
        <v>29</v>
      </c>
      <c r="J69" s="17">
        <v>168.3836</v>
      </c>
      <c r="K69" s="7" t="s">
        <v>46</v>
      </c>
      <c r="L69" s="3" t="s">
        <v>159</v>
      </c>
      <c r="M69" s="3" t="s">
        <v>160</v>
      </c>
      <c r="N69" s="3" t="s">
        <v>65</v>
      </c>
      <c r="O69" s="3" t="s">
        <v>161</v>
      </c>
    </row>
    <row r="70" spans="1:15" x14ac:dyDescent="0.25">
      <c r="A70" s="3" t="s">
        <v>26</v>
      </c>
      <c r="B70" s="3" t="s">
        <v>81</v>
      </c>
      <c r="C70" s="4" t="s">
        <v>36</v>
      </c>
      <c r="D70" s="6">
        <v>46059</v>
      </c>
      <c r="F70" s="25">
        <f t="shared" si="0"/>
        <v>7</v>
      </c>
      <c r="G70" s="35">
        <v>1</v>
      </c>
      <c r="H70" s="20">
        <f t="shared" si="1"/>
        <v>137.76839999999999</v>
      </c>
      <c r="I70" s="26" t="s">
        <v>29</v>
      </c>
      <c r="J70" s="17">
        <v>137.76839999999999</v>
      </c>
      <c r="K70" s="7" t="s">
        <v>46</v>
      </c>
      <c r="L70" s="3" t="s">
        <v>159</v>
      </c>
      <c r="M70" s="3" t="s">
        <v>160</v>
      </c>
      <c r="N70" s="3" t="s">
        <v>65</v>
      </c>
      <c r="O70" s="3" t="s">
        <v>161</v>
      </c>
    </row>
    <row r="71" spans="1:15" x14ac:dyDescent="0.25">
      <c r="A71" s="3" t="s">
        <v>26</v>
      </c>
      <c r="B71" s="3" t="s">
        <v>60</v>
      </c>
      <c r="C71" s="4" t="s">
        <v>36</v>
      </c>
      <c r="D71" s="6">
        <v>46059</v>
      </c>
      <c r="F71" s="25">
        <f t="shared" ref="F71:F134" si="2">IF(D71=0,0,+F$4-D71)</f>
        <v>7</v>
      </c>
      <c r="G71" s="35">
        <v>1</v>
      </c>
      <c r="H71" s="20">
        <f t="shared" ref="H71:H134" si="3">IF(I71="¢",IFERROR(J71/G$4,0),IF(I71="€",J71*J$4,J71))</f>
        <v>459.22799999999995</v>
      </c>
      <c r="I71" s="26" t="s">
        <v>29</v>
      </c>
      <c r="J71" s="17">
        <v>459.22799999999995</v>
      </c>
      <c r="K71" s="7" t="s">
        <v>46</v>
      </c>
      <c r="L71" s="3" t="s">
        <v>159</v>
      </c>
      <c r="M71" s="3" t="s">
        <v>160</v>
      </c>
      <c r="N71" s="3" t="s">
        <v>65</v>
      </c>
      <c r="O71" s="3" t="s">
        <v>161</v>
      </c>
    </row>
    <row r="72" spans="1:15" x14ac:dyDescent="0.25">
      <c r="A72" s="3" t="s">
        <v>73</v>
      </c>
      <c r="B72" s="3" t="s">
        <v>27</v>
      </c>
      <c r="C72" s="4" t="s">
        <v>28</v>
      </c>
      <c r="D72" s="6">
        <v>46059</v>
      </c>
      <c r="F72" s="25">
        <f t="shared" si="2"/>
        <v>7</v>
      </c>
      <c r="G72" s="35">
        <v>1</v>
      </c>
      <c r="H72" s="20">
        <f t="shared" si="3"/>
        <v>803.73</v>
      </c>
      <c r="I72" s="26" t="s">
        <v>29</v>
      </c>
      <c r="J72" s="17">
        <v>803.73</v>
      </c>
      <c r="K72" s="7" t="s">
        <v>46</v>
      </c>
      <c r="L72" s="3" t="s">
        <v>162</v>
      </c>
      <c r="M72" s="3" t="s">
        <v>163</v>
      </c>
      <c r="N72" s="3" t="s">
        <v>164</v>
      </c>
      <c r="O72" s="3" t="s">
        <v>165</v>
      </c>
    </row>
    <row r="73" spans="1:15" hidden="1" x14ac:dyDescent="0.25">
      <c r="A73" s="3" t="s">
        <v>26</v>
      </c>
      <c r="B73" s="3" t="s">
        <v>60</v>
      </c>
      <c r="C73" s="4" t="s">
        <v>36</v>
      </c>
      <c r="D73" s="6">
        <v>46059</v>
      </c>
      <c r="E73" s="51">
        <v>46066</v>
      </c>
      <c r="F73" s="25">
        <f t="shared" si="2"/>
        <v>7</v>
      </c>
      <c r="G73" s="63">
        <v>2</v>
      </c>
      <c r="H73" s="20">
        <f t="shared" si="3"/>
        <v>6855.5322000000006</v>
      </c>
      <c r="I73" s="26" t="s">
        <v>111</v>
      </c>
      <c r="J73" s="17">
        <v>5797</v>
      </c>
      <c r="K73" s="7" t="s">
        <v>112</v>
      </c>
      <c r="L73" s="3" t="s">
        <v>113</v>
      </c>
      <c r="M73" s="3" t="s">
        <v>118</v>
      </c>
      <c r="N73" s="3" t="s">
        <v>39</v>
      </c>
      <c r="O73" s="3" t="s">
        <v>119</v>
      </c>
    </row>
    <row r="74" spans="1:15" x14ac:dyDescent="0.25">
      <c r="A74" s="3" t="s">
        <v>26</v>
      </c>
      <c r="B74" s="3" t="s">
        <v>81</v>
      </c>
      <c r="C74" s="4" t="s">
        <v>36</v>
      </c>
      <c r="D74" s="6">
        <v>46059</v>
      </c>
      <c r="F74" s="25">
        <f t="shared" si="2"/>
        <v>7</v>
      </c>
      <c r="G74" s="35">
        <v>1</v>
      </c>
      <c r="H74" s="20">
        <f t="shared" si="3"/>
        <v>264.68518333099706</v>
      </c>
      <c r="I74" s="26" t="s">
        <v>45</v>
      </c>
      <c r="J74" s="17">
        <v>132175.84</v>
      </c>
      <c r="K74" s="7" t="s">
        <v>46</v>
      </c>
      <c r="L74" s="3" t="s">
        <v>130</v>
      </c>
      <c r="M74" s="3" t="s">
        <v>170</v>
      </c>
      <c r="N74" s="3" t="s">
        <v>109</v>
      </c>
      <c r="O74" s="3" t="s">
        <v>171</v>
      </c>
    </row>
    <row r="75" spans="1:15" x14ac:dyDescent="0.25">
      <c r="A75" s="3" t="s">
        <v>26</v>
      </c>
      <c r="B75" s="3" t="s">
        <v>67</v>
      </c>
      <c r="C75" s="4" t="s">
        <v>44</v>
      </c>
      <c r="D75" s="6">
        <v>46059</v>
      </c>
      <c r="F75" s="25">
        <f t="shared" si="2"/>
        <v>7</v>
      </c>
      <c r="G75" s="35">
        <v>1</v>
      </c>
      <c r="H75" s="20">
        <f t="shared" si="3"/>
        <v>343.00216272503354</v>
      </c>
      <c r="I75" s="26" t="s">
        <v>45</v>
      </c>
      <c r="J75" s="17">
        <v>171284.99</v>
      </c>
      <c r="K75" s="7" t="s">
        <v>46</v>
      </c>
      <c r="L75" s="3" t="s">
        <v>172</v>
      </c>
      <c r="M75" s="3" t="s">
        <v>173</v>
      </c>
      <c r="N75" s="3" t="s">
        <v>174</v>
      </c>
      <c r="O75" s="3" t="s">
        <v>175</v>
      </c>
    </row>
    <row r="76" spans="1:15" hidden="1" x14ac:dyDescent="0.25">
      <c r="A76" s="3" t="s">
        <v>26</v>
      </c>
      <c r="B76" s="3" t="s">
        <v>60</v>
      </c>
      <c r="C76" s="4" t="s">
        <v>36</v>
      </c>
      <c r="D76" s="6">
        <v>46059</v>
      </c>
      <c r="E76" s="51">
        <v>46066</v>
      </c>
      <c r="F76" s="25">
        <f t="shared" si="2"/>
        <v>7</v>
      </c>
      <c r="G76" s="63">
        <v>2</v>
      </c>
      <c r="H76" s="20">
        <f t="shared" si="3"/>
        <v>9490.4241300000012</v>
      </c>
      <c r="I76" s="26" t="s">
        <v>111</v>
      </c>
      <c r="J76" s="17">
        <v>8025.05</v>
      </c>
      <c r="K76" s="7" t="s">
        <v>112</v>
      </c>
      <c r="L76" s="3" t="s">
        <v>113</v>
      </c>
      <c r="M76" s="3" t="s">
        <v>120</v>
      </c>
      <c r="N76" s="3" t="s">
        <v>39</v>
      </c>
      <c r="O76" s="3" t="s">
        <v>121</v>
      </c>
    </row>
    <row r="77" spans="1:15" hidden="1" x14ac:dyDescent="0.25">
      <c r="A77" s="3" t="s">
        <v>26</v>
      </c>
      <c r="B77" s="3" t="s">
        <v>60</v>
      </c>
      <c r="C77" s="4" t="s">
        <v>36</v>
      </c>
      <c r="D77" s="6">
        <v>46059</v>
      </c>
      <c r="E77" s="51">
        <v>46066</v>
      </c>
      <c r="F77" s="25">
        <f t="shared" si="2"/>
        <v>7</v>
      </c>
      <c r="G77" s="63">
        <v>2</v>
      </c>
      <c r="H77" s="20">
        <f t="shared" si="3"/>
        <v>2924.0139780000004</v>
      </c>
      <c r="I77" s="26" t="s">
        <v>111</v>
      </c>
      <c r="J77" s="17">
        <v>2472.5300000000002</v>
      </c>
      <c r="K77" s="7" t="s">
        <v>112</v>
      </c>
      <c r="L77" s="3" t="s">
        <v>113</v>
      </c>
      <c r="M77" s="3" t="s">
        <v>122</v>
      </c>
      <c r="N77" s="3" t="s">
        <v>39</v>
      </c>
      <c r="O77" s="3" t="s">
        <v>123</v>
      </c>
    </row>
    <row r="78" spans="1:15" hidden="1" x14ac:dyDescent="0.25">
      <c r="A78" s="3" t="s">
        <v>26</v>
      </c>
      <c r="B78" s="3" t="s">
        <v>60</v>
      </c>
      <c r="C78" s="4" t="s">
        <v>36</v>
      </c>
      <c r="D78" s="6">
        <v>46059</v>
      </c>
      <c r="E78" s="51">
        <v>46066</v>
      </c>
      <c r="F78" s="25">
        <f t="shared" si="2"/>
        <v>7</v>
      </c>
      <c r="G78" s="63">
        <v>2</v>
      </c>
      <c r="H78" s="20">
        <f t="shared" si="3"/>
        <v>4790.7480780000005</v>
      </c>
      <c r="I78" s="26" t="s">
        <v>111</v>
      </c>
      <c r="J78" s="17">
        <v>4051.03</v>
      </c>
      <c r="K78" s="7" t="s">
        <v>112</v>
      </c>
      <c r="L78" s="3" t="s">
        <v>113</v>
      </c>
      <c r="M78" s="3" t="s">
        <v>124</v>
      </c>
      <c r="N78" s="3" t="s">
        <v>39</v>
      </c>
      <c r="O78" s="3" t="s">
        <v>125</v>
      </c>
    </row>
    <row r="79" spans="1:15" hidden="1" x14ac:dyDescent="0.25">
      <c r="A79" s="3" t="s">
        <v>26</v>
      </c>
      <c r="B79" s="3" t="s">
        <v>60</v>
      </c>
      <c r="C79" s="4" t="s">
        <v>36</v>
      </c>
      <c r="D79" s="6">
        <v>46059</v>
      </c>
      <c r="E79" s="51">
        <v>46066</v>
      </c>
      <c r="F79" s="25">
        <f t="shared" si="2"/>
        <v>7</v>
      </c>
      <c r="G79" s="63">
        <v>2</v>
      </c>
      <c r="H79" s="20">
        <f t="shared" si="3"/>
        <v>9290.7421200000008</v>
      </c>
      <c r="I79" s="26" t="s">
        <v>111</v>
      </c>
      <c r="J79" s="17">
        <v>7856.2</v>
      </c>
      <c r="K79" s="7" t="s">
        <v>112</v>
      </c>
      <c r="L79" s="3" t="s">
        <v>113</v>
      </c>
      <c r="M79" s="3" t="s">
        <v>126</v>
      </c>
      <c r="N79" s="3" t="s">
        <v>39</v>
      </c>
      <c r="O79" s="3" t="s">
        <v>127</v>
      </c>
    </row>
    <row r="80" spans="1:15" x14ac:dyDescent="0.25">
      <c r="A80" s="3" t="s">
        <v>26</v>
      </c>
      <c r="B80" s="3" t="s">
        <v>81</v>
      </c>
      <c r="C80" s="4" t="s">
        <v>36</v>
      </c>
      <c r="D80" s="6">
        <v>46060</v>
      </c>
      <c r="E80" s="48"/>
      <c r="F80" s="25">
        <f t="shared" si="2"/>
        <v>6</v>
      </c>
      <c r="G80" s="35">
        <v>1</v>
      </c>
      <c r="H80" s="20">
        <f t="shared" si="3"/>
        <v>58.779722450287366</v>
      </c>
      <c r="I80" s="26" t="s">
        <v>45</v>
      </c>
      <c r="J80" s="17">
        <v>29352.83</v>
      </c>
      <c r="K80" s="7" t="s">
        <v>46</v>
      </c>
      <c r="L80" s="3" t="s">
        <v>82</v>
      </c>
      <c r="M80" s="3" t="s">
        <v>183</v>
      </c>
      <c r="N80" s="3" t="s">
        <v>84</v>
      </c>
      <c r="O80" s="3" t="s">
        <v>184</v>
      </c>
    </row>
    <row r="81" spans="1:15" x14ac:dyDescent="0.25">
      <c r="A81" s="3" t="s">
        <v>26</v>
      </c>
      <c r="B81" s="3" t="s">
        <v>27</v>
      </c>
      <c r="C81" s="4" t="s">
        <v>28</v>
      </c>
      <c r="D81" s="6">
        <v>46060</v>
      </c>
      <c r="F81" s="25">
        <f t="shared" si="2"/>
        <v>6</v>
      </c>
      <c r="G81" s="35">
        <v>1</v>
      </c>
      <c r="H81" s="20">
        <f t="shared" si="3"/>
        <v>113.14255962512766</v>
      </c>
      <c r="I81" s="26" t="s">
        <v>45</v>
      </c>
      <c r="J81" s="17">
        <v>56500</v>
      </c>
      <c r="K81" s="7" t="s">
        <v>46</v>
      </c>
      <c r="L81" s="3" t="s">
        <v>96</v>
      </c>
      <c r="M81" s="3" t="s">
        <v>185</v>
      </c>
      <c r="N81" s="3" t="s">
        <v>98</v>
      </c>
      <c r="O81" s="3" t="s">
        <v>186</v>
      </c>
    </row>
    <row r="82" spans="1:15" x14ac:dyDescent="0.25">
      <c r="A82" s="3" t="s">
        <v>26</v>
      </c>
      <c r="B82" s="3" t="s">
        <v>74</v>
      </c>
      <c r="C82" s="4" t="s">
        <v>44</v>
      </c>
      <c r="D82" s="6">
        <v>46060</v>
      </c>
      <c r="F82" s="25">
        <f t="shared" si="2"/>
        <v>6</v>
      </c>
      <c r="G82" s="35">
        <v>1</v>
      </c>
      <c r="H82" s="20">
        <f t="shared" si="3"/>
        <v>1280.7737749564451</v>
      </c>
      <c r="I82" s="26" t="s">
        <v>45</v>
      </c>
      <c r="J82" s="17">
        <v>639580</v>
      </c>
      <c r="K82" s="7" t="s">
        <v>46</v>
      </c>
      <c r="L82" s="3" t="s">
        <v>187</v>
      </c>
      <c r="M82" s="3" t="s">
        <v>188</v>
      </c>
      <c r="N82" s="3" t="s">
        <v>55</v>
      </c>
      <c r="O82" s="3" t="s">
        <v>189</v>
      </c>
    </row>
    <row r="83" spans="1:15" x14ac:dyDescent="0.25">
      <c r="A83" s="3" t="s">
        <v>26</v>
      </c>
      <c r="B83" s="3" t="s">
        <v>51</v>
      </c>
      <c r="C83" s="4" t="s">
        <v>52</v>
      </c>
      <c r="D83" s="6">
        <v>46060</v>
      </c>
      <c r="F83" s="25">
        <f t="shared" si="2"/>
        <v>6</v>
      </c>
      <c r="G83" s="35">
        <v>1</v>
      </c>
      <c r="H83" s="20">
        <f t="shared" si="3"/>
        <v>313.40489016160365</v>
      </c>
      <c r="I83" s="26" t="s">
        <v>45</v>
      </c>
      <c r="J83" s="17">
        <v>156505</v>
      </c>
      <c r="K83" s="7" t="s">
        <v>46</v>
      </c>
      <c r="L83" s="3" t="s">
        <v>187</v>
      </c>
      <c r="M83" s="3" t="s">
        <v>190</v>
      </c>
      <c r="N83" s="3" t="s">
        <v>55</v>
      </c>
      <c r="O83" s="3" t="s">
        <v>191</v>
      </c>
    </row>
    <row r="84" spans="1:15" x14ac:dyDescent="0.25">
      <c r="A84" s="3" t="s">
        <v>26</v>
      </c>
      <c r="B84" s="3" t="s">
        <v>27</v>
      </c>
      <c r="C84" s="4" t="s">
        <v>28</v>
      </c>
      <c r="D84" s="6">
        <v>46060</v>
      </c>
      <c r="F84" s="25">
        <f t="shared" si="2"/>
        <v>6</v>
      </c>
      <c r="G84" s="35">
        <v>1</v>
      </c>
      <c r="H84" s="20">
        <f t="shared" si="3"/>
        <v>565.88251196507599</v>
      </c>
      <c r="I84" s="26" t="s">
        <v>45</v>
      </c>
      <c r="J84" s="17">
        <v>282584.75</v>
      </c>
      <c r="K84" s="7" t="s">
        <v>46</v>
      </c>
      <c r="L84" s="3" t="s">
        <v>63</v>
      </c>
      <c r="M84" s="3" t="s">
        <v>192</v>
      </c>
      <c r="N84" s="3" t="s">
        <v>65</v>
      </c>
      <c r="O84" s="3" t="s">
        <v>193</v>
      </c>
    </row>
    <row r="85" spans="1:15" x14ac:dyDescent="0.25">
      <c r="A85" s="3" t="s">
        <v>26</v>
      </c>
      <c r="B85" s="3" t="s">
        <v>60</v>
      </c>
      <c r="C85" s="4" t="s">
        <v>36</v>
      </c>
      <c r="D85" s="6">
        <v>46060</v>
      </c>
      <c r="F85" s="25">
        <f t="shared" si="2"/>
        <v>6</v>
      </c>
      <c r="G85" s="35">
        <v>1</v>
      </c>
      <c r="H85" s="20">
        <f t="shared" si="3"/>
        <v>271.54214310030636</v>
      </c>
      <c r="I85" s="26" t="s">
        <v>45</v>
      </c>
      <c r="J85" s="17">
        <v>135600</v>
      </c>
      <c r="K85" s="7" t="s">
        <v>46</v>
      </c>
      <c r="L85" s="3" t="s">
        <v>194</v>
      </c>
      <c r="M85" s="3" t="s">
        <v>195</v>
      </c>
      <c r="N85" s="3" t="s">
        <v>65</v>
      </c>
      <c r="O85" s="3" t="s">
        <v>196</v>
      </c>
    </row>
    <row r="86" spans="1:15" x14ac:dyDescent="0.25">
      <c r="A86" s="3" t="s">
        <v>73</v>
      </c>
      <c r="B86" s="3" t="s">
        <v>60</v>
      </c>
      <c r="C86" s="4" t="s">
        <v>36</v>
      </c>
      <c r="D86" s="6">
        <v>46061</v>
      </c>
      <c r="F86" s="25">
        <f t="shared" si="2"/>
        <v>5</v>
      </c>
      <c r="G86" s="35">
        <v>1</v>
      </c>
      <c r="H86" s="20">
        <f t="shared" si="3"/>
        <v>161.05002302901656</v>
      </c>
      <c r="I86" s="26" t="s">
        <v>45</v>
      </c>
      <c r="J86" s="17">
        <v>80423.55</v>
      </c>
      <c r="K86" s="7" t="s">
        <v>46</v>
      </c>
      <c r="L86" s="3" t="s">
        <v>88</v>
      </c>
      <c r="M86" s="3" t="s">
        <v>197</v>
      </c>
      <c r="N86" s="3" t="s">
        <v>84</v>
      </c>
      <c r="O86" s="3" t="s">
        <v>198</v>
      </c>
    </row>
    <row r="87" spans="1:15" x14ac:dyDescent="0.25">
      <c r="A87" s="3" t="s">
        <v>26</v>
      </c>
      <c r="B87" s="3" t="s">
        <v>60</v>
      </c>
      <c r="C87" s="4" t="s">
        <v>36</v>
      </c>
      <c r="D87" s="6">
        <v>46061</v>
      </c>
      <c r="F87" s="25">
        <f t="shared" si="2"/>
        <v>5</v>
      </c>
      <c r="G87" s="35">
        <v>1</v>
      </c>
      <c r="H87" s="20">
        <f t="shared" si="3"/>
        <v>607.81638864969864</v>
      </c>
      <c r="I87" s="26" t="s">
        <v>45</v>
      </c>
      <c r="J87" s="17">
        <v>303525.27</v>
      </c>
      <c r="K87" s="7" t="s">
        <v>46</v>
      </c>
      <c r="L87" s="3" t="s">
        <v>88</v>
      </c>
      <c r="M87" s="3" t="s">
        <v>199</v>
      </c>
      <c r="N87" s="3" t="s">
        <v>84</v>
      </c>
      <c r="O87" s="3" t="s">
        <v>200</v>
      </c>
    </row>
    <row r="88" spans="1:15" x14ac:dyDescent="0.25">
      <c r="A88" s="3" t="s">
        <v>26</v>
      </c>
      <c r="B88" s="3" t="s">
        <v>35</v>
      </c>
      <c r="C88" s="4" t="s">
        <v>36</v>
      </c>
      <c r="D88" s="6">
        <v>46061</v>
      </c>
      <c r="F88" s="25">
        <f t="shared" si="2"/>
        <v>5</v>
      </c>
      <c r="G88" s="35">
        <v>1</v>
      </c>
      <c r="H88" s="20">
        <f t="shared" si="3"/>
        <v>407.50057071910607</v>
      </c>
      <c r="I88" s="26" t="s">
        <v>45</v>
      </c>
      <c r="J88" s="17">
        <v>203493.56</v>
      </c>
      <c r="K88" s="7" t="s">
        <v>46</v>
      </c>
      <c r="L88" s="3" t="s">
        <v>63</v>
      </c>
      <c r="M88" s="3" t="s">
        <v>201</v>
      </c>
      <c r="N88" s="3" t="s">
        <v>65</v>
      </c>
      <c r="O88" s="3" t="s">
        <v>202</v>
      </c>
    </row>
    <row r="89" spans="1:15" x14ac:dyDescent="0.25">
      <c r="A89" s="3" t="s">
        <v>26</v>
      </c>
      <c r="B89" s="3" t="s">
        <v>203</v>
      </c>
      <c r="C89" s="4" t="s">
        <v>44</v>
      </c>
      <c r="D89" s="6">
        <v>46061</v>
      </c>
      <c r="F89" s="25">
        <f t="shared" si="2"/>
        <v>5</v>
      </c>
      <c r="G89" s="35">
        <v>1</v>
      </c>
      <c r="H89" s="20">
        <f t="shared" si="3"/>
        <v>3960.42</v>
      </c>
      <c r="I89" s="26" t="s">
        <v>29</v>
      </c>
      <c r="J89" s="17">
        <v>3960.42</v>
      </c>
      <c r="K89" s="7" t="s">
        <v>46</v>
      </c>
      <c r="L89" s="3" t="s">
        <v>204</v>
      </c>
      <c r="M89" s="3" t="s">
        <v>205</v>
      </c>
      <c r="N89" s="3" t="s">
        <v>55</v>
      </c>
      <c r="O89" s="3" t="s">
        <v>206</v>
      </c>
    </row>
    <row r="90" spans="1:15" x14ac:dyDescent="0.25">
      <c r="A90" s="3" t="s">
        <v>26</v>
      </c>
      <c r="B90" s="3" t="s">
        <v>67</v>
      </c>
      <c r="C90" s="4" t="s">
        <v>44</v>
      </c>
      <c r="D90" s="6">
        <v>46061</v>
      </c>
      <c r="F90" s="25">
        <f t="shared" si="2"/>
        <v>5</v>
      </c>
      <c r="G90" s="35">
        <v>1</v>
      </c>
      <c r="H90" s="20">
        <f t="shared" si="3"/>
        <v>8.6589302521176688</v>
      </c>
      <c r="I90" s="26" t="s">
        <v>45</v>
      </c>
      <c r="J90" s="17">
        <v>4324.01</v>
      </c>
      <c r="K90" s="7" t="s">
        <v>46</v>
      </c>
      <c r="L90" s="3" t="s">
        <v>53</v>
      </c>
      <c r="M90" s="3" t="s">
        <v>207</v>
      </c>
      <c r="N90" s="3" t="s">
        <v>55</v>
      </c>
      <c r="O90" s="3" t="s">
        <v>208</v>
      </c>
    </row>
    <row r="91" spans="1:15" x14ac:dyDescent="0.25">
      <c r="A91" s="3" t="s">
        <v>26</v>
      </c>
      <c r="B91" s="3" t="s">
        <v>81</v>
      </c>
      <c r="C91" s="4" t="s">
        <v>36</v>
      </c>
      <c r="D91" s="6">
        <v>46061</v>
      </c>
      <c r="F91" s="25">
        <f t="shared" si="2"/>
        <v>5</v>
      </c>
      <c r="G91" s="35">
        <v>1</v>
      </c>
      <c r="H91" s="20">
        <f t="shared" si="3"/>
        <v>333.72048781464645</v>
      </c>
      <c r="I91" s="26" t="s">
        <v>45</v>
      </c>
      <c r="J91" s="17">
        <v>166650</v>
      </c>
      <c r="K91" s="7" t="s">
        <v>46</v>
      </c>
      <c r="L91" s="3" t="s">
        <v>209</v>
      </c>
      <c r="M91" s="3" t="s">
        <v>210</v>
      </c>
      <c r="N91" s="3" t="s">
        <v>109</v>
      </c>
      <c r="O91" s="3" t="s">
        <v>211</v>
      </c>
    </row>
    <row r="92" spans="1:15" x14ac:dyDescent="0.25">
      <c r="A92" s="3" t="s">
        <v>26</v>
      </c>
      <c r="B92" s="3" t="s">
        <v>60</v>
      </c>
      <c r="C92" s="4" t="s">
        <v>36</v>
      </c>
      <c r="D92" s="6">
        <v>46059</v>
      </c>
      <c r="E92" s="51">
        <v>46066</v>
      </c>
      <c r="F92" s="25">
        <f t="shared" si="2"/>
        <v>7</v>
      </c>
      <c r="G92" s="35">
        <v>1</v>
      </c>
      <c r="H92" s="20">
        <f t="shared" si="3"/>
        <v>50.733540000000005</v>
      </c>
      <c r="I92" s="26" t="s">
        <v>111</v>
      </c>
      <c r="J92" s="17">
        <v>42.9</v>
      </c>
      <c r="K92" s="7" t="s">
        <v>112</v>
      </c>
      <c r="L92" s="3" t="s">
        <v>113</v>
      </c>
      <c r="M92" s="3" t="s">
        <v>176</v>
      </c>
      <c r="N92" s="3" t="s">
        <v>39</v>
      </c>
      <c r="O92" s="3" t="s">
        <v>177</v>
      </c>
    </row>
    <row r="93" spans="1:15" x14ac:dyDescent="0.25">
      <c r="A93" s="3" t="s">
        <v>26</v>
      </c>
      <c r="B93" s="3" t="s">
        <v>60</v>
      </c>
      <c r="C93" s="4" t="s">
        <v>36</v>
      </c>
      <c r="D93" s="6">
        <v>46059</v>
      </c>
      <c r="E93" s="51">
        <v>46066</v>
      </c>
      <c r="F93" s="25">
        <f t="shared" si="2"/>
        <v>7</v>
      </c>
      <c r="G93" s="35">
        <v>1</v>
      </c>
      <c r="H93" s="20">
        <f t="shared" si="3"/>
        <v>127.48428000000001</v>
      </c>
      <c r="I93" s="26" t="s">
        <v>111</v>
      </c>
      <c r="J93" s="17">
        <v>107.8</v>
      </c>
      <c r="K93" s="7" t="s">
        <v>112</v>
      </c>
      <c r="L93" s="3" t="s">
        <v>113</v>
      </c>
      <c r="M93" s="3" t="s">
        <v>178</v>
      </c>
      <c r="N93" s="3" t="s">
        <v>39</v>
      </c>
      <c r="O93" s="3" t="s">
        <v>179</v>
      </c>
    </row>
    <row r="94" spans="1:15" x14ac:dyDescent="0.25">
      <c r="A94" s="3" t="s">
        <v>26</v>
      </c>
      <c r="B94" s="3" t="s">
        <v>60</v>
      </c>
      <c r="C94" s="4" t="s">
        <v>36</v>
      </c>
      <c r="D94" s="6">
        <v>46059</v>
      </c>
      <c r="E94" s="51">
        <v>46066</v>
      </c>
      <c r="F94" s="25">
        <f t="shared" si="2"/>
        <v>7</v>
      </c>
      <c r="G94" s="35">
        <v>1</v>
      </c>
      <c r="H94" s="20">
        <f t="shared" si="3"/>
        <v>1050.6454920000001</v>
      </c>
      <c r="I94" s="26" t="s">
        <v>111</v>
      </c>
      <c r="J94" s="17">
        <v>888.42</v>
      </c>
      <c r="K94" s="7" t="s">
        <v>112</v>
      </c>
      <c r="L94" s="3" t="s">
        <v>113</v>
      </c>
      <c r="M94" s="3" t="s">
        <v>180</v>
      </c>
      <c r="N94" s="3" t="s">
        <v>39</v>
      </c>
      <c r="O94" s="3" t="s">
        <v>181</v>
      </c>
    </row>
    <row r="95" spans="1:15" x14ac:dyDescent="0.25">
      <c r="A95" s="3" t="s">
        <v>26</v>
      </c>
      <c r="B95" s="3" t="s">
        <v>60</v>
      </c>
      <c r="C95" s="4" t="s">
        <v>36</v>
      </c>
      <c r="D95" s="6">
        <v>46059</v>
      </c>
      <c r="E95" s="51">
        <v>46066</v>
      </c>
      <c r="F95" s="25">
        <f t="shared" si="2"/>
        <v>7</v>
      </c>
      <c r="G95" s="35">
        <v>1</v>
      </c>
      <c r="H95" s="20">
        <f t="shared" si="3"/>
        <v>746.43346799999995</v>
      </c>
      <c r="I95" s="26" t="s">
        <v>111</v>
      </c>
      <c r="J95" s="17">
        <v>631.17999999999995</v>
      </c>
      <c r="K95" s="7" t="s">
        <v>112</v>
      </c>
      <c r="L95" s="3" t="s">
        <v>113</v>
      </c>
      <c r="M95" s="3" t="s">
        <v>182</v>
      </c>
      <c r="N95" s="3" t="s">
        <v>39</v>
      </c>
      <c r="O95" s="3" t="s">
        <v>121</v>
      </c>
    </row>
    <row r="96" spans="1:15" hidden="1" x14ac:dyDescent="0.25">
      <c r="A96" s="3" t="s">
        <v>26</v>
      </c>
      <c r="B96" s="3" t="s">
        <v>60</v>
      </c>
      <c r="C96" s="4" t="s">
        <v>36</v>
      </c>
      <c r="D96" s="6">
        <v>46061</v>
      </c>
      <c r="E96" s="51">
        <v>46089</v>
      </c>
      <c r="F96" s="25">
        <f t="shared" si="2"/>
        <v>5</v>
      </c>
      <c r="G96" s="35">
        <v>3</v>
      </c>
      <c r="H96" s="20">
        <f t="shared" si="3"/>
        <v>1386.0663300000001</v>
      </c>
      <c r="I96" s="26" t="s">
        <v>111</v>
      </c>
      <c r="J96" s="17">
        <v>1172.05</v>
      </c>
      <c r="K96" s="7" t="s">
        <v>112</v>
      </c>
      <c r="L96" s="3" t="s">
        <v>113</v>
      </c>
      <c r="M96" s="3" t="s">
        <v>606</v>
      </c>
      <c r="N96" s="3" t="s">
        <v>39</v>
      </c>
      <c r="O96" s="3" t="s">
        <v>607</v>
      </c>
    </row>
    <row r="97" spans="1:15" x14ac:dyDescent="0.25">
      <c r="A97" s="3" t="s">
        <v>26</v>
      </c>
      <c r="B97" s="3" t="s">
        <v>43</v>
      </c>
      <c r="C97" s="4" t="s">
        <v>44</v>
      </c>
      <c r="D97" s="6">
        <v>46062</v>
      </c>
      <c r="E97" s="48"/>
      <c r="F97" s="25">
        <f t="shared" si="2"/>
        <v>4</v>
      </c>
      <c r="G97" s="35">
        <v>1</v>
      </c>
      <c r="H97" s="20">
        <f t="shared" si="3"/>
        <v>128.18929851613032</v>
      </c>
      <c r="I97" s="26" t="s">
        <v>45</v>
      </c>
      <c r="J97" s="17">
        <v>64013.89</v>
      </c>
      <c r="K97" s="7" t="s">
        <v>46</v>
      </c>
      <c r="L97" s="3" t="s">
        <v>82</v>
      </c>
      <c r="M97" s="3" t="s">
        <v>216</v>
      </c>
      <c r="N97" s="3" t="s">
        <v>174</v>
      </c>
      <c r="O97" s="3" t="s">
        <v>217</v>
      </c>
    </row>
    <row r="98" spans="1:15" x14ac:dyDescent="0.25">
      <c r="A98" s="3" t="s">
        <v>26</v>
      </c>
      <c r="B98" s="3" t="s">
        <v>43</v>
      </c>
      <c r="C98" s="4" t="s">
        <v>44</v>
      </c>
      <c r="D98" s="6">
        <v>46062</v>
      </c>
      <c r="E98" s="48"/>
      <c r="F98" s="25">
        <f t="shared" si="2"/>
        <v>4</v>
      </c>
      <c r="G98" s="35">
        <v>1</v>
      </c>
      <c r="H98" s="20">
        <f t="shared" si="3"/>
        <v>838.0746941145843</v>
      </c>
      <c r="I98" s="26" t="s">
        <v>45</v>
      </c>
      <c r="J98" s="17">
        <v>418509.36</v>
      </c>
      <c r="K98" s="7" t="s">
        <v>46</v>
      </c>
      <c r="L98" s="3" t="s">
        <v>82</v>
      </c>
      <c r="M98" s="3" t="s">
        <v>218</v>
      </c>
      <c r="N98" s="3" t="s">
        <v>174</v>
      </c>
      <c r="O98" s="3" t="s">
        <v>219</v>
      </c>
    </row>
    <row r="99" spans="1:15" x14ac:dyDescent="0.25">
      <c r="A99" s="3" t="s">
        <v>26</v>
      </c>
      <c r="B99" s="3" t="s">
        <v>43</v>
      </c>
      <c r="C99" s="4" t="s">
        <v>44</v>
      </c>
      <c r="D99" s="6">
        <v>46062</v>
      </c>
      <c r="E99" s="48"/>
      <c r="F99" s="25">
        <f t="shared" si="2"/>
        <v>4</v>
      </c>
      <c r="G99" s="35">
        <v>1</v>
      </c>
      <c r="H99" s="20">
        <f t="shared" si="3"/>
        <v>973.77727937200871</v>
      </c>
      <c r="I99" s="26" t="s">
        <v>45</v>
      </c>
      <c r="J99" s="17">
        <v>486275.16</v>
      </c>
      <c r="K99" s="7" t="s">
        <v>46</v>
      </c>
      <c r="L99" s="3" t="s">
        <v>82</v>
      </c>
      <c r="M99" s="3" t="s">
        <v>220</v>
      </c>
      <c r="N99" s="3" t="s">
        <v>174</v>
      </c>
      <c r="O99" s="3" t="s">
        <v>221</v>
      </c>
    </row>
    <row r="100" spans="1:15" hidden="1" x14ac:dyDescent="0.25">
      <c r="A100" s="3" t="s">
        <v>26</v>
      </c>
      <c r="B100" s="3" t="s">
        <v>60</v>
      </c>
      <c r="C100" s="4" t="s">
        <v>36</v>
      </c>
      <c r="D100" s="6">
        <v>46061</v>
      </c>
      <c r="E100" s="51">
        <v>46089</v>
      </c>
      <c r="F100" s="25">
        <f t="shared" si="2"/>
        <v>5</v>
      </c>
      <c r="G100" s="35">
        <v>3</v>
      </c>
      <c r="H100" s="20">
        <f t="shared" si="3"/>
        <v>4928.7220200000002</v>
      </c>
      <c r="I100" s="26" t="s">
        <v>111</v>
      </c>
      <c r="J100" s="17">
        <v>4167.7</v>
      </c>
      <c r="K100" s="7" t="s">
        <v>112</v>
      </c>
      <c r="L100" s="3" t="s">
        <v>113</v>
      </c>
      <c r="M100" s="3" t="s">
        <v>608</v>
      </c>
      <c r="N100" s="3" t="s">
        <v>39</v>
      </c>
      <c r="O100" s="3" t="s">
        <v>609</v>
      </c>
    </row>
    <row r="101" spans="1:15" x14ac:dyDescent="0.25">
      <c r="A101" s="3" t="s">
        <v>26</v>
      </c>
      <c r="B101" s="3" t="s">
        <v>43</v>
      </c>
      <c r="C101" s="4" t="s">
        <v>44</v>
      </c>
      <c r="D101" s="6">
        <v>46063</v>
      </c>
      <c r="E101" s="48"/>
      <c r="F101" s="25">
        <f t="shared" si="2"/>
        <v>3</v>
      </c>
      <c r="G101" s="35">
        <v>1</v>
      </c>
      <c r="H101" s="20">
        <f t="shared" si="3"/>
        <v>1034.0338426417286</v>
      </c>
      <c r="I101" s="26" t="s">
        <v>45</v>
      </c>
      <c r="J101" s="17">
        <v>516365.48</v>
      </c>
      <c r="K101" s="7" t="s">
        <v>46</v>
      </c>
      <c r="L101" s="3" t="s">
        <v>82</v>
      </c>
      <c r="M101" s="3" t="s">
        <v>225</v>
      </c>
      <c r="N101" s="3" t="s">
        <v>174</v>
      </c>
      <c r="O101" s="3" t="s">
        <v>226</v>
      </c>
    </row>
    <row r="102" spans="1:15" x14ac:dyDescent="0.25">
      <c r="A102" s="3" t="s">
        <v>26</v>
      </c>
      <c r="B102" s="3" t="s">
        <v>81</v>
      </c>
      <c r="C102" s="4" t="s">
        <v>36</v>
      </c>
      <c r="D102" s="6">
        <v>46063</v>
      </c>
      <c r="F102" s="25">
        <f t="shared" si="2"/>
        <v>3</v>
      </c>
      <c r="G102" s="35">
        <v>1</v>
      </c>
      <c r="H102" s="20">
        <f t="shared" si="3"/>
        <v>2414.5527364479244</v>
      </c>
      <c r="I102" s="26" t="s">
        <v>45</v>
      </c>
      <c r="J102" s="17">
        <v>1205755.2</v>
      </c>
      <c r="K102" s="7" t="s">
        <v>46</v>
      </c>
      <c r="L102" s="3" t="s">
        <v>227</v>
      </c>
      <c r="M102" s="3" t="s">
        <v>228</v>
      </c>
      <c r="N102" s="3" t="s">
        <v>168</v>
      </c>
      <c r="O102" s="3" t="s">
        <v>229</v>
      </c>
    </row>
    <row r="103" spans="1:15" x14ac:dyDescent="0.25">
      <c r="A103" s="3" t="s">
        <v>26</v>
      </c>
      <c r="B103" s="3" t="s">
        <v>60</v>
      </c>
      <c r="C103" s="4" t="s">
        <v>36</v>
      </c>
      <c r="D103" s="6">
        <v>46063</v>
      </c>
      <c r="F103" s="25">
        <f t="shared" si="2"/>
        <v>3</v>
      </c>
      <c r="G103" s="35">
        <v>1</v>
      </c>
      <c r="H103" s="20">
        <f t="shared" si="3"/>
        <v>237.59937521276808</v>
      </c>
      <c r="I103" s="26" t="s">
        <v>45</v>
      </c>
      <c r="J103" s="17">
        <v>118650</v>
      </c>
      <c r="K103" s="7" t="s">
        <v>46</v>
      </c>
      <c r="L103" s="3" t="s">
        <v>827</v>
      </c>
      <c r="M103" s="3" t="s">
        <v>828</v>
      </c>
      <c r="N103" s="3" t="s">
        <v>829</v>
      </c>
      <c r="O103" s="3" t="s">
        <v>830</v>
      </c>
    </row>
    <row r="104" spans="1:15" hidden="1" x14ac:dyDescent="0.25">
      <c r="A104" s="3" t="s">
        <v>73</v>
      </c>
      <c r="B104" s="3" t="s">
        <v>27</v>
      </c>
      <c r="C104" s="4" t="s">
        <v>28</v>
      </c>
      <c r="D104" s="6">
        <v>46064</v>
      </c>
      <c r="F104" s="25">
        <f t="shared" si="2"/>
        <v>2</v>
      </c>
      <c r="G104" s="35">
        <v>2</v>
      </c>
      <c r="H104" s="20">
        <f t="shared" si="3"/>
        <v>71.658189318541361</v>
      </c>
      <c r="I104" s="26" t="s">
        <v>45</v>
      </c>
      <c r="J104" s="17">
        <v>35783.949999999997</v>
      </c>
      <c r="K104" s="7" t="s">
        <v>46</v>
      </c>
      <c r="L104" s="3" t="s">
        <v>230</v>
      </c>
      <c r="M104" s="3" t="s">
        <v>231</v>
      </c>
      <c r="N104" s="3" t="s">
        <v>49</v>
      </c>
      <c r="O104" s="3" t="s">
        <v>232</v>
      </c>
    </row>
    <row r="105" spans="1:15" hidden="1" x14ac:dyDescent="0.25">
      <c r="A105" s="3" t="s">
        <v>26</v>
      </c>
      <c r="B105" s="3" t="s">
        <v>67</v>
      </c>
      <c r="C105" s="4" t="s">
        <v>44</v>
      </c>
      <c r="D105" s="6">
        <v>46064</v>
      </c>
      <c r="F105" s="25">
        <f t="shared" si="2"/>
        <v>2</v>
      </c>
      <c r="G105" s="35">
        <v>2</v>
      </c>
      <c r="H105" s="20">
        <f t="shared" si="3"/>
        <v>158.39958347517873</v>
      </c>
      <c r="I105" s="26" t="s">
        <v>45</v>
      </c>
      <c r="J105" s="17">
        <v>79100</v>
      </c>
      <c r="K105" s="7" t="s">
        <v>46</v>
      </c>
      <c r="L105" s="3" t="s">
        <v>194</v>
      </c>
      <c r="M105" s="3" t="s">
        <v>233</v>
      </c>
      <c r="N105" s="3" t="s">
        <v>65</v>
      </c>
      <c r="O105" s="3" t="s">
        <v>234</v>
      </c>
    </row>
    <row r="106" spans="1:15" hidden="1" x14ac:dyDescent="0.25">
      <c r="A106" s="3" t="s">
        <v>26</v>
      </c>
      <c r="B106" s="3" t="s">
        <v>35</v>
      </c>
      <c r="C106" s="4" t="s">
        <v>36</v>
      </c>
      <c r="D106" s="6">
        <v>46064</v>
      </c>
      <c r="F106" s="25">
        <f t="shared" si="2"/>
        <v>2</v>
      </c>
      <c r="G106" s="35">
        <v>2</v>
      </c>
      <c r="H106" s="20">
        <f t="shared" si="3"/>
        <v>271.54214310030636</v>
      </c>
      <c r="I106" s="26" t="s">
        <v>45</v>
      </c>
      <c r="J106" s="17">
        <v>135600</v>
      </c>
      <c r="K106" s="7" t="s">
        <v>46</v>
      </c>
      <c r="L106" s="3" t="s">
        <v>194</v>
      </c>
      <c r="M106" s="3" t="s">
        <v>235</v>
      </c>
      <c r="N106" s="3" t="s">
        <v>65</v>
      </c>
      <c r="O106" s="3" t="s">
        <v>236</v>
      </c>
    </row>
    <row r="107" spans="1:15" hidden="1" x14ac:dyDescent="0.25">
      <c r="A107" s="3" t="s">
        <v>26</v>
      </c>
      <c r="B107" s="3" t="s">
        <v>51</v>
      </c>
      <c r="C107" s="4" t="s">
        <v>52</v>
      </c>
      <c r="D107" s="6">
        <v>46064</v>
      </c>
      <c r="F107" s="25">
        <f t="shared" si="2"/>
        <v>2</v>
      </c>
      <c r="G107" s="35">
        <v>2</v>
      </c>
      <c r="H107" s="20">
        <f t="shared" si="3"/>
        <v>161.22</v>
      </c>
      <c r="I107" s="26" t="s">
        <v>29</v>
      </c>
      <c r="J107" s="17">
        <v>161.22</v>
      </c>
      <c r="K107" s="7" t="s">
        <v>46</v>
      </c>
      <c r="L107" s="3" t="s">
        <v>237</v>
      </c>
      <c r="M107" s="3" t="s">
        <v>238</v>
      </c>
      <c r="N107" s="3" t="s">
        <v>239</v>
      </c>
      <c r="O107" s="3" t="s">
        <v>240</v>
      </c>
    </row>
    <row r="108" spans="1:15" hidden="1" x14ac:dyDescent="0.25">
      <c r="A108" s="3" t="s">
        <v>26</v>
      </c>
      <c r="B108" s="3" t="s">
        <v>74</v>
      </c>
      <c r="C108" s="4" t="s">
        <v>44</v>
      </c>
      <c r="D108" s="6">
        <v>46064</v>
      </c>
      <c r="F108" s="25">
        <f t="shared" si="2"/>
        <v>2</v>
      </c>
      <c r="G108" s="35">
        <v>2</v>
      </c>
      <c r="H108" s="20">
        <f t="shared" si="3"/>
        <v>915.32330736728272</v>
      </c>
      <c r="I108" s="26" t="s">
        <v>45</v>
      </c>
      <c r="J108" s="17">
        <v>457085</v>
      </c>
      <c r="K108" s="7" t="s">
        <v>46</v>
      </c>
      <c r="L108" s="3" t="s">
        <v>187</v>
      </c>
      <c r="M108" s="3" t="s">
        <v>241</v>
      </c>
      <c r="N108" s="3" t="s">
        <v>55</v>
      </c>
      <c r="O108" s="3" t="s">
        <v>242</v>
      </c>
    </row>
    <row r="109" spans="1:15" hidden="1" x14ac:dyDescent="0.25">
      <c r="A109" s="3" t="s">
        <v>26</v>
      </c>
      <c r="B109" s="3" t="s">
        <v>35</v>
      </c>
      <c r="C109" s="4" t="s">
        <v>36</v>
      </c>
      <c r="D109" s="6">
        <v>46064</v>
      </c>
      <c r="F109" s="25">
        <f t="shared" si="2"/>
        <v>2</v>
      </c>
      <c r="G109" s="35">
        <v>2</v>
      </c>
      <c r="H109" s="20">
        <f t="shared" si="3"/>
        <v>20.578929451108397</v>
      </c>
      <c r="I109" s="26" t="s">
        <v>45</v>
      </c>
      <c r="J109" s="17">
        <v>10276.5</v>
      </c>
      <c r="K109" s="7" t="s">
        <v>46</v>
      </c>
      <c r="L109" s="3" t="s">
        <v>53</v>
      </c>
      <c r="M109" s="3" t="s">
        <v>243</v>
      </c>
      <c r="N109" s="3" t="s">
        <v>55</v>
      </c>
      <c r="O109" s="3" t="s">
        <v>244</v>
      </c>
    </row>
    <row r="110" spans="1:15" hidden="1" x14ac:dyDescent="0.25">
      <c r="A110" s="3" t="s">
        <v>26</v>
      </c>
      <c r="B110" s="3" t="s">
        <v>60</v>
      </c>
      <c r="C110" s="4" t="s">
        <v>36</v>
      </c>
      <c r="D110" s="6">
        <v>46064</v>
      </c>
      <c r="F110" s="25">
        <f t="shared" si="2"/>
        <v>2</v>
      </c>
      <c r="G110" s="35">
        <v>2</v>
      </c>
      <c r="H110" s="20">
        <f t="shared" si="3"/>
        <v>133.31313454953241</v>
      </c>
      <c r="I110" s="26" t="s">
        <v>45</v>
      </c>
      <c r="J110" s="17">
        <v>66572.58</v>
      </c>
      <c r="K110" s="7" t="s">
        <v>46</v>
      </c>
      <c r="L110" s="3" t="s">
        <v>53</v>
      </c>
      <c r="M110" s="3" t="s">
        <v>245</v>
      </c>
      <c r="N110" s="3" t="s">
        <v>55</v>
      </c>
      <c r="O110" s="3" t="s">
        <v>246</v>
      </c>
    </row>
    <row r="111" spans="1:15" hidden="1" x14ac:dyDescent="0.25">
      <c r="A111" s="3" t="s">
        <v>26</v>
      </c>
      <c r="B111" s="3" t="s">
        <v>60</v>
      </c>
      <c r="C111" s="4" t="s">
        <v>36</v>
      </c>
      <c r="D111" s="6">
        <v>46064</v>
      </c>
      <c r="F111" s="25">
        <f t="shared" si="2"/>
        <v>2</v>
      </c>
      <c r="G111" s="35">
        <v>2</v>
      </c>
      <c r="H111" s="20">
        <f t="shared" si="3"/>
        <v>200.07026853835833</v>
      </c>
      <c r="I111" s="26" t="s">
        <v>45</v>
      </c>
      <c r="J111" s="17">
        <v>99909.09</v>
      </c>
      <c r="K111" s="7" t="s">
        <v>46</v>
      </c>
      <c r="L111" s="3" t="s">
        <v>53</v>
      </c>
      <c r="M111" s="3" t="s">
        <v>247</v>
      </c>
      <c r="N111" s="3" t="s">
        <v>55</v>
      </c>
      <c r="O111" s="3" t="s">
        <v>248</v>
      </c>
    </row>
    <row r="112" spans="1:15" hidden="1" x14ac:dyDescent="0.25">
      <c r="A112" s="3" t="s">
        <v>26</v>
      </c>
      <c r="B112" s="3" t="s">
        <v>81</v>
      </c>
      <c r="C112" s="4" t="s">
        <v>36</v>
      </c>
      <c r="D112" s="6">
        <v>46064</v>
      </c>
      <c r="F112" s="25">
        <f t="shared" si="2"/>
        <v>2</v>
      </c>
      <c r="G112" s="35">
        <v>2</v>
      </c>
      <c r="H112" s="20">
        <f t="shared" si="3"/>
        <v>171.50109137513266</v>
      </c>
      <c r="I112" s="26" t="s">
        <v>45</v>
      </c>
      <c r="J112" s="17">
        <v>85642.5</v>
      </c>
      <c r="K112" s="7" t="s">
        <v>46</v>
      </c>
      <c r="L112" s="3" t="s">
        <v>172</v>
      </c>
      <c r="M112" s="3" t="s">
        <v>249</v>
      </c>
      <c r="N112" s="3" t="s">
        <v>174</v>
      </c>
      <c r="O112" s="3" t="s">
        <v>250</v>
      </c>
    </row>
    <row r="113" spans="1:15" hidden="1" x14ac:dyDescent="0.25">
      <c r="A113" s="3" t="s">
        <v>26</v>
      </c>
      <c r="B113" s="3" t="s">
        <v>74</v>
      </c>
      <c r="C113" s="4" t="s">
        <v>44</v>
      </c>
      <c r="D113" s="6">
        <v>46064</v>
      </c>
      <c r="F113" s="25">
        <f t="shared" si="2"/>
        <v>2</v>
      </c>
      <c r="G113" s="35">
        <v>2</v>
      </c>
      <c r="H113" s="20">
        <f t="shared" si="3"/>
        <v>1176.8837735546788</v>
      </c>
      <c r="I113" s="26" t="s">
        <v>45</v>
      </c>
      <c r="J113" s="17">
        <v>587700.44999999995</v>
      </c>
      <c r="K113" s="7" t="s">
        <v>46</v>
      </c>
      <c r="L113" s="3" t="s">
        <v>75</v>
      </c>
      <c r="M113" s="3" t="s">
        <v>251</v>
      </c>
      <c r="N113" s="3" t="s">
        <v>77</v>
      </c>
      <c r="O113" s="3" t="s">
        <v>252</v>
      </c>
    </row>
    <row r="114" spans="1:15" hidden="1" x14ac:dyDescent="0.25">
      <c r="A114" s="3" t="s">
        <v>26</v>
      </c>
      <c r="B114" s="3" t="s">
        <v>57</v>
      </c>
      <c r="C114" s="4" t="s">
        <v>44</v>
      </c>
      <c r="D114" s="6">
        <v>46064</v>
      </c>
      <c r="F114" s="25">
        <f t="shared" si="2"/>
        <v>2</v>
      </c>
      <c r="G114" s="35">
        <v>2</v>
      </c>
      <c r="H114" s="20">
        <f t="shared" si="3"/>
        <v>228.93814205899432</v>
      </c>
      <c r="I114" s="26" t="s">
        <v>45</v>
      </c>
      <c r="J114" s="17">
        <v>114324.84</v>
      </c>
      <c r="K114" s="7" t="s">
        <v>46</v>
      </c>
      <c r="L114" s="3" t="s">
        <v>253</v>
      </c>
      <c r="M114" s="3" t="s">
        <v>254</v>
      </c>
      <c r="N114" s="3" t="s">
        <v>109</v>
      </c>
      <c r="O114" s="3" t="s">
        <v>255</v>
      </c>
    </row>
    <row r="115" spans="1:15" hidden="1" x14ac:dyDescent="0.25">
      <c r="A115" s="3" t="s">
        <v>26</v>
      </c>
      <c r="B115" s="3" t="s">
        <v>81</v>
      </c>
      <c r="C115" s="4" t="s">
        <v>36</v>
      </c>
      <c r="D115" s="6">
        <v>46064</v>
      </c>
      <c r="F115" s="25">
        <f t="shared" si="2"/>
        <v>2</v>
      </c>
      <c r="G115" s="35">
        <v>2</v>
      </c>
      <c r="H115" s="20">
        <f t="shared" si="3"/>
        <v>298.07303202034564</v>
      </c>
      <c r="I115" s="26" t="s">
        <v>45</v>
      </c>
      <c r="J115" s="17">
        <v>148848.73000000001</v>
      </c>
      <c r="K115" s="7" t="s">
        <v>46</v>
      </c>
      <c r="L115" s="3" t="s">
        <v>256</v>
      </c>
      <c r="M115" s="3" t="s">
        <v>257</v>
      </c>
      <c r="N115" s="3" t="s">
        <v>174</v>
      </c>
      <c r="O115" s="3" t="s">
        <v>258</v>
      </c>
    </row>
    <row r="116" spans="1:15" hidden="1" x14ac:dyDescent="0.25">
      <c r="A116" s="3" t="s">
        <v>26</v>
      </c>
      <c r="B116" s="3" t="s">
        <v>81</v>
      </c>
      <c r="C116" s="4" t="s">
        <v>36</v>
      </c>
      <c r="D116" s="6">
        <v>46064</v>
      </c>
      <c r="F116" s="25">
        <f t="shared" si="2"/>
        <v>2</v>
      </c>
      <c r="G116" s="35">
        <v>2</v>
      </c>
      <c r="H116" s="20">
        <f t="shared" si="3"/>
        <v>282.5</v>
      </c>
      <c r="I116" s="26" t="s">
        <v>29</v>
      </c>
      <c r="J116" s="17">
        <v>282.5</v>
      </c>
      <c r="K116" s="7" t="s">
        <v>46</v>
      </c>
      <c r="L116" s="3" t="s">
        <v>259</v>
      </c>
      <c r="M116" s="3" t="s">
        <v>260</v>
      </c>
      <c r="N116" s="3" t="s">
        <v>65</v>
      </c>
      <c r="O116" s="3" t="s">
        <v>261</v>
      </c>
    </row>
    <row r="117" spans="1:15" hidden="1" x14ac:dyDescent="0.25">
      <c r="A117" s="3" t="s">
        <v>26</v>
      </c>
      <c r="B117" s="3" t="s">
        <v>81</v>
      </c>
      <c r="C117" s="4" t="s">
        <v>36</v>
      </c>
      <c r="D117" s="6">
        <v>46064</v>
      </c>
      <c r="F117" s="25">
        <f t="shared" si="2"/>
        <v>2</v>
      </c>
      <c r="G117" s="35">
        <v>2</v>
      </c>
      <c r="H117" s="20">
        <f t="shared" si="3"/>
        <v>650</v>
      </c>
      <c r="I117" s="26" t="s">
        <v>29</v>
      </c>
      <c r="J117" s="17">
        <v>650</v>
      </c>
      <c r="K117" s="7" t="s">
        <v>46</v>
      </c>
      <c r="L117" s="3" t="s">
        <v>259</v>
      </c>
      <c r="M117" s="3" t="s">
        <v>639</v>
      </c>
      <c r="N117" s="3" t="s">
        <v>65</v>
      </c>
      <c r="O117" s="3" t="s">
        <v>640</v>
      </c>
    </row>
    <row r="118" spans="1:15" x14ac:dyDescent="0.25">
      <c r="A118" s="3" t="s">
        <v>26</v>
      </c>
      <c r="B118" s="3" t="s">
        <v>57</v>
      </c>
      <c r="C118" s="4" t="s">
        <v>44</v>
      </c>
      <c r="D118" s="6">
        <v>46064</v>
      </c>
      <c r="F118" s="25">
        <f t="shared" si="2"/>
        <v>2</v>
      </c>
      <c r="G118" s="35">
        <v>1</v>
      </c>
      <c r="H118" s="20">
        <f t="shared" si="3"/>
        <v>473.95292068005688</v>
      </c>
      <c r="I118" s="26" t="s">
        <v>45</v>
      </c>
      <c r="J118" s="17">
        <v>236677.87</v>
      </c>
      <c r="K118" s="7" t="s">
        <v>46</v>
      </c>
      <c r="L118" s="3" t="s">
        <v>742</v>
      </c>
      <c r="M118" s="3" t="s">
        <v>743</v>
      </c>
      <c r="N118" s="3" t="s">
        <v>744</v>
      </c>
      <c r="O118" s="3" t="s">
        <v>745</v>
      </c>
    </row>
    <row r="119" spans="1:15" x14ac:dyDescent="0.25">
      <c r="A119" s="3" t="s">
        <v>26</v>
      </c>
      <c r="B119" s="3" t="s">
        <v>35</v>
      </c>
      <c r="C119" s="4" t="s">
        <v>36</v>
      </c>
      <c r="D119" s="6">
        <v>46064</v>
      </c>
      <c r="F119" s="25">
        <f t="shared" si="2"/>
        <v>2</v>
      </c>
      <c r="G119" s="35">
        <v>1</v>
      </c>
      <c r="H119" s="20">
        <f t="shared" si="3"/>
        <v>565.7127981256383</v>
      </c>
      <c r="I119" s="26" t="s">
        <v>45</v>
      </c>
      <c r="J119" s="17">
        <v>282500</v>
      </c>
      <c r="K119" s="7" t="s">
        <v>46</v>
      </c>
      <c r="L119" s="3" t="s">
        <v>815</v>
      </c>
      <c r="M119" s="3" t="s">
        <v>816</v>
      </c>
      <c r="N119" s="3" t="s">
        <v>65</v>
      </c>
      <c r="O119" s="3" t="s">
        <v>817</v>
      </c>
    </row>
    <row r="120" spans="1:15" hidden="1" x14ac:dyDescent="0.25">
      <c r="A120" s="3" t="s">
        <v>26</v>
      </c>
      <c r="B120" s="3" t="s">
        <v>81</v>
      </c>
      <c r="C120" s="4" t="s">
        <v>36</v>
      </c>
      <c r="D120" s="6">
        <v>46065</v>
      </c>
      <c r="F120" s="25">
        <f t="shared" si="2"/>
        <v>1</v>
      </c>
      <c r="G120" s="35">
        <v>2</v>
      </c>
      <c r="H120" s="60">
        <f t="shared" si="3"/>
        <v>3077.06</v>
      </c>
      <c r="I120" s="59" t="s">
        <v>29</v>
      </c>
      <c r="J120" s="17">
        <v>3077.06</v>
      </c>
      <c r="K120" s="61" t="s">
        <v>46</v>
      </c>
      <c r="L120" s="3" t="s">
        <v>262</v>
      </c>
      <c r="M120" s="3" t="s">
        <v>263</v>
      </c>
      <c r="N120" s="3" t="s">
        <v>174</v>
      </c>
      <c r="O120" s="3" t="s">
        <v>264</v>
      </c>
    </row>
    <row r="121" spans="1:15" hidden="1" x14ac:dyDescent="0.25">
      <c r="A121" s="3" t="s">
        <v>26</v>
      </c>
      <c r="B121" s="3" t="s">
        <v>60</v>
      </c>
      <c r="C121" s="4" t="s">
        <v>36</v>
      </c>
      <c r="D121" s="6">
        <v>46065</v>
      </c>
      <c r="F121" s="25">
        <f t="shared" si="2"/>
        <v>1</v>
      </c>
      <c r="G121" s="35">
        <v>2</v>
      </c>
      <c r="H121" s="60">
        <f t="shared" si="3"/>
        <v>1169.3499999999999</v>
      </c>
      <c r="I121" s="59" t="s">
        <v>29</v>
      </c>
      <c r="J121" s="17">
        <v>1169.3499999999999</v>
      </c>
      <c r="K121" s="61" t="s">
        <v>46</v>
      </c>
      <c r="L121" s="3" t="s">
        <v>265</v>
      </c>
      <c r="M121" s="3" t="s">
        <v>266</v>
      </c>
      <c r="N121" s="3" t="s">
        <v>214</v>
      </c>
      <c r="O121" s="3" t="s">
        <v>267</v>
      </c>
    </row>
    <row r="122" spans="1:15" hidden="1" x14ac:dyDescent="0.25">
      <c r="A122" s="3" t="s">
        <v>26</v>
      </c>
      <c r="B122" s="3" t="s">
        <v>60</v>
      </c>
      <c r="C122" s="4" t="s">
        <v>36</v>
      </c>
      <c r="D122" s="6">
        <v>46065</v>
      </c>
      <c r="F122" s="25">
        <f t="shared" si="2"/>
        <v>1</v>
      </c>
      <c r="G122" s="35">
        <v>2</v>
      </c>
      <c r="H122" s="20">
        <f t="shared" si="3"/>
        <v>318.26617538098003</v>
      </c>
      <c r="I122" s="26" t="s">
        <v>45</v>
      </c>
      <c r="J122" s="17">
        <v>158932.57999999999</v>
      </c>
      <c r="K122" s="7" t="s">
        <v>46</v>
      </c>
      <c r="L122" s="3" t="s">
        <v>53</v>
      </c>
      <c r="M122" s="3" t="s">
        <v>268</v>
      </c>
      <c r="N122" s="3" t="s">
        <v>55</v>
      </c>
      <c r="O122" s="3" t="s">
        <v>269</v>
      </c>
    </row>
    <row r="123" spans="1:15" hidden="1" x14ac:dyDescent="0.25">
      <c r="A123" s="3" t="s">
        <v>26</v>
      </c>
      <c r="B123" s="3" t="s">
        <v>51</v>
      </c>
      <c r="C123" s="4" t="s">
        <v>52</v>
      </c>
      <c r="D123" s="6">
        <v>46065</v>
      </c>
      <c r="F123" s="25">
        <f t="shared" si="2"/>
        <v>1</v>
      </c>
      <c r="G123" s="35">
        <v>2</v>
      </c>
      <c r="H123" s="20">
        <f t="shared" si="3"/>
        <v>263.23167190660234</v>
      </c>
      <c r="I123" s="26" t="s">
        <v>45</v>
      </c>
      <c r="J123" s="17">
        <v>131450</v>
      </c>
      <c r="K123" s="7" t="s">
        <v>46</v>
      </c>
      <c r="L123" s="3" t="s">
        <v>270</v>
      </c>
      <c r="M123" s="3" t="s">
        <v>271</v>
      </c>
      <c r="N123" s="3" t="s">
        <v>272</v>
      </c>
      <c r="O123" s="3" t="s">
        <v>273</v>
      </c>
    </row>
    <row r="124" spans="1:15" hidden="1" x14ac:dyDescent="0.25">
      <c r="A124" s="3" t="s">
        <v>26</v>
      </c>
      <c r="B124" s="3" t="s">
        <v>67</v>
      </c>
      <c r="C124" s="4" t="s">
        <v>44</v>
      </c>
      <c r="D124" s="6">
        <v>46065</v>
      </c>
      <c r="F124" s="25">
        <f t="shared" si="2"/>
        <v>1</v>
      </c>
      <c r="G124" s="35">
        <v>2</v>
      </c>
      <c r="H124" s="20">
        <f t="shared" si="3"/>
        <v>126.50243306566273</v>
      </c>
      <c r="I124" s="26" t="s">
        <v>45</v>
      </c>
      <c r="J124" s="17">
        <v>63171.519999999997</v>
      </c>
      <c r="K124" s="7" t="s">
        <v>46</v>
      </c>
      <c r="L124" s="3" t="s">
        <v>274</v>
      </c>
      <c r="M124" s="3" t="s">
        <v>275</v>
      </c>
      <c r="N124" s="3" t="s">
        <v>276</v>
      </c>
      <c r="O124" s="3" t="s">
        <v>277</v>
      </c>
    </row>
    <row r="125" spans="1:15" hidden="1" x14ac:dyDescent="0.25">
      <c r="A125" s="3" t="s">
        <v>26</v>
      </c>
      <c r="B125" s="3" t="s">
        <v>81</v>
      </c>
      <c r="C125" s="4" t="s">
        <v>36</v>
      </c>
      <c r="D125" s="6">
        <v>46065</v>
      </c>
      <c r="F125" s="25">
        <f t="shared" si="2"/>
        <v>1</v>
      </c>
      <c r="G125" s="35">
        <v>2</v>
      </c>
      <c r="H125" s="20">
        <f t="shared" si="3"/>
        <v>6.7432965536576086</v>
      </c>
      <c r="I125" s="26" t="s">
        <v>45</v>
      </c>
      <c r="J125" s="17">
        <v>3367.4</v>
      </c>
      <c r="K125" s="7" t="s">
        <v>46</v>
      </c>
      <c r="L125" s="3" t="s">
        <v>278</v>
      </c>
      <c r="M125" s="3" t="s">
        <v>279</v>
      </c>
      <c r="N125" s="3" t="s">
        <v>109</v>
      </c>
      <c r="O125" s="3" t="s">
        <v>280</v>
      </c>
    </row>
    <row r="126" spans="1:15" x14ac:dyDescent="0.25">
      <c r="A126" s="3" t="s">
        <v>26</v>
      </c>
      <c r="B126" s="3" t="s">
        <v>67</v>
      </c>
      <c r="C126" s="4" t="s">
        <v>44</v>
      </c>
      <c r="D126" s="6">
        <v>46066</v>
      </c>
      <c r="E126" s="51">
        <v>46066</v>
      </c>
      <c r="F126" s="25">
        <f t="shared" si="2"/>
        <v>0</v>
      </c>
      <c r="G126" s="35">
        <v>1</v>
      </c>
      <c r="H126" s="20">
        <f t="shared" si="3"/>
        <v>395.16</v>
      </c>
      <c r="I126" s="26" t="s">
        <v>29</v>
      </c>
      <c r="J126" s="17">
        <v>395.16</v>
      </c>
      <c r="K126" s="7" t="s">
        <v>46</v>
      </c>
      <c r="L126" s="3" t="s">
        <v>281</v>
      </c>
      <c r="M126" s="3" t="s">
        <v>282</v>
      </c>
      <c r="N126" s="3" t="s">
        <v>84</v>
      </c>
      <c r="O126" s="3" t="s">
        <v>283</v>
      </c>
    </row>
    <row r="127" spans="1:15" hidden="1" x14ac:dyDescent="0.25">
      <c r="A127" s="3" t="s">
        <v>26</v>
      </c>
      <c r="B127" s="3" t="s">
        <v>57</v>
      </c>
      <c r="C127" s="4" t="s">
        <v>44</v>
      </c>
      <c r="D127" s="6">
        <v>46066</v>
      </c>
      <c r="E127" s="48"/>
      <c r="F127" s="25">
        <f t="shared" si="2"/>
        <v>0</v>
      </c>
      <c r="G127" s="35">
        <v>2</v>
      </c>
      <c r="H127" s="20">
        <f t="shared" si="3"/>
        <v>1362.1996916114304</v>
      </c>
      <c r="I127" s="26" t="s">
        <v>45</v>
      </c>
      <c r="J127" s="14">
        <v>680241.66</v>
      </c>
      <c r="K127" s="7" t="s">
        <v>46</v>
      </c>
      <c r="L127" s="3" t="s">
        <v>284</v>
      </c>
      <c r="M127" s="3" t="s">
        <v>285</v>
      </c>
      <c r="N127" s="3" t="s">
        <v>55</v>
      </c>
      <c r="O127" s="2" t="s">
        <v>286</v>
      </c>
    </row>
    <row r="128" spans="1:15" hidden="1" x14ac:dyDescent="0.25">
      <c r="A128" s="3" t="s">
        <v>26</v>
      </c>
      <c r="B128" s="3" t="s">
        <v>74</v>
      </c>
      <c r="C128" s="4" t="s">
        <v>44</v>
      </c>
      <c r="D128" s="6">
        <v>46066</v>
      </c>
      <c r="F128" s="25">
        <f t="shared" si="2"/>
        <v>0</v>
      </c>
      <c r="G128" s="35">
        <v>2</v>
      </c>
      <c r="H128" s="60">
        <f t="shared" si="3"/>
        <v>3749.16</v>
      </c>
      <c r="I128" s="59" t="s">
        <v>29</v>
      </c>
      <c r="J128" s="17">
        <v>3749.16</v>
      </c>
      <c r="K128" s="61" t="s">
        <v>46</v>
      </c>
      <c r="L128" s="3" t="s">
        <v>287</v>
      </c>
      <c r="M128" s="3" t="s">
        <v>288</v>
      </c>
      <c r="N128" s="3" t="s">
        <v>214</v>
      </c>
      <c r="O128" s="3" t="s">
        <v>289</v>
      </c>
    </row>
    <row r="129" spans="1:15" hidden="1" x14ac:dyDescent="0.25">
      <c r="A129" s="3" t="s">
        <v>26</v>
      </c>
      <c r="B129" s="3" t="s">
        <v>57</v>
      </c>
      <c r="C129" s="4" t="s">
        <v>44</v>
      </c>
      <c r="D129" s="6">
        <v>46066</v>
      </c>
      <c r="F129" s="25">
        <f t="shared" si="2"/>
        <v>0</v>
      </c>
      <c r="G129" s="35">
        <v>2</v>
      </c>
      <c r="H129" s="20">
        <f t="shared" si="3"/>
        <v>226.28511925025532</v>
      </c>
      <c r="I129" s="26" t="s">
        <v>45</v>
      </c>
      <c r="J129" s="17">
        <v>113000</v>
      </c>
      <c r="K129" s="7" t="s">
        <v>46</v>
      </c>
      <c r="L129" s="3" t="s">
        <v>96</v>
      </c>
      <c r="M129" s="3" t="s">
        <v>290</v>
      </c>
      <c r="N129" s="3" t="s">
        <v>98</v>
      </c>
      <c r="O129" s="3" t="s">
        <v>291</v>
      </c>
    </row>
    <row r="130" spans="1:15" hidden="1" x14ac:dyDescent="0.25">
      <c r="A130" s="3" t="s">
        <v>26</v>
      </c>
      <c r="B130" s="3" t="s">
        <v>27</v>
      </c>
      <c r="C130" s="4" t="s">
        <v>28</v>
      </c>
      <c r="D130" s="6">
        <v>46066</v>
      </c>
      <c r="F130" s="25">
        <f t="shared" si="2"/>
        <v>0</v>
      </c>
      <c r="G130" s="35">
        <v>2</v>
      </c>
      <c r="H130" s="20">
        <f t="shared" si="3"/>
        <v>237.59937521276808</v>
      </c>
      <c r="I130" s="26" t="s">
        <v>45</v>
      </c>
      <c r="J130" s="17">
        <v>118650</v>
      </c>
      <c r="K130" s="7" t="s">
        <v>46</v>
      </c>
      <c r="L130" s="3" t="s">
        <v>96</v>
      </c>
      <c r="M130" s="3" t="s">
        <v>292</v>
      </c>
      <c r="N130" s="3" t="s">
        <v>98</v>
      </c>
      <c r="O130" s="3" t="s">
        <v>293</v>
      </c>
    </row>
    <row r="131" spans="1:15" hidden="1" x14ac:dyDescent="0.25">
      <c r="A131" s="3" t="s">
        <v>26</v>
      </c>
      <c r="B131" s="3" t="s">
        <v>27</v>
      </c>
      <c r="C131" s="4" t="s">
        <v>28</v>
      </c>
      <c r="D131" s="6">
        <v>46066</v>
      </c>
      <c r="F131" s="25">
        <f t="shared" si="2"/>
        <v>0</v>
      </c>
      <c r="G131" s="35">
        <v>2</v>
      </c>
      <c r="H131" s="20">
        <f t="shared" si="3"/>
        <v>101.8283036626149</v>
      </c>
      <c r="I131" s="26" t="s">
        <v>45</v>
      </c>
      <c r="J131" s="17">
        <v>50850</v>
      </c>
      <c r="K131" s="7" t="s">
        <v>46</v>
      </c>
      <c r="L131" s="3" t="s">
        <v>96</v>
      </c>
      <c r="M131" s="3" t="s">
        <v>294</v>
      </c>
      <c r="N131" s="3" t="s">
        <v>98</v>
      </c>
      <c r="O131" s="3" t="s">
        <v>295</v>
      </c>
    </row>
    <row r="132" spans="1:15" hidden="1" x14ac:dyDescent="0.25">
      <c r="A132" s="3" t="s">
        <v>26</v>
      </c>
      <c r="B132" s="3" t="s">
        <v>43</v>
      </c>
      <c r="C132" s="4" t="s">
        <v>44</v>
      </c>
      <c r="D132" s="6">
        <v>46066</v>
      </c>
      <c r="F132" s="25">
        <f t="shared" si="2"/>
        <v>0</v>
      </c>
      <c r="G132" s="35">
        <v>2</v>
      </c>
      <c r="H132" s="20">
        <f t="shared" si="3"/>
        <v>97.302601277609782</v>
      </c>
      <c r="I132" s="26" t="s">
        <v>45</v>
      </c>
      <c r="J132" s="17">
        <v>48590</v>
      </c>
      <c r="K132" s="7" t="s">
        <v>46</v>
      </c>
      <c r="L132" s="3" t="s">
        <v>102</v>
      </c>
      <c r="M132" s="3" t="s">
        <v>296</v>
      </c>
      <c r="N132" s="3" t="s">
        <v>55</v>
      </c>
      <c r="O132" s="3" t="s">
        <v>297</v>
      </c>
    </row>
    <row r="133" spans="1:15" hidden="1" x14ac:dyDescent="0.25">
      <c r="A133" s="3" t="s">
        <v>26</v>
      </c>
      <c r="B133" s="3" t="s">
        <v>27</v>
      </c>
      <c r="C133" s="4" t="s">
        <v>28</v>
      </c>
      <c r="D133" s="6">
        <v>46066</v>
      </c>
      <c r="F133" s="25">
        <f t="shared" si="2"/>
        <v>0</v>
      </c>
      <c r="G133" s="35">
        <v>2</v>
      </c>
      <c r="H133" s="20">
        <f t="shared" si="3"/>
        <v>199.13090494022467</v>
      </c>
      <c r="I133" s="26" t="s">
        <v>45</v>
      </c>
      <c r="J133" s="17">
        <v>99440</v>
      </c>
      <c r="K133" s="7" t="s">
        <v>46</v>
      </c>
      <c r="L133" s="3" t="s">
        <v>102</v>
      </c>
      <c r="M133" s="3" t="s">
        <v>298</v>
      </c>
      <c r="N133" s="3" t="s">
        <v>55</v>
      </c>
      <c r="O133" s="3" t="s">
        <v>299</v>
      </c>
    </row>
    <row r="134" spans="1:15" hidden="1" x14ac:dyDescent="0.25">
      <c r="A134" s="3" t="s">
        <v>26</v>
      </c>
      <c r="B134" s="3" t="s">
        <v>27</v>
      </c>
      <c r="C134" s="4" t="s">
        <v>28</v>
      </c>
      <c r="D134" s="6">
        <v>46066</v>
      </c>
      <c r="F134" s="25">
        <f t="shared" si="2"/>
        <v>0</v>
      </c>
      <c r="G134" s="35">
        <v>2</v>
      </c>
      <c r="H134" s="20">
        <f t="shared" si="3"/>
        <v>108.61685724012256</v>
      </c>
      <c r="I134" s="26" t="s">
        <v>45</v>
      </c>
      <c r="J134" s="17">
        <v>54240</v>
      </c>
      <c r="K134" s="7" t="s">
        <v>46</v>
      </c>
      <c r="L134" s="3" t="s">
        <v>102</v>
      </c>
      <c r="M134" s="3" t="s">
        <v>300</v>
      </c>
      <c r="N134" s="3" t="s">
        <v>55</v>
      </c>
      <c r="O134" s="3" t="s">
        <v>301</v>
      </c>
    </row>
    <row r="135" spans="1:15" hidden="1" x14ac:dyDescent="0.25">
      <c r="A135" s="3" t="s">
        <v>26</v>
      </c>
      <c r="B135" s="3" t="s">
        <v>27</v>
      </c>
      <c r="C135" s="4" t="s">
        <v>28</v>
      </c>
      <c r="D135" s="6">
        <v>46066</v>
      </c>
      <c r="F135" s="25">
        <f t="shared" ref="F135:F198" si="4">IF(D135=0,0,+F$4-D135)</f>
        <v>0</v>
      </c>
      <c r="G135" s="35">
        <v>2</v>
      </c>
      <c r="H135" s="20">
        <f t="shared" ref="H135:H198" si="5">IF(I135="¢",IFERROR(J135/G$4,0),IF(I135="€",J135*J$4,J135))</f>
        <v>135.77107155015318</v>
      </c>
      <c r="I135" s="26" t="s">
        <v>45</v>
      </c>
      <c r="J135" s="17">
        <v>67800</v>
      </c>
      <c r="K135" s="7" t="s">
        <v>46</v>
      </c>
      <c r="L135" s="3" t="s">
        <v>102</v>
      </c>
      <c r="M135" s="3" t="s">
        <v>302</v>
      </c>
      <c r="N135" s="3" t="s">
        <v>55</v>
      </c>
      <c r="O135" s="3" t="s">
        <v>303</v>
      </c>
    </row>
    <row r="136" spans="1:15" hidden="1" x14ac:dyDescent="0.25">
      <c r="A136" s="3" t="s">
        <v>26</v>
      </c>
      <c r="B136" s="3" t="s">
        <v>27</v>
      </c>
      <c r="C136" s="4" t="s">
        <v>28</v>
      </c>
      <c r="D136" s="6">
        <v>46066</v>
      </c>
      <c r="F136" s="25">
        <f t="shared" si="4"/>
        <v>0</v>
      </c>
      <c r="G136" s="35">
        <v>2</v>
      </c>
      <c r="H136" s="20">
        <f t="shared" si="5"/>
        <v>332.6391252978753</v>
      </c>
      <c r="I136" s="26" t="s">
        <v>45</v>
      </c>
      <c r="J136" s="17">
        <v>166110</v>
      </c>
      <c r="K136" s="7" t="s">
        <v>46</v>
      </c>
      <c r="L136" s="3" t="s">
        <v>102</v>
      </c>
      <c r="M136" s="3" t="s">
        <v>304</v>
      </c>
      <c r="N136" s="3" t="s">
        <v>55</v>
      </c>
      <c r="O136" s="3" t="s">
        <v>305</v>
      </c>
    </row>
    <row r="137" spans="1:15" hidden="1" x14ac:dyDescent="0.25">
      <c r="A137" s="3" t="s">
        <v>26</v>
      </c>
      <c r="B137" s="3" t="s">
        <v>27</v>
      </c>
      <c r="C137" s="4" t="s">
        <v>28</v>
      </c>
      <c r="D137" s="6">
        <v>46066</v>
      </c>
      <c r="F137" s="25">
        <f t="shared" si="4"/>
        <v>0</v>
      </c>
      <c r="G137" s="35">
        <v>2</v>
      </c>
      <c r="H137" s="20">
        <f t="shared" si="5"/>
        <v>316.79916695035746</v>
      </c>
      <c r="I137" s="26" t="s">
        <v>45</v>
      </c>
      <c r="J137" s="17">
        <v>158200</v>
      </c>
      <c r="K137" s="7" t="s">
        <v>46</v>
      </c>
      <c r="L137" s="3" t="s">
        <v>102</v>
      </c>
      <c r="M137" s="3" t="s">
        <v>306</v>
      </c>
      <c r="N137" s="3" t="s">
        <v>55</v>
      </c>
      <c r="O137" s="3" t="s">
        <v>307</v>
      </c>
    </row>
    <row r="138" spans="1:15" hidden="1" x14ac:dyDescent="0.25">
      <c r="A138" s="3" t="s">
        <v>26</v>
      </c>
      <c r="B138" s="3" t="s">
        <v>81</v>
      </c>
      <c r="C138" s="4" t="s">
        <v>36</v>
      </c>
      <c r="D138" s="6">
        <v>46066</v>
      </c>
      <c r="F138" s="25">
        <f t="shared" si="4"/>
        <v>0</v>
      </c>
      <c r="G138" s="35">
        <v>2</v>
      </c>
      <c r="H138" s="20">
        <f t="shared" si="5"/>
        <v>577.7874922402226</v>
      </c>
      <c r="I138" s="26" t="s">
        <v>45</v>
      </c>
      <c r="J138" s="17">
        <v>288529.74</v>
      </c>
      <c r="K138" s="7" t="s">
        <v>46</v>
      </c>
      <c r="L138" s="3" t="s">
        <v>172</v>
      </c>
      <c r="M138" s="3" t="s">
        <v>308</v>
      </c>
      <c r="N138" s="3" t="s">
        <v>168</v>
      </c>
      <c r="O138" s="3" t="s">
        <v>309</v>
      </c>
    </row>
    <row r="139" spans="1:15" hidden="1" x14ac:dyDescent="0.25">
      <c r="A139" s="3" t="s">
        <v>26</v>
      </c>
      <c r="B139" s="3" t="s">
        <v>81</v>
      </c>
      <c r="C139" s="4" t="s">
        <v>36</v>
      </c>
      <c r="D139" s="6">
        <v>46066</v>
      </c>
      <c r="F139" s="25">
        <f t="shared" si="4"/>
        <v>0</v>
      </c>
      <c r="G139" s="35">
        <v>2</v>
      </c>
      <c r="H139" s="20">
        <f t="shared" si="5"/>
        <v>443.15839958347522</v>
      </c>
      <c r="I139" s="26" t="s">
        <v>45</v>
      </c>
      <c r="J139" s="17">
        <v>221300.01</v>
      </c>
      <c r="K139" s="7" t="s">
        <v>46</v>
      </c>
      <c r="L139" s="3" t="s">
        <v>230</v>
      </c>
      <c r="M139" s="3" t="s">
        <v>310</v>
      </c>
      <c r="N139" s="3" t="s">
        <v>49</v>
      </c>
      <c r="O139" s="3" t="s">
        <v>311</v>
      </c>
    </row>
    <row r="140" spans="1:15" hidden="1" x14ac:dyDescent="0.25">
      <c r="A140" s="3" t="s">
        <v>26</v>
      </c>
      <c r="B140" s="3" t="s">
        <v>60</v>
      </c>
      <c r="C140" s="4" t="s">
        <v>36</v>
      </c>
      <c r="D140" s="6">
        <v>46066</v>
      </c>
      <c r="F140" s="25">
        <f t="shared" si="4"/>
        <v>0</v>
      </c>
      <c r="G140" s="35">
        <v>2</v>
      </c>
      <c r="H140" s="20">
        <f t="shared" si="5"/>
        <v>6345</v>
      </c>
      <c r="I140" s="26" t="s">
        <v>29</v>
      </c>
      <c r="J140" s="17">
        <v>6345</v>
      </c>
      <c r="K140" s="7" t="s">
        <v>46</v>
      </c>
      <c r="L140" s="3" t="s">
        <v>259</v>
      </c>
      <c r="M140" s="3" t="s">
        <v>312</v>
      </c>
      <c r="N140" s="3" t="s">
        <v>65</v>
      </c>
      <c r="O140" s="3" t="s">
        <v>313</v>
      </c>
    </row>
    <row r="141" spans="1:15" hidden="1" x14ac:dyDescent="0.25">
      <c r="A141" s="3" t="s">
        <v>26</v>
      </c>
      <c r="B141" s="3" t="s">
        <v>60</v>
      </c>
      <c r="C141" s="4" t="s">
        <v>36</v>
      </c>
      <c r="D141" s="6">
        <v>46066</v>
      </c>
      <c r="F141" s="25">
        <f t="shared" si="4"/>
        <v>0</v>
      </c>
      <c r="G141" s="35">
        <v>2</v>
      </c>
      <c r="H141" s="20">
        <f t="shared" si="5"/>
        <v>1819.3</v>
      </c>
      <c r="I141" s="26" t="s">
        <v>29</v>
      </c>
      <c r="J141" s="17">
        <v>1819.3</v>
      </c>
      <c r="K141" s="7" t="s">
        <v>46</v>
      </c>
      <c r="L141" s="3" t="s">
        <v>259</v>
      </c>
      <c r="M141" s="3" t="s">
        <v>314</v>
      </c>
      <c r="N141" s="3" t="s">
        <v>65</v>
      </c>
      <c r="O141" s="3" t="s">
        <v>313</v>
      </c>
    </row>
    <row r="142" spans="1:15" hidden="1" x14ac:dyDescent="0.25">
      <c r="A142" s="3" t="s">
        <v>26</v>
      </c>
      <c r="B142" s="3" t="s">
        <v>60</v>
      </c>
      <c r="C142" s="4" t="s">
        <v>36</v>
      </c>
      <c r="D142" s="6">
        <v>46061</v>
      </c>
      <c r="E142" s="51">
        <v>46089</v>
      </c>
      <c r="F142" s="25">
        <f t="shared" si="4"/>
        <v>5</v>
      </c>
      <c r="G142" s="35">
        <v>3</v>
      </c>
      <c r="H142" s="20">
        <f t="shared" si="5"/>
        <v>10205.246700000002</v>
      </c>
      <c r="I142" s="26" t="s">
        <v>111</v>
      </c>
      <c r="J142" s="17">
        <v>8629.5</v>
      </c>
      <c r="K142" s="7" t="s">
        <v>112</v>
      </c>
      <c r="L142" s="3" t="s">
        <v>113</v>
      </c>
      <c r="M142" s="3" t="s">
        <v>610</v>
      </c>
      <c r="N142" s="3" t="s">
        <v>39</v>
      </c>
      <c r="O142" s="3" t="s">
        <v>611</v>
      </c>
    </row>
    <row r="143" spans="1:15" x14ac:dyDescent="0.25">
      <c r="A143" s="3" t="s">
        <v>26</v>
      </c>
      <c r="B143" s="3" t="s">
        <v>27</v>
      </c>
      <c r="C143" s="4" t="s">
        <v>28</v>
      </c>
      <c r="D143" s="6">
        <v>46066</v>
      </c>
      <c r="F143" s="25">
        <f t="shared" si="4"/>
        <v>0</v>
      </c>
      <c r="G143" s="35">
        <v>1</v>
      </c>
      <c r="H143" s="20">
        <f t="shared" si="5"/>
        <v>1943.6</v>
      </c>
      <c r="I143" s="26" t="s">
        <v>29</v>
      </c>
      <c r="J143" s="17">
        <v>1943.6</v>
      </c>
      <c r="K143" s="7" t="s">
        <v>46</v>
      </c>
      <c r="L143" s="3" t="s">
        <v>659</v>
      </c>
      <c r="M143" s="3" t="s">
        <v>660</v>
      </c>
      <c r="N143" s="3" t="s">
        <v>65</v>
      </c>
      <c r="O143" s="3" t="s">
        <v>661</v>
      </c>
    </row>
    <row r="144" spans="1:15" hidden="1" x14ac:dyDescent="0.25">
      <c r="A144" s="3" t="s">
        <v>26</v>
      </c>
      <c r="B144" s="3" t="s">
        <v>81</v>
      </c>
      <c r="C144" s="4" t="s">
        <v>36</v>
      </c>
      <c r="D144" s="6">
        <v>46066</v>
      </c>
      <c r="F144" s="25">
        <f t="shared" si="4"/>
        <v>0</v>
      </c>
      <c r="G144" s="35">
        <v>2</v>
      </c>
      <c r="H144" s="20">
        <f t="shared" si="5"/>
        <v>461.62164327052085</v>
      </c>
      <c r="I144" s="26" t="s">
        <v>45</v>
      </c>
      <c r="J144" s="17">
        <v>230520</v>
      </c>
      <c r="K144" s="7" t="s">
        <v>46</v>
      </c>
      <c r="L144" s="3" t="s">
        <v>812</v>
      </c>
      <c r="M144" s="3" t="s">
        <v>813</v>
      </c>
      <c r="N144" s="3" t="s">
        <v>168</v>
      </c>
      <c r="O144" s="3" t="s">
        <v>814</v>
      </c>
    </row>
    <row r="145" spans="1:15" hidden="1" x14ac:dyDescent="0.25">
      <c r="A145" s="3" t="s">
        <v>26</v>
      </c>
      <c r="B145" s="3" t="s">
        <v>43</v>
      </c>
      <c r="C145" s="4" t="s">
        <v>44</v>
      </c>
      <c r="D145" s="6">
        <v>46067</v>
      </c>
      <c r="F145" s="25">
        <f t="shared" si="4"/>
        <v>-1</v>
      </c>
      <c r="G145" s="35">
        <v>2</v>
      </c>
      <c r="H145" s="20">
        <f t="shared" si="5"/>
        <v>654.01672106854642</v>
      </c>
      <c r="I145" s="26" t="s">
        <v>45</v>
      </c>
      <c r="J145" s="17">
        <v>326596.33</v>
      </c>
      <c r="K145" s="7" t="s">
        <v>46</v>
      </c>
      <c r="L145" s="3" t="s">
        <v>82</v>
      </c>
      <c r="M145" s="3" t="s">
        <v>315</v>
      </c>
      <c r="N145" s="3" t="s">
        <v>174</v>
      </c>
      <c r="O145" s="3" t="s">
        <v>316</v>
      </c>
    </row>
    <row r="146" spans="1:15" hidden="1" x14ac:dyDescent="0.25">
      <c r="A146" s="3" t="s">
        <v>26</v>
      </c>
      <c r="B146" s="3" t="s">
        <v>81</v>
      </c>
      <c r="C146" s="4" t="s">
        <v>36</v>
      </c>
      <c r="D146" s="6">
        <v>46067</v>
      </c>
      <c r="F146" s="25">
        <f t="shared" si="4"/>
        <v>-1</v>
      </c>
      <c r="G146" s="35">
        <v>2</v>
      </c>
      <c r="H146" s="20">
        <f t="shared" si="5"/>
        <v>338.42841980895929</v>
      </c>
      <c r="I146" s="26" t="s">
        <v>45</v>
      </c>
      <c r="J146" s="17">
        <v>169001</v>
      </c>
      <c r="K146" s="7" t="s">
        <v>46</v>
      </c>
      <c r="L146" s="3" t="s">
        <v>317</v>
      </c>
      <c r="M146" s="3" t="s">
        <v>318</v>
      </c>
      <c r="N146" s="3" t="s">
        <v>174</v>
      </c>
      <c r="O146" s="3" t="s">
        <v>319</v>
      </c>
    </row>
    <row r="147" spans="1:15" hidden="1" x14ac:dyDescent="0.25">
      <c r="A147" s="3" t="s">
        <v>26</v>
      </c>
      <c r="B147" s="3" t="s">
        <v>27</v>
      </c>
      <c r="C147" s="4" t="s">
        <v>28</v>
      </c>
      <c r="D147" s="6">
        <v>46067</v>
      </c>
      <c r="F147" s="25">
        <f t="shared" si="4"/>
        <v>-1</v>
      </c>
      <c r="G147" s="35">
        <v>2</v>
      </c>
      <c r="H147" s="20">
        <f t="shared" si="5"/>
        <v>69073.5</v>
      </c>
      <c r="I147" s="26" t="s">
        <v>29</v>
      </c>
      <c r="J147" s="17">
        <v>69073.5</v>
      </c>
      <c r="K147" s="7" t="s">
        <v>46</v>
      </c>
      <c r="L147" s="3" t="s">
        <v>70</v>
      </c>
      <c r="M147" s="3" t="s">
        <v>320</v>
      </c>
      <c r="N147" s="3" t="s">
        <v>65</v>
      </c>
      <c r="O147" s="3" t="s">
        <v>321</v>
      </c>
    </row>
    <row r="148" spans="1:15" hidden="1" x14ac:dyDescent="0.25">
      <c r="A148" s="3" t="s">
        <v>26</v>
      </c>
      <c r="B148" s="3" t="s">
        <v>67</v>
      </c>
      <c r="C148" s="4" t="s">
        <v>44</v>
      </c>
      <c r="D148" s="6">
        <v>46067</v>
      </c>
      <c r="F148" s="25">
        <f t="shared" si="4"/>
        <v>-1</v>
      </c>
      <c r="G148" s="35">
        <v>2</v>
      </c>
      <c r="H148" s="20">
        <f t="shared" si="5"/>
        <v>164.09871864080657</v>
      </c>
      <c r="I148" s="26" t="s">
        <v>45</v>
      </c>
      <c r="J148" s="17">
        <v>81945.977127659571</v>
      </c>
      <c r="K148" s="7" t="s">
        <v>46</v>
      </c>
      <c r="L148" s="3" t="s">
        <v>322</v>
      </c>
      <c r="M148" s="3" t="s">
        <v>323</v>
      </c>
      <c r="N148" s="3" t="s">
        <v>109</v>
      </c>
      <c r="O148" s="3" t="s">
        <v>324</v>
      </c>
    </row>
    <row r="149" spans="1:15" hidden="1" x14ac:dyDescent="0.25">
      <c r="A149" s="3" t="s">
        <v>26</v>
      </c>
      <c r="B149" s="3" t="s">
        <v>60</v>
      </c>
      <c r="C149" s="4" t="s">
        <v>36</v>
      </c>
      <c r="D149" s="6">
        <v>46067</v>
      </c>
      <c r="F149" s="25">
        <f t="shared" si="4"/>
        <v>-1</v>
      </c>
      <c r="G149" s="35">
        <v>2</v>
      </c>
      <c r="H149" s="20">
        <f t="shared" si="5"/>
        <v>125.48725543120501</v>
      </c>
      <c r="I149" s="26" t="s">
        <v>45</v>
      </c>
      <c r="J149" s="17">
        <v>62664.570744680852</v>
      </c>
      <c r="K149" s="7" t="s">
        <v>46</v>
      </c>
      <c r="L149" s="3" t="s">
        <v>322</v>
      </c>
      <c r="M149" s="3" t="s">
        <v>323</v>
      </c>
      <c r="N149" s="3" t="s">
        <v>109</v>
      </c>
      <c r="O149" s="3" t="s">
        <v>324</v>
      </c>
    </row>
    <row r="150" spans="1:15" hidden="1" x14ac:dyDescent="0.25">
      <c r="A150" s="3" t="s">
        <v>26</v>
      </c>
      <c r="B150" s="3" t="s">
        <v>35</v>
      </c>
      <c r="C150" s="4" t="s">
        <v>36</v>
      </c>
      <c r="D150" s="6">
        <v>46067</v>
      </c>
      <c r="F150" s="25">
        <f t="shared" si="4"/>
        <v>-1</v>
      </c>
      <c r="G150" s="35">
        <v>2</v>
      </c>
      <c r="H150" s="20">
        <f t="shared" si="5"/>
        <v>125.48725543120501</v>
      </c>
      <c r="I150" s="26" t="s">
        <v>45</v>
      </c>
      <c r="J150" s="17">
        <v>62664.570744680852</v>
      </c>
      <c r="K150" s="7" t="s">
        <v>46</v>
      </c>
      <c r="L150" s="3" t="s">
        <v>322</v>
      </c>
      <c r="M150" s="3" t="s">
        <v>323</v>
      </c>
      <c r="N150" s="3" t="s">
        <v>109</v>
      </c>
      <c r="O150" s="3" t="s">
        <v>324</v>
      </c>
    </row>
    <row r="151" spans="1:15" hidden="1" x14ac:dyDescent="0.25">
      <c r="A151" s="3" t="s">
        <v>26</v>
      </c>
      <c r="B151" s="3" t="s">
        <v>27</v>
      </c>
      <c r="C151" s="4" t="s">
        <v>28</v>
      </c>
      <c r="D151" s="6">
        <v>46067</v>
      </c>
      <c r="F151" s="25">
        <f t="shared" si="4"/>
        <v>-1</v>
      </c>
      <c r="G151" s="35">
        <v>2</v>
      </c>
      <c r="H151" s="20">
        <f t="shared" si="5"/>
        <v>193.05731604800772</v>
      </c>
      <c r="I151" s="26" t="s">
        <v>45</v>
      </c>
      <c r="J151" s="17">
        <v>96407.031914893611</v>
      </c>
      <c r="K151" s="7" t="s">
        <v>46</v>
      </c>
      <c r="L151" s="3" t="s">
        <v>322</v>
      </c>
      <c r="M151" s="3" t="s">
        <v>323</v>
      </c>
      <c r="N151" s="3" t="s">
        <v>109</v>
      </c>
      <c r="O151" s="3" t="s">
        <v>324</v>
      </c>
    </row>
    <row r="152" spans="1:15" hidden="1" x14ac:dyDescent="0.25">
      <c r="A152" s="3" t="s">
        <v>26</v>
      </c>
      <c r="B152" s="3" t="s">
        <v>51</v>
      </c>
      <c r="C152" s="4" t="s">
        <v>52</v>
      </c>
      <c r="D152" s="6">
        <v>46067</v>
      </c>
      <c r="F152" s="25">
        <f t="shared" si="4"/>
        <v>-1</v>
      </c>
      <c r="G152" s="35">
        <v>2</v>
      </c>
      <c r="H152" s="20">
        <f t="shared" si="5"/>
        <v>299.23884093958384</v>
      </c>
      <c r="I152" s="26" t="s">
        <v>45</v>
      </c>
      <c r="J152" s="17">
        <v>149430.9</v>
      </c>
      <c r="K152" s="7" t="s">
        <v>46</v>
      </c>
      <c r="L152" s="3" t="s">
        <v>322</v>
      </c>
      <c r="M152" s="3" t="s">
        <v>323</v>
      </c>
      <c r="N152" s="3" t="s">
        <v>109</v>
      </c>
      <c r="O152" s="3" t="s">
        <v>324</v>
      </c>
    </row>
    <row r="153" spans="1:15" hidden="1" x14ac:dyDescent="0.25">
      <c r="A153" s="3" t="s">
        <v>26</v>
      </c>
      <c r="B153" s="3" t="s">
        <v>81</v>
      </c>
      <c r="C153" s="4" t="s">
        <v>36</v>
      </c>
      <c r="D153" s="6">
        <v>46067</v>
      </c>
      <c r="F153" s="25">
        <f t="shared" si="4"/>
        <v>-1</v>
      </c>
      <c r="G153" s="35">
        <v>2</v>
      </c>
      <c r="H153" s="20">
        <f t="shared" si="5"/>
        <v>639.08801089372605</v>
      </c>
      <c r="I153" s="26" t="s">
        <v>45</v>
      </c>
      <c r="J153" s="17">
        <v>319141.38</v>
      </c>
      <c r="K153" s="7" t="s">
        <v>46</v>
      </c>
      <c r="L153" s="3" t="s">
        <v>325</v>
      </c>
      <c r="M153" s="3" t="s">
        <v>326</v>
      </c>
      <c r="N153" s="3" t="s">
        <v>174</v>
      </c>
      <c r="O153" s="3" t="s">
        <v>327</v>
      </c>
    </row>
    <row r="154" spans="1:15" hidden="1" x14ac:dyDescent="0.25">
      <c r="A154" s="3" t="s">
        <v>26</v>
      </c>
      <c r="B154" s="3" t="s">
        <v>81</v>
      </c>
      <c r="C154" s="4" t="s">
        <v>36</v>
      </c>
      <c r="D154" s="6">
        <v>46067</v>
      </c>
      <c r="F154" s="25">
        <f t="shared" si="4"/>
        <v>-1</v>
      </c>
      <c r="G154" s="35">
        <v>2</v>
      </c>
      <c r="H154" s="20">
        <f t="shared" si="5"/>
        <v>154.55093417706311</v>
      </c>
      <c r="I154" s="26" t="s">
        <v>45</v>
      </c>
      <c r="J154" s="17">
        <v>77178.100000000006</v>
      </c>
      <c r="K154" s="7" t="s">
        <v>46</v>
      </c>
      <c r="L154" s="3" t="s">
        <v>328</v>
      </c>
      <c r="M154" s="3" t="s">
        <v>329</v>
      </c>
      <c r="N154" s="3" t="s">
        <v>174</v>
      </c>
      <c r="O154" s="3" t="s">
        <v>330</v>
      </c>
    </row>
    <row r="155" spans="1:15" hidden="1" x14ac:dyDescent="0.25">
      <c r="A155" s="3" t="s">
        <v>26</v>
      </c>
      <c r="B155" s="3" t="s">
        <v>57</v>
      </c>
      <c r="C155" s="4" t="s">
        <v>44</v>
      </c>
      <c r="D155" s="6">
        <v>46067</v>
      </c>
      <c r="F155" s="25">
        <f t="shared" si="4"/>
        <v>-1</v>
      </c>
      <c r="G155" s="35">
        <v>2</v>
      </c>
      <c r="H155" s="20">
        <f t="shared" si="5"/>
        <v>507.61922021747398</v>
      </c>
      <c r="I155" s="26" t="s">
        <v>45</v>
      </c>
      <c r="J155" s="17">
        <v>253489.81</v>
      </c>
      <c r="K155" s="7" t="s">
        <v>46</v>
      </c>
      <c r="L155" s="3" t="s">
        <v>130</v>
      </c>
      <c r="M155" s="3" t="s">
        <v>724</v>
      </c>
      <c r="N155" s="3" t="s">
        <v>109</v>
      </c>
      <c r="O155" s="3" t="s">
        <v>725</v>
      </c>
    </row>
    <row r="156" spans="1:15" hidden="1" x14ac:dyDescent="0.25">
      <c r="A156" s="3" t="s">
        <v>26</v>
      </c>
      <c r="B156" s="3" t="s">
        <v>81</v>
      </c>
      <c r="C156" s="4" t="s">
        <v>36</v>
      </c>
      <c r="D156" s="6">
        <v>46067</v>
      </c>
      <c r="F156" s="25">
        <f t="shared" si="4"/>
        <v>-1</v>
      </c>
      <c r="G156" s="35">
        <v>2</v>
      </c>
      <c r="H156" s="20">
        <f t="shared" si="5"/>
        <v>256.31405571019485</v>
      </c>
      <c r="I156" s="26" t="s">
        <v>45</v>
      </c>
      <c r="J156" s="17">
        <v>127995.55</v>
      </c>
      <c r="K156" s="7" t="s">
        <v>46</v>
      </c>
      <c r="L156" s="3" t="s">
        <v>274</v>
      </c>
      <c r="M156" s="3" t="s">
        <v>740</v>
      </c>
      <c r="N156" s="3" t="s">
        <v>174</v>
      </c>
      <c r="O156" s="3" t="s">
        <v>741</v>
      </c>
    </row>
    <row r="157" spans="1:15" hidden="1" x14ac:dyDescent="0.25">
      <c r="A157" s="3" t="s">
        <v>26</v>
      </c>
      <c r="B157" s="3" t="s">
        <v>81</v>
      </c>
      <c r="C157" s="4" t="s">
        <v>36</v>
      </c>
      <c r="D157" s="6">
        <v>46067</v>
      </c>
      <c r="F157" s="25">
        <f t="shared" si="4"/>
        <v>-1</v>
      </c>
      <c r="G157" s="35">
        <v>2</v>
      </c>
      <c r="H157" s="20">
        <f t="shared" si="5"/>
        <v>140.29677393515828</v>
      </c>
      <c r="I157" s="26" t="s">
        <v>45</v>
      </c>
      <c r="J157" s="17">
        <v>70060</v>
      </c>
      <c r="K157" s="7" t="s">
        <v>46</v>
      </c>
      <c r="L157" s="3" t="s">
        <v>746</v>
      </c>
      <c r="M157" s="3" t="s">
        <v>747</v>
      </c>
      <c r="N157" s="3" t="s">
        <v>49</v>
      </c>
      <c r="O157" s="3" t="s">
        <v>748</v>
      </c>
    </row>
    <row r="158" spans="1:15" hidden="1" x14ac:dyDescent="0.25">
      <c r="A158" s="3" t="s">
        <v>26</v>
      </c>
      <c r="B158" s="3" t="s">
        <v>60</v>
      </c>
      <c r="C158" s="4" t="s">
        <v>36</v>
      </c>
      <c r="D158" s="6">
        <v>46061</v>
      </c>
      <c r="E158" s="51">
        <v>46089</v>
      </c>
      <c r="F158" s="25">
        <f t="shared" si="4"/>
        <v>5</v>
      </c>
      <c r="G158" s="35">
        <v>3</v>
      </c>
      <c r="H158" s="20">
        <f t="shared" si="5"/>
        <v>8847.7992900000008</v>
      </c>
      <c r="I158" s="26" t="s">
        <v>111</v>
      </c>
      <c r="J158" s="17">
        <v>7481.65</v>
      </c>
      <c r="K158" s="7" t="s">
        <v>112</v>
      </c>
      <c r="L158" s="3" t="s">
        <v>113</v>
      </c>
      <c r="M158" s="3" t="s">
        <v>612</v>
      </c>
      <c r="N158" s="3" t="s">
        <v>39</v>
      </c>
      <c r="O158" s="3" t="s">
        <v>613</v>
      </c>
    </row>
    <row r="159" spans="1:15" hidden="1" x14ac:dyDescent="0.25">
      <c r="A159" s="3" t="s">
        <v>26</v>
      </c>
      <c r="B159" s="3" t="s">
        <v>67</v>
      </c>
      <c r="C159" s="4" t="s">
        <v>44</v>
      </c>
      <c r="D159" s="6">
        <v>46068</v>
      </c>
      <c r="F159" s="58">
        <f t="shared" si="4"/>
        <v>-2</v>
      </c>
      <c r="G159" s="35">
        <v>2</v>
      </c>
      <c r="H159" s="60">
        <f t="shared" si="5"/>
        <v>32.21</v>
      </c>
      <c r="I159" s="59" t="s">
        <v>29</v>
      </c>
      <c r="J159" s="17">
        <v>32.21</v>
      </c>
      <c r="K159" s="61" t="s">
        <v>46</v>
      </c>
      <c r="L159" s="3" t="s">
        <v>334</v>
      </c>
      <c r="M159" s="3" t="s">
        <v>335</v>
      </c>
      <c r="N159" s="3" t="s">
        <v>239</v>
      </c>
      <c r="O159" s="3" t="s">
        <v>336</v>
      </c>
    </row>
    <row r="160" spans="1:15" hidden="1" x14ac:dyDescent="0.25">
      <c r="A160" s="3" t="s">
        <v>26</v>
      </c>
      <c r="B160" s="3" t="s">
        <v>67</v>
      </c>
      <c r="C160" s="4" t="s">
        <v>44</v>
      </c>
      <c r="D160" s="6">
        <v>46068</v>
      </c>
      <c r="F160" s="58">
        <f t="shared" si="4"/>
        <v>-2</v>
      </c>
      <c r="G160" s="35">
        <v>2</v>
      </c>
      <c r="H160" s="60">
        <f t="shared" si="5"/>
        <v>161.87</v>
      </c>
      <c r="I160" s="59" t="s">
        <v>29</v>
      </c>
      <c r="J160" s="17">
        <v>161.87</v>
      </c>
      <c r="K160" s="61" t="s">
        <v>46</v>
      </c>
      <c r="L160" s="3" t="s">
        <v>334</v>
      </c>
      <c r="M160" s="3" t="s">
        <v>337</v>
      </c>
      <c r="N160" s="3" t="s">
        <v>239</v>
      </c>
      <c r="O160" s="3" t="s">
        <v>338</v>
      </c>
    </row>
    <row r="161" spans="1:15" hidden="1" x14ac:dyDescent="0.25">
      <c r="A161" s="3" t="s">
        <v>26</v>
      </c>
      <c r="B161" s="3" t="s">
        <v>43</v>
      </c>
      <c r="C161" s="4" t="s">
        <v>44</v>
      </c>
      <c r="D161" s="6">
        <v>46068</v>
      </c>
      <c r="F161" s="25">
        <f t="shared" si="4"/>
        <v>-2</v>
      </c>
      <c r="G161" s="35">
        <v>2</v>
      </c>
      <c r="H161" s="20">
        <f t="shared" si="5"/>
        <v>70.718405190540082</v>
      </c>
      <c r="I161" s="26" t="s">
        <v>45</v>
      </c>
      <c r="J161" s="17">
        <v>35314.65</v>
      </c>
      <c r="K161" s="7" t="s">
        <v>46</v>
      </c>
      <c r="L161" s="3" t="s">
        <v>339</v>
      </c>
      <c r="M161" s="3" t="s">
        <v>340</v>
      </c>
      <c r="N161" s="3" t="s">
        <v>174</v>
      </c>
      <c r="O161" s="3" t="s">
        <v>341</v>
      </c>
    </row>
    <row r="162" spans="1:15" hidden="1" x14ac:dyDescent="0.25">
      <c r="A162" s="3" t="s">
        <v>26</v>
      </c>
      <c r="B162" s="3" t="s">
        <v>43</v>
      </c>
      <c r="C162" s="4" t="s">
        <v>44</v>
      </c>
      <c r="D162" s="6">
        <v>46068</v>
      </c>
      <c r="F162" s="25">
        <f t="shared" si="4"/>
        <v>-2</v>
      </c>
      <c r="G162" s="35">
        <v>2</v>
      </c>
      <c r="H162" s="20">
        <f t="shared" si="5"/>
        <v>485.15529567254742</v>
      </c>
      <c r="I162" s="26" t="s">
        <v>45</v>
      </c>
      <c r="J162" s="17">
        <v>242272</v>
      </c>
      <c r="K162" s="7" t="s">
        <v>46</v>
      </c>
      <c r="L162" s="3" t="s">
        <v>342</v>
      </c>
      <c r="M162" s="3" t="s">
        <v>343</v>
      </c>
      <c r="N162" s="3" t="s">
        <v>174</v>
      </c>
      <c r="O162" s="3" t="s">
        <v>344</v>
      </c>
    </row>
    <row r="163" spans="1:15" hidden="1" x14ac:dyDescent="0.25">
      <c r="A163" s="3" t="s">
        <v>26</v>
      </c>
      <c r="B163" s="3" t="s">
        <v>67</v>
      </c>
      <c r="C163" s="4" t="s">
        <v>44</v>
      </c>
      <c r="D163" s="6">
        <v>46068</v>
      </c>
      <c r="F163" s="25">
        <f t="shared" si="4"/>
        <v>-2</v>
      </c>
      <c r="G163" s="35">
        <v>2</v>
      </c>
      <c r="H163" s="20">
        <f t="shared" si="5"/>
        <v>79.199791737589365</v>
      </c>
      <c r="I163" s="26" t="s">
        <v>45</v>
      </c>
      <c r="J163" s="17">
        <v>39550</v>
      </c>
      <c r="K163" s="7" t="s">
        <v>46</v>
      </c>
      <c r="L163" s="3" t="s">
        <v>133</v>
      </c>
      <c r="M163" s="3" t="s">
        <v>345</v>
      </c>
      <c r="N163" s="3" t="s">
        <v>65</v>
      </c>
      <c r="O163" s="3" t="s">
        <v>346</v>
      </c>
    </row>
    <row r="164" spans="1:15" hidden="1" x14ac:dyDescent="0.25">
      <c r="A164" s="3" t="s">
        <v>26</v>
      </c>
      <c r="B164" s="3" t="s">
        <v>60</v>
      </c>
      <c r="C164" s="4" t="s">
        <v>36</v>
      </c>
      <c r="D164" s="6">
        <v>46068</v>
      </c>
      <c r="F164" s="25">
        <f t="shared" si="4"/>
        <v>-2</v>
      </c>
      <c r="G164" s="35">
        <v>2</v>
      </c>
      <c r="H164" s="20">
        <f t="shared" si="5"/>
        <v>113.14255962512766</v>
      </c>
      <c r="I164" s="26" t="s">
        <v>45</v>
      </c>
      <c r="J164" s="17">
        <v>56500</v>
      </c>
      <c r="K164" s="7" t="s">
        <v>46</v>
      </c>
      <c r="L164" s="3" t="s">
        <v>133</v>
      </c>
      <c r="M164" s="3" t="s">
        <v>347</v>
      </c>
      <c r="N164" s="3" t="s">
        <v>65</v>
      </c>
      <c r="O164" s="3" t="s">
        <v>348</v>
      </c>
    </row>
    <row r="165" spans="1:15" hidden="1" x14ac:dyDescent="0.25">
      <c r="A165" s="3" t="s">
        <v>26</v>
      </c>
      <c r="B165" s="3" t="s">
        <v>35</v>
      </c>
      <c r="C165" s="4" t="s">
        <v>36</v>
      </c>
      <c r="D165" s="6">
        <v>46068</v>
      </c>
      <c r="F165" s="25">
        <f t="shared" si="4"/>
        <v>-2</v>
      </c>
      <c r="G165" s="35">
        <v>2</v>
      </c>
      <c r="H165" s="20">
        <f t="shared" si="5"/>
        <v>147.08532751266597</v>
      </c>
      <c r="I165" s="26" t="s">
        <v>45</v>
      </c>
      <c r="J165" s="17">
        <v>73450</v>
      </c>
      <c r="K165" s="7" t="s">
        <v>46</v>
      </c>
      <c r="L165" s="3" t="s">
        <v>133</v>
      </c>
      <c r="M165" s="3" t="s">
        <v>349</v>
      </c>
      <c r="N165" s="3" t="s">
        <v>65</v>
      </c>
      <c r="O165" s="3" t="s">
        <v>350</v>
      </c>
    </row>
    <row r="166" spans="1:15" hidden="1" x14ac:dyDescent="0.25">
      <c r="A166" s="3" t="s">
        <v>26</v>
      </c>
      <c r="B166" s="3" t="s">
        <v>35</v>
      </c>
      <c r="C166" s="4" t="s">
        <v>36</v>
      </c>
      <c r="D166" s="6">
        <v>46068</v>
      </c>
      <c r="F166" s="25">
        <f t="shared" si="4"/>
        <v>-2</v>
      </c>
      <c r="G166" s="35">
        <v>2</v>
      </c>
      <c r="H166" s="20">
        <f t="shared" si="5"/>
        <v>147.08532751266597</v>
      </c>
      <c r="I166" s="26" t="s">
        <v>45</v>
      </c>
      <c r="J166" s="17">
        <v>73450</v>
      </c>
      <c r="K166" s="7" t="s">
        <v>46</v>
      </c>
      <c r="L166" s="3" t="s">
        <v>133</v>
      </c>
      <c r="M166" s="3" t="s">
        <v>351</v>
      </c>
      <c r="N166" s="3" t="s">
        <v>65</v>
      </c>
      <c r="O166" s="3" t="s">
        <v>352</v>
      </c>
    </row>
    <row r="167" spans="1:15" hidden="1" x14ac:dyDescent="0.25">
      <c r="A167" s="3" t="s">
        <v>26</v>
      </c>
      <c r="B167" s="3" t="s">
        <v>35</v>
      </c>
      <c r="C167" s="4" t="s">
        <v>36</v>
      </c>
      <c r="D167" s="6">
        <v>46068</v>
      </c>
      <c r="F167" s="25">
        <f t="shared" si="4"/>
        <v>-2</v>
      </c>
      <c r="G167" s="35">
        <v>2</v>
      </c>
      <c r="H167" s="20">
        <f t="shared" si="5"/>
        <v>147.08532751266597</v>
      </c>
      <c r="I167" s="26" t="s">
        <v>45</v>
      </c>
      <c r="J167" s="17">
        <v>73450</v>
      </c>
      <c r="K167" s="7" t="s">
        <v>46</v>
      </c>
      <c r="L167" s="3" t="s">
        <v>133</v>
      </c>
      <c r="M167" s="3" t="s">
        <v>353</v>
      </c>
      <c r="N167" s="3" t="s">
        <v>65</v>
      </c>
      <c r="O167" s="3" t="s">
        <v>354</v>
      </c>
    </row>
    <row r="168" spans="1:15" hidden="1" x14ac:dyDescent="0.25">
      <c r="A168" s="3" t="s">
        <v>26</v>
      </c>
      <c r="B168" s="3" t="s">
        <v>60</v>
      </c>
      <c r="C168" s="4" t="s">
        <v>36</v>
      </c>
      <c r="D168" s="6">
        <v>46068</v>
      </c>
      <c r="F168" s="25">
        <f t="shared" si="4"/>
        <v>-2</v>
      </c>
      <c r="G168" s="35">
        <v>2</v>
      </c>
      <c r="H168" s="20">
        <f t="shared" si="5"/>
        <v>203.6566073252298</v>
      </c>
      <c r="I168" s="26" t="s">
        <v>45</v>
      </c>
      <c r="J168" s="17">
        <v>101700</v>
      </c>
      <c r="K168" s="7" t="s">
        <v>46</v>
      </c>
      <c r="L168" s="3" t="s">
        <v>133</v>
      </c>
      <c r="M168" s="3" t="s">
        <v>355</v>
      </c>
      <c r="N168" s="3" t="s">
        <v>65</v>
      </c>
      <c r="O168" s="3" t="s">
        <v>354</v>
      </c>
    </row>
    <row r="169" spans="1:15" hidden="1" x14ac:dyDescent="0.25">
      <c r="A169" s="3" t="s">
        <v>26</v>
      </c>
      <c r="B169" s="3" t="s">
        <v>81</v>
      </c>
      <c r="C169" s="4" t="s">
        <v>36</v>
      </c>
      <c r="D169" s="6">
        <v>46068</v>
      </c>
      <c r="F169" s="25">
        <f t="shared" si="4"/>
        <v>-2</v>
      </c>
      <c r="G169" s="35">
        <v>2</v>
      </c>
      <c r="H169" s="20">
        <f t="shared" si="5"/>
        <v>237.59937521276808</v>
      </c>
      <c r="I169" s="26" t="s">
        <v>45</v>
      </c>
      <c r="J169" s="17">
        <v>118650</v>
      </c>
      <c r="K169" s="7" t="s">
        <v>46</v>
      </c>
      <c r="L169" s="3" t="s">
        <v>155</v>
      </c>
      <c r="M169" s="3" t="s">
        <v>356</v>
      </c>
      <c r="N169" s="3" t="s">
        <v>357</v>
      </c>
      <c r="O169" s="3" t="s">
        <v>358</v>
      </c>
    </row>
    <row r="170" spans="1:15" hidden="1" x14ac:dyDescent="0.25">
      <c r="A170" s="3" t="s">
        <v>26</v>
      </c>
      <c r="B170" s="3" t="s">
        <v>57</v>
      </c>
      <c r="C170" s="4" t="s">
        <v>44</v>
      </c>
      <c r="D170" s="6">
        <v>46068</v>
      </c>
      <c r="F170" s="25">
        <f t="shared" si="4"/>
        <v>-2</v>
      </c>
      <c r="G170" s="35">
        <v>2</v>
      </c>
      <c r="H170" s="20">
        <f t="shared" si="5"/>
        <v>540.042173138154</v>
      </c>
      <c r="I170" s="26" t="s">
        <v>45</v>
      </c>
      <c r="J170" s="17">
        <v>269680.86</v>
      </c>
      <c r="K170" s="7" t="s">
        <v>46</v>
      </c>
      <c r="L170" s="3" t="s">
        <v>91</v>
      </c>
      <c r="M170" s="3" t="s">
        <v>359</v>
      </c>
      <c r="N170" s="3" t="s">
        <v>55</v>
      </c>
      <c r="O170" s="3" t="s">
        <v>360</v>
      </c>
    </row>
    <row r="171" spans="1:15" hidden="1" x14ac:dyDescent="0.25">
      <c r="A171" s="3" t="s">
        <v>26</v>
      </c>
      <c r="B171" s="3" t="s">
        <v>35</v>
      </c>
      <c r="C171" s="4" t="s">
        <v>36</v>
      </c>
      <c r="D171" s="6">
        <v>46068</v>
      </c>
      <c r="F171" s="25">
        <f t="shared" si="4"/>
        <v>-2</v>
      </c>
      <c r="G171" s="35">
        <v>2</v>
      </c>
      <c r="H171" s="20">
        <f t="shared" si="5"/>
        <v>4585.1499999999996</v>
      </c>
      <c r="I171" s="26" t="s">
        <v>29</v>
      </c>
      <c r="J171" s="17">
        <v>4585.1499999999996</v>
      </c>
      <c r="K171" s="7" t="s">
        <v>46</v>
      </c>
      <c r="L171" s="3" t="s">
        <v>632</v>
      </c>
      <c r="M171" s="3" t="s">
        <v>633</v>
      </c>
      <c r="N171" s="3" t="s">
        <v>65</v>
      </c>
      <c r="O171" s="3" t="s">
        <v>634</v>
      </c>
    </row>
    <row r="172" spans="1:15" hidden="1" x14ac:dyDescent="0.25">
      <c r="A172" s="3" t="s">
        <v>26</v>
      </c>
      <c r="B172" s="3" t="s">
        <v>35</v>
      </c>
      <c r="C172" s="4" t="s">
        <v>36</v>
      </c>
      <c r="D172" s="6">
        <v>46068</v>
      </c>
      <c r="F172" s="25">
        <f t="shared" si="4"/>
        <v>-2</v>
      </c>
      <c r="G172" s="35">
        <v>2</v>
      </c>
      <c r="H172" s="20">
        <f t="shared" si="5"/>
        <v>5703.3</v>
      </c>
      <c r="I172" s="26" t="s">
        <v>29</v>
      </c>
      <c r="J172" s="17">
        <v>5703.3</v>
      </c>
      <c r="K172" s="7" t="s">
        <v>46</v>
      </c>
      <c r="L172" s="3" t="s">
        <v>632</v>
      </c>
      <c r="M172" s="3" t="s">
        <v>635</v>
      </c>
      <c r="N172" s="3" t="s">
        <v>65</v>
      </c>
      <c r="O172" s="3" t="s">
        <v>636</v>
      </c>
    </row>
    <row r="173" spans="1:15" hidden="1" x14ac:dyDescent="0.25">
      <c r="A173" s="3" t="s">
        <v>26</v>
      </c>
      <c r="B173" s="3" t="s">
        <v>35</v>
      </c>
      <c r="C173" s="4" t="s">
        <v>36</v>
      </c>
      <c r="D173" s="6">
        <v>46068</v>
      </c>
      <c r="F173" s="25">
        <f t="shared" si="4"/>
        <v>-2</v>
      </c>
      <c r="G173" s="35">
        <v>2</v>
      </c>
      <c r="H173" s="20">
        <f t="shared" si="5"/>
        <v>805.2</v>
      </c>
      <c r="I173" s="26" t="s">
        <v>29</v>
      </c>
      <c r="J173" s="17">
        <v>805.2</v>
      </c>
      <c r="K173" s="7" t="s">
        <v>46</v>
      </c>
      <c r="L173" s="3" t="s">
        <v>259</v>
      </c>
      <c r="M173" s="3" t="s">
        <v>641</v>
      </c>
      <c r="N173" s="3" t="s">
        <v>65</v>
      </c>
      <c r="O173" s="3" t="s">
        <v>642</v>
      </c>
    </row>
    <row r="174" spans="1:15" hidden="1" x14ac:dyDescent="0.25">
      <c r="A174" s="3" t="s">
        <v>26</v>
      </c>
      <c r="B174" s="3" t="s">
        <v>35</v>
      </c>
      <c r="C174" s="4" t="s">
        <v>36</v>
      </c>
      <c r="D174" s="6">
        <v>46068</v>
      </c>
      <c r="F174" s="25">
        <f t="shared" si="4"/>
        <v>-2</v>
      </c>
      <c r="G174" s="35">
        <v>2</v>
      </c>
      <c r="H174" s="20">
        <f t="shared" si="5"/>
        <v>389.85</v>
      </c>
      <c r="I174" s="26" t="s">
        <v>29</v>
      </c>
      <c r="J174" s="17">
        <v>389.85</v>
      </c>
      <c r="K174" s="7" t="s">
        <v>46</v>
      </c>
      <c r="L174" s="3" t="s">
        <v>259</v>
      </c>
      <c r="M174" s="3" t="s">
        <v>643</v>
      </c>
      <c r="N174" s="3" t="s">
        <v>65</v>
      </c>
      <c r="O174" s="3" t="s">
        <v>644</v>
      </c>
    </row>
    <row r="175" spans="1:15" hidden="1" x14ac:dyDescent="0.25">
      <c r="A175" s="3" t="s">
        <v>26</v>
      </c>
      <c r="B175" s="3" t="s">
        <v>81</v>
      </c>
      <c r="C175" s="4" t="s">
        <v>36</v>
      </c>
      <c r="D175" s="6">
        <v>46068</v>
      </c>
      <c r="F175" s="25">
        <f t="shared" si="4"/>
        <v>-2</v>
      </c>
      <c r="G175" s="35">
        <v>2</v>
      </c>
      <c r="H175" s="20">
        <f t="shared" si="5"/>
        <v>774</v>
      </c>
      <c r="I175" s="26" t="s">
        <v>29</v>
      </c>
      <c r="J175" s="17">
        <v>774</v>
      </c>
      <c r="K175" s="7" t="s">
        <v>46</v>
      </c>
      <c r="L175" s="3" t="s">
        <v>259</v>
      </c>
      <c r="M175" s="3" t="s">
        <v>645</v>
      </c>
      <c r="N175" s="3" t="s">
        <v>65</v>
      </c>
      <c r="O175" s="3" t="s">
        <v>646</v>
      </c>
    </row>
    <row r="176" spans="1:15" hidden="1" x14ac:dyDescent="0.25">
      <c r="A176" s="3" t="s">
        <v>26</v>
      </c>
      <c r="B176" s="3" t="s">
        <v>81</v>
      </c>
      <c r="C176" s="4" t="s">
        <v>36</v>
      </c>
      <c r="D176" s="6">
        <v>46068</v>
      </c>
      <c r="F176" s="25">
        <f t="shared" si="4"/>
        <v>-2</v>
      </c>
      <c r="G176" s="35">
        <v>2</v>
      </c>
      <c r="H176" s="20">
        <f t="shared" si="5"/>
        <v>282.5</v>
      </c>
      <c r="I176" s="26" t="s">
        <v>29</v>
      </c>
      <c r="J176" s="17">
        <v>282.5</v>
      </c>
      <c r="K176" s="7" t="s">
        <v>46</v>
      </c>
      <c r="L176" s="3" t="s">
        <v>259</v>
      </c>
      <c r="M176" s="3" t="s">
        <v>647</v>
      </c>
      <c r="N176" s="3" t="s">
        <v>65</v>
      </c>
      <c r="O176" s="3" t="s">
        <v>648</v>
      </c>
    </row>
    <row r="177" spans="1:15" hidden="1" x14ac:dyDescent="0.25">
      <c r="A177" s="3" t="s">
        <v>26</v>
      </c>
      <c r="B177" s="3" t="s">
        <v>60</v>
      </c>
      <c r="C177" s="4" t="s">
        <v>36</v>
      </c>
      <c r="D177" s="6">
        <v>46068</v>
      </c>
      <c r="F177" s="25">
        <f t="shared" si="4"/>
        <v>-2</v>
      </c>
      <c r="G177" s="35">
        <v>2</v>
      </c>
      <c r="H177" s="20">
        <f t="shared" si="5"/>
        <v>79.199791737589365</v>
      </c>
      <c r="I177" s="26" t="s">
        <v>45</v>
      </c>
      <c r="J177" s="17">
        <v>39550</v>
      </c>
      <c r="K177" s="7" t="s">
        <v>46</v>
      </c>
      <c r="L177" s="3" t="s">
        <v>148</v>
      </c>
      <c r="M177" s="3" t="s">
        <v>751</v>
      </c>
      <c r="N177" s="3" t="s">
        <v>65</v>
      </c>
      <c r="O177" s="3" t="s">
        <v>752</v>
      </c>
    </row>
    <row r="178" spans="1:15" hidden="1" x14ac:dyDescent="0.25">
      <c r="A178" s="3" t="s">
        <v>26</v>
      </c>
      <c r="B178" s="3" t="s">
        <v>67</v>
      </c>
      <c r="C178" s="4" t="s">
        <v>44</v>
      </c>
      <c r="D178" s="6">
        <v>46068</v>
      </c>
      <c r="F178" s="25">
        <f t="shared" si="4"/>
        <v>-2</v>
      </c>
      <c r="G178" s="35">
        <v>2</v>
      </c>
      <c r="H178" s="20">
        <f t="shared" si="5"/>
        <v>45.257023850051063</v>
      </c>
      <c r="I178" s="26" t="s">
        <v>45</v>
      </c>
      <c r="J178" s="17">
        <v>22600</v>
      </c>
      <c r="K178" s="7" t="s">
        <v>46</v>
      </c>
      <c r="L178" s="3" t="s">
        <v>148</v>
      </c>
      <c r="M178" s="3" t="s">
        <v>753</v>
      </c>
      <c r="N178" s="3" t="s">
        <v>65</v>
      </c>
      <c r="O178" s="3" t="s">
        <v>754</v>
      </c>
    </row>
    <row r="179" spans="1:15" hidden="1" x14ac:dyDescent="0.25">
      <c r="A179" s="3" t="s">
        <v>26</v>
      </c>
      <c r="B179" s="3" t="s">
        <v>67</v>
      </c>
      <c r="C179" s="4" t="s">
        <v>44</v>
      </c>
      <c r="D179" s="6">
        <v>46068</v>
      </c>
      <c r="F179" s="25">
        <f t="shared" si="4"/>
        <v>-2</v>
      </c>
      <c r="G179" s="35">
        <v>2</v>
      </c>
      <c r="H179" s="20">
        <f t="shared" si="5"/>
        <v>29.196747902356968</v>
      </c>
      <c r="I179" s="26" t="s">
        <v>45</v>
      </c>
      <c r="J179" s="17">
        <v>14579.98</v>
      </c>
      <c r="K179" s="7" t="s">
        <v>46</v>
      </c>
      <c r="L179" s="3" t="s">
        <v>843</v>
      </c>
      <c r="M179" s="3" t="s">
        <v>848</v>
      </c>
      <c r="N179" s="3" t="s">
        <v>174</v>
      </c>
      <c r="O179" s="3" t="s">
        <v>849</v>
      </c>
    </row>
    <row r="180" spans="1:15" hidden="1" x14ac:dyDescent="0.25">
      <c r="A180" s="3" t="s">
        <v>26</v>
      </c>
      <c r="B180" s="3" t="s">
        <v>81</v>
      </c>
      <c r="C180" s="4" t="s">
        <v>36</v>
      </c>
      <c r="D180" s="6">
        <v>46068</v>
      </c>
      <c r="F180" s="25">
        <f t="shared" si="4"/>
        <v>-2</v>
      </c>
      <c r="G180" s="35">
        <v>2</v>
      </c>
      <c r="H180" s="20">
        <f t="shared" si="5"/>
        <v>663.83002583254893</v>
      </c>
      <c r="I180" s="26" t="s">
        <v>45</v>
      </c>
      <c r="J180" s="17">
        <v>331496.8</v>
      </c>
      <c r="K180" s="7" t="s">
        <v>46</v>
      </c>
      <c r="L180" s="3" t="s">
        <v>107</v>
      </c>
      <c r="M180" s="3" t="s">
        <v>892</v>
      </c>
      <c r="N180" s="3" t="s">
        <v>174</v>
      </c>
      <c r="O180" s="3" t="s">
        <v>893</v>
      </c>
    </row>
    <row r="181" spans="1:15" x14ac:dyDescent="0.25">
      <c r="A181" s="3" t="s">
        <v>26</v>
      </c>
      <c r="B181" s="3" t="s">
        <v>81</v>
      </c>
      <c r="C181" s="4" t="s">
        <v>36</v>
      </c>
      <c r="D181" s="6">
        <v>46069</v>
      </c>
      <c r="E181" s="51">
        <v>46069</v>
      </c>
      <c r="F181" s="25">
        <f t="shared" si="4"/>
        <v>-3</v>
      </c>
      <c r="G181" s="35">
        <v>1</v>
      </c>
      <c r="H181" s="20">
        <f t="shared" si="5"/>
        <v>4.09</v>
      </c>
      <c r="I181" s="26" t="s">
        <v>29</v>
      </c>
      <c r="J181" s="17">
        <v>4.09</v>
      </c>
      <c r="K181" s="7" t="s">
        <v>46</v>
      </c>
      <c r="L181" s="3" t="s">
        <v>281</v>
      </c>
      <c r="M181" s="3" t="s">
        <v>361</v>
      </c>
      <c r="N181" s="3" t="s">
        <v>84</v>
      </c>
      <c r="O181" s="3" t="s">
        <v>362</v>
      </c>
    </row>
    <row r="182" spans="1:15" x14ac:dyDescent="0.25">
      <c r="A182" s="3" t="s">
        <v>26</v>
      </c>
      <c r="B182" s="3" t="s">
        <v>67</v>
      </c>
      <c r="C182" s="4" t="s">
        <v>44</v>
      </c>
      <c r="D182" s="6">
        <v>46069</v>
      </c>
      <c r="E182" s="51">
        <v>46069</v>
      </c>
      <c r="F182" s="25">
        <f t="shared" si="4"/>
        <v>-3</v>
      </c>
      <c r="G182" s="35">
        <v>1</v>
      </c>
      <c r="H182" s="20">
        <f t="shared" si="5"/>
        <v>2.74</v>
      </c>
      <c r="I182" s="26" t="s">
        <v>29</v>
      </c>
      <c r="J182" s="17">
        <v>2.74</v>
      </c>
      <c r="K182" s="7" t="s">
        <v>46</v>
      </c>
      <c r="L182" s="3" t="s">
        <v>281</v>
      </c>
      <c r="M182" s="3" t="s">
        <v>363</v>
      </c>
      <c r="N182" s="3" t="s">
        <v>84</v>
      </c>
      <c r="O182" s="3" t="s">
        <v>364</v>
      </c>
    </row>
    <row r="183" spans="1:15" hidden="1" x14ac:dyDescent="0.25">
      <c r="A183" s="3" t="s">
        <v>26</v>
      </c>
      <c r="B183" s="3" t="s">
        <v>81</v>
      </c>
      <c r="C183" s="4" t="s">
        <v>36</v>
      </c>
      <c r="D183" s="6">
        <v>46069</v>
      </c>
      <c r="E183" s="51">
        <v>46069</v>
      </c>
      <c r="F183" s="25">
        <f t="shared" si="4"/>
        <v>-3</v>
      </c>
      <c r="G183" s="35">
        <v>2</v>
      </c>
      <c r="H183" s="20">
        <f t="shared" si="5"/>
        <v>7242.79</v>
      </c>
      <c r="I183" s="26" t="s">
        <v>29</v>
      </c>
      <c r="J183" s="17">
        <v>7242.79</v>
      </c>
      <c r="K183" s="7" t="s">
        <v>46</v>
      </c>
      <c r="L183" s="3" t="s">
        <v>281</v>
      </c>
      <c r="M183" s="3" t="s">
        <v>365</v>
      </c>
      <c r="N183" s="3" t="s">
        <v>168</v>
      </c>
      <c r="O183" s="3" t="s">
        <v>366</v>
      </c>
    </row>
    <row r="184" spans="1:15" hidden="1" x14ac:dyDescent="0.25">
      <c r="A184" s="3" t="s">
        <v>26</v>
      </c>
      <c r="B184" s="3" t="s">
        <v>81</v>
      </c>
      <c r="C184" s="4" t="s">
        <v>36</v>
      </c>
      <c r="D184" s="6">
        <v>46069</v>
      </c>
      <c r="E184" s="51">
        <v>46069</v>
      </c>
      <c r="F184" s="25">
        <f t="shared" si="4"/>
        <v>-3</v>
      </c>
      <c r="G184" s="35">
        <v>2</v>
      </c>
      <c r="H184" s="20">
        <f t="shared" si="5"/>
        <v>4144.72</v>
      </c>
      <c r="I184" s="26" t="s">
        <v>29</v>
      </c>
      <c r="J184" s="17">
        <v>4144.72</v>
      </c>
      <c r="K184" s="7" t="s">
        <v>46</v>
      </c>
      <c r="L184" s="3" t="s">
        <v>281</v>
      </c>
      <c r="M184" s="3" t="s">
        <v>367</v>
      </c>
      <c r="N184" s="3" t="s">
        <v>168</v>
      </c>
      <c r="O184" s="3" t="s">
        <v>368</v>
      </c>
    </row>
    <row r="185" spans="1:15" hidden="1" x14ac:dyDescent="0.25">
      <c r="A185" s="3" t="s">
        <v>26</v>
      </c>
      <c r="B185" s="3" t="s">
        <v>60</v>
      </c>
      <c r="C185" s="4" t="s">
        <v>36</v>
      </c>
      <c r="D185" s="6">
        <v>46090</v>
      </c>
      <c r="E185" s="51">
        <v>46090</v>
      </c>
      <c r="F185" s="25">
        <f t="shared" si="4"/>
        <v>-24</v>
      </c>
      <c r="G185" s="35">
        <v>3</v>
      </c>
      <c r="H185" s="20">
        <f t="shared" si="5"/>
        <v>833.85126000000014</v>
      </c>
      <c r="I185" s="26" t="s">
        <v>111</v>
      </c>
      <c r="J185" s="17">
        <v>705.1</v>
      </c>
      <c r="K185" s="7" t="s">
        <v>112</v>
      </c>
      <c r="L185" s="3" t="s">
        <v>113</v>
      </c>
      <c r="M185" s="3" t="s">
        <v>478</v>
      </c>
      <c r="N185" s="3" t="s">
        <v>39</v>
      </c>
      <c r="O185" s="3" t="s">
        <v>479</v>
      </c>
    </row>
    <row r="186" spans="1:15" hidden="1" x14ac:dyDescent="0.25">
      <c r="A186" s="3" t="s">
        <v>26</v>
      </c>
      <c r="B186" s="3" t="s">
        <v>81</v>
      </c>
      <c r="C186" s="4" t="s">
        <v>36</v>
      </c>
      <c r="D186" s="6">
        <v>46069</v>
      </c>
      <c r="F186" s="25">
        <f t="shared" si="4"/>
        <v>-3</v>
      </c>
      <c r="G186" s="35">
        <v>2</v>
      </c>
      <c r="H186" s="20">
        <f t="shared" si="5"/>
        <v>1497.69</v>
      </c>
      <c r="I186" s="26" t="s">
        <v>29</v>
      </c>
      <c r="J186" s="17">
        <v>1497.69</v>
      </c>
      <c r="K186" s="7" t="s">
        <v>46</v>
      </c>
      <c r="L186" s="3" t="s">
        <v>614</v>
      </c>
      <c r="M186" s="3" t="s">
        <v>615</v>
      </c>
      <c r="N186" s="3" t="s">
        <v>174</v>
      </c>
      <c r="O186" s="3" t="s">
        <v>616</v>
      </c>
    </row>
    <row r="187" spans="1:15" hidden="1" x14ac:dyDescent="0.25">
      <c r="A187" s="3" t="s">
        <v>26</v>
      </c>
      <c r="B187" s="3" t="s">
        <v>67</v>
      </c>
      <c r="C187" s="4" t="s">
        <v>44</v>
      </c>
      <c r="D187" s="6">
        <v>46069</v>
      </c>
      <c r="F187" s="25">
        <f t="shared" si="4"/>
        <v>-3</v>
      </c>
      <c r="G187" s="35">
        <v>2</v>
      </c>
      <c r="H187" s="20">
        <f t="shared" si="5"/>
        <v>94.559124496866048</v>
      </c>
      <c r="I187" s="26" t="s">
        <v>45</v>
      </c>
      <c r="J187" s="17">
        <v>47219.99</v>
      </c>
      <c r="K187" s="7" t="s">
        <v>46</v>
      </c>
      <c r="L187" s="3" t="s">
        <v>843</v>
      </c>
      <c r="M187" s="3" t="s">
        <v>844</v>
      </c>
      <c r="N187" s="3" t="s">
        <v>109</v>
      </c>
      <c r="O187" s="3" t="s">
        <v>845</v>
      </c>
    </row>
    <row r="188" spans="1:15" hidden="1" x14ac:dyDescent="0.25">
      <c r="A188" s="3" t="s">
        <v>26</v>
      </c>
      <c r="B188" s="3" t="s">
        <v>51</v>
      </c>
      <c r="C188" s="4" t="s">
        <v>52</v>
      </c>
      <c r="D188" s="6">
        <v>46071</v>
      </c>
      <c r="F188" s="58">
        <f t="shared" si="4"/>
        <v>-5</v>
      </c>
      <c r="G188" s="35">
        <v>2</v>
      </c>
      <c r="H188" s="60">
        <f t="shared" si="5"/>
        <v>881.8</v>
      </c>
      <c r="I188" s="59" t="s">
        <v>29</v>
      </c>
      <c r="J188" s="17">
        <v>881.8</v>
      </c>
      <c r="K188" s="61" t="s">
        <v>46</v>
      </c>
      <c r="L188" s="3" t="s">
        <v>237</v>
      </c>
      <c r="M188" s="3" t="s">
        <v>373</v>
      </c>
      <c r="N188" s="3" t="s">
        <v>239</v>
      </c>
      <c r="O188" s="3" t="s">
        <v>374</v>
      </c>
    </row>
    <row r="189" spans="1:15" hidden="1" x14ac:dyDescent="0.25">
      <c r="A189" s="3" t="s">
        <v>26</v>
      </c>
      <c r="B189" s="3" t="s">
        <v>57</v>
      </c>
      <c r="C189" s="4" t="s">
        <v>44</v>
      </c>
      <c r="D189" s="6">
        <v>46071</v>
      </c>
      <c r="F189" s="25">
        <f t="shared" si="4"/>
        <v>-5</v>
      </c>
      <c r="G189" s="35">
        <v>2</v>
      </c>
      <c r="H189" s="20">
        <f t="shared" si="5"/>
        <v>579.82261649678594</v>
      </c>
      <c r="I189" s="26" t="s">
        <v>45</v>
      </c>
      <c r="J189" s="17">
        <v>289546.02</v>
      </c>
      <c r="K189" s="7" t="s">
        <v>46</v>
      </c>
      <c r="L189" s="3" t="s">
        <v>91</v>
      </c>
      <c r="M189" s="3" t="s">
        <v>375</v>
      </c>
      <c r="N189" s="3" t="s">
        <v>55</v>
      </c>
      <c r="O189" s="3" t="s">
        <v>376</v>
      </c>
    </row>
    <row r="190" spans="1:15" hidden="1" x14ac:dyDescent="0.25">
      <c r="A190" s="3" t="s">
        <v>26</v>
      </c>
      <c r="B190" s="3" t="s">
        <v>57</v>
      </c>
      <c r="C190" s="4" t="s">
        <v>44</v>
      </c>
      <c r="D190" s="6">
        <v>46071</v>
      </c>
      <c r="F190" s="25">
        <f t="shared" si="4"/>
        <v>-5</v>
      </c>
      <c r="G190" s="35">
        <v>2</v>
      </c>
      <c r="H190" s="20">
        <f t="shared" si="5"/>
        <v>176.73969201193503</v>
      </c>
      <c r="I190" s="26" t="s">
        <v>45</v>
      </c>
      <c r="J190" s="17">
        <v>88258.5</v>
      </c>
      <c r="K190" s="7" t="s">
        <v>46</v>
      </c>
      <c r="L190" s="3" t="s">
        <v>53</v>
      </c>
      <c r="M190" s="3" t="s">
        <v>377</v>
      </c>
      <c r="N190" s="3" t="s">
        <v>55</v>
      </c>
      <c r="O190" s="3" t="s">
        <v>378</v>
      </c>
    </row>
    <row r="191" spans="1:15" hidden="1" x14ac:dyDescent="0.25">
      <c r="A191" s="3" t="s">
        <v>26</v>
      </c>
      <c r="B191" s="3" t="s">
        <v>57</v>
      </c>
      <c r="C191" s="4" t="s">
        <v>44</v>
      </c>
      <c r="D191" s="6">
        <v>46071</v>
      </c>
      <c r="F191" s="25">
        <f t="shared" si="4"/>
        <v>-5</v>
      </c>
      <c r="G191" s="35">
        <v>2</v>
      </c>
      <c r="H191" s="20">
        <f t="shared" si="5"/>
        <v>95.740633197829268</v>
      </c>
      <c r="I191" s="26" t="s">
        <v>45</v>
      </c>
      <c r="J191" s="17">
        <v>47810</v>
      </c>
      <c r="K191" s="7" t="s">
        <v>46</v>
      </c>
      <c r="L191" s="3" t="s">
        <v>53</v>
      </c>
      <c r="M191" s="3" t="s">
        <v>379</v>
      </c>
      <c r="N191" s="3" t="s">
        <v>55</v>
      </c>
      <c r="O191" s="3" t="s">
        <v>380</v>
      </c>
    </row>
    <row r="192" spans="1:15" hidden="1" x14ac:dyDescent="0.25">
      <c r="A192" s="3" t="s">
        <v>26</v>
      </c>
      <c r="B192" s="3" t="s">
        <v>60</v>
      </c>
      <c r="C192" s="4" t="s">
        <v>36</v>
      </c>
      <c r="D192" s="6">
        <v>46071</v>
      </c>
      <c r="F192" s="58">
        <f t="shared" si="4"/>
        <v>-5</v>
      </c>
      <c r="G192" s="35">
        <v>2</v>
      </c>
      <c r="H192" s="60">
        <f t="shared" si="5"/>
        <v>262.23</v>
      </c>
      <c r="I192" s="59" t="s">
        <v>29</v>
      </c>
      <c r="J192" s="17">
        <v>262.23</v>
      </c>
      <c r="K192" s="61" t="s">
        <v>46</v>
      </c>
      <c r="L192" s="3" t="s">
        <v>381</v>
      </c>
      <c r="M192" s="3" t="s">
        <v>382</v>
      </c>
      <c r="N192" s="3" t="s">
        <v>65</v>
      </c>
      <c r="O192" s="3" t="s">
        <v>383</v>
      </c>
    </row>
    <row r="193" spans="1:15" hidden="1" x14ac:dyDescent="0.25">
      <c r="A193" s="3" t="s">
        <v>26</v>
      </c>
      <c r="B193" s="3" t="s">
        <v>60</v>
      </c>
      <c r="C193" s="4" t="s">
        <v>36</v>
      </c>
      <c r="D193" s="6">
        <v>46071</v>
      </c>
      <c r="F193" s="58">
        <f t="shared" si="4"/>
        <v>-5</v>
      </c>
      <c r="G193" s="35">
        <v>2</v>
      </c>
      <c r="H193" s="60">
        <f t="shared" si="5"/>
        <v>83.82</v>
      </c>
      <c r="I193" s="59" t="s">
        <v>29</v>
      </c>
      <c r="J193" s="17">
        <v>83.82</v>
      </c>
      <c r="K193" s="61" t="s">
        <v>46</v>
      </c>
      <c r="L193" s="3" t="s">
        <v>381</v>
      </c>
      <c r="M193" s="3" t="s">
        <v>384</v>
      </c>
      <c r="N193" s="3" t="s">
        <v>65</v>
      </c>
      <c r="O193" s="3" t="s">
        <v>385</v>
      </c>
    </row>
    <row r="194" spans="1:15" hidden="1" x14ac:dyDescent="0.25">
      <c r="A194" s="3" t="s">
        <v>26</v>
      </c>
      <c r="B194" s="3" t="s">
        <v>60</v>
      </c>
      <c r="C194" s="4" t="s">
        <v>36</v>
      </c>
      <c r="D194" s="6">
        <v>46071</v>
      </c>
      <c r="F194" s="25">
        <f t="shared" si="4"/>
        <v>-5</v>
      </c>
      <c r="G194" s="35">
        <v>2</v>
      </c>
      <c r="H194" s="20">
        <f t="shared" si="5"/>
        <v>746.49</v>
      </c>
      <c r="I194" s="26" t="s">
        <v>29</v>
      </c>
      <c r="J194" s="17">
        <v>746.49</v>
      </c>
      <c r="K194" s="7" t="s">
        <v>46</v>
      </c>
      <c r="L194" s="3" t="s">
        <v>579</v>
      </c>
      <c r="M194" s="3" t="s">
        <v>637</v>
      </c>
      <c r="N194" s="3" t="s">
        <v>65</v>
      </c>
      <c r="O194" s="3" t="s">
        <v>638</v>
      </c>
    </row>
    <row r="195" spans="1:15" hidden="1" x14ac:dyDescent="0.25">
      <c r="A195" s="3" t="s">
        <v>26</v>
      </c>
      <c r="B195" s="3" t="s">
        <v>57</v>
      </c>
      <c r="C195" s="4" t="s">
        <v>44</v>
      </c>
      <c r="D195" s="6">
        <v>46072</v>
      </c>
      <c r="E195" s="48"/>
      <c r="F195" s="25">
        <f t="shared" si="4"/>
        <v>-6</v>
      </c>
      <c r="G195" s="35">
        <v>2</v>
      </c>
      <c r="H195" s="20">
        <f t="shared" si="5"/>
        <v>1020.8813104511685</v>
      </c>
      <c r="I195" s="26" t="s">
        <v>45</v>
      </c>
      <c r="J195" s="14">
        <v>509797.5</v>
      </c>
      <c r="K195" s="7" t="s">
        <v>46</v>
      </c>
      <c r="L195" s="3" t="s">
        <v>284</v>
      </c>
      <c r="M195" s="3" t="s">
        <v>386</v>
      </c>
      <c r="N195" s="3" t="s">
        <v>55</v>
      </c>
      <c r="O195" s="2" t="s">
        <v>387</v>
      </c>
    </row>
    <row r="196" spans="1:15" hidden="1" x14ac:dyDescent="0.25">
      <c r="A196" s="3" t="s">
        <v>26</v>
      </c>
      <c r="B196" s="3" t="s">
        <v>57</v>
      </c>
      <c r="C196" s="4" t="s">
        <v>44</v>
      </c>
      <c r="D196" s="6">
        <v>46072</v>
      </c>
      <c r="E196" s="48"/>
      <c r="F196" s="25">
        <f t="shared" si="4"/>
        <v>-6</v>
      </c>
      <c r="G196" s="35">
        <v>2</v>
      </c>
      <c r="H196" s="20">
        <f t="shared" si="5"/>
        <v>249.55777613125872</v>
      </c>
      <c r="I196" s="26" t="s">
        <v>45</v>
      </c>
      <c r="J196" s="14">
        <v>124621.66666666667</v>
      </c>
      <c r="K196" s="7" t="s">
        <v>46</v>
      </c>
      <c r="L196" s="3" t="s">
        <v>284</v>
      </c>
      <c r="M196" s="3" t="s">
        <v>388</v>
      </c>
      <c r="N196" s="3" t="s">
        <v>55</v>
      </c>
      <c r="O196" s="2" t="s">
        <v>389</v>
      </c>
    </row>
    <row r="197" spans="1:15" hidden="1" x14ac:dyDescent="0.25">
      <c r="A197" s="3" t="s">
        <v>26</v>
      </c>
      <c r="B197" s="3" t="s">
        <v>57</v>
      </c>
      <c r="C197" s="4" t="s">
        <v>44</v>
      </c>
      <c r="D197" s="6">
        <v>46072</v>
      </c>
      <c r="F197" s="25">
        <f t="shared" si="4"/>
        <v>-6</v>
      </c>
      <c r="G197" s="35">
        <v>2</v>
      </c>
      <c r="H197" s="20">
        <f t="shared" si="5"/>
        <v>764.06980795802701</v>
      </c>
      <c r="I197" s="26" t="s">
        <v>45</v>
      </c>
      <c r="J197" s="17">
        <v>381553.54</v>
      </c>
      <c r="K197" s="7" t="s">
        <v>46</v>
      </c>
      <c r="L197" s="3" t="s">
        <v>390</v>
      </c>
      <c r="M197" s="3" t="s">
        <v>391</v>
      </c>
      <c r="N197" s="3" t="s">
        <v>55</v>
      </c>
      <c r="O197" s="3" t="s">
        <v>392</v>
      </c>
    </row>
    <row r="198" spans="1:15" hidden="1" x14ac:dyDescent="0.25">
      <c r="A198" s="3" t="s">
        <v>26</v>
      </c>
      <c r="B198" s="3" t="s">
        <v>60</v>
      </c>
      <c r="C198" s="4" t="s">
        <v>36</v>
      </c>
      <c r="D198" s="6">
        <v>46072</v>
      </c>
      <c r="F198" s="25">
        <f t="shared" si="4"/>
        <v>-6</v>
      </c>
      <c r="G198" s="35">
        <v>2</v>
      </c>
      <c r="H198" s="20">
        <f t="shared" si="5"/>
        <v>3119.35</v>
      </c>
      <c r="I198" s="26" t="s">
        <v>29</v>
      </c>
      <c r="J198" s="17">
        <v>3119.35</v>
      </c>
      <c r="K198" s="7" t="s">
        <v>46</v>
      </c>
      <c r="L198" s="3" t="s">
        <v>265</v>
      </c>
      <c r="M198" s="3" t="s">
        <v>617</v>
      </c>
      <c r="N198" s="3" t="s">
        <v>214</v>
      </c>
      <c r="O198" s="3" t="s">
        <v>618</v>
      </c>
    </row>
    <row r="199" spans="1:15" hidden="1" x14ac:dyDescent="0.25">
      <c r="A199" s="3" t="s">
        <v>26</v>
      </c>
      <c r="B199" s="3" t="s">
        <v>60</v>
      </c>
      <c r="C199" s="4" t="s">
        <v>36</v>
      </c>
      <c r="D199" s="6">
        <v>46072</v>
      </c>
      <c r="F199" s="25">
        <f t="shared" ref="F199:F262" si="6">IF(D199=0,0,+F$4-D199)</f>
        <v>-6</v>
      </c>
      <c r="G199" s="35">
        <v>2</v>
      </c>
      <c r="H199" s="20">
        <f t="shared" ref="H199:H262" si="7">IF(I199="¢",IFERROR(J199/G$4,0),IF(I199="€",J199*J$4,J199))</f>
        <v>4743.71</v>
      </c>
      <c r="I199" s="26" t="s">
        <v>29</v>
      </c>
      <c r="J199" s="17">
        <v>4743.71</v>
      </c>
      <c r="K199" s="7" t="s">
        <v>46</v>
      </c>
      <c r="L199" s="3" t="s">
        <v>265</v>
      </c>
      <c r="M199" s="3" t="s">
        <v>619</v>
      </c>
      <c r="N199" s="3" t="s">
        <v>214</v>
      </c>
      <c r="O199" s="3" t="s">
        <v>620</v>
      </c>
    </row>
    <row r="200" spans="1:15" hidden="1" x14ac:dyDescent="0.25">
      <c r="A200" s="3" t="s">
        <v>26</v>
      </c>
      <c r="B200" s="3" t="s">
        <v>60</v>
      </c>
      <c r="C200" s="4" t="s">
        <v>36</v>
      </c>
      <c r="D200" s="6">
        <v>46072</v>
      </c>
      <c r="F200" s="25">
        <f t="shared" si="6"/>
        <v>-6</v>
      </c>
      <c r="G200" s="35">
        <v>2</v>
      </c>
      <c r="H200" s="20">
        <f t="shared" si="7"/>
        <v>4809.3500000000004</v>
      </c>
      <c r="I200" s="26" t="s">
        <v>29</v>
      </c>
      <c r="J200" s="17">
        <v>4809.3500000000004</v>
      </c>
      <c r="K200" s="7" t="s">
        <v>46</v>
      </c>
      <c r="L200" s="3" t="s">
        <v>265</v>
      </c>
      <c r="M200" s="3" t="s">
        <v>621</v>
      </c>
      <c r="N200" s="3" t="s">
        <v>214</v>
      </c>
      <c r="O200" s="3" t="s">
        <v>622</v>
      </c>
    </row>
    <row r="201" spans="1:15" hidden="1" x14ac:dyDescent="0.25">
      <c r="A201" s="3" t="s">
        <v>26</v>
      </c>
      <c r="B201" s="3" t="s">
        <v>60</v>
      </c>
      <c r="C201" s="4" t="s">
        <v>36</v>
      </c>
      <c r="D201" s="6">
        <v>46072</v>
      </c>
      <c r="F201" s="25">
        <f t="shared" si="6"/>
        <v>-6</v>
      </c>
      <c r="G201" s="35">
        <v>2</v>
      </c>
      <c r="H201" s="20">
        <f t="shared" si="7"/>
        <v>3827.2</v>
      </c>
      <c r="I201" s="26" t="s">
        <v>29</v>
      </c>
      <c r="J201" s="17">
        <v>3827.2</v>
      </c>
      <c r="K201" s="7" t="s">
        <v>46</v>
      </c>
      <c r="L201" s="3" t="s">
        <v>265</v>
      </c>
      <c r="M201" s="3" t="s">
        <v>623</v>
      </c>
      <c r="N201" s="3" t="s">
        <v>214</v>
      </c>
      <c r="O201" s="3" t="s">
        <v>624</v>
      </c>
    </row>
    <row r="202" spans="1:15" hidden="1" x14ac:dyDescent="0.25">
      <c r="A202" s="3" t="s">
        <v>26</v>
      </c>
      <c r="B202" s="3" t="s">
        <v>81</v>
      </c>
      <c r="C202" s="4" t="s">
        <v>36</v>
      </c>
      <c r="D202" s="6">
        <v>46072</v>
      </c>
      <c r="F202" s="25">
        <f t="shared" si="6"/>
        <v>-6</v>
      </c>
      <c r="G202" s="35">
        <v>2</v>
      </c>
      <c r="H202" s="20">
        <f t="shared" si="7"/>
        <v>235.69858021106594</v>
      </c>
      <c r="I202" s="26" t="s">
        <v>45</v>
      </c>
      <c r="J202" s="17">
        <v>117700.8</v>
      </c>
      <c r="K202" s="7" t="s">
        <v>46</v>
      </c>
      <c r="L202" s="3" t="s">
        <v>719</v>
      </c>
      <c r="M202" s="3" t="s">
        <v>720</v>
      </c>
      <c r="N202" s="3" t="s">
        <v>49</v>
      </c>
      <c r="O202" s="3" t="s">
        <v>721</v>
      </c>
    </row>
    <row r="203" spans="1:15" hidden="1" x14ac:dyDescent="0.25">
      <c r="A203" s="3" t="s">
        <v>26</v>
      </c>
      <c r="B203" s="3" t="s">
        <v>67</v>
      </c>
      <c r="C203" s="4" t="s">
        <v>44</v>
      </c>
      <c r="D203" s="6">
        <v>46072</v>
      </c>
      <c r="F203" s="25">
        <f t="shared" si="6"/>
        <v>-6</v>
      </c>
      <c r="G203" s="35">
        <v>2</v>
      </c>
      <c r="H203" s="20">
        <f t="shared" si="7"/>
        <v>1331.6630354246349</v>
      </c>
      <c r="I203" s="26" t="s">
        <v>45</v>
      </c>
      <c r="J203" s="17">
        <v>664992.56999999995</v>
      </c>
      <c r="K203" s="7" t="s">
        <v>46</v>
      </c>
      <c r="L203" s="3" t="s">
        <v>265</v>
      </c>
      <c r="M203" s="3" t="s">
        <v>749</v>
      </c>
      <c r="N203" s="3" t="s">
        <v>214</v>
      </c>
      <c r="O203" s="3" t="s">
        <v>750</v>
      </c>
    </row>
    <row r="204" spans="1:15" hidden="1" x14ac:dyDescent="0.25">
      <c r="A204" s="3" t="s">
        <v>26</v>
      </c>
      <c r="B204" s="3" t="s">
        <v>57</v>
      </c>
      <c r="C204" s="4" t="s">
        <v>44</v>
      </c>
      <c r="D204" s="6">
        <v>46072</v>
      </c>
      <c r="F204" s="25">
        <f t="shared" si="6"/>
        <v>-6</v>
      </c>
      <c r="G204" s="35">
        <v>2</v>
      </c>
      <c r="H204" s="20">
        <f t="shared" si="7"/>
        <v>245.23399483349019</v>
      </c>
      <c r="I204" s="26" t="s">
        <v>45</v>
      </c>
      <c r="J204" s="17">
        <v>122462.5</v>
      </c>
      <c r="K204" s="7" t="s">
        <v>46</v>
      </c>
      <c r="L204" s="3" t="s">
        <v>805</v>
      </c>
      <c r="M204" s="3" t="s">
        <v>808</v>
      </c>
      <c r="N204" s="3" t="s">
        <v>109</v>
      </c>
      <c r="O204" s="3" t="s">
        <v>809</v>
      </c>
    </row>
    <row r="205" spans="1:15" hidden="1" x14ac:dyDescent="0.25">
      <c r="A205" s="3" t="s">
        <v>26</v>
      </c>
      <c r="B205" s="3" t="s">
        <v>60</v>
      </c>
      <c r="C205" s="4" t="s">
        <v>36</v>
      </c>
      <c r="D205" s="6">
        <v>46090</v>
      </c>
      <c r="E205" s="51">
        <v>46090</v>
      </c>
      <c r="F205" s="25">
        <f t="shared" si="6"/>
        <v>-24</v>
      </c>
      <c r="G205" s="35">
        <v>3</v>
      </c>
      <c r="H205" s="20">
        <f t="shared" si="7"/>
        <v>4.4347500000000002</v>
      </c>
      <c r="I205" s="26" t="s">
        <v>111</v>
      </c>
      <c r="J205" s="17">
        <v>3.75</v>
      </c>
      <c r="K205" s="7" t="s">
        <v>112</v>
      </c>
      <c r="L205" s="3" t="s">
        <v>113</v>
      </c>
      <c r="M205" s="3" t="s">
        <v>604</v>
      </c>
      <c r="N205" s="3" t="s">
        <v>39</v>
      </c>
      <c r="O205" s="3" t="s">
        <v>605</v>
      </c>
    </row>
    <row r="206" spans="1:15" hidden="1" x14ac:dyDescent="0.25">
      <c r="A206" s="3" t="s">
        <v>26</v>
      </c>
      <c r="B206" s="3" t="s">
        <v>35</v>
      </c>
      <c r="C206" s="4" t="s">
        <v>36</v>
      </c>
      <c r="D206" s="6">
        <v>46073</v>
      </c>
      <c r="F206" s="25">
        <f t="shared" si="6"/>
        <v>-7</v>
      </c>
      <c r="G206" s="35">
        <v>2</v>
      </c>
      <c r="H206" s="20">
        <f t="shared" si="7"/>
        <v>529.28297655045355</v>
      </c>
      <c r="I206" s="26" t="s">
        <v>45</v>
      </c>
      <c r="J206" s="17">
        <v>264308.03999999998</v>
      </c>
      <c r="K206" s="7" t="s">
        <v>46</v>
      </c>
      <c r="L206" s="3" t="s">
        <v>227</v>
      </c>
      <c r="M206" s="3" t="s">
        <v>395</v>
      </c>
      <c r="N206" s="3" t="s">
        <v>168</v>
      </c>
      <c r="O206" s="3" t="s">
        <v>396</v>
      </c>
    </row>
    <row r="207" spans="1:15" hidden="1" x14ac:dyDescent="0.25">
      <c r="A207" s="3" t="s">
        <v>26</v>
      </c>
      <c r="B207" s="3" t="s">
        <v>81</v>
      </c>
      <c r="C207" s="4" t="s">
        <v>36</v>
      </c>
      <c r="D207" s="6">
        <v>46073</v>
      </c>
      <c r="F207" s="25">
        <f t="shared" si="6"/>
        <v>-7</v>
      </c>
      <c r="G207" s="35">
        <v>2</v>
      </c>
      <c r="H207" s="20">
        <f t="shared" si="7"/>
        <v>386.49498367943607</v>
      </c>
      <c r="I207" s="26" t="s">
        <v>45</v>
      </c>
      <c r="J207" s="17">
        <v>193004</v>
      </c>
      <c r="K207" s="7" t="s">
        <v>46</v>
      </c>
      <c r="L207" s="3" t="s">
        <v>397</v>
      </c>
      <c r="M207" s="3" t="s">
        <v>398</v>
      </c>
      <c r="N207" s="3" t="s">
        <v>357</v>
      </c>
      <c r="O207" s="3" t="s">
        <v>399</v>
      </c>
    </row>
    <row r="208" spans="1:15" hidden="1" x14ac:dyDescent="0.25">
      <c r="A208" s="3" t="s">
        <v>26</v>
      </c>
      <c r="B208" s="3" t="s">
        <v>60</v>
      </c>
      <c r="C208" s="4" t="s">
        <v>36</v>
      </c>
      <c r="D208" s="6">
        <v>46073</v>
      </c>
      <c r="F208" s="25">
        <f t="shared" si="6"/>
        <v>-7</v>
      </c>
      <c r="G208" s="35">
        <v>2</v>
      </c>
      <c r="H208" s="20">
        <f t="shared" si="7"/>
        <v>74.779622324128397</v>
      </c>
      <c r="I208" s="26" t="s">
        <v>45</v>
      </c>
      <c r="J208" s="17">
        <v>37342.699999999997</v>
      </c>
      <c r="K208" s="7" t="s">
        <v>46</v>
      </c>
      <c r="L208" s="3" t="s">
        <v>53</v>
      </c>
      <c r="M208" s="3" t="s">
        <v>400</v>
      </c>
      <c r="N208" s="3" t="s">
        <v>55</v>
      </c>
      <c r="O208" s="3" t="s">
        <v>401</v>
      </c>
    </row>
    <row r="209" spans="1:15" hidden="1" x14ac:dyDescent="0.25">
      <c r="A209" s="3" t="s">
        <v>26</v>
      </c>
      <c r="B209" s="3" t="s">
        <v>43</v>
      </c>
      <c r="C209" s="4" t="s">
        <v>44</v>
      </c>
      <c r="D209" s="6">
        <v>46073</v>
      </c>
      <c r="F209" s="25">
        <f t="shared" si="6"/>
        <v>-7</v>
      </c>
      <c r="G209" s="35">
        <v>2</v>
      </c>
      <c r="H209" s="20">
        <f t="shared" si="7"/>
        <v>101.8283036626149</v>
      </c>
      <c r="I209" s="26" t="s">
        <v>45</v>
      </c>
      <c r="J209" s="17">
        <v>50850</v>
      </c>
      <c r="K209" s="7" t="s">
        <v>46</v>
      </c>
      <c r="L209" s="3" t="s">
        <v>102</v>
      </c>
      <c r="M209" s="3" t="s">
        <v>402</v>
      </c>
      <c r="N209" s="3" t="s">
        <v>55</v>
      </c>
      <c r="O209" s="3" t="s">
        <v>403</v>
      </c>
    </row>
    <row r="210" spans="1:15" hidden="1" x14ac:dyDescent="0.25">
      <c r="A210" s="3" t="s">
        <v>26</v>
      </c>
      <c r="B210" s="3" t="s">
        <v>43</v>
      </c>
      <c r="C210" s="4" t="s">
        <v>44</v>
      </c>
      <c r="D210" s="6">
        <v>46073</v>
      </c>
      <c r="F210" s="25">
        <f t="shared" si="6"/>
        <v>-7</v>
      </c>
      <c r="G210" s="35">
        <v>2</v>
      </c>
      <c r="H210" s="20">
        <f t="shared" si="7"/>
        <v>199.13090494022467</v>
      </c>
      <c r="I210" s="26" t="s">
        <v>45</v>
      </c>
      <c r="J210" s="17">
        <v>99440</v>
      </c>
      <c r="K210" s="7" t="s">
        <v>46</v>
      </c>
      <c r="L210" s="3" t="s">
        <v>102</v>
      </c>
      <c r="M210" s="3" t="s">
        <v>404</v>
      </c>
      <c r="N210" s="3" t="s">
        <v>55</v>
      </c>
      <c r="O210" s="3" t="s">
        <v>405</v>
      </c>
    </row>
    <row r="211" spans="1:15" hidden="1" x14ac:dyDescent="0.25">
      <c r="A211" s="3" t="s">
        <v>26</v>
      </c>
      <c r="B211" s="3" t="s">
        <v>57</v>
      </c>
      <c r="C211" s="4" t="s">
        <v>44</v>
      </c>
      <c r="D211" s="6">
        <v>46073</v>
      </c>
      <c r="F211" s="25">
        <f t="shared" si="6"/>
        <v>-7</v>
      </c>
      <c r="G211" s="35">
        <v>2</v>
      </c>
      <c r="H211" s="20">
        <f t="shared" si="7"/>
        <v>504.61581592806937</v>
      </c>
      <c r="I211" s="26" t="s">
        <v>45</v>
      </c>
      <c r="J211" s="17">
        <v>251990</v>
      </c>
      <c r="K211" s="7" t="s">
        <v>46</v>
      </c>
      <c r="L211" s="3" t="s">
        <v>102</v>
      </c>
      <c r="M211" s="3" t="s">
        <v>406</v>
      </c>
      <c r="N211" s="3" t="s">
        <v>55</v>
      </c>
      <c r="O211" s="3" t="s">
        <v>407</v>
      </c>
    </row>
    <row r="212" spans="1:15" hidden="1" x14ac:dyDescent="0.25">
      <c r="A212" s="3" t="s">
        <v>26</v>
      </c>
      <c r="B212" s="3" t="s">
        <v>43</v>
      </c>
      <c r="C212" s="4" t="s">
        <v>44</v>
      </c>
      <c r="D212" s="6">
        <v>46073</v>
      </c>
      <c r="F212" s="25">
        <f t="shared" si="6"/>
        <v>-7</v>
      </c>
      <c r="G212" s="35">
        <v>2</v>
      </c>
      <c r="H212" s="20">
        <f t="shared" si="7"/>
        <v>203.6566073252298</v>
      </c>
      <c r="I212" s="26" t="s">
        <v>45</v>
      </c>
      <c r="J212" s="17">
        <v>101700</v>
      </c>
      <c r="K212" s="7" t="s">
        <v>46</v>
      </c>
      <c r="L212" s="3" t="s">
        <v>102</v>
      </c>
      <c r="M212" s="3" t="s">
        <v>408</v>
      </c>
      <c r="N212" s="3" t="s">
        <v>55</v>
      </c>
      <c r="O212" s="3" t="s">
        <v>409</v>
      </c>
    </row>
    <row r="213" spans="1:15" hidden="1" x14ac:dyDescent="0.25">
      <c r="A213" s="3" t="s">
        <v>26</v>
      </c>
      <c r="B213" s="3" t="s">
        <v>67</v>
      </c>
      <c r="C213" s="4" t="s">
        <v>44</v>
      </c>
      <c r="D213" s="6">
        <v>46073</v>
      </c>
      <c r="F213" s="25">
        <f t="shared" si="6"/>
        <v>-7</v>
      </c>
      <c r="G213" s="35">
        <v>2</v>
      </c>
      <c r="H213" s="20">
        <f t="shared" si="7"/>
        <v>203.88289244448004</v>
      </c>
      <c r="I213" s="26" t="s">
        <v>45</v>
      </c>
      <c r="J213" s="17">
        <v>101813</v>
      </c>
      <c r="K213" s="7" t="s">
        <v>46</v>
      </c>
      <c r="L213" s="3" t="s">
        <v>187</v>
      </c>
      <c r="M213" s="3" t="s">
        <v>410</v>
      </c>
      <c r="N213" s="3" t="s">
        <v>55</v>
      </c>
      <c r="O213" s="3" t="s">
        <v>411</v>
      </c>
    </row>
    <row r="214" spans="1:15" hidden="1" x14ac:dyDescent="0.25">
      <c r="A214" s="3" t="s">
        <v>26</v>
      </c>
      <c r="B214" s="3" t="s">
        <v>27</v>
      </c>
      <c r="C214" s="4" t="s">
        <v>28</v>
      </c>
      <c r="D214" s="6">
        <v>46073</v>
      </c>
      <c r="F214" s="25">
        <f t="shared" si="6"/>
        <v>-7</v>
      </c>
      <c r="G214" s="35">
        <v>2</v>
      </c>
      <c r="H214" s="20">
        <f t="shared" si="7"/>
        <v>1704.8320884314235</v>
      </c>
      <c r="I214" s="26" t="s">
        <v>45</v>
      </c>
      <c r="J214" s="17">
        <v>851342</v>
      </c>
      <c r="K214" s="7" t="s">
        <v>46</v>
      </c>
      <c r="L214" s="3" t="s">
        <v>187</v>
      </c>
      <c r="M214" s="3" t="s">
        <v>412</v>
      </c>
      <c r="N214" s="3" t="s">
        <v>55</v>
      </c>
      <c r="O214" s="3" t="s">
        <v>413</v>
      </c>
    </row>
    <row r="215" spans="1:15" hidden="1" x14ac:dyDescent="0.25">
      <c r="A215" s="3" t="s">
        <v>26</v>
      </c>
      <c r="B215" s="3" t="s">
        <v>57</v>
      </c>
      <c r="C215" s="4" t="s">
        <v>44</v>
      </c>
      <c r="D215" s="6">
        <v>46073</v>
      </c>
      <c r="F215" s="25">
        <f t="shared" si="6"/>
        <v>-7</v>
      </c>
      <c r="G215" s="35">
        <v>2</v>
      </c>
      <c r="H215" s="20">
        <f t="shared" si="7"/>
        <v>759.86543044235736</v>
      </c>
      <c r="I215" s="26" t="s">
        <v>45</v>
      </c>
      <c r="J215" s="17">
        <v>379454</v>
      </c>
      <c r="K215" s="7" t="s">
        <v>46</v>
      </c>
      <c r="L215" s="3" t="s">
        <v>187</v>
      </c>
      <c r="M215" s="3" t="s">
        <v>414</v>
      </c>
      <c r="N215" s="3" t="s">
        <v>55</v>
      </c>
      <c r="O215" s="3" t="s">
        <v>415</v>
      </c>
    </row>
    <row r="216" spans="1:15" hidden="1" x14ac:dyDescent="0.25">
      <c r="A216" s="3" t="s">
        <v>26</v>
      </c>
      <c r="B216" s="3" t="s">
        <v>60</v>
      </c>
      <c r="C216" s="4" t="s">
        <v>36</v>
      </c>
      <c r="D216" s="6">
        <v>46073</v>
      </c>
      <c r="F216" s="25">
        <f t="shared" si="6"/>
        <v>-7</v>
      </c>
      <c r="G216" s="35">
        <v>2</v>
      </c>
      <c r="H216" s="20">
        <f t="shared" si="7"/>
        <v>446.91311051925425</v>
      </c>
      <c r="I216" s="26" t="s">
        <v>45</v>
      </c>
      <c r="J216" s="17">
        <v>223175</v>
      </c>
      <c r="K216" s="7" t="s">
        <v>46</v>
      </c>
      <c r="L216" s="3" t="s">
        <v>187</v>
      </c>
      <c r="M216" s="3" t="s">
        <v>416</v>
      </c>
      <c r="N216" s="3" t="s">
        <v>55</v>
      </c>
      <c r="O216" s="3" t="s">
        <v>417</v>
      </c>
    </row>
    <row r="217" spans="1:15" hidden="1" x14ac:dyDescent="0.25">
      <c r="A217" s="3" t="s">
        <v>26</v>
      </c>
      <c r="B217" s="3" t="s">
        <v>27</v>
      </c>
      <c r="C217" s="4" t="s">
        <v>28</v>
      </c>
      <c r="D217" s="6">
        <v>46073</v>
      </c>
      <c r="F217" s="25">
        <f t="shared" si="6"/>
        <v>-7</v>
      </c>
      <c r="G217" s="35">
        <v>2</v>
      </c>
      <c r="H217" s="20">
        <f t="shared" si="7"/>
        <v>754.66087269960144</v>
      </c>
      <c r="I217" s="26" t="s">
        <v>45</v>
      </c>
      <c r="J217" s="17">
        <v>376855</v>
      </c>
      <c r="K217" s="7" t="s">
        <v>46</v>
      </c>
      <c r="L217" s="3" t="s">
        <v>187</v>
      </c>
      <c r="M217" s="3" t="s">
        <v>418</v>
      </c>
      <c r="N217" s="3" t="s">
        <v>55</v>
      </c>
      <c r="O217" s="3" t="s">
        <v>419</v>
      </c>
    </row>
    <row r="218" spans="1:15" hidden="1" x14ac:dyDescent="0.25">
      <c r="A218" s="3" t="s">
        <v>26</v>
      </c>
      <c r="B218" s="3" t="s">
        <v>43</v>
      </c>
      <c r="C218" s="4" t="s">
        <v>44</v>
      </c>
      <c r="D218" s="6">
        <v>46073</v>
      </c>
      <c r="F218" s="25">
        <f t="shared" si="6"/>
        <v>-7</v>
      </c>
      <c r="G218" s="35">
        <v>2</v>
      </c>
      <c r="H218" s="20">
        <f t="shared" si="7"/>
        <v>768.67</v>
      </c>
      <c r="I218" s="26" t="s">
        <v>29</v>
      </c>
      <c r="J218" s="17">
        <v>768.67</v>
      </c>
      <c r="K218" s="7" t="s">
        <v>46</v>
      </c>
      <c r="L218" s="3" t="s">
        <v>237</v>
      </c>
      <c r="M218" s="3" t="s">
        <v>627</v>
      </c>
      <c r="N218" s="3" t="s">
        <v>239</v>
      </c>
      <c r="O218" s="3" t="s">
        <v>628</v>
      </c>
    </row>
    <row r="219" spans="1:15" hidden="1" x14ac:dyDescent="0.25">
      <c r="A219" s="3" t="s">
        <v>26</v>
      </c>
      <c r="B219" s="3" t="s">
        <v>67</v>
      </c>
      <c r="C219" s="4" t="s">
        <v>44</v>
      </c>
      <c r="D219" s="6">
        <v>46073</v>
      </c>
      <c r="F219" s="25">
        <f t="shared" si="6"/>
        <v>-7</v>
      </c>
      <c r="G219" s="35">
        <v>2</v>
      </c>
      <c r="H219" s="20">
        <f t="shared" si="7"/>
        <v>14.708532751266596</v>
      </c>
      <c r="I219" s="26" t="s">
        <v>45</v>
      </c>
      <c r="J219" s="17">
        <v>7345</v>
      </c>
      <c r="K219" s="7" t="s">
        <v>46</v>
      </c>
      <c r="L219" s="3" t="s">
        <v>148</v>
      </c>
      <c r="M219" s="3" t="s">
        <v>755</v>
      </c>
      <c r="N219" s="3" t="s">
        <v>65</v>
      </c>
      <c r="O219" s="3" t="s">
        <v>756</v>
      </c>
    </row>
    <row r="220" spans="1:15" hidden="1" x14ac:dyDescent="0.25">
      <c r="A220" s="3" t="s">
        <v>26</v>
      </c>
      <c r="B220" s="3" t="s">
        <v>60</v>
      </c>
      <c r="C220" s="4" t="s">
        <v>36</v>
      </c>
      <c r="D220" s="6">
        <v>46073</v>
      </c>
      <c r="F220" s="25">
        <f t="shared" si="6"/>
        <v>-7</v>
      </c>
      <c r="G220" s="35">
        <v>2</v>
      </c>
      <c r="H220" s="20">
        <f t="shared" si="7"/>
        <v>41.862747061297235</v>
      </c>
      <c r="I220" s="26" t="s">
        <v>45</v>
      </c>
      <c r="J220" s="17">
        <v>20905</v>
      </c>
      <c r="K220" s="7" t="s">
        <v>46</v>
      </c>
      <c r="L220" s="3" t="s">
        <v>148</v>
      </c>
      <c r="M220" s="3" t="s">
        <v>755</v>
      </c>
      <c r="N220" s="3" t="s">
        <v>65</v>
      </c>
      <c r="O220" s="3" t="s">
        <v>756</v>
      </c>
    </row>
    <row r="221" spans="1:15" hidden="1" x14ac:dyDescent="0.25">
      <c r="A221" s="3" t="s">
        <v>26</v>
      </c>
      <c r="B221" s="3" t="s">
        <v>81</v>
      </c>
      <c r="C221" s="4" t="s">
        <v>36</v>
      </c>
      <c r="D221" s="6">
        <v>46073</v>
      </c>
      <c r="F221" s="25">
        <f t="shared" si="6"/>
        <v>-7</v>
      </c>
      <c r="G221" s="35">
        <v>2</v>
      </c>
      <c r="H221" s="20">
        <f t="shared" si="7"/>
        <v>22.628511925025531</v>
      </c>
      <c r="I221" s="26" t="s">
        <v>45</v>
      </c>
      <c r="J221" s="17">
        <v>11300</v>
      </c>
      <c r="K221" s="7" t="s">
        <v>46</v>
      </c>
      <c r="L221" s="3" t="s">
        <v>148</v>
      </c>
      <c r="M221" s="3" t="s">
        <v>757</v>
      </c>
      <c r="N221" s="3" t="s">
        <v>65</v>
      </c>
      <c r="O221" s="3" t="s">
        <v>758</v>
      </c>
    </row>
    <row r="222" spans="1:15" hidden="1" x14ac:dyDescent="0.25">
      <c r="A222" s="3" t="s">
        <v>26</v>
      </c>
      <c r="B222" s="3" t="s">
        <v>67</v>
      </c>
      <c r="C222" s="4" t="s">
        <v>44</v>
      </c>
      <c r="D222" s="6">
        <v>46073</v>
      </c>
      <c r="F222" s="25">
        <f t="shared" si="6"/>
        <v>-7</v>
      </c>
      <c r="G222" s="35">
        <v>2</v>
      </c>
      <c r="H222" s="20">
        <f t="shared" si="7"/>
        <v>56.57127981256383</v>
      </c>
      <c r="I222" s="26" t="s">
        <v>45</v>
      </c>
      <c r="J222" s="17">
        <v>28250</v>
      </c>
      <c r="K222" s="7" t="s">
        <v>46</v>
      </c>
      <c r="L222" s="3" t="s">
        <v>148</v>
      </c>
      <c r="M222" s="3" t="s">
        <v>759</v>
      </c>
      <c r="N222" s="3" t="s">
        <v>65</v>
      </c>
      <c r="O222" s="3" t="s">
        <v>760</v>
      </c>
    </row>
    <row r="223" spans="1:15" hidden="1" x14ac:dyDescent="0.25">
      <c r="A223" s="3" t="s">
        <v>26</v>
      </c>
      <c r="B223" s="3" t="s">
        <v>60</v>
      </c>
      <c r="C223" s="4" t="s">
        <v>36</v>
      </c>
      <c r="D223" s="6">
        <v>46073</v>
      </c>
      <c r="F223" s="25">
        <f t="shared" si="6"/>
        <v>-7</v>
      </c>
      <c r="G223" s="35">
        <v>2</v>
      </c>
      <c r="H223" s="20">
        <f t="shared" si="7"/>
        <v>56.57127981256383</v>
      </c>
      <c r="I223" s="26" t="s">
        <v>45</v>
      </c>
      <c r="J223" s="17">
        <v>28250</v>
      </c>
      <c r="K223" s="7" t="s">
        <v>46</v>
      </c>
      <c r="L223" s="3" t="s">
        <v>148</v>
      </c>
      <c r="M223" s="3" t="s">
        <v>761</v>
      </c>
      <c r="N223" s="3" t="s">
        <v>65</v>
      </c>
      <c r="O223" s="3" t="s">
        <v>762</v>
      </c>
    </row>
    <row r="224" spans="1:15" hidden="1" x14ac:dyDescent="0.25">
      <c r="A224" s="3" t="s">
        <v>26</v>
      </c>
      <c r="B224" s="3" t="s">
        <v>81</v>
      </c>
      <c r="C224" s="4" t="s">
        <v>36</v>
      </c>
      <c r="D224" s="6">
        <v>46073</v>
      </c>
      <c r="F224" s="25">
        <f t="shared" si="6"/>
        <v>-7</v>
      </c>
      <c r="G224" s="35">
        <v>2</v>
      </c>
      <c r="H224" s="20">
        <f t="shared" si="7"/>
        <v>821.04251356709449</v>
      </c>
      <c r="I224" s="26" t="s">
        <v>45</v>
      </c>
      <c r="J224" s="17">
        <v>410004</v>
      </c>
      <c r="K224" s="7" t="s">
        <v>46</v>
      </c>
      <c r="L224" s="3" t="s">
        <v>317</v>
      </c>
      <c r="M224" s="3" t="s">
        <v>831</v>
      </c>
      <c r="N224" s="3" t="s">
        <v>174</v>
      </c>
      <c r="O224" s="3" t="s">
        <v>832</v>
      </c>
    </row>
    <row r="225" spans="1:15" hidden="1" x14ac:dyDescent="0.25">
      <c r="A225" s="3" t="s">
        <v>26</v>
      </c>
      <c r="B225" s="3" t="s">
        <v>81</v>
      </c>
      <c r="C225" s="4" t="s">
        <v>36</v>
      </c>
      <c r="D225" s="6">
        <v>46073</v>
      </c>
      <c r="F225" s="25">
        <f t="shared" si="6"/>
        <v>-7</v>
      </c>
      <c r="G225" s="35">
        <v>2</v>
      </c>
      <c r="H225" s="20">
        <f t="shared" si="7"/>
        <v>1632.3707871918618</v>
      </c>
      <c r="I225" s="26" t="s">
        <v>45</v>
      </c>
      <c r="J225" s="17">
        <v>815157</v>
      </c>
      <c r="K225" s="7" t="s">
        <v>46</v>
      </c>
      <c r="L225" s="3" t="s">
        <v>317</v>
      </c>
      <c r="M225" s="3" t="s">
        <v>833</v>
      </c>
      <c r="N225" s="3" t="s">
        <v>174</v>
      </c>
      <c r="O225" s="3" t="s">
        <v>834</v>
      </c>
    </row>
    <row r="226" spans="1:15" hidden="1" x14ac:dyDescent="0.25">
      <c r="A226" s="3" t="s">
        <v>26</v>
      </c>
      <c r="B226" s="3" t="s">
        <v>35</v>
      </c>
      <c r="C226" s="4" t="s">
        <v>36</v>
      </c>
      <c r="D226" s="6">
        <v>46073</v>
      </c>
      <c r="F226" s="25">
        <f t="shared" si="6"/>
        <v>-7</v>
      </c>
      <c r="G226" s="35">
        <v>2</v>
      </c>
      <c r="H226" s="20">
        <f t="shared" si="7"/>
        <v>278.57961030898929</v>
      </c>
      <c r="I226" s="26" t="s">
        <v>45</v>
      </c>
      <c r="J226" s="17">
        <v>139114.29999999999</v>
      </c>
      <c r="K226" s="7" t="s">
        <v>46</v>
      </c>
      <c r="L226" s="3" t="s">
        <v>63</v>
      </c>
      <c r="M226" s="3" t="s">
        <v>874</v>
      </c>
      <c r="N226" s="3" t="s">
        <v>65</v>
      </c>
      <c r="O226" s="3" t="s">
        <v>875</v>
      </c>
    </row>
    <row r="227" spans="1:15" hidden="1" x14ac:dyDescent="0.25">
      <c r="A227" s="3" t="s">
        <v>26</v>
      </c>
      <c r="B227" s="3" t="s">
        <v>60</v>
      </c>
      <c r="C227" s="4" t="s">
        <v>36</v>
      </c>
      <c r="D227" s="6">
        <v>46074</v>
      </c>
      <c r="E227" s="48"/>
      <c r="F227" s="25">
        <f t="shared" si="6"/>
        <v>-8</v>
      </c>
      <c r="G227" s="35">
        <v>2</v>
      </c>
      <c r="H227" s="20">
        <f t="shared" si="7"/>
        <v>371.21</v>
      </c>
      <c r="I227" s="26" t="s">
        <v>29</v>
      </c>
      <c r="J227" s="17">
        <v>371.21</v>
      </c>
      <c r="K227" s="7" t="s">
        <v>46</v>
      </c>
      <c r="L227" s="3" t="s">
        <v>420</v>
      </c>
      <c r="M227" s="3" t="s">
        <v>421</v>
      </c>
      <c r="N227" s="3" t="s">
        <v>422</v>
      </c>
      <c r="O227" s="3" t="s">
        <v>423</v>
      </c>
    </row>
    <row r="228" spans="1:15" hidden="1" x14ac:dyDescent="0.25">
      <c r="A228" s="3" t="s">
        <v>26</v>
      </c>
      <c r="B228" s="3" t="s">
        <v>60</v>
      </c>
      <c r="C228" s="4" t="s">
        <v>36</v>
      </c>
      <c r="D228" s="6">
        <v>46074</v>
      </c>
      <c r="F228" s="25">
        <f t="shared" si="6"/>
        <v>-8</v>
      </c>
      <c r="G228" s="35">
        <v>2</v>
      </c>
      <c r="H228" s="20">
        <f t="shared" si="7"/>
        <v>209.80359252658349</v>
      </c>
      <c r="I228" s="26" t="s">
        <v>45</v>
      </c>
      <c r="J228" s="17">
        <v>104769.62</v>
      </c>
      <c r="K228" s="7" t="s">
        <v>46</v>
      </c>
      <c r="L228" s="3" t="s">
        <v>133</v>
      </c>
      <c r="M228" s="3" t="s">
        <v>424</v>
      </c>
      <c r="N228" s="3" t="s">
        <v>65</v>
      </c>
      <c r="O228" s="3" t="s">
        <v>425</v>
      </c>
    </row>
    <row r="229" spans="1:15" hidden="1" x14ac:dyDescent="0.25">
      <c r="A229" s="3" t="s">
        <v>26</v>
      </c>
      <c r="B229" s="3" t="s">
        <v>60</v>
      </c>
      <c r="C229" s="4" t="s">
        <v>36</v>
      </c>
      <c r="D229" s="6">
        <v>46074</v>
      </c>
      <c r="F229" s="25">
        <f t="shared" si="6"/>
        <v>-8</v>
      </c>
      <c r="G229" s="35">
        <v>2</v>
      </c>
      <c r="H229" s="20">
        <f t="shared" si="7"/>
        <v>79.199791737589365</v>
      </c>
      <c r="I229" s="26" t="s">
        <v>45</v>
      </c>
      <c r="J229" s="17">
        <v>39550</v>
      </c>
      <c r="K229" s="7" t="s">
        <v>46</v>
      </c>
      <c r="L229" s="3" t="s">
        <v>133</v>
      </c>
      <c r="M229" s="3" t="s">
        <v>426</v>
      </c>
      <c r="N229" s="3" t="s">
        <v>65</v>
      </c>
      <c r="O229" s="3" t="s">
        <v>427</v>
      </c>
    </row>
    <row r="230" spans="1:15" hidden="1" x14ac:dyDescent="0.25">
      <c r="A230" s="3" t="s">
        <v>26</v>
      </c>
      <c r="B230" s="3" t="s">
        <v>67</v>
      </c>
      <c r="C230" s="4" t="s">
        <v>44</v>
      </c>
      <c r="D230" s="6">
        <v>46074</v>
      </c>
      <c r="F230" s="25">
        <f t="shared" si="6"/>
        <v>-8</v>
      </c>
      <c r="G230" s="35">
        <v>2</v>
      </c>
      <c r="H230" s="20">
        <f t="shared" si="7"/>
        <v>90.514047700102125</v>
      </c>
      <c r="I230" s="26" t="s">
        <v>45</v>
      </c>
      <c r="J230" s="17">
        <v>45200</v>
      </c>
      <c r="K230" s="7" t="s">
        <v>46</v>
      </c>
      <c r="L230" s="3" t="s">
        <v>133</v>
      </c>
      <c r="M230" s="3" t="s">
        <v>428</v>
      </c>
      <c r="N230" s="3" t="s">
        <v>65</v>
      </c>
      <c r="O230" s="3" t="s">
        <v>429</v>
      </c>
    </row>
    <row r="231" spans="1:15" hidden="1" x14ac:dyDescent="0.25">
      <c r="A231" s="3" t="s">
        <v>26</v>
      </c>
      <c r="B231" s="3" t="s">
        <v>67</v>
      </c>
      <c r="C231" s="4" t="s">
        <v>44</v>
      </c>
      <c r="D231" s="6">
        <v>46074</v>
      </c>
      <c r="F231" s="25">
        <f t="shared" si="6"/>
        <v>-8</v>
      </c>
      <c r="G231" s="35">
        <v>2</v>
      </c>
      <c r="H231" s="20">
        <f t="shared" si="7"/>
        <v>22.402226805775278</v>
      </c>
      <c r="I231" s="26" t="s">
        <v>45</v>
      </c>
      <c r="J231" s="17">
        <v>11187</v>
      </c>
      <c r="K231" s="7" t="s">
        <v>46</v>
      </c>
      <c r="L231" s="3" t="s">
        <v>133</v>
      </c>
      <c r="M231" s="3" t="s">
        <v>430</v>
      </c>
      <c r="N231" s="3" t="s">
        <v>65</v>
      </c>
      <c r="O231" s="3" t="s">
        <v>431</v>
      </c>
    </row>
    <row r="232" spans="1:15" hidden="1" x14ac:dyDescent="0.25">
      <c r="A232" s="3" t="s">
        <v>26</v>
      </c>
      <c r="B232" s="3" t="s">
        <v>81</v>
      </c>
      <c r="C232" s="4" t="s">
        <v>36</v>
      </c>
      <c r="D232" s="6">
        <v>46074</v>
      </c>
      <c r="F232" s="25">
        <f t="shared" si="6"/>
        <v>-8</v>
      </c>
      <c r="G232" s="35">
        <v>2</v>
      </c>
      <c r="H232" s="20">
        <f t="shared" si="7"/>
        <v>18.32909465927068</v>
      </c>
      <c r="I232" s="26" t="s">
        <v>45</v>
      </c>
      <c r="J232" s="17">
        <v>9153</v>
      </c>
      <c r="K232" s="7" t="s">
        <v>46</v>
      </c>
      <c r="L232" s="3" t="s">
        <v>133</v>
      </c>
      <c r="M232" s="3" t="s">
        <v>430</v>
      </c>
      <c r="N232" s="3" t="s">
        <v>65</v>
      </c>
      <c r="O232" s="3" t="s">
        <v>431</v>
      </c>
    </row>
    <row r="233" spans="1:15" hidden="1" x14ac:dyDescent="0.25">
      <c r="A233" s="3" t="s">
        <v>26</v>
      </c>
      <c r="B233" s="3" t="s">
        <v>60</v>
      </c>
      <c r="C233" s="4" t="s">
        <v>36</v>
      </c>
      <c r="D233" s="6">
        <v>46074</v>
      </c>
      <c r="F233" s="25">
        <f t="shared" si="6"/>
        <v>-8</v>
      </c>
      <c r="G233" s="35">
        <v>2</v>
      </c>
      <c r="H233" s="20">
        <f t="shared" si="7"/>
        <v>61.096982197568934</v>
      </c>
      <c r="I233" s="26" t="s">
        <v>45</v>
      </c>
      <c r="J233" s="17">
        <v>30510</v>
      </c>
      <c r="K233" s="7" t="s">
        <v>46</v>
      </c>
      <c r="L233" s="3" t="s">
        <v>133</v>
      </c>
      <c r="M233" s="3" t="s">
        <v>430</v>
      </c>
      <c r="N233" s="3" t="s">
        <v>65</v>
      </c>
      <c r="O233" s="3" t="s">
        <v>431</v>
      </c>
    </row>
    <row r="234" spans="1:15" hidden="1" x14ac:dyDescent="0.25">
      <c r="A234" s="3" t="s">
        <v>26</v>
      </c>
      <c r="B234" s="3" t="s">
        <v>74</v>
      </c>
      <c r="C234" s="4" t="s">
        <v>44</v>
      </c>
      <c r="D234" s="6">
        <v>46074</v>
      </c>
      <c r="F234" s="25">
        <f t="shared" si="6"/>
        <v>-8</v>
      </c>
      <c r="G234" s="35">
        <v>2</v>
      </c>
      <c r="H234" s="20">
        <f t="shared" si="7"/>
        <v>122.117007429361</v>
      </c>
      <c r="I234" s="26" t="s">
        <v>45</v>
      </c>
      <c r="J234" s="17">
        <v>60981.57</v>
      </c>
      <c r="K234" s="7" t="s">
        <v>46</v>
      </c>
      <c r="L234" s="3" t="s">
        <v>390</v>
      </c>
      <c r="M234" s="3" t="s">
        <v>432</v>
      </c>
      <c r="N234" s="3" t="s">
        <v>55</v>
      </c>
      <c r="O234" s="3" t="s">
        <v>433</v>
      </c>
    </row>
    <row r="235" spans="1:15" hidden="1" x14ac:dyDescent="0.25">
      <c r="A235" s="3" t="s">
        <v>26</v>
      </c>
      <c r="B235" s="3" t="s">
        <v>60</v>
      </c>
      <c r="C235" s="4" t="s">
        <v>36</v>
      </c>
      <c r="D235" s="6">
        <v>46074</v>
      </c>
      <c r="F235" s="25">
        <f t="shared" si="6"/>
        <v>-8</v>
      </c>
      <c r="G235" s="35">
        <v>2</v>
      </c>
      <c r="H235" s="20">
        <f t="shared" si="7"/>
        <v>395.5</v>
      </c>
      <c r="I235" s="26" t="s">
        <v>29</v>
      </c>
      <c r="J235" s="17">
        <v>395.5</v>
      </c>
      <c r="K235" s="7" t="s">
        <v>46</v>
      </c>
      <c r="L235" s="3" t="s">
        <v>259</v>
      </c>
      <c r="M235" s="3" t="s">
        <v>649</v>
      </c>
      <c r="N235" s="3" t="s">
        <v>65</v>
      </c>
      <c r="O235" s="3" t="s">
        <v>650</v>
      </c>
    </row>
    <row r="236" spans="1:15" hidden="1" x14ac:dyDescent="0.25">
      <c r="A236" s="3" t="s">
        <v>26</v>
      </c>
      <c r="B236" s="3" t="s">
        <v>43</v>
      </c>
      <c r="C236" s="4" t="s">
        <v>44</v>
      </c>
      <c r="D236" s="6">
        <v>46074</v>
      </c>
      <c r="F236" s="25">
        <f t="shared" si="6"/>
        <v>-8</v>
      </c>
      <c r="G236" s="35">
        <v>2</v>
      </c>
      <c r="H236" s="20">
        <f t="shared" si="7"/>
        <v>1498.3695456274907</v>
      </c>
      <c r="I236" s="26" t="s">
        <v>45</v>
      </c>
      <c r="J236" s="17">
        <v>748240.8</v>
      </c>
      <c r="K236" s="7" t="s">
        <v>46</v>
      </c>
      <c r="L236" s="3" t="s">
        <v>665</v>
      </c>
      <c r="M236" s="3" t="s">
        <v>666</v>
      </c>
      <c r="N236" s="3" t="s">
        <v>174</v>
      </c>
      <c r="O236" s="3" t="s">
        <v>667</v>
      </c>
    </row>
    <row r="237" spans="1:15" hidden="1" x14ac:dyDescent="0.25">
      <c r="A237" s="3" t="s">
        <v>26</v>
      </c>
      <c r="B237" s="3" t="s">
        <v>67</v>
      </c>
      <c r="C237" s="4" t="s">
        <v>44</v>
      </c>
      <c r="D237" s="6">
        <v>46074</v>
      </c>
      <c r="F237" s="25">
        <f t="shared" si="6"/>
        <v>-8</v>
      </c>
      <c r="G237" s="35">
        <v>2</v>
      </c>
      <c r="H237" s="20">
        <f t="shared" si="7"/>
        <v>214.97086328774256</v>
      </c>
      <c r="I237" s="26" t="s">
        <v>45</v>
      </c>
      <c r="J237" s="17">
        <v>107350</v>
      </c>
      <c r="K237" s="7" t="s">
        <v>46</v>
      </c>
      <c r="L237" s="3" t="s">
        <v>133</v>
      </c>
      <c r="M237" s="3" t="s">
        <v>682</v>
      </c>
      <c r="N237" s="3" t="s">
        <v>65</v>
      </c>
      <c r="O237" s="3" t="s">
        <v>683</v>
      </c>
    </row>
    <row r="238" spans="1:15" hidden="1" x14ac:dyDescent="0.25">
      <c r="A238" s="3" t="s">
        <v>26</v>
      </c>
      <c r="B238" s="3" t="s">
        <v>35</v>
      </c>
      <c r="C238" s="4" t="s">
        <v>36</v>
      </c>
      <c r="D238" s="6">
        <v>46074</v>
      </c>
      <c r="F238" s="25">
        <f t="shared" si="6"/>
        <v>-8</v>
      </c>
      <c r="G238" s="35">
        <v>2</v>
      </c>
      <c r="H238" s="20">
        <f t="shared" si="7"/>
        <v>147.08532751266597</v>
      </c>
      <c r="I238" s="26" t="s">
        <v>45</v>
      </c>
      <c r="J238" s="17">
        <v>73450</v>
      </c>
      <c r="K238" s="7" t="s">
        <v>46</v>
      </c>
      <c r="L238" s="3" t="s">
        <v>133</v>
      </c>
      <c r="M238" s="3" t="s">
        <v>684</v>
      </c>
      <c r="N238" s="3" t="s">
        <v>65</v>
      </c>
      <c r="O238" s="3" t="s">
        <v>685</v>
      </c>
    </row>
    <row r="239" spans="1:15" hidden="1" x14ac:dyDescent="0.25">
      <c r="A239" s="3" t="s">
        <v>26</v>
      </c>
      <c r="B239" s="3" t="s">
        <v>60</v>
      </c>
      <c r="C239" s="4" t="s">
        <v>36</v>
      </c>
      <c r="D239" s="6">
        <v>46074</v>
      </c>
      <c r="F239" s="25">
        <f t="shared" si="6"/>
        <v>-8</v>
      </c>
      <c r="G239" s="35">
        <v>2</v>
      </c>
      <c r="H239" s="20">
        <f t="shared" si="7"/>
        <v>214.97086328774256</v>
      </c>
      <c r="I239" s="26" t="s">
        <v>45</v>
      </c>
      <c r="J239" s="17">
        <v>107350</v>
      </c>
      <c r="K239" s="7" t="s">
        <v>46</v>
      </c>
      <c r="L239" s="3" t="s">
        <v>133</v>
      </c>
      <c r="M239" s="3" t="s">
        <v>686</v>
      </c>
      <c r="N239" s="3" t="s">
        <v>65</v>
      </c>
      <c r="O239" s="3" t="s">
        <v>687</v>
      </c>
    </row>
    <row r="240" spans="1:15" hidden="1" x14ac:dyDescent="0.25">
      <c r="A240" s="3" t="s">
        <v>26</v>
      </c>
      <c r="B240" s="3" t="s">
        <v>43</v>
      </c>
      <c r="C240" s="4" t="s">
        <v>44</v>
      </c>
      <c r="D240" s="6">
        <v>46074</v>
      </c>
      <c r="F240" s="25">
        <f t="shared" si="6"/>
        <v>-8</v>
      </c>
      <c r="G240" s="35">
        <v>2</v>
      </c>
      <c r="H240" s="20">
        <f t="shared" si="7"/>
        <v>118.62947313615155</v>
      </c>
      <c r="I240" s="26" t="s">
        <v>45</v>
      </c>
      <c r="J240" s="17">
        <v>59240</v>
      </c>
      <c r="K240" s="7" t="s">
        <v>46</v>
      </c>
      <c r="L240" s="3" t="s">
        <v>728</v>
      </c>
      <c r="M240" s="3" t="s">
        <v>729</v>
      </c>
      <c r="N240" s="3" t="s">
        <v>174</v>
      </c>
      <c r="O240" s="3" t="s">
        <v>730</v>
      </c>
    </row>
    <row r="241" spans="1:15" hidden="1" x14ac:dyDescent="0.25">
      <c r="A241" s="3" t="s">
        <v>26</v>
      </c>
      <c r="B241" s="3" t="s">
        <v>43</v>
      </c>
      <c r="C241" s="4" t="s">
        <v>44</v>
      </c>
      <c r="D241" s="6">
        <v>46074</v>
      </c>
      <c r="F241" s="25">
        <f t="shared" si="6"/>
        <v>-8</v>
      </c>
      <c r="G241" s="35">
        <v>2</v>
      </c>
      <c r="H241" s="20">
        <f t="shared" si="7"/>
        <v>910.79760498227768</v>
      </c>
      <c r="I241" s="26" t="s">
        <v>45</v>
      </c>
      <c r="J241" s="17">
        <v>454825</v>
      </c>
      <c r="K241" s="7" t="s">
        <v>46</v>
      </c>
      <c r="L241" s="3" t="s">
        <v>802</v>
      </c>
      <c r="M241" s="3" t="s">
        <v>803</v>
      </c>
      <c r="N241" s="3" t="s">
        <v>174</v>
      </c>
      <c r="O241" s="3" t="s">
        <v>804</v>
      </c>
    </row>
    <row r="242" spans="1:15" hidden="1" x14ac:dyDescent="0.25">
      <c r="A242" s="3" t="s">
        <v>26</v>
      </c>
      <c r="B242" s="3" t="s">
        <v>81</v>
      </c>
      <c r="C242" s="4" t="s">
        <v>36</v>
      </c>
      <c r="D242" s="6">
        <v>46074</v>
      </c>
      <c r="F242" s="25">
        <f t="shared" si="6"/>
        <v>-8</v>
      </c>
      <c r="G242" s="35">
        <v>2</v>
      </c>
      <c r="H242" s="20">
        <f t="shared" si="7"/>
        <v>176.46188197128382</v>
      </c>
      <c r="I242" s="26" t="s">
        <v>45</v>
      </c>
      <c r="J242" s="17">
        <v>88119.77</v>
      </c>
      <c r="K242" s="7" t="s">
        <v>46</v>
      </c>
      <c r="L242" s="3" t="s">
        <v>818</v>
      </c>
      <c r="M242" s="3" t="s">
        <v>819</v>
      </c>
      <c r="N242" s="3" t="s">
        <v>357</v>
      </c>
      <c r="O242" s="3" t="s">
        <v>820</v>
      </c>
    </row>
    <row r="243" spans="1:15" hidden="1" x14ac:dyDescent="0.25">
      <c r="A243" s="3" t="s">
        <v>26</v>
      </c>
      <c r="B243" s="3" t="s">
        <v>81</v>
      </c>
      <c r="C243" s="4" t="s">
        <v>36</v>
      </c>
      <c r="D243" s="6">
        <v>46074</v>
      </c>
      <c r="F243" s="25">
        <f t="shared" si="6"/>
        <v>-8</v>
      </c>
      <c r="G243" s="35">
        <v>2</v>
      </c>
      <c r="H243" s="20">
        <f t="shared" si="7"/>
        <v>203.6566073252298</v>
      </c>
      <c r="I243" s="26" t="s">
        <v>45</v>
      </c>
      <c r="J243" s="17">
        <v>101700</v>
      </c>
      <c r="K243" s="7" t="s">
        <v>46</v>
      </c>
      <c r="L243" s="3" t="s">
        <v>837</v>
      </c>
      <c r="M243" s="3" t="s">
        <v>838</v>
      </c>
      <c r="N243" s="3" t="s">
        <v>357</v>
      </c>
      <c r="O243" s="3" t="s">
        <v>839</v>
      </c>
    </row>
    <row r="244" spans="1:15" hidden="1" x14ac:dyDescent="0.25">
      <c r="A244" s="3" t="s">
        <v>26</v>
      </c>
      <c r="B244" s="3" t="s">
        <v>57</v>
      </c>
      <c r="C244" s="4" t="s">
        <v>44</v>
      </c>
      <c r="D244" s="6">
        <v>46075</v>
      </c>
      <c r="F244" s="25">
        <f t="shared" si="6"/>
        <v>-9</v>
      </c>
      <c r="G244" s="35">
        <v>2</v>
      </c>
      <c r="H244" s="20">
        <f t="shared" si="7"/>
        <v>471.24296613733304</v>
      </c>
      <c r="I244" s="26" t="s">
        <v>45</v>
      </c>
      <c r="J244" s="17">
        <v>235324.6</v>
      </c>
      <c r="K244" s="7" t="s">
        <v>46</v>
      </c>
      <c r="L244" s="3" t="s">
        <v>47</v>
      </c>
      <c r="M244" s="3" t="s">
        <v>434</v>
      </c>
      <c r="N244" s="3" t="s">
        <v>109</v>
      </c>
      <c r="O244" s="3" t="s">
        <v>435</v>
      </c>
    </row>
    <row r="245" spans="1:15" hidden="1" x14ac:dyDescent="0.25">
      <c r="A245" s="3" t="s">
        <v>26</v>
      </c>
      <c r="B245" s="3" t="s">
        <v>203</v>
      </c>
      <c r="C245" s="4" t="s">
        <v>44</v>
      </c>
      <c r="D245" s="6">
        <v>46075</v>
      </c>
      <c r="F245" s="58">
        <f t="shared" si="6"/>
        <v>-9</v>
      </c>
      <c r="G245" s="35">
        <v>2</v>
      </c>
      <c r="H245" s="60">
        <f t="shared" si="7"/>
        <v>813.6</v>
      </c>
      <c r="I245" s="59" t="s">
        <v>29</v>
      </c>
      <c r="J245" s="17">
        <v>813.6</v>
      </c>
      <c r="K245" s="61" t="s">
        <v>46</v>
      </c>
      <c r="L245" s="3" t="s">
        <v>204</v>
      </c>
      <c r="M245" s="3" t="s">
        <v>436</v>
      </c>
      <c r="N245" s="3" t="s">
        <v>55</v>
      </c>
      <c r="O245" s="3" t="s">
        <v>437</v>
      </c>
    </row>
    <row r="246" spans="1:15" hidden="1" x14ac:dyDescent="0.25">
      <c r="A246" s="3" t="s">
        <v>26</v>
      </c>
      <c r="B246" s="3" t="s">
        <v>67</v>
      </c>
      <c r="C246" s="4" t="s">
        <v>44</v>
      </c>
      <c r="D246" s="6">
        <v>46075</v>
      </c>
      <c r="F246" s="25">
        <f t="shared" si="6"/>
        <v>-9</v>
      </c>
      <c r="G246" s="35">
        <v>2</v>
      </c>
      <c r="H246" s="20">
        <f t="shared" si="7"/>
        <v>555.61653683641384</v>
      </c>
      <c r="I246" s="26" t="s">
        <v>45</v>
      </c>
      <c r="J246" s="17">
        <v>277458.23</v>
      </c>
      <c r="K246" s="7" t="s">
        <v>46</v>
      </c>
      <c r="L246" s="3" t="s">
        <v>53</v>
      </c>
      <c r="M246" s="3" t="s">
        <v>717</v>
      </c>
      <c r="N246" s="3" t="s">
        <v>55</v>
      </c>
      <c r="O246" s="3" t="s">
        <v>718</v>
      </c>
    </row>
    <row r="247" spans="1:15" hidden="1" x14ac:dyDescent="0.25">
      <c r="A247" s="3" t="s">
        <v>26</v>
      </c>
      <c r="B247" s="3" t="s">
        <v>43</v>
      </c>
      <c r="C247" s="4" t="s">
        <v>44</v>
      </c>
      <c r="D247" s="6">
        <v>46075</v>
      </c>
      <c r="F247" s="25">
        <f t="shared" si="6"/>
        <v>-9</v>
      </c>
      <c r="G247" s="35">
        <v>2</v>
      </c>
      <c r="H247" s="20">
        <f t="shared" si="7"/>
        <v>151.81432605082404</v>
      </c>
      <c r="I247" s="26" t="s">
        <v>45</v>
      </c>
      <c r="J247" s="17">
        <v>75811.520000000004</v>
      </c>
      <c r="K247" s="7" t="s">
        <v>46</v>
      </c>
      <c r="L247" s="3" t="s">
        <v>130</v>
      </c>
      <c r="M247" s="3" t="s">
        <v>722</v>
      </c>
      <c r="N247" s="3" t="s">
        <v>109</v>
      </c>
      <c r="O247" s="3" t="s">
        <v>723</v>
      </c>
    </row>
    <row r="248" spans="1:15" hidden="1" x14ac:dyDescent="0.25">
      <c r="A248" s="3" t="s">
        <v>26</v>
      </c>
      <c r="B248" s="3" t="s">
        <v>51</v>
      </c>
      <c r="C248" s="4" t="s">
        <v>52</v>
      </c>
      <c r="D248" s="6">
        <v>46075</v>
      </c>
      <c r="F248" s="25">
        <f t="shared" si="6"/>
        <v>-9</v>
      </c>
      <c r="G248" s="35">
        <v>2</v>
      </c>
      <c r="H248" s="20">
        <f t="shared" si="7"/>
        <v>42.767887538298254</v>
      </c>
      <c r="I248" s="26" t="s">
        <v>45</v>
      </c>
      <c r="J248" s="17">
        <v>21357</v>
      </c>
      <c r="K248" s="7" t="s">
        <v>46</v>
      </c>
      <c r="L248" s="3" t="s">
        <v>850</v>
      </c>
      <c r="M248" s="3" t="s">
        <v>851</v>
      </c>
      <c r="N248" s="3" t="s">
        <v>272</v>
      </c>
      <c r="O248" s="3" t="s">
        <v>852</v>
      </c>
    </row>
    <row r="249" spans="1:15" hidden="1" x14ac:dyDescent="0.25">
      <c r="A249" s="3" t="s">
        <v>26</v>
      </c>
      <c r="B249" s="3" t="s">
        <v>57</v>
      </c>
      <c r="C249" s="4" t="s">
        <v>44</v>
      </c>
      <c r="D249" s="6">
        <v>46075</v>
      </c>
      <c r="F249" s="25">
        <f t="shared" si="6"/>
        <v>-9</v>
      </c>
      <c r="G249" s="35">
        <v>2</v>
      </c>
      <c r="H249" s="20">
        <f t="shared" si="7"/>
        <v>42.767887538298254</v>
      </c>
      <c r="I249" s="26" t="s">
        <v>45</v>
      </c>
      <c r="J249" s="17">
        <v>21357</v>
      </c>
      <c r="K249" s="7" t="s">
        <v>46</v>
      </c>
      <c r="L249" s="3" t="s">
        <v>850</v>
      </c>
      <c r="M249" s="3" t="s">
        <v>851</v>
      </c>
      <c r="N249" s="3" t="s">
        <v>272</v>
      </c>
      <c r="O249" s="3" t="s">
        <v>853</v>
      </c>
    </row>
    <row r="250" spans="1:15" hidden="1" x14ac:dyDescent="0.25">
      <c r="A250" s="3" t="s">
        <v>26</v>
      </c>
      <c r="B250" s="3" t="s">
        <v>57</v>
      </c>
      <c r="C250" s="4" t="s">
        <v>44</v>
      </c>
      <c r="D250" s="6">
        <v>46075</v>
      </c>
      <c r="F250" s="25">
        <f t="shared" si="6"/>
        <v>-9</v>
      </c>
      <c r="G250" s="35">
        <v>2</v>
      </c>
      <c r="H250" s="20">
        <f t="shared" si="7"/>
        <v>156.81558764042694</v>
      </c>
      <c r="I250" s="26" t="s">
        <v>45</v>
      </c>
      <c r="J250" s="17">
        <v>78309</v>
      </c>
      <c r="K250" s="7" t="s">
        <v>46</v>
      </c>
      <c r="L250" s="3" t="s">
        <v>850</v>
      </c>
      <c r="M250" s="3" t="s">
        <v>851</v>
      </c>
      <c r="N250" s="3" t="s">
        <v>272</v>
      </c>
      <c r="O250" s="3" t="s">
        <v>854</v>
      </c>
    </row>
    <row r="251" spans="1:15" hidden="1" x14ac:dyDescent="0.25">
      <c r="A251" s="3" t="s">
        <v>26</v>
      </c>
      <c r="B251" s="3" t="s">
        <v>60</v>
      </c>
      <c r="C251" s="4" t="s">
        <v>36</v>
      </c>
      <c r="D251" s="6">
        <v>46075</v>
      </c>
      <c r="F251" s="25">
        <f t="shared" si="6"/>
        <v>-9</v>
      </c>
      <c r="G251" s="35">
        <v>2</v>
      </c>
      <c r="H251" s="20">
        <f t="shared" si="7"/>
        <v>114.04770010212869</v>
      </c>
      <c r="I251" s="26" t="s">
        <v>45</v>
      </c>
      <c r="J251" s="17">
        <v>56952</v>
      </c>
      <c r="K251" s="7" t="s">
        <v>46</v>
      </c>
      <c r="L251" s="3" t="s">
        <v>850</v>
      </c>
      <c r="M251" s="3" t="s">
        <v>851</v>
      </c>
      <c r="N251" s="3" t="s">
        <v>272</v>
      </c>
      <c r="O251" s="3" t="s">
        <v>855</v>
      </c>
    </row>
    <row r="252" spans="1:15" hidden="1" x14ac:dyDescent="0.25">
      <c r="A252" s="3" t="s">
        <v>26</v>
      </c>
      <c r="B252" s="3" t="s">
        <v>27</v>
      </c>
      <c r="C252" s="4" t="s">
        <v>28</v>
      </c>
      <c r="D252" s="6">
        <v>46075</v>
      </c>
      <c r="F252" s="25">
        <f t="shared" si="6"/>
        <v>-9</v>
      </c>
      <c r="G252" s="35">
        <v>2</v>
      </c>
      <c r="H252" s="20">
        <f t="shared" si="7"/>
        <v>142.55962512766087</v>
      </c>
      <c r="I252" s="26" t="s">
        <v>45</v>
      </c>
      <c r="J252" s="17">
        <v>71190</v>
      </c>
      <c r="K252" s="7" t="s">
        <v>46</v>
      </c>
      <c r="L252" s="3" t="s">
        <v>850</v>
      </c>
      <c r="M252" s="3" t="s">
        <v>851</v>
      </c>
      <c r="N252" s="3" t="s">
        <v>272</v>
      </c>
      <c r="O252" s="3" t="s">
        <v>856</v>
      </c>
    </row>
    <row r="253" spans="1:15" hidden="1" x14ac:dyDescent="0.25">
      <c r="A253" s="3" t="s">
        <v>26</v>
      </c>
      <c r="B253" s="3" t="s">
        <v>74</v>
      </c>
      <c r="C253" s="4" t="s">
        <v>44</v>
      </c>
      <c r="D253" s="6">
        <v>46075</v>
      </c>
      <c r="F253" s="25">
        <f t="shared" si="6"/>
        <v>-9</v>
      </c>
      <c r="G253" s="35">
        <v>2</v>
      </c>
      <c r="H253" s="20">
        <f t="shared" si="7"/>
        <v>14.255962512766086</v>
      </c>
      <c r="I253" s="26" t="s">
        <v>45</v>
      </c>
      <c r="J253" s="17">
        <v>7119</v>
      </c>
      <c r="K253" s="7" t="s">
        <v>46</v>
      </c>
      <c r="L253" s="3" t="s">
        <v>850</v>
      </c>
      <c r="M253" s="3" t="s">
        <v>851</v>
      </c>
      <c r="N253" s="3" t="s">
        <v>272</v>
      </c>
      <c r="O253" s="3" t="s">
        <v>857</v>
      </c>
    </row>
    <row r="254" spans="1:15" hidden="1" x14ac:dyDescent="0.25">
      <c r="A254" s="3" t="s">
        <v>26</v>
      </c>
      <c r="B254" s="3" t="s">
        <v>67</v>
      </c>
      <c r="C254" s="4" t="s">
        <v>44</v>
      </c>
      <c r="D254" s="6">
        <v>46075</v>
      </c>
      <c r="F254" s="25">
        <f t="shared" si="6"/>
        <v>-9</v>
      </c>
      <c r="G254" s="35">
        <v>2</v>
      </c>
      <c r="H254" s="20">
        <f t="shared" si="7"/>
        <v>114.04770010212869</v>
      </c>
      <c r="I254" s="26" t="s">
        <v>45</v>
      </c>
      <c r="J254" s="17">
        <v>56952</v>
      </c>
      <c r="K254" s="7" t="s">
        <v>46</v>
      </c>
      <c r="L254" s="3" t="s">
        <v>850</v>
      </c>
      <c r="M254" s="3" t="s">
        <v>851</v>
      </c>
      <c r="N254" s="3" t="s">
        <v>272</v>
      </c>
      <c r="O254" s="3" t="s">
        <v>858</v>
      </c>
    </row>
    <row r="255" spans="1:15" hidden="1" x14ac:dyDescent="0.25">
      <c r="A255" s="3" t="s">
        <v>26</v>
      </c>
      <c r="B255" s="3" t="s">
        <v>35</v>
      </c>
      <c r="C255" s="4" t="s">
        <v>36</v>
      </c>
      <c r="D255" s="6">
        <v>46075</v>
      </c>
      <c r="F255" s="25">
        <f t="shared" si="6"/>
        <v>-9</v>
      </c>
      <c r="G255" s="35">
        <v>2</v>
      </c>
      <c r="H255" s="20">
        <f t="shared" si="7"/>
        <v>85.535775076596508</v>
      </c>
      <c r="I255" s="26" t="s">
        <v>45</v>
      </c>
      <c r="J255" s="17">
        <v>42714</v>
      </c>
      <c r="K255" s="7" t="s">
        <v>46</v>
      </c>
      <c r="L255" s="3" t="s">
        <v>850</v>
      </c>
      <c r="M255" s="3" t="s">
        <v>851</v>
      </c>
      <c r="N255" s="3" t="s">
        <v>272</v>
      </c>
      <c r="O255" s="3" t="s">
        <v>859</v>
      </c>
    </row>
    <row r="256" spans="1:15" hidden="1" x14ac:dyDescent="0.25">
      <c r="A256" s="3" t="s">
        <v>26</v>
      </c>
      <c r="B256" s="3" t="s">
        <v>57</v>
      </c>
      <c r="C256" s="4" t="s">
        <v>44</v>
      </c>
      <c r="D256" s="6">
        <v>46075</v>
      </c>
      <c r="F256" s="25">
        <f t="shared" si="6"/>
        <v>-9</v>
      </c>
      <c r="G256" s="35">
        <v>2</v>
      </c>
      <c r="H256" s="20">
        <f t="shared" si="7"/>
        <v>71.279812563830433</v>
      </c>
      <c r="I256" s="26" t="s">
        <v>45</v>
      </c>
      <c r="J256" s="17">
        <v>35595</v>
      </c>
      <c r="K256" s="7" t="s">
        <v>46</v>
      </c>
      <c r="L256" s="3" t="s">
        <v>850</v>
      </c>
      <c r="M256" s="3" t="s">
        <v>860</v>
      </c>
      <c r="N256" s="3" t="s">
        <v>272</v>
      </c>
      <c r="O256" s="3" t="s">
        <v>861</v>
      </c>
    </row>
    <row r="257" spans="1:15" hidden="1" x14ac:dyDescent="0.25">
      <c r="A257" s="3" t="s">
        <v>26</v>
      </c>
      <c r="B257" s="3" t="s">
        <v>81</v>
      </c>
      <c r="C257" s="4" t="s">
        <v>36</v>
      </c>
      <c r="D257" s="6">
        <v>46075</v>
      </c>
      <c r="F257" s="25">
        <f t="shared" si="6"/>
        <v>-9</v>
      </c>
      <c r="G257" s="35">
        <v>2</v>
      </c>
      <c r="H257" s="20">
        <f t="shared" si="7"/>
        <v>28.511925025532172</v>
      </c>
      <c r="I257" s="26" t="s">
        <v>45</v>
      </c>
      <c r="J257" s="17">
        <v>14238</v>
      </c>
      <c r="K257" s="7" t="s">
        <v>46</v>
      </c>
      <c r="L257" s="3" t="s">
        <v>850</v>
      </c>
      <c r="M257" s="3" t="s">
        <v>860</v>
      </c>
      <c r="N257" s="3" t="s">
        <v>272</v>
      </c>
      <c r="O257" s="3" t="s">
        <v>862</v>
      </c>
    </row>
    <row r="258" spans="1:15" hidden="1" x14ac:dyDescent="0.25">
      <c r="A258" s="3" t="s">
        <v>26</v>
      </c>
      <c r="B258" s="3" t="s">
        <v>43</v>
      </c>
      <c r="C258" s="4" t="s">
        <v>44</v>
      </c>
      <c r="D258" s="6">
        <v>46075</v>
      </c>
      <c r="F258" s="25">
        <f t="shared" si="6"/>
        <v>-9</v>
      </c>
      <c r="G258" s="35">
        <v>2</v>
      </c>
      <c r="H258" s="20">
        <f t="shared" si="7"/>
        <v>42.767887538298254</v>
      </c>
      <c r="I258" s="26" t="s">
        <v>45</v>
      </c>
      <c r="J258" s="17">
        <v>21357</v>
      </c>
      <c r="K258" s="7" t="s">
        <v>46</v>
      </c>
      <c r="L258" s="3" t="s">
        <v>850</v>
      </c>
      <c r="M258" s="3" t="s">
        <v>860</v>
      </c>
      <c r="N258" s="3" t="s">
        <v>272</v>
      </c>
      <c r="O258" s="3" t="s">
        <v>863</v>
      </c>
    </row>
    <row r="259" spans="1:15" hidden="1" x14ac:dyDescent="0.25">
      <c r="A259" s="3" t="s">
        <v>26</v>
      </c>
      <c r="B259" s="3" t="s">
        <v>27</v>
      </c>
      <c r="C259" s="4" t="s">
        <v>28</v>
      </c>
      <c r="D259" s="6">
        <v>46075</v>
      </c>
      <c r="F259" s="25">
        <f t="shared" si="6"/>
        <v>-9</v>
      </c>
      <c r="G259" s="35">
        <v>2</v>
      </c>
      <c r="H259" s="20">
        <f t="shared" si="7"/>
        <v>171.07155015319302</v>
      </c>
      <c r="I259" s="26" t="s">
        <v>45</v>
      </c>
      <c r="J259" s="17">
        <v>85428</v>
      </c>
      <c r="K259" s="7" t="s">
        <v>46</v>
      </c>
      <c r="L259" s="3" t="s">
        <v>850</v>
      </c>
      <c r="M259" s="3" t="s">
        <v>860</v>
      </c>
      <c r="N259" s="3" t="s">
        <v>272</v>
      </c>
      <c r="O259" s="3" t="s">
        <v>864</v>
      </c>
    </row>
    <row r="260" spans="1:15" hidden="1" x14ac:dyDescent="0.25">
      <c r="A260" s="3" t="s">
        <v>26</v>
      </c>
      <c r="B260" s="3" t="s">
        <v>74</v>
      </c>
      <c r="C260" s="4" t="s">
        <v>44</v>
      </c>
      <c r="D260" s="6">
        <v>46075</v>
      </c>
      <c r="F260" s="25">
        <f t="shared" si="6"/>
        <v>-9</v>
      </c>
      <c r="G260" s="35">
        <v>2</v>
      </c>
      <c r="H260" s="20">
        <f t="shared" si="7"/>
        <v>14.255962512766086</v>
      </c>
      <c r="I260" s="26" t="s">
        <v>45</v>
      </c>
      <c r="J260" s="17">
        <v>7119</v>
      </c>
      <c r="K260" s="7" t="s">
        <v>46</v>
      </c>
      <c r="L260" s="3" t="s">
        <v>850</v>
      </c>
      <c r="M260" s="3" t="s">
        <v>860</v>
      </c>
      <c r="N260" s="3" t="s">
        <v>272</v>
      </c>
      <c r="O260" s="3" t="s">
        <v>865</v>
      </c>
    </row>
    <row r="261" spans="1:15" hidden="1" x14ac:dyDescent="0.25">
      <c r="A261" s="3" t="s">
        <v>26</v>
      </c>
      <c r="B261" s="3" t="s">
        <v>60</v>
      </c>
      <c r="C261" s="4" t="s">
        <v>36</v>
      </c>
      <c r="D261" s="6">
        <v>46075</v>
      </c>
      <c r="F261" s="25">
        <f t="shared" si="6"/>
        <v>-9</v>
      </c>
      <c r="G261" s="35">
        <v>2</v>
      </c>
      <c r="H261" s="20">
        <f t="shared" si="7"/>
        <v>201.55441856739492</v>
      </c>
      <c r="I261" s="26" t="s">
        <v>45</v>
      </c>
      <c r="J261" s="17">
        <v>100650.23</v>
      </c>
      <c r="K261" s="7" t="s">
        <v>46</v>
      </c>
      <c r="L261" s="3" t="s">
        <v>63</v>
      </c>
      <c r="M261" s="3" t="s">
        <v>876</v>
      </c>
      <c r="N261" s="3" t="s">
        <v>65</v>
      </c>
      <c r="O261" s="3" t="s">
        <v>877</v>
      </c>
    </row>
    <row r="262" spans="1:15" hidden="1" x14ac:dyDescent="0.25">
      <c r="A262" s="3" t="s">
        <v>26</v>
      </c>
      <c r="B262" s="3" t="s">
        <v>81</v>
      </c>
      <c r="C262" s="4" t="s">
        <v>36</v>
      </c>
      <c r="D262" s="6">
        <v>46075</v>
      </c>
      <c r="F262" s="25">
        <f t="shared" si="6"/>
        <v>-9</v>
      </c>
      <c r="G262" s="35">
        <v>2</v>
      </c>
      <c r="H262" s="20">
        <f t="shared" si="7"/>
        <v>246.84969061016881</v>
      </c>
      <c r="I262" s="26" t="s">
        <v>45</v>
      </c>
      <c r="J262" s="17">
        <v>123269.33</v>
      </c>
      <c r="K262" s="7" t="s">
        <v>46</v>
      </c>
      <c r="L262" s="3" t="s">
        <v>63</v>
      </c>
      <c r="M262" s="3" t="s">
        <v>878</v>
      </c>
      <c r="N262" s="3" t="s">
        <v>65</v>
      </c>
      <c r="O262" s="3" t="s">
        <v>879</v>
      </c>
    </row>
    <row r="263" spans="1:15" hidden="1" x14ac:dyDescent="0.25">
      <c r="A263" s="3" t="s">
        <v>26</v>
      </c>
      <c r="B263" s="3" t="s">
        <v>60</v>
      </c>
      <c r="C263" s="4" t="s">
        <v>36</v>
      </c>
      <c r="D263" s="6">
        <v>46077</v>
      </c>
      <c r="E263" s="48"/>
      <c r="F263" s="25">
        <f t="shared" ref="F263:F326" si="8">IF(D263=0,0,+F$4-D263)</f>
        <v>-11</v>
      </c>
      <c r="G263" s="35">
        <v>2</v>
      </c>
      <c r="H263" s="20">
        <f t="shared" ref="H263:H326" si="9">IF(I263="¢",IFERROR(J263/G$4,0),IF(I263="€",J263*J$4,J263))</f>
        <v>1352.61</v>
      </c>
      <c r="I263" s="26" t="s">
        <v>29</v>
      </c>
      <c r="J263" s="17">
        <v>1352.61</v>
      </c>
      <c r="K263" s="7" t="s">
        <v>46</v>
      </c>
      <c r="L263" s="3" t="s">
        <v>420</v>
      </c>
      <c r="M263" s="3" t="s">
        <v>438</v>
      </c>
      <c r="N263" s="3" t="s">
        <v>422</v>
      </c>
      <c r="O263" s="3" t="s">
        <v>439</v>
      </c>
    </row>
    <row r="264" spans="1:15" hidden="1" x14ac:dyDescent="0.25">
      <c r="A264" s="3" t="s">
        <v>26</v>
      </c>
      <c r="B264" s="3" t="s">
        <v>203</v>
      </c>
      <c r="C264" s="4" t="s">
        <v>44</v>
      </c>
      <c r="D264" s="6">
        <v>46078</v>
      </c>
      <c r="F264" s="25">
        <f t="shared" si="8"/>
        <v>-12</v>
      </c>
      <c r="G264" s="35">
        <v>2</v>
      </c>
      <c r="H264" s="60">
        <f t="shared" si="9"/>
        <v>65.212299999999999</v>
      </c>
      <c r="I264" s="59" t="s">
        <v>29</v>
      </c>
      <c r="J264" s="17">
        <v>65.212299999999999</v>
      </c>
      <c r="K264" s="61" t="s">
        <v>46</v>
      </c>
      <c r="L264" s="3" t="s">
        <v>440</v>
      </c>
      <c r="M264" s="3" t="s">
        <v>441</v>
      </c>
      <c r="N264" s="3" t="s">
        <v>239</v>
      </c>
      <c r="O264" s="3" t="s">
        <v>442</v>
      </c>
    </row>
    <row r="265" spans="1:15" hidden="1" x14ac:dyDescent="0.25">
      <c r="A265" s="3" t="s">
        <v>26</v>
      </c>
      <c r="B265" s="3" t="s">
        <v>51</v>
      </c>
      <c r="C265" s="4" t="s">
        <v>52</v>
      </c>
      <c r="D265" s="6">
        <v>46078</v>
      </c>
      <c r="F265" s="25">
        <f t="shared" si="8"/>
        <v>-12</v>
      </c>
      <c r="G265" s="35">
        <v>2</v>
      </c>
      <c r="H265" s="60">
        <f t="shared" si="9"/>
        <v>1.6385000000000001</v>
      </c>
      <c r="I265" s="59" t="s">
        <v>29</v>
      </c>
      <c r="J265" s="17">
        <v>1.6385000000000001</v>
      </c>
      <c r="K265" s="61" t="s">
        <v>46</v>
      </c>
      <c r="L265" s="3" t="s">
        <v>440</v>
      </c>
      <c r="M265" s="3" t="s">
        <v>441</v>
      </c>
      <c r="N265" s="3" t="s">
        <v>239</v>
      </c>
      <c r="O265" s="3" t="s">
        <v>442</v>
      </c>
    </row>
    <row r="266" spans="1:15" hidden="1" x14ac:dyDescent="0.25">
      <c r="A266" s="3" t="s">
        <v>26</v>
      </c>
      <c r="B266" s="3" t="s">
        <v>81</v>
      </c>
      <c r="C266" s="4" t="s">
        <v>36</v>
      </c>
      <c r="D266" s="6">
        <v>46078</v>
      </c>
      <c r="F266" s="25">
        <f t="shared" si="8"/>
        <v>-12</v>
      </c>
      <c r="G266" s="35">
        <v>2</v>
      </c>
      <c r="H266" s="60">
        <f t="shared" si="9"/>
        <v>527.1902</v>
      </c>
      <c r="I266" s="59" t="s">
        <v>29</v>
      </c>
      <c r="J266" s="17">
        <v>527.1902</v>
      </c>
      <c r="K266" s="61" t="s">
        <v>46</v>
      </c>
      <c r="L266" s="3" t="s">
        <v>440</v>
      </c>
      <c r="M266" s="3" t="s">
        <v>441</v>
      </c>
      <c r="N266" s="3" t="s">
        <v>239</v>
      </c>
      <c r="O266" s="3" t="s">
        <v>442</v>
      </c>
    </row>
    <row r="267" spans="1:15" hidden="1" x14ac:dyDescent="0.25">
      <c r="A267" s="3" t="s">
        <v>26</v>
      </c>
      <c r="B267" s="3" t="s">
        <v>43</v>
      </c>
      <c r="C267" s="4" t="s">
        <v>44</v>
      </c>
      <c r="D267" s="6">
        <v>46078</v>
      </c>
      <c r="F267" s="25">
        <f t="shared" si="8"/>
        <v>-12</v>
      </c>
      <c r="G267" s="35">
        <v>2</v>
      </c>
      <c r="H267" s="60">
        <f t="shared" si="9"/>
        <v>39.662999999999997</v>
      </c>
      <c r="I267" s="59" t="s">
        <v>29</v>
      </c>
      <c r="J267" s="17">
        <v>39.662999999999997</v>
      </c>
      <c r="K267" s="61" t="s">
        <v>46</v>
      </c>
      <c r="L267" s="3" t="s">
        <v>440</v>
      </c>
      <c r="M267" s="3" t="s">
        <v>441</v>
      </c>
      <c r="N267" s="3" t="s">
        <v>239</v>
      </c>
      <c r="O267" s="3" t="s">
        <v>442</v>
      </c>
    </row>
    <row r="268" spans="1:15" hidden="1" x14ac:dyDescent="0.25">
      <c r="A268" s="3" t="s">
        <v>26</v>
      </c>
      <c r="B268" s="3" t="s">
        <v>51</v>
      </c>
      <c r="C268" s="4" t="s">
        <v>52</v>
      </c>
      <c r="D268" s="6">
        <v>46078</v>
      </c>
      <c r="F268" s="25">
        <f t="shared" si="8"/>
        <v>-12</v>
      </c>
      <c r="G268" s="35">
        <v>2</v>
      </c>
      <c r="H268" s="60">
        <f t="shared" si="9"/>
        <v>82.0154</v>
      </c>
      <c r="I268" s="59" t="s">
        <v>29</v>
      </c>
      <c r="J268" s="17">
        <v>82.0154</v>
      </c>
      <c r="K268" s="61" t="s">
        <v>46</v>
      </c>
      <c r="L268" s="3" t="s">
        <v>440</v>
      </c>
      <c r="M268" s="3" t="s">
        <v>441</v>
      </c>
      <c r="N268" s="3" t="s">
        <v>239</v>
      </c>
      <c r="O268" s="3" t="s">
        <v>442</v>
      </c>
    </row>
    <row r="269" spans="1:15" hidden="1" x14ac:dyDescent="0.25">
      <c r="A269" s="3" t="s">
        <v>26</v>
      </c>
      <c r="B269" s="3" t="s">
        <v>27</v>
      </c>
      <c r="C269" s="4" t="s">
        <v>28</v>
      </c>
      <c r="D269" s="6">
        <v>46078</v>
      </c>
      <c r="F269" s="25">
        <f t="shared" si="8"/>
        <v>-12</v>
      </c>
      <c r="G269" s="35">
        <v>2</v>
      </c>
      <c r="H269" s="60">
        <f t="shared" si="9"/>
        <v>24.701799999999999</v>
      </c>
      <c r="I269" s="59" t="s">
        <v>29</v>
      </c>
      <c r="J269" s="17">
        <v>24.701799999999999</v>
      </c>
      <c r="K269" s="61" t="s">
        <v>46</v>
      </c>
      <c r="L269" s="3" t="s">
        <v>440</v>
      </c>
      <c r="M269" s="3" t="s">
        <v>441</v>
      </c>
      <c r="N269" s="3" t="s">
        <v>239</v>
      </c>
      <c r="O269" s="3" t="s">
        <v>442</v>
      </c>
    </row>
    <row r="270" spans="1:15" hidden="1" x14ac:dyDescent="0.25">
      <c r="A270" s="3" t="s">
        <v>26</v>
      </c>
      <c r="B270" s="3" t="s">
        <v>60</v>
      </c>
      <c r="C270" s="4" t="s">
        <v>36</v>
      </c>
      <c r="D270" s="6">
        <v>46078</v>
      </c>
      <c r="F270" s="25">
        <f t="shared" si="8"/>
        <v>-12</v>
      </c>
      <c r="G270" s="35">
        <v>2</v>
      </c>
      <c r="H270" s="60">
        <f t="shared" si="9"/>
        <v>36.442499999999995</v>
      </c>
      <c r="I270" s="59" t="s">
        <v>29</v>
      </c>
      <c r="J270" s="17">
        <v>36.442499999999995</v>
      </c>
      <c r="K270" s="61" t="s">
        <v>46</v>
      </c>
      <c r="L270" s="3" t="s">
        <v>440</v>
      </c>
      <c r="M270" s="3" t="s">
        <v>441</v>
      </c>
      <c r="N270" s="3" t="s">
        <v>239</v>
      </c>
      <c r="O270" s="3" t="s">
        <v>442</v>
      </c>
    </row>
    <row r="271" spans="1:15" hidden="1" x14ac:dyDescent="0.25">
      <c r="A271" s="3" t="s">
        <v>26</v>
      </c>
      <c r="B271" s="3" t="s">
        <v>35</v>
      </c>
      <c r="C271" s="4" t="s">
        <v>36</v>
      </c>
      <c r="D271" s="6">
        <v>46078</v>
      </c>
      <c r="F271" s="25">
        <f t="shared" si="8"/>
        <v>-12</v>
      </c>
      <c r="G271" s="35">
        <v>2</v>
      </c>
      <c r="H271" s="60">
        <f t="shared" si="9"/>
        <v>21.9785</v>
      </c>
      <c r="I271" s="59" t="s">
        <v>29</v>
      </c>
      <c r="J271" s="17">
        <v>21.9785</v>
      </c>
      <c r="K271" s="61" t="s">
        <v>46</v>
      </c>
      <c r="L271" s="3" t="s">
        <v>440</v>
      </c>
      <c r="M271" s="3" t="s">
        <v>441</v>
      </c>
      <c r="N271" s="3" t="s">
        <v>239</v>
      </c>
      <c r="O271" s="3" t="s">
        <v>442</v>
      </c>
    </row>
    <row r="272" spans="1:15" hidden="1" x14ac:dyDescent="0.25">
      <c r="A272" s="3" t="s">
        <v>26</v>
      </c>
      <c r="B272" s="3" t="s">
        <v>67</v>
      </c>
      <c r="C272" s="4" t="s">
        <v>44</v>
      </c>
      <c r="D272" s="6">
        <v>46078</v>
      </c>
      <c r="F272" s="25">
        <f t="shared" si="8"/>
        <v>-12</v>
      </c>
      <c r="G272" s="35">
        <v>2</v>
      </c>
      <c r="H272" s="60">
        <f t="shared" si="9"/>
        <v>141.12569999999999</v>
      </c>
      <c r="I272" s="59" t="s">
        <v>29</v>
      </c>
      <c r="J272" s="17">
        <v>141.12569999999999</v>
      </c>
      <c r="K272" s="61" t="s">
        <v>46</v>
      </c>
      <c r="L272" s="3" t="s">
        <v>440</v>
      </c>
      <c r="M272" s="3" t="s">
        <v>441</v>
      </c>
      <c r="N272" s="3" t="s">
        <v>239</v>
      </c>
      <c r="O272" s="3" t="s">
        <v>442</v>
      </c>
    </row>
    <row r="273" spans="1:15" hidden="1" x14ac:dyDescent="0.25">
      <c r="A273" s="3" t="s">
        <v>26</v>
      </c>
      <c r="B273" s="3" t="s">
        <v>51</v>
      </c>
      <c r="C273" s="4" t="s">
        <v>52</v>
      </c>
      <c r="D273" s="6">
        <v>46078</v>
      </c>
      <c r="F273" s="58">
        <f t="shared" si="8"/>
        <v>-12</v>
      </c>
      <c r="G273" s="35">
        <v>2</v>
      </c>
      <c r="H273" s="60">
        <f t="shared" si="9"/>
        <v>1.2543000000000002</v>
      </c>
      <c r="I273" s="59" t="s">
        <v>29</v>
      </c>
      <c r="J273" s="17">
        <v>1.2543000000000002</v>
      </c>
      <c r="K273" s="61" t="s">
        <v>46</v>
      </c>
      <c r="L273" s="3" t="s">
        <v>440</v>
      </c>
      <c r="M273" s="3" t="s">
        <v>441</v>
      </c>
      <c r="N273" s="3" t="s">
        <v>239</v>
      </c>
      <c r="O273" s="3" t="s">
        <v>442</v>
      </c>
    </row>
    <row r="274" spans="1:15" hidden="1" x14ac:dyDescent="0.25">
      <c r="A274" s="3" t="s">
        <v>26</v>
      </c>
      <c r="B274" s="3" t="s">
        <v>81</v>
      </c>
      <c r="C274" s="4" t="s">
        <v>36</v>
      </c>
      <c r="D274" s="6">
        <v>46078</v>
      </c>
      <c r="F274" s="25">
        <f t="shared" si="8"/>
        <v>-12</v>
      </c>
      <c r="G274" s="35">
        <v>2</v>
      </c>
      <c r="H274" s="20">
        <f t="shared" si="9"/>
        <v>650</v>
      </c>
      <c r="I274" s="26" t="s">
        <v>29</v>
      </c>
      <c r="J274" s="17">
        <v>650</v>
      </c>
      <c r="K274" s="7" t="s">
        <v>46</v>
      </c>
      <c r="L274" s="3" t="s">
        <v>259</v>
      </c>
      <c r="M274" s="3" t="s">
        <v>651</v>
      </c>
      <c r="N274" s="3" t="s">
        <v>65</v>
      </c>
      <c r="O274" s="3" t="s">
        <v>652</v>
      </c>
    </row>
    <row r="275" spans="1:15" hidden="1" x14ac:dyDescent="0.25">
      <c r="A275" s="3" t="s">
        <v>26</v>
      </c>
      <c r="B275" s="3" t="s">
        <v>81</v>
      </c>
      <c r="C275" s="4" t="s">
        <v>36</v>
      </c>
      <c r="D275" s="6">
        <v>46078</v>
      </c>
      <c r="F275" s="25">
        <f t="shared" si="8"/>
        <v>-12</v>
      </c>
      <c r="G275" s="35">
        <v>2</v>
      </c>
      <c r="H275" s="20">
        <f t="shared" si="9"/>
        <v>389.85</v>
      </c>
      <c r="I275" s="26" t="s">
        <v>29</v>
      </c>
      <c r="J275" s="17">
        <v>389.85</v>
      </c>
      <c r="K275" s="7" t="s">
        <v>46</v>
      </c>
      <c r="L275" s="3" t="s">
        <v>259</v>
      </c>
      <c r="M275" s="3" t="s">
        <v>653</v>
      </c>
      <c r="N275" s="3" t="s">
        <v>65</v>
      </c>
      <c r="O275" s="3" t="s">
        <v>654</v>
      </c>
    </row>
    <row r="276" spans="1:15" hidden="1" x14ac:dyDescent="0.25">
      <c r="A276" s="3" t="s">
        <v>26</v>
      </c>
      <c r="B276" s="3" t="s">
        <v>81</v>
      </c>
      <c r="C276" s="4" t="s">
        <v>36</v>
      </c>
      <c r="D276" s="6">
        <v>46078</v>
      </c>
      <c r="F276" s="25">
        <f t="shared" si="8"/>
        <v>-12</v>
      </c>
      <c r="G276" s="35">
        <v>2</v>
      </c>
      <c r="H276" s="20">
        <f t="shared" si="9"/>
        <v>1379.15</v>
      </c>
      <c r="I276" s="26" t="s">
        <v>29</v>
      </c>
      <c r="J276" s="17">
        <v>1379.15</v>
      </c>
      <c r="K276" s="7" t="s">
        <v>46</v>
      </c>
      <c r="L276" s="3" t="s">
        <v>259</v>
      </c>
      <c r="M276" s="3" t="s">
        <v>655</v>
      </c>
      <c r="N276" s="3" t="s">
        <v>65</v>
      </c>
      <c r="O276" s="3" t="s">
        <v>656</v>
      </c>
    </row>
    <row r="277" spans="1:15" hidden="1" x14ac:dyDescent="0.25">
      <c r="A277" s="3" t="s">
        <v>26</v>
      </c>
      <c r="B277" s="3" t="s">
        <v>81</v>
      </c>
      <c r="C277" s="4" t="s">
        <v>36</v>
      </c>
      <c r="D277" s="6">
        <v>46078</v>
      </c>
      <c r="F277" s="25">
        <f t="shared" si="8"/>
        <v>-12</v>
      </c>
      <c r="G277" s="35">
        <v>2</v>
      </c>
      <c r="H277" s="20">
        <f t="shared" si="9"/>
        <v>282.5</v>
      </c>
      <c r="I277" s="26" t="s">
        <v>29</v>
      </c>
      <c r="J277" s="17">
        <v>282.5</v>
      </c>
      <c r="K277" s="7" t="s">
        <v>46</v>
      </c>
      <c r="L277" s="3" t="s">
        <v>259</v>
      </c>
      <c r="M277" s="3" t="s">
        <v>657</v>
      </c>
      <c r="N277" s="3" t="s">
        <v>65</v>
      </c>
      <c r="O277" s="3" t="s">
        <v>658</v>
      </c>
    </row>
    <row r="278" spans="1:15" hidden="1" x14ac:dyDescent="0.25">
      <c r="A278" s="3" t="s">
        <v>26</v>
      </c>
      <c r="B278" s="3" t="s">
        <v>81</v>
      </c>
      <c r="C278" s="4" t="s">
        <v>36</v>
      </c>
      <c r="D278" s="6">
        <v>46078</v>
      </c>
      <c r="F278" s="25">
        <f t="shared" si="8"/>
        <v>-12</v>
      </c>
      <c r="G278" s="35">
        <v>2</v>
      </c>
      <c r="H278" s="20">
        <f t="shared" si="9"/>
        <v>169.71383943769149</v>
      </c>
      <c r="I278" s="26" t="s">
        <v>45</v>
      </c>
      <c r="J278" s="17">
        <v>84750</v>
      </c>
      <c r="K278" s="7" t="s">
        <v>46</v>
      </c>
      <c r="L278" s="3" t="s">
        <v>133</v>
      </c>
      <c r="M278" s="3" t="s">
        <v>688</v>
      </c>
      <c r="N278" s="3" t="s">
        <v>65</v>
      </c>
      <c r="O278" s="3" t="s">
        <v>689</v>
      </c>
    </row>
    <row r="279" spans="1:15" hidden="1" x14ac:dyDescent="0.25">
      <c r="A279" s="3" t="s">
        <v>26</v>
      </c>
      <c r="B279" s="3" t="s">
        <v>67</v>
      </c>
      <c r="C279" s="4" t="s">
        <v>44</v>
      </c>
      <c r="D279" s="6">
        <v>46078</v>
      </c>
      <c r="F279" s="25">
        <f t="shared" si="8"/>
        <v>-12</v>
      </c>
      <c r="G279" s="35">
        <v>2</v>
      </c>
      <c r="H279" s="20">
        <f t="shared" si="9"/>
        <v>90.514047700102125</v>
      </c>
      <c r="I279" s="26" t="s">
        <v>45</v>
      </c>
      <c r="J279" s="17">
        <v>45200</v>
      </c>
      <c r="K279" s="7" t="s">
        <v>46</v>
      </c>
      <c r="L279" s="3" t="s">
        <v>133</v>
      </c>
      <c r="M279" s="3" t="s">
        <v>690</v>
      </c>
      <c r="N279" s="3" t="s">
        <v>65</v>
      </c>
      <c r="O279" s="3" t="s">
        <v>691</v>
      </c>
    </row>
    <row r="280" spans="1:15" hidden="1" x14ac:dyDescent="0.25">
      <c r="A280" s="3" t="s">
        <v>26</v>
      </c>
      <c r="B280" s="3" t="s">
        <v>67</v>
      </c>
      <c r="C280" s="4" t="s">
        <v>44</v>
      </c>
      <c r="D280" s="6">
        <v>46078</v>
      </c>
      <c r="F280" s="25">
        <f t="shared" si="8"/>
        <v>-12</v>
      </c>
      <c r="G280" s="35">
        <v>2</v>
      </c>
      <c r="H280" s="20">
        <f t="shared" si="9"/>
        <v>101.8283036626149</v>
      </c>
      <c r="I280" s="26" t="s">
        <v>45</v>
      </c>
      <c r="J280" s="17">
        <v>50850</v>
      </c>
      <c r="K280" s="7" t="s">
        <v>46</v>
      </c>
      <c r="L280" s="3" t="s">
        <v>133</v>
      </c>
      <c r="M280" s="3" t="s">
        <v>692</v>
      </c>
      <c r="N280" s="3" t="s">
        <v>65</v>
      </c>
      <c r="O280" s="3" t="s">
        <v>693</v>
      </c>
    </row>
    <row r="281" spans="1:15" hidden="1" x14ac:dyDescent="0.25">
      <c r="A281" s="3" t="s">
        <v>26</v>
      </c>
      <c r="B281" s="3" t="s">
        <v>35</v>
      </c>
      <c r="C281" s="4" t="s">
        <v>36</v>
      </c>
      <c r="D281" s="6">
        <v>46078</v>
      </c>
      <c r="F281" s="25">
        <f t="shared" si="8"/>
        <v>-12</v>
      </c>
      <c r="G281" s="35">
        <v>2</v>
      </c>
      <c r="H281" s="20">
        <f t="shared" si="9"/>
        <v>147.08532751266597</v>
      </c>
      <c r="I281" s="26" t="s">
        <v>45</v>
      </c>
      <c r="J281" s="17">
        <v>73450</v>
      </c>
      <c r="K281" s="7" t="s">
        <v>46</v>
      </c>
      <c r="L281" s="3" t="s">
        <v>133</v>
      </c>
      <c r="M281" s="3" t="s">
        <v>694</v>
      </c>
      <c r="N281" s="3" t="s">
        <v>65</v>
      </c>
      <c r="O281" s="3" t="s">
        <v>695</v>
      </c>
    </row>
    <row r="282" spans="1:15" hidden="1" x14ac:dyDescent="0.25">
      <c r="A282" s="3" t="s">
        <v>26</v>
      </c>
      <c r="B282" s="3" t="s">
        <v>81</v>
      </c>
      <c r="C282" s="4" t="s">
        <v>36</v>
      </c>
      <c r="D282" s="6">
        <v>46078</v>
      </c>
      <c r="F282" s="25">
        <f t="shared" si="8"/>
        <v>-12</v>
      </c>
      <c r="G282" s="35">
        <v>2</v>
      </c>
      <c r="H282" s="20">
        <f t="shared" si="9"/>
        <v>299.99593487794618</v>
      </c>
      <c r="I282" s="26" t="s">
        <v>45</v>
      </c>
      <c r="J282" s="17">
        <v>149808.97</v>
      </c>
      <c r="K282" s="7" t="s">
        <v>46</v>
      </c>
      <c r="L282" s="3" t="s">
        <v>130</v>
      </c>
      <c r="M282" s="3" t="s">
        <v>726</v>
      </c>
      <c r="N282" s="3" t="s">
        <v>109</v>
      </c>
      <c r="O282" s="3" t="s">
        <v>727</v>
      </c>
    </row>
    <row r="283" spans="1:15" hidden="1" x14ac:dyDescent="0.25">
      <c r="A283" s="3" t="s">
        <v>26</v>
      </c>
      <c r="B283" s="3" t="s">
        <v>67</v>
      </c>
      <c r="C283" s="4" t="s">
        <v>44</v>
      </c>
      <c r="D283" s="6">
        <v>46078</v>
      </c>
      <c r="F283" s="25">
        <f t="shared" si="8"/>
        <v>-12</v>
      </c>
      <c r="G283" s="35">
        <v>2</v>
      </c>
      <c r="H283" s="20">
        <f t="shared" si="9"/>
        <v>56.57127981256383</v>
      </c>
      <c r="I283" s="26" t="s">
        <v>45</v>
      </c>
      <c r="J283" s="17">
        <v>28250</v>
      </c>
      <c r="K283" s="7" t="s">
        <v>46</v>
      </c>
      <c r="L283" s="3" t="s">
        <v>148</v>
      </c>
      <c r="M283" s="3" t="s">
        <v>763</v>
      </c>
      <c r="N283" s="3" t="s">
        <v>65</v>
      </c>
      <c r="O283" s="3" t="s">
        <v>764</v>
      </c>
    </row>
    <row r="284" spans="1:15" hidden="1" x14ac:dyDescent="0.25">
      <c r="A284" s="3" t="s">
        <v>26</v>
      </c>
      <c r="B284" s="3" t="s">
        <v>81</v>
      </c>
      <c r="C284" s="4" t="s">
        <v>36</v>
      </c>
      <c r="D284" s="6">
        <v>46078</v>
      </c>
      <c r="F284" s="25">
        <f t="shared" si="8"/>
        <v>-12</v>
      </c>
      <c r="G284" s="35">
        <v>2</v>
      </c>
      <c r="H284" s="20">
        <f t="shared" si="9"/>
        <v>56.57127981256383</v>
      </c>
      <c r="I284" s="26" t="s">
        <v>45</v>
      </c>
      <c r="J284" s="17">
        <v>28250</v>
      </c>
      <c r="K284" s="7" t="s">
        <v>46</v>
      </c>
      <c r="L284" s="3" t="s">
        <v>148</v>
      </c>
      <c r="M284" s="3" t="s">
        <v>765</v>
      </c>
      <c r="N284" s="3" t="s">
        <v>65</v>
      </c>
      <c r="O284" s="3" t="s">
        <v>766</v>
      </c>
    </row>
    <row r="285" spans="1:15" hidden="1" x14ac:dyDescent="0.25">
      <c r="A285" s="3" t="s">
        <v>26</v>
      </c>
      <c r="B285" s="3" t="s">
        <v>67</v>
      </c>
      <c r="C285" s="4" t="s">
        <v>44</v>
      </c>
      <c r="D285" s="6">
        <v>46078</v>
      </c>
      <c r="F285" s="25">
        <f t="shared" si="8"/>
        <v>-12</v>
      </c>
      <c r="G285" s="35">
        <v>2</v>
      </c>
      <c r="H285" s="20">
        <f t="shared" si="9"/>
        <v>56.57127981256383</v>
      </c>
      <c r="I285" s="26" t="s">
        <v>45</v>
      </c>
      <c r="J285" s="17">
        <v>28250</v>
      </c>
      <c r="K285" s="7" t="s">
        <v>46</v>
      </c>
      <c r="L285" s="3" t="s">
        <v>148</v>
      </c>
      <c r="M285" s="3" t="s">
        <v>767</v>
      </c>
      <c r="N285" s="3" t="s">
        <v>65</v>
      </c>
      <c r="O285" s="3" t="s">
        <v>768</v>
      </c>
    </row>
    <row r="286" spans="1:15" hidden="1" x14ac:dyDescent="0.25">
      <c r="A286" s="3" t="s">
        <v>26</v>
      </c>
      <c r="B286" s="3" t="s">
        <v>81</v>
      </c>
      <c r="C286" s="4" t="s">
        <v>36</v>
      </c>
      <c r="D286" s="6">
        <v>46078</v>
      </c>
      <c r="F286" s="25">
        <f t="shared" si="8"/>
        <v>-12</v>
      </c>
      <c r="G286" s="35">
        <v>2</v>
      </c>
      <c r="H286" s="20">
        <f t="shared" si="9"/>
        <v>842.91206920720106</v>
      </c>
      <c r="I286" s="26" t="s">
        <v>45</v>
      </c>
      <c r="J286" s="17">
        <v>420925</v>
      </c>
      <c r="K286" s="7" t="s">
        <v>46</v>
      </c>
      <c r="L286" s="3" t="s">
        <v>797</v>
      </c>
      <c r="M286" s="3" t="s">
        <v>800</v>
      </c>
      <c r="N286" s="3" t="s">
        <v>357</v>
      </c>
      <c r="O286" s="3" t="s">
        <v>801</v>
      </c>
    </row>
    <row r="287" spans="1:15" hidden="1" x14ac:dyDescent="0.25">
      <c r="A287" s="3" t="s">
        <v>26</v>
      </c>
      <c r="B287" s="3" t="s">
        <v>81</v>
      </c>
      <c r="C287" s="4" t="s">
        <v>36</v>
      </c>
      <c r="D287" s="6">
        <v>46078</v>
      </c>
      <c r="F287" s="25">
        <f t="shared" si="8"/>
        <v>-12</v>
      </c>
      <c r="G287" s="35">
        <v>2</v>
      </c>
      <c r="H287" s="20">
        <f t="shared" si="9"/>
        <v>158.80022828764245</v>
      </c>
      <c r="I287" s="26" t="s">
        <v>45</v>
      </c>
      <c r="J287" s="17">
        <v>79300.070000000007</v>
      </c>
      <c r="K287" s="7" t="s">
        <v>46</v>
      </c>
      <c r="L287" s="3" t="s">
        <v>253</v>
      </c>
      <c r="M287" s="3" t="s">
        <v>866</v>
      </c>
      <c r="N287" s="3" t="s">
        <v>109</v>
      </c>
      <c r="O287" s="3" t="s">
        <v>867</v>
      </c>
    </row>
    <row r="288" spans="1:15" hidden="1" x14ac:dyDescent="0.25">
      <c r="A288" s="3" t="s">
        <v>26</v>
      </c>
      <c r="B288" s="3" t="s">
        <v>35</v>
      </c>
      <c r="C288" s="4" t="s">
        <v>36</v>
      </c>
      <c r="D288" s="6">
        <v>46078</v>
      </c>
      <c r="F288" s="25">
        <f t="shared" si="8"/>
        <v>-12</v>
      </c>
      <c r="G288" s="35">
        <v>2</v>
      </c>
      <c r="H288" s="20">
        <f t="shared" si="9"/>
        <v>282.98085587840677</v>
      </c>
      <c r="I288" s="26" t="s">
        <v>45</v>
      </c>
      <c r="J288" s="17">
        <v>141312.15</v>
      </c>
      <c r="K288" s="7" t="s">
        <v>46</v>
      </c>
      <c r="L288" s="3" t="s">
        <v>63</v>
      </c>
      <c r="M288" s="3" t="s">
        <v>880</v>
      </c>
      <c r="N288" s="3" t="s">
        <v>65</v>
      </c>
      <c r="O288" s="3" t="s">
        <v>881</v>
      </c>
    </row>
    <row r="289" spans="1:15" hidden="1" x14ac:dyDescent="0.25">
      <c r="A289" s="3" t="s">
        <v>26</v>
      </c>
      <c r="B289" s="3" t="s">
        <v>35</v>
      </c>
      <c r="C289" s="4" t="s">
        <v>36</v>
      </c>
      <c r="D289" s="6">
        <v>46078</v>
      </c>
      <c r="F289" s="25">
        <f t="shared" si="8"/>
        <v>-12</v>
      </c>
      <c r="G289" s="35">
        <v>2</v>
      </c>
      <c r="H289" s="20">
        <f t="shared" si="9"/>
        <v>283.30896930131968</v>
      </c>
      <c r="I289" s="26" t="s">
        <v>45</v>
      </c>
      <c r="J289" s="17">
        <v>141476</v>
      </c>
      <c r="K289" s="7" t="s">
        <v>46</v>
      </c>
      <c r="L289" s="3" t="s">
        <v>63</v>
      </c>
      <c r="M289" s="3" t="s">
        <v>882</v>
      </c>
      <c r="N289" s="3" t="s">
        <v>65</v>
      </c>
      <c r="O289" s="3" t="s">
        <v>883</v>
      </c>
    </row>
    <row r="290" spans="1:15" hidden="1" x14ac:dyDescent="0.25">
      <c r="A290" s="3" t="s">
        <v>26</v>
      </c>
      <c r="B290" s="3" t="s">
        <v>43</v>
      </c>
      <c r="C290" s="4" t="s">
        <v>44</v>
      </c>
      <c r="D290" s="6">
        <v>46079</v>
      </c>
      <c r="F290" s="25">
        <f t="shared" si="8"/>
        <v>-13</v>
      </c>
      <c r="G290" s="35">
        <v>2</v>
      </c>
      <c r="H290" s="20">
        <f t="shared" si="9"/>
        <v>1289.2593467769389</v>
      </c>
      <c r="I290" s="26" t="s">
        <v>45</v>
      </c>
      <c r="J290" s="17">
        <v>643817.43999999994</v>
      </c>
      <c r="K290" s="7" t="s">
        <v>46</v>
      </c>
      <c r="L290" s="3" t="s">
        <v>443</v>
      </c>
      <c r="M290" s="3" t="s">
        <v>444</v>
      </c>
      <c r="N290" s="3" t="s">
        <v>174</v>
      </c>
      <c r="O290" s="3" t="s">
        <v>445</v>
      </c>
    </row>
    <row r="291" spans="1:15" hidden="1" x14ac:dyDescent="0.25">
      <c r="A291" s="3" t="s">
        <v>26</v>
      </c>
      <c r="B291" s="3" t="s">
        <v>81</v>
      </c>
      <c r="C291" s="4" t="s">
        <v>36</v>
      </c>
      <c r="D291" s="6">
        <v>46079</v>
      </c>
      <c r="F291" s="25">
        <f t="shared" si="8"/>
        <v>-13</v>
      </c>
      <c r="G291" s="35">
        <v>2</v>
      </c>
      <c r="H291" s="20">
        <f t="shared" si="9"/>
        <v>322.45629493161385</v>
      </c>
      <c r="I291" s="26" t="s">
        <v>45</v>
      </c>
      <c r="J291" s="17">
        <v>161025</v>
      </c>
      <c r="K291" s="7" t="s">
        <v>46</v>
      </c>
      <c r="L291" s="3" t="s">
        <v>783</v>
      </c>
      <c r="M291" s="3" t="s">
        <v>784</v>
      </c>
      <c r="N291" s="3" t="s">
        <v>174</v>
      </c>
      <c r="O291" s="3" t="s">
        <v>785</v>
      </c>
    </row>
    <row r="292" spans="1:15" hidden="1" x14ac:dyDescent="0.25">
      <c r="A292" s="3" t="s">
        <v>26</v>
      </c>
      <c r="B292" s="3" t="s">
        <v>27</v>
      </c>
      <c r="C292" s="4" t="s">
        <v>28</v>
      </c>
      <c r="D292" s="6">
        <v>46079</v>
      </c>
      <c r="F292" s="25">
        <f t="shared" si="8"/>
        <v>-13</v>
      </c>
      <c r="G292" s="35">
        <v>2</v>
      </c>
      <c r="H292" s="20">
        <f t="shared" si="9"/>
        <v>332.92198169693813</v>
      </c>
      <c r="I292" s="26" t="s">
        <v>45</v>
      </c>
      <c r="J292" s="17">
        <v>166251.25</v>
      </c>
      <c r="K292" s="7" t="s">
        <v>46</v>
      </c>
      <c r="L292" s="3" t="s">
        <v>70</v>
      </c>
      <c r="M292" s="3" t="s">
        <v>786</v>
      </c>
      <c r="N292" s="3" t="s">
        <v>65</v>
      </c>
      <c r="O292" s="3" t="s">
        <v>787</v>
      </c>
    </row>
    <row r="293" spans="1:15" hidden="1" x14ac:dyDescent="0.25">
      <c r="A293" s="3" t="s">
        <v>26</v>
      </c>
      <c r="B293" s="3" t="s">
        <v>81</v>
      </c>
      <c r="C293" s="4" t="s">
        <v>36</v>
      </c>
      <c r="D293" s="6">
        <v>46079</v>
      </c>
      <c r="F293" s="25">
        <f t="shared" si="8"/>
        <v>-13</v>
      </c>
      <c r="G293" s="35">
        <v>2</v>
      </c>
      <c r="H293" s="20">
        <f t="shared" si="9"/>
        <v>44.125598253799787</v>
      </c>
      <c r="I293" s="26" t="s">
        <v>45</v>
      </c>
      <c r="J293" s="17">
        <v>22035</v>
      </c>
      <c r="K293" s="7" t="s">
        <v>46</v>
      </c>
      <c r="L293" s="3" t="s">
        <v>797</v>
      </c>
      <c r="M293" s="3" t="s">
        <v>798</v>
      </c>
      <c r="N293" s="3" t="s">
        <v>357</v>
      </c>
      <c r="O293" s="3" t="s">
        <v>799</v>
      </c>
    </row>
    <row r="294" spans="1:15" hidden="1" x14ac:dyDescent="0.25">
      <c r="A294" s="3" t="s">
        <v>26</v>
      </c>
      <c r="B294" s="3" t="s">
        <v>43</v>
      </c>
      <c r="C294" s="4" t="s">
        <v>44</v>
      </c>
      <c r="D294" s="6">
        <v>46079</v>
      </c>
      <c r="F294" s="25">
        <f t="shared" si="8"/>
        <v>-13</v>
      </c>
      <c r="G294" s="35">
        <v>2</v>
      </c>
      <c r="H294" s="20">
        <f t="shared" si="9"/>
        <v>23.307367282776298</v>
      </c>
      <c r="I294" s="26" t="s">
        <v>45</v>
      </c>
      <c r="J294" s="17">
        <v>11639</v>
      </c>
      <c r="K294" s="7" t="s">
        <v>46</v>
      </c>
      <c r="L294" s="3" t="s">
        <v>805</v>
      </c>
      <c r="M294" s="3" t="s">
        <v>806</v>
      </c>
      <c r="N294" s="3" t="s">
        <v>109</v>
      </c>
      <c r="O294" s="3" t="s">
        <v>807</v>
      </c>
    </row>
    <row r="295" spans="1:15" hidden="1" x14ac:dyDescent="0.25">
      <c r="A295" s="3" t="s">
        <v>26</v>
      </c>
      <c r="B295" s="3" t="s">
        <v>35</v>
      </c>
      <c r="C295" s="4" t="s">
        <v>36</v>
      </c>
      <c r="D295" s="6">
        <v>46079</v>
      </c>
      <c r="F295" s="25">
        <f t="shared" si="8"/>
        <v>-13</v>
      </c>
      <c r="G295" s="35">
        <v>2</v>
      </c>
      <c r="H295" s="20">
        <f t="shared" si="9"/>
        <v>211.0721509101468</v>
      </c>
      <c r="I295" s="26" t="s">
        <v>45</v>
      </c>
      <c r="J295" s="17">
        <v>105403.1</v>
      </c>
      <c r="K295" s="7" t="s">
        <v>46</v>
      </c>
      <c r="L295" s="3" t="s">
        <v>325</v>
      </c>
      <c r="M295" s="3" t="s">
        <v>810</v>
      </c>
      <c r="N295" s="3" t="s">
        <v>174</v>
      </c>
      <c r="O295" s="3" t="s">
        <v>811</v>
      </c>
    </row>
    <row r="296" spans="1:15" hidden="1" x14ac:dyDescent="0.25">
      <c r="A296" s="3" t="s">
        <v>26</v>
      </c>
      <c r="B296" s="3" t="s">
        <v>81</v>
      </c>
      <c r="C296" s="4" t="s">
        <v>36</v>
      </c>
      <c r="D296" s="6">
        <v>46079</v>
      </c>
      <c r="F296" s="25">
        <f t="shared" si="8"/>
        <v>-13</v>
      </c>
      <c r="G296" s="35">
        <v>2</v>
      </c>
      <c r="H296" s="20">
        <f t="shared" si="9"/>
        <v>362.0561908004085</v>
      </c>
      <c r="I296" s="26" t="s">
        <v>45</v>
      </c>
      <c r="J296" s="17">
        <v>180800</v>
      </c>
      <c r="K296" s="7" t="s">
        <v>46</v>
      </c>
      <c r="L296" s="3" t="s">
        <v>840</v>
      </c>
      <c r="M296" s="3" t="s">
        <v>841</v>
      </c>
      <c r="N296" s="3" t="s">
        <v>157</v>
      </c>
      <c r="O296" s="3" t="s">
        <v>842</v>
      </c>
    </row>
    <row r="297" spans="1:15" hidden="1" x14ac:dyDescent="0.25">
      <c r="A297" s="3" t="s">
        <v>26</v>
      </c>
      <c r="B297" s="3" t="s">
        <v>81</v>
      </c>
      <c r="C297" s="4" t="s">
        <v>36</v>
      </c>
      <c r="D297" s="6">
        <v>46079</v>
      </c>
      <c r="F297" s="25">
        <f t="shared" si="8"/>
        <v>-13</v>
      </c>
      <c r="G297" s="35">
        <v>2</v>
      </c>
      <c r="H297" s="20">
        <f t="shared" si="9"/>
        <v>26.85383583314977</v>
      </c>
      <c r="I297" s="26" t="s">
        <v>45</v>
      </c>
      <c r="J297" s="17">
        <v>13410</v>
      </c>
      <c r="K297" s="7" t="s">
        <v>46</v>
      </c>
      <c r="L297" s="3" t="s">
        <v>843</v>
      </c>
      <c r="M297" s="3" t="s">
        <v>846</v>
      </c>
      <c r="N297" s="3" t="s">
        <v>214</v>
      </c>
      <c r="O297" s="3" t="s">
        <v>847</v>
      </c>
    </row>
    <row r="298" spans="1:15" hidden="1" x14ac:dyDescent="0.25">
      <c r="A298" s="3" t="s">
        <v>26</v>
      </c>
      <c r="B298" s="3" t="s">
        <v>43</v>
      </c>
      <c r="C298" s="4" t="s">
        <v>44</v>
      </c>
      <c r="D298" s="6">
        <v>46079</v>
      </c>
      <c r="F298" s="25">
        <f t="shared" si="8"/>
        <v>-13</v>
      </c>
      <c r="G298" s="35">
        <v>2</v>
      </c>
      <c r="H298" s="20">
        <f t="shared" si="9"/>
        <v>16.858241384144023</v>
      </c>
      <c r="I298" s="26" t="s">
        <v>45</v>
      </c>
      <c r="J298" s="17">
        <v>8418.5</v>
      </c>
      <c r="K298" s="7" t="s">
        <v>46</v>
      </c>
      <c r="L298" s="3" t="s">
        <v>278</v>
      </c>
      <c r="M298" s="3" t="s">
        <v>870</v>
      </c>
      <c r="N298" s="3" t="s">
        <v>109</v>
      </c>
      <c r="O298" s="3" t="s">
        <v>871</v>
      </c>
    </row>
    <row r="299" spans="1:15" hidden="1" x14ac:dyDescent="0.25">
      <c r="A299" s="3" t="s">
        <v>26</v>
      </c>
      <c r="B299" s="3" t="s">
        <v>60</v>
      </c>
      <c r="C299" s="4" t="s">
        <v>36</v>
      </c>
      <c r="D299" s="6">
        <v>46079</v>
      </c>
      <c r="F299" s="25">
        <f t="shared" si="8"/>
        <v>-13</v>
      </c>
      <c r="G299" s="35">
        <v>2</v>
      </c>
      <c r="H299" s="20">
        <f t="shared" si="9"/>
        <v>158.39958347517873</v>
      </c>
      <c r="I299" s="26" t="s">
        <v>45</v>
      </c>
      <c r="J299" s="17">
        <v>79100</v>
      </c>
      <c r="K299" s="7" t="s">
        <v>46</v>
      </c>
      <c r="L299" s="3" t="s">
        <v>194</v>
      </c>
      <c r="M299" s="3" t="s">
        <v>872</v>
      </c>
      <c r="N299" s="3" t="s">
        <v>65</v>
      </c>
      <c r="O299" s="3" t="s">
        <v>873</v>
      </c>
    </row>
    <row r="300" spans="1:15" hidden="1" x14ac:dyDescent="0.25">
      <c r="A300" s="3" t="s">
        <v>26</v>
      </c>
      <c r="B300" s="3" t="s">
        <v>57</v>
      </c>
      <c r="C300" s="4" t="s">
        <v>44</v>
      </c>
      <c r="D300" s="6">
        <v>46080</v>
      </c>
      <c r="F300" s="25">
        <f t="shared" si="8"/>
        <v>-14</v>
      </c>
      <c r="G300" s="35">
        <v>2</v>
      </c>
      <c r="H300" s="20">
        <f t="shared" si="9"/>
        <v>59.603500410517256</v>
      </c>
      <c r="I300" s="26" t="s">
        <v>45</v>
      </c>
      <c r="J300" s="17">
        <v>29764.2</v>
      </c>
      <c r="K300" s="7" t="s">
        <v>46</v>
      </c>
      <c r="L300" s="3" t="s">
        <v>446</v>
      </c>
      <c r="M300" s="3" t="s">
        <v>447</v>
      </c>
      <c r="N300" s="3" t="s">
        <v>49</v>
      </c>
      <c r="O300" s="3" t="s">
        <v>448</v>
      </c>
    </row>
    <row r="301" spans="1:15" hidden="1" x14ac:dyDescent="0.25">
      <c r="A301" s="3" t="s">
        <v>26</v>
      </c>
      <c r="B301" s="3" t="s">
        <v>67</v>
      </c>
      <c r="C301" s="4" t="s">
        <v>44</v>
      </c>
      <c r="D301" s="6">
        <v>46069</v>
      </c>
      <c r="E301" s="51">
        <v>46069</v>
      </c>
      <c r="F301" s="25">
        <f t="shared" si="8"/>
        <v>-3</v>
      </c>
      <c r="G301" s="35">
        <v>2</v>
      </c>
      <c r="H301" s="20">
        <f t="shared" si="9"/>
        <v>11157.07</v>
      </c>
      <c r="I301" s="26" t="s">
        <v>29</v>
      </c>
      <c r="J301" s="17">
        <v>11157.07</v>
      </c>
      <c r="K301" s="7" t="s">
        <v>30</v>
      </c>
      <c r="L301" s="3" t="s">
        <v>369</v>
      </c>
      <c r="M301" s="3" t="s">
        <v>370</v>
      </c>
      <c r="N301" s="3" t="s">
        <v>371</v>
      </c>
      <c r="O301" s="3" t="s">
        <v>372</v>
      </c>
    </row>
    <row r="302" spans="1:15" hidden="1" x14ac:dyDescent="0.25">
      <c r="A302" s="3" t="s">
        <v>26</v>
      </c>
      <c r="B302" s="3" t="s">
        <v>60</v>
      </c>
      <c r="C302" s="4" t="s">
        <v>36</v>
      </c>
      <c r="D302" s="6">
        <v>46080</v>
      </c>
      <c r="F302" s="25">
        <f t="shared" si="8"/>
        <v>-14</v>
      </c>
      <c r="G302" s="35">
        <v>2</v>
      </c>
      <c r="H302" s="20">
        <f t="shared" si="9"/>
        <v>79.199791737589365</v>
      </c>
      <c r="I302" s="26" t="s">
        <v>45</v>
      </c>
      <c r="J302" s="17">
        <v>39550</v>
      </c>
      <c r="K302" s="7" t="s">
        <v>46</v>
      </c>
      <c r="L302" s="3" t="s">
        <v>133</v>
      </c>
      <c r="M302" s="3" t="s">
        <v>696</v>
      </c>
      <c r="N302" s="3" t="s">
        <v>65</v>
      </c>
      <c r="O302" s="3" t="s">
        <v>697</v>
      </c>
    </row>
    <row r="303" spans="1:15" hidden="1" x14ac:dyDescent="0.25">
      <c r="A303" s="3" t="s">
        <v>26</v>
      </c>
      <c r="B303" s="3" t="s">
        <v>67</v>
      </c>
      <c r="C303" s="4" t="s">
        <v>44</v>
      </c>
      <c r="D303" s="6">
        <v>46080</v>
      </c>
      <c r="F303" s="25">
        <f t="shared" si="8"/>
        <v>-14</v>
      </c>
      <c r="G303" s="35">
        <v>2</v>
      </c>
      <c r="H303" s="20">
        <f t="shared" si="9"/>
        <v>79.199791737589365</v>
      </c>
      <c r="I303" s="26" t="s">
        <v>45</v>
      </c>
      <c r="J303" s="17">
        <v>39550</v>
      </c>
      <c r="K303" s="7" t="s">
        <v>46</v>
      </c>
      <c r="L303" s="3" t="s">
        <v>133</v>
      </c>
      <c r="M303" s="3" t="s">
        <v>698</v>
      </c>
      <c r="N303" s="3" t="s">
        <v>65</v>
      </c>
      <c r="O303" s="3" t="s">
        <v>699</v>
      </c>
    </row>
    <row r="304" spans="1:15" hidden="1" x14ac:dyDescent="0.25">
      <c r="A304" s="3" t="s">
        <v>26</v>
      </c>
      <c r="B304" s="3" t="s">
        <v>67</v>
      </c>
      <c r="C304" s="4" t="s">
        <v>44</v>
      </c>
      <c r="D304" s="6">
        <v>46080</v>
      </c>
      <c r="F304" s="25">
        <f t="shared" si="8"/>
        <v>-14</v>
      </c>
      <c r="G304" s="35">
        <v>2</v>
      </c>
      <c r="H304" s="20">
        <f t="shared" si="9"/>
        <v>113.14255962512766</v>
      </c>
      <c r="I304" s="26" t="s">
        <v>45</v>
      </c>
      <c r="J304" s="17">
        <v>56500</v>
      </c>
      <c r="K304" s="7" t="s">
        <v>46</v>
      </c>
      <c r="L304" s="3" t="s">
        <v>133</v>
      </c>
      <c r="M304" s="3" t="s">
        <v>700</v>
      </c>
      <c r="N304" s="3" t="s">
        <v>65</v>
      </c>
      <c r="O304" s="3" t="s">
        <v>701</v>
      </c>
    </row>
    <row r="305" spans="1:15" hidden="1" x14ac:dyDescent="0.25">
      <c r="A305" s="3" t="s">
        <v>26</v>
      </c>
      <c r="B305" s="3" t="s">
        <v>35</v>
      </c>
      <c r="C305" s="4" t="s">
        <v>36</v>
      </c>
      <c r="D305" s="6">
        <v>46080</v>
      </c>
      <c r="F305" s="25">
        <f t="shared" si="8"/>
        <v>-14</v>
      </c>
      <c r="G305" s="35">
        <v>2</v>
      </c>
      <c r="H305" s="20">
        <f t="shared" si="9"/>
        <v>147.08532751266597</v>
      </c>
      <c r="I305" s="26" t="s">
        <v>45</v>
      </c>
      <c r="J305" s="17">
        <v>73450</v>
      </c>
      <c r="K305" s="7" t="s">
        <v>46</v>
      </c>
      <c r="L305" s="3" t="s">
        <v>133</v>
      </c>
      <c r="M305" s="3" t="s">
        <v>702</v>
      </c>
      <c r="N305" s="3" t="s">
        <v>65</v>
      </c>
      <c r="O305" s="3" t="s">
        <v>703</v>
      </c>
    </row>
    <row r="306" spans="1:15" hidden="1" x14ac:dyDescent="0.25">
      <c r="A306" s="3" t="s">
        <v>26</v>
      </c>
      <c r="B306" s="3" t="s">
        <v>35</v>
      </c>
      <c r="C306" s="4" t="s">
        <v>36</v>
      </c>
      <c r="D306" s="6">
        <v>46080</v>
      </c>
      <c r="F306" s="25">
        <f t="shared" si="8"/>
        <v>-14</v>
      </c>
      <c r="G306" s="35">
        <v>2</v>
      </c>
      <c r="H306" s="20">
        <f t="shared" si="9"/>
        <v>147.08532751266597</v>
      </c>
      <c r="I306" s="26" t="s">
        <v>45</v>
      </c>
      <c r="J306" s="17">
        <v>73450</v>
      </c>
      <c r="K306" s="7" t="s">
        <v>46</v>
      </c>
      <c r="L306" s="3" t="s">
        <v>133</v>
      </c>
      <c r="M306" s="3" t="s">
        <v>704</v>
      </c>
      <c r="N306" s="3" t="s">
        <v>65</v>
      </c>
      <c r="O306" s="3" t="s">
        <v>705</v>
      </c>
    </row>
    <row r="307" spans="1:15" hidden="1" x14ac:dyDescent="0.25">
      <c r="A307" s="3" t="s">
        <v>26</v>
      </c>
      <c r="B307" s="3" t="s">
        <v>35</v>
      </c>
      <c r="C307" s="4" t="s">
        <v>36</v>
      </c>
      <c r="D307" s="6">
        <v>46080</v>
      </c>
      <c r="F307" s="25">
        <f t="shared" si="8"/>
        <v>-14</v>
      </c>
      <c r="G307" s="35">
        <v>2</v>
      </c>
      <c r="H307" s="20">
        <f t="shared" si="9"/>
        <v>147.08532751266597</v>
      </c>
      <c r="I307" s="26" t="s">
        <v>45</v>
      </c>
      <c r="J307" s="17">
        <v>73450</v>
      </c>
      <c r="K307" s="7" t="s">
        <v>46</v>
      </c>
      <c r="L307" s="3" t="s">
        <v>133</v>
      </c>
      <c r="M307" s="3" t="s">
        <v>706</v>
      </c>
      <c r="N307" s="3" t="s">
        <v>65</v>
      </c>
      <c r="O307" s="3" t="s">
        <v>707</v>
      </c>
    </row>
    <row r="308" spans="1:15" hidden="1" x14ac:dyDescent="0.25">
      <c r="A308" s="3" t="s">
        <v>26</v>
      </c>
      <c r="B308" s="3" t="s">
        <v>35</v>
      </c>
      <c r="C308" s="4" t="s">
        <v>36</v>
      </c>
      <c r="D308" s="6">
        <v>46080</v>
      </c>
      <c r="F308" s="25">
        <f t="shared" si="8"/>
        <v>-14</v>
      </c>
      <c r="G308" s="35">
        <v>2</v>
      </c>
      <c r="H308" s="20">
        <f t="shared" si="9"/>
        <v>124.45681558764042</v>
      </c>
      <c r="I308" s="26" t="s">
        <v>45</v>
      </c>
      <c r="J308" s="17">
        <v>62150</v>
      </c>
      <c r="K308" s="7" t="s">
        <v>46</v>
      </c>
      <c r="L308" s="3" t="s">
        <v>133</v>
      </c>
      <c r="M308" s="3" t="s">
        <v>708</v>
      </c>
      <c r="N308" s="3" t="s">
        <v>65</v>
      </c>
      <c r="O308" s="3" t="s">
        <v>709</v>
      </c>
    </row>
    <row r="309" spans="1:15" hidden="1" x14ac:dyDescent="0.25">
      <c r="A309" s="3" t="s">
        <v>26</v>
      </c>
      <c r="B309" s="3" t="s">
        <v>60</v>
      </c>
      <c r="C309" s="4" t="s">
        <v>36</v>
      </c>
      <c r="D309" s="6">
        <v>46080</v>
      </c>
      <c r="F309" s="25">
        <f t="shared" si="8"/>
        <v>-14</v>
      </c>
      <c r="G309" s="35">
        <v>2</v>
      </c>
      <c r="H309" s="20">
        <f t="shared" si="9"/>
        <v>33.942767887538295</v>
      </c>
      <c r="I309" s="26" t="s">
        <v>45</v>
      </c>
      <c r="J309" s="17">
        <v>16950</v>
      </c>
      <c r="K309" s="7" t="s">
        <v>46</v>
      </c>
      <c r="L309" s="3" t="s">
        <v>148</v>
      </c>
      <c r="M309" s="3" t="s">
        <v>769</v>
      </c>
      <c r="N309" s="3" t="s">
        <v>65</v>
      </c>
      <c r="O309" s="3" t="s">
        <v>770</v>
      </c>
    </row>
    <row r="310" spans="1:15" hidden="1" x14ac:dyDescent="0.25">
      <c r="A310" s="3" t="s">
        <v>26</v>
      </c>
      <c r="B310" s="3" t="s">
        <v>67</v>
      </c>
      <c r="C310" s="4" t="s">
        <v>44</v>
      </c>
      <c r="D310" s="6">
        <v>46080</v>
      </c>
      <c r="F310" s="25">
        <f t="shared" si="8"/>
        <v>-14</v>
      </c>
      <c r="G310" s="35">
        <v>2</v>
      </c>
      <c r="H310" s="20">
        <f t="shared" si="9"/>
        <v>45.257023850051063</v>
      </c>
      <c r="I310" s="26" t="s">
        <v>45</v>
      </c>
      <c r="J310" s="17">
        <v>22600</v>
      </c>
      <c r="K310" s="7" t="s">
        <v>46</v>
      </c>
      <c r="L310" s="3" t="s">
        <v>148</v>
      </c>
      <c r="M310" s="3" t="s">
        <v>771</v>
      </c>
      <c r="N310" s="3" t="s">
        <v>65</v>
      </c>
      <c r="O310" s="3" t="s">
        <v>772</v>
      </c>
    </row>
    <row r="311" spans="1:15" hidden="1" x14ac:dyDescent="0.25">
      <c r="A311" s="3" t="s">
        <v>26</v>
      </c>
      <c r="B311" s="3" t="s">
        <v>81</v>
      </c>
      <c r="C311" s="4" t="s">
        <v>36</v>
      </c>
      <c r="D311" s="6">
        <v>46080</v>
      </c>
      <c r="F311" s="25">
        <f t="shared" si="8"/>
        <v>-14</v>
      </c>
      <c r="G311" s="35">
        <v>2</v>
      </c>
      <c r="H311" s="20">
        <f t="shared" si="9"/>
        <v>274.34567555119452</v>
      </c>
      <c r="I311" s="26" t="s">
        <v>45</v>
      </c>
      <c r="J311" s="17">
        <v>137000</v>
      </c>
      <c r="K311" s="7" t="s">
        <v>46</v>
      </c>
      <c r="L311" s="3" t="s">
        <v>317</v>
      </c>
      <c r="M311" s="3" t="s">
        <v>835</v>
      </c>
      <c r="N311" s="3" t="s">
        <v>174</v>
      </c>
      <c r="O311" s="3" t="s">
        <v>836</v>
      </c>
    </row>
    <row r="312" spans="1:15" hidden="1" x14ac:dyDescent="0.25">
      <c r="A312" s="3" t="s">
        <v>26</v>
      </c>
      <c r="B312" s="3" t="s">
        <v>35</v>
      </c>
      <c r="C312" s="4" t="s">
        <v>36</v>
      </c>
      <c r="D312" s="6">
        <v>46080</v>
      </c>
      <c r="F312" s="25">
        <f t="shared" si="8"/>
        <v>-14</v>
      </c>
      <c r="G312" s="35">
        <v>2</v>
      </c>
      <c r="H312" s="20">
        <f t="shared" si="9"/>
        <v>305.97368684542522</v>
      </c>
      <c r="I312" s="26" t="s">
        <v>45</v>
      </c>
      <c r="J312" s="17">
        <v>152794.07999999999</v>
      </c>
      <c r="K312" s="7" t="s">
        <v>46</v>
      </c>
      <c r="L312" s="3" t="s">
        <v>63</v>
      </c>
      <c r="M312" s="3" t="s">
        <v>884</v>
      </c>
      <c r="N312" s="3" t="s">
        <v>65</v>
      </c>
      <c r="O312" s="3" t="s">
        <v>885</v>
      </c>
    </row>
    <row r="313" spans="1:15" hidden="1" x14ac:dyDescent="0.25">
      <c r="A313" s="3" t="s">
        <v>26</v>
      </c>
      <c r="B313" s="3" t="s">
        <v>81</v>
      </c>
      <c r="C313" s="4" t="s">
        <v>36</v>
      </c>
      <c r="D313" s="6">
        <v>46081</v>
      </c>
      <c r="F313" s="25">
        <f t="shared" si="8"/>
        <v>-15</v>
      </c>
      <c r="G313" s="35">
        <v>2</v>
      </c>
      <c r="H313" s="20">
        <f t="shared" si="9"/>
        <v>678.74902376995021</v>
      </c>
      <c r="I313" s="26" t="s">
        <v>45</v>
      </c>
      <c r="J313" s="17">
        <v>338946.9</v>
      </c>
      <c r="K313" s="7" t="s">
        <v>46</v>
      </c>
      <c r="L313" s="3" t="s">
        <v>47</v>
      </c>
      <c r="M313" s="3" t="s">
        <v>451</v>
      </c>
      <c r="N313" s="3" t="s">
        <v>109</v>
      </c>
      <c r="O313" s="3" t="s">
        <v>452</v>
      </c>
    </row>
    <row r="314" spans="1:15" hidden="1" x14ac:dyDescent="0.25">
      <c r="A314" s="3" t="s">
        <v>26</v>
      </c>
      <c r="B314" s="3" t="s">
        <v>60</v>
      </c>
      <c r="C314" s="4" t="s">
        <v>36</v>
      </c>
      <c r="D314" s="6">
        <v>46081</v>
      </c>
      <c r="F314" s="25">
        <f t="shared" si="8"/>
        <v>-15</v>
      </c>
      <c r="G314" s="35">
        <v>2</v>
      </c>
      <c r="H314" s="20">
        <f t="shared" si="9"/>
        <v>132.78</v>
      </c>
      <c r="I314" s="26" t="s">
        <v>29</v>
      </c>
      <c r="J314" s="17">
        <v>132.78</v>
      </c>
      <c r="K314" s="7" t="s">
        <v>46</v>
      </c>
      <c r="L314" s="3" t="s">
        <v>662</v>
      </c>
      <c r="M314" s="3" t="s">
        <v>663</v>
      </c>
      <c r="N314" s="3" t="s">
        <v>65</v>
      </c>
      <c r="O314" s="3" t="s">
        <v>664</v>
      </c>
    </row>
    <row r="315" spans="1:15" hidden="1" x14ac:dyDescent="0.25">
      <c r="A315" s="3" t="s">
        <v>26</v>
      </c>
      <c r="B315" s="3" t="s">
        <v>81</v>
      </c>
      <c r="C315" s="4" t="s">
        <v>36</v>
      </c>
      <c r="D315" s="6">
        <v>46081</v>
      </c>
      <c r="F315" s="25">
        <f t="shared" si="8"/>
        <v>-15</v>
      </c>
      <c r="G315" s="35">
        <v>2</v>
      </c>
      <c r="H315" s="20">
        <f t="shared" si="9"/>
        <v>246.82842381400565</v>
      </c>
      <c r="I315" s="26" t="s">
        <v>45</v>
      </c>
      <c r="J315" s="17">
        <v>123258.71</v>
      </c>
      <c r="K315" s="7" t="s">
        <v>46</v>
      </c>
      <c r="L315" s="3" t="s">
        <v>63</v>
      </c>
      <c r="M315" s="3" t="s">
        <v>886</v>
      </c>
      <c r="N315" s="3" t="s">
        <v>65</v>
      </c>
      <c r="O315" s="3" t="s">
        <v>887</v>
      </c>
    </row>
    <row r="316" spans="1:15" hidden="1" x14ac:dyDescent="0.25">
      <c r="A316" s="3" t="s">
        <v>26</v>
      </c>
      <c r="B316" s="3" t="s">
        <v>35</v>
      </c>
      <c r="C316" s="4" t="s">
        <v>36</v>
      </c>
      <c r="D316" s="6">
        <v>46081</v>
      </c>
      <c r="F316" s="25">
        <f t="shared" si="8"/>
        <v>-15</v>
      </c>
      <c r="G316" s="35">
        <v>2</v>
      </c>
      <c r="H316" s="20">
        <f t="shared" si="9"/>
        <v>246.82642129082646</v>
      </c>
      <c r="I316" s="26" t="s">
        <v>45</v>
      </c>
      <c r="J316" s="17">
        <v>123257.71</v>
      </c>
      <c r="K316" s="7" t="s">
        <v>46</v>
      </c>
      <c r="L316" s="3" t="s">
        <v>63</v>
      </c>
      <c r="M316" s="3" t="s">
        <v>888</v>
      </c>
      <c r="N316" s="3" t="s">
        <v>65</v>
      </c>
      <c r="O316" s="3" t="s">
        <v>889</v>
      </c>
    </row>
    <row r="317" spans="1:15" hidden="1" x14ac:dyDescent="0.25">
      <c r="A317" s="3" t="s">
        <v>26</v>
      </c>
      <c r="B317" s="3" t="s">
        <v>43</v>
      </c>
      <c r="C317" s="4" t="s">
        <v>44</v>
      </c>
      <c r="D317" s="6">
        <v>46082</v>
      </c>
      <c r="F317" s="25">
        <f t="shared" si="8"/>
        <v>-16</v>
      </c>
      <c r="G317" s="35">
        <v>3</v>
      </c>
      <c r="H317" s="20">
        <f t="shared" si="9"/>
        <v>152.0907543504816</v>
      </c>
      <c r="I317" s="26" t="s">
        <v>45</v>
      </c>
      <c r="J317" s="17">
        <v>75949.56</v>
      </c>
      <c r="K317" s="7" t="s">
        <v>46</v>
      </c>
      <c r="L317" s="3" t="s">
        <v>453</v>
      </c>
      <c r="M317" s="3" t="s">
        <v>454</v>
      </c>
      <c r="N317" s="3" t="s">
        <v>357</v>
      </c>
      <c r="O317" s="3" t="s">
        <v>455</v>
      </c>
    </row>
    <row r="318" spans="1:15" hidden="1" x14ac:dyDescent="0.25">
      <c r="A318" s="3" t="s">
        <v>26</v>
      </c>
      <c r="B318" s="3" t="s">
        <v>43</v>
      </c>
      <c r="C318" s="4" t="s">
        <v>44</v>
      </c>
      <c r="D318" s="6">
        <v>46082</v>
      </c>
      <c r="F318" s="25">
        <f t="shared" si="8"/>
        <v>-16</v>
      </c>
      <c r="G318" s="35">
        <v>3</v>
      </c>
      <c r="H318" s="20">
        <f t="shared" si="9"/>
        <v>474.77840078498906</v>
      </c>
      <c r="I318" s="26" t="s">
        <v>45</v>
      </c>
      <c r="J318" s="17">
        <v>237090.09</v>
      </c>
      <c r="K318" s="7" t="s">
        <v>46</v>
      </c>
      <c r="L318" s="3" t="s">
        <v>256</v>
      </c>
      <c r="M318" s="3" t="s">
        <v>456</v>
      </c>
      <c r="N318" s="3" t="s">
        <v>174</v>
      </c>
      <c r="O318" s="3" t="s">
        <v>457</v>
      </c>
    </row>
    <row r="319" spans="1:15" hidden="1" x14ac:dyDescent="0.25">
      <c r="A319" s="3" t="s">
        <v>26</v>
      </c>
      <c r="B319" s="3" t="s">
        <v>81</v>
      </c>
      <c r="C319" s="4" t="s">
        <v>36</v>
      </c>
      <c r="D319" s="6">
        <v>46082</v>
      </c>
      <c r="F319" s="25">
        <f t="shared" si="8"/>
        <v>-16</v>
      </c>
      <c r="G319" s="35">
        <v>3</v>
      </c>
      <c r="H319" s="20">
        <f t="shared" si="9"/>
        <v>101.8283036626149</v>
      </c>
      <c r="I319" s="26" t="s">
        <v>45</v>
      </c>
      <c r="J319" s="17">
        <v>50850</v>
      </c>
      <c r="K319" s="7" t="s">
        <v>46</v>
      </c>
      <c r="L319" s="3" t="s">
        <v>133</v>
      </c>
      <c r="M319" s="3" t="s">
        <v>710</v>
      </c>
      <c r="N319" s="3" t="s">
        <v>65</v>
      </c>
      <c r="O319" s="3" t="s">
        <v>709</v>
      </c>
    </row>
    <row r="320" spans="1:15" hidden="1" x14ac:dyDescent="0.25">
      <c r="A320" s="3" t="s">
        <v>26</v>
      </c>
      <c r="B320" s="3" t="s">
        <v>35</v>
      </c>
      <c r="C320" s="4" t="s">
        <v>36</v>
      </c>
      <c r="D320" s="6">
        <v>46082</v>
      </c>
      <c r="F320" s="25">
        <f t="shared" si="8"/>
        <v>-16</v>
      </c>
      <c r="G320" s="35">
        <v>3</v>
      </c>
      <c r="H320" s="20">
        <f t="shared" si="9"/>
        <v>90.514047700102125</v>
      </c>
      <c r="I320" s="26" t="s">
        <v>45</v>
      </c>
      <c r="J320" s="17">
        <v>45200</v>
      </c>
      <c r="K320" s="7" t="s">
        <v>46</v>
      </c>
      <c r="L320" s="3" t="s">
        <v>133</v>
      </c>
      <c r="M320" s="3" t="s">
        <v>711</v>
      </c>
      <c r="N320" s="3" t="s">
        <v>65</v>
      </c>
      <c r="O320" s="3" t="s">
        <v>712</v>
      </c>
    </row>
    <row r="321" spans="1:15" hidden="1" x14ac:dyDescent="0.25">
      <c r="A321" s="3" t="s">
        <v>26</v>
      </c>
      <c r="B321" s="3" t="s">
        <v>35</v>
      </c>
      <c r="C321" s="4" t="s">
        <v>36</v>
      </c>
      <c r="D321" s="6">
        <v>46082</v>
      </c>
      <c r="F321" s="25">
        <f t="shared" si="8"/>
        <v>-16</v>
      </c>
      <c r="G321" s="35">
        <v>3</v>
      </c>
      <c r="H321" s="20">
        <f t="shared" si="9"/>
        <v>147.08532751266597</v>
      </c>
      <c r="I321" s="26" t="s">
        <v>45</v>
      </c>
      <c r="J321" s="17">
        <v>73450</v>
      </c>
      <c r="K321" s="7" t="s">
        <v>46</v>
      </c>
      <c r="L321" s="3" t="s">
        <v>133</v>
      </c>
      <c r="M321" s="3" t="s">
        <v>713</v>
      </c>
      <c r="N321" s="3" t="s">
        <v>65</v>
      </c>
      <c r="O321" s="3" t="s">
        <v>714</v>
      </c>
    </row>
    <row r="322" spans="1:15" hidden="1" x14ac:dyDescent="0.25">
      <c r="A322" s="3" t="s">
        <v>26</v>
      </c>
      <c r="B322" s="3" t="s">
        <v>81</v>
      </c>
      <c r="C322" s="4" t="s">
        <v>36</v>
      </c>
      <c r="D322" s="6">
        <v>46082</v>
      </c>
      <c r="F322" s="25">
        <f t="shared" si="8"/>
        <v>-16</v>
      </c>
      <c r="G322" s="35">
        <v>3</v>
      </c>
      <c r="H322" s="20">
        <f t="shared" si="9"/>
        <v>113.14255962512766</v>
      </c>
      <c r="I322" s="26" t="s">
        <v>45</v>
      </c>
      <c r="J322" s="17">
        <v>56500</v>
      </c>
      <c r="K322" s="7" t="s">
        <v>46</v>
      </c>
      <c r="L322" s="3" t="s">
        <v>133</v>
      </c>
      <c r="M322" s="3" t="s">
        <v>715</v>
      </c>
      <c r="N322" s="3" t="s">
        <v>65</v>
      </c>
      <c r="O322" s="3" t="s">
        <v>716</v>
      </c>
    </row>
    <row r="323" spans="1:15" hidden="1" x14ac:dyDescent="0.25">
      <c r="A323" s="3" t="s">
        <v>26</v>
      </c>
      <c r="B323" s="3" t="s">
        <v>81</v>
      </c>
      <c r="C323" s="4" t="s">
        <v>36</v>
      </c>
      <c r="D323" s="6">
        <v>46082</v>
      </c>
      <c r="F323" s="25">
        <f t="shared" si="8"/>
        <v>-16</v>
      </c>
      <c r="G323" s="35">
        <v>3</v>
      </c>
      <c r="H323" s="20">
        <f t="shared" si="9"/>
        <v>185.53377255341729</v>
      </c>
      <c r="I323" s="26" t="s">
        <v>45</v>
      </c>
      <c r="J323" s="17">
        <v>92650</v>
      </c>
      <c r="K323" s="7" t="s">
        <v>46</v>
      </c>
      <c r="L323" s="3" t="s">
        <v>728</v>
      </c>
      <c r="M323" s="3" t="s">
        <v>731</v>
      </c>
      <c r="N323" s="3" t="s">
        <v>357</v>
      </c>
      <c r="O323" s="3" t="s">
        <v>732</v>
      </c>
    </row>
    <row r="324" spans="1:15" hidden="1" x14ac:dyDescent="0.25">
      <c r="A324" s="3" t="s">
        <v>26</v>
      </c>
      <c r="B324" s="3" t="s">
        <v>67</v>
      </c>
      <c r="C324" s="4" t="s">
        <v>44</v>
      </c>
      <c r="D324" s="6">
        <v>46082</v>
      </c>
      <c r="F324" s="25">
        <f t="shared" si="8"/>
        <v>-16</v>
      </c>
      <c r="G324" s="35">
        <v>3</v>
      </c>
      <c r="H324" s="20">
        <f t="shared" si="9"/>
        <v>135.77107155015318</v>
      </c>
      <c r="I324" s="26" t="s">
        <v>45</v>
      </c>
      <c r="J324" s="17">
        <v>67800</v>
      </c>
      <c r="K324" s="7" t="s">
        <v>46</v>
      </c>
      <c r="L324" s="3" t="s">
        <v>148</v>
      </c>
      <c r="M324" s="3" t="s">
        <v>773</v>
      </c>
      <c r="N324" s="3" t="s">
        <v>65</v>
      </c>
      <c r="O324" s="3" t="s">
        <v>774</v>
      </c>
    </row>
    <row r="325" spans="1:15" hidden="1" x14ac:dyDescent="0.25">
      <c r="A325" s="3" t="s">
        <v>26</v>
      </c>
      <c r="B325" s="3" t="s">
        <v>81</v>
      </c>
      <c r="C325" s="4" t="s">
        <v>36</v>
      </c>
      <c r="D325" s="6">
        <v>46082</v>
      </c>
      <c r="F325" s="25">
        <f t="shared" si="8"/>
        <v>-16</v>
      </c>
      <c r="G325" s="35">
        <v>3</v>
      </c>
      <c r="H325" s="20">
        <f t="shared" si="9"/>
        <v>56.57127981256383</v>
      </c>
      <c r="I325" s="26" t="s">
        <v>45</v>
      </c>
      <c r="J325" s="17">
        <v>28250</v>
      </c>
      <c r="K325" s="7" t="s">
        <v>46</v>
      </c>
      <c r="L325" s="3" t="s">
        <v>148</v>
      </c>
      <c r="M325" s="3" t="s">
        <v>775</v>
      </c>
      <c r="N325" s="3" t="s">
        <v>65</v>
      </c>
      <c r="O325" s="3" t="s">
        <v>776</v>
      </c>
    </row>
    <row r="326" spans="1:15" hidden="1" x14ac:dyDescent="0.25">
      <c r="A326" s="3" t="s">
        <v>26</v>
      </c>
      <c r="B326" s="3" t="s">
        <v>35</v>
      </c>
      <c r="C326" s="4" t="s">
        <v>36</v>
      </c>
      <c r="D326" s="6">
        <v>46082</v>
      </c>
      <c r="F326" s="25">
        <f t="shared" si="8"/>
        <v>-16</v>
      </c>
      <c r="G326" s="35">
        <v>3</v>
      </c>
      <c r="H326" s="20">
        <f t="shared" si="9"/>
        <v>56.57127981256383</v>
      </c>
      <c r="I326" s="26" t="s">
        <v>45</v>
      </c>
      <c r="J326" s="17">
        <v>28250</v>
      </c>
      <c r="K326" s="7" t="s">
        <v>46</v>
      </c>
      <c r="L326" s="3" t="s">
        <v>148</v>
      </c>
      <c r="M326" s="3" t="s">
        <v>909</v>
      </c>
      <c r="N326" s="3" t="s">
        <v>65</v>
      </c>
      <c r="O326" s="3" t="s">
        <v>777</v>
      </c>
    </row>
    <row r="327" spans="1:15" hidden="1" x14ac:dyDescent="0.25">
      <c r="A327" s="3" t="s">
        <v>26</v>
      </c>
      <c r="B327" s="3" t="s">
        <v>81</v>
      </c>
      <c r="C327" s="4" t="s">
        <v>36</v>
      </c>
      <c r="D327" s="6">
        <v>46082</v>
      </c>
      <c r="F327" s="25">
        <f t="shared" ref="F327:F342" si="10">IF(D327=0,0,+F$4-D327)</f>
        <v>-16</v>
      </c>
      <c r="G327" s="35">
        <v>3</v>
      </c>
      <c r="H327" s="20">
        <f t="shared" ref="H327:H390" si="11">IF(I327="¢",IFERROR(J327/G$4,0),IF(I327="€",J327*J$4,J327))</f>
        <v>246.84900975228788</v>
      </c>
      <c r="I327" s="26" t="s">
        <v>45</v>
      </c>
      <c r="J327" s="17">
        <v>123268.99</v>
      </c>
      <c r="K327" s="7" t="s">
        <v>46</v>
      </c>
      <c r="L327" s="3" t="s">
        <v>63</v>
      </c>
      <c r="M327" s="3" t="s">
        <v>890</v>
      </c>
      <c r="N327" s="3" t="s">
        <v>65</v>
      </c>
      <c r="O327" s="3" t="s">
        <v>891</v>
      </c>
    </row>
    <row r="328" spans="1:15" x14ac:dyDescent="0.25">
      <c r="A328" s="3" t="s">
        <v>26</v>
      </c>
      <c r="B328" s="3" t="s">
        <v>60</v>
      </c>
      <c r="C328" s="4" t="s">
        <v>36</v>
      </c>
      <c r="D328" s="6">
        <v>46062</v>
      </c>
      <c r="E328" s="51">
        <v>46062</v>
      </c>
      <c r="F328" s="25">
        <f t="shared" si="10"/>
        <v>4</v>
      </c>
      <c r="G328" s="35">
        <v>1</v>
      </c>
      <c r="H328" s="20">
        <f t="shared" si="11"/>
        <v>60256.592064000004</v>
      </c>
      <c r="I328" s="26" t="s">
        <v>111</v>
      </c>
      <c r="J328" s="17">
        <v>50952.639999999999</v>
      </c>
      <c r="K328" s="7" t="s">
        <v>112</v>
      </c>
      <c r="L328" s="3" t="s">
        <v>222</v>
      </c>
      <c r="M328" s="3" t="s">
        <v>223</v>
      </c>
      <c r="N328" s="3" t="s">
        <v>39</v>
      </c>
      <c r="O328" s="3" t="s">
        <v>224</v>
      </c>
    </row>
    <row r="329" spans="1:15" hidden="1" x14ac:dyDescent="0.25">
      <c r="A329" s="3" t="s">
        <v>26</v>
      </c>
      <c r="B329" s="3" t="s">
        <v>81</v>
      </c>
      <c r="C329" s="4" t="s">
        <v>36</v>
      </c>
      <c r="D329" s="6">
        <v>46083</v>
      </c>
      <c r="F329" s="25">
        <f t="shared" si="10"/>
        <v>-17</v>
      </c>
      <c r="G329" s="35">
        <v>3</v>
      </c>
      <c r="H329" s="20">
        <f t="shared" si="11"/>
        <v>333.66373630774774</v>
      </c>
      <c r="I329" s="26" t="s">
        <v>45</v>
      </c>
      <c r="J329" s="17">
        <v>166621.66</v>
      </c>
      <c r="K329" s="7" t="s">
        <v>46</v>
      </c>
      <c r="L329" s="3" t="s">
        <v>821</v>
      </c>
      <c r="M329" s="3" t="s">
        <v>822</v>
      </c>
      <c r="N329" s="3" t="s">
        <v>168</v>
      </c>
      <c r="O329" s="3" t="s">
        <v>823</v>
      </c>
    </row>
    <row r="330" spans="1:15" hidden="1" x14ac:dyDescent="0.25">
      <c r="A330" s="3" t="s">
        <v>26</v>
      </c>
      <c r="B330" s="3" t="s">
        <v>60</v>
      </c>
      <c r="C330" s="4" t="s">
        <v>36</v>
      </c>
      <c r="D330" s="6">
        <v>46084</v>
      </c>
      <c r="E330" s="48"/>
      <c r="F330" s="25">
        <f t="shared" si="10"/>
        <v>-18</v>
      </c>
      <c r="G330" s="35">
        <v>3</v>
      </c>
      <c r="H330" s="20">
        <f t="shared" si="11"/>
        <v>344.65</v>
      </c>
      <c r="I330" s="26" t="s">
        <v>29</v>
      </c>
      <c r="J330" s="17">
        <v>344.65</v>
      </c>
      <c r="K330" s="7" t="s">
        <v>46</v>
      </c>
      <c r="L330" s="3" t="s">
        <v>420</v>
      </c>
      <c r="M330" s="3" t="s">
        <v>461</v>
      </c>
      <c r="N330" s="3" t="s">
        <v>422</v>
      </c>
      <c r="O330" s="3" t="s">
        <v>462</v>
      </c>
    </row>
    <row r="331" spans="1:15" hidden="1" x14ac:dyDescent="0.25">
      <c r="A331" s="3" t="s">
        <v>26</v>
      </c>
      <c r="B331" s="3" t="s">
        <v>43</v>
      </c>
      <c r="C331" s="4" t="s">
        <v>44</v>
      </c>
      <c r="D331" s="6">
        <v>46086</v>
      </c>
      <c r="F331" s="25">
        <f t="shared" si="10"/>
        <v>-20</v>
      </c>
      <c r="G331" s="35">
        <v>3</v>
      </c>
      <c r="H331" s="20">
        <f t="shared" si="11"/>
        <v>514.0114744578168</v>
      </c>
      <c r="I331" s="26" t="s">
        <v>45</v>
      </c>
      <c r="J331" s="17">
        <v>256681.91</v>
      </c>
      <c r="K331" s="7" t="s">
        <v>46</v>
      </c>
      <c r="L331" s="3" t="s">
        <v>443</v>
      </c>
      <c r="M331" s="3" t="s">
        <v>463</v>
      </c>
      <c r="N331" s="3" t="s">
        <v>157</v>
      </c>
      <c r="O331" s="3" t="s">
        <v>464</v>
      </c>
    </row>
    <row r="332" spans="1:15" hidden="1" x14ac:dyDescent="0.25">
      <c r="A332" s="3" t="s">
        <v>26</v>
      </c>
      <c r="B332" s="3" t="s">
        <v>60</v>
      </c>
      <c r="C332" s="4" t="s">
        <v>36</v>
      </c>
      <c r="D332" s="6">
        <v>46087</v>
      </c>
      <c r="E332" s="51">
        <v>46087</v>
      </c>
      <c r="F332" s="25">
        <f t="shared" si="10"/>
        <v>-21</v>
      </c>
      <c r="G332" s="35">
        <v>3</v>
      </c>
      <c r="H332" s="20">
        <f t="shared" si="11"/>
        <v>90.02</v>
      </c>
      <c r="I332" s="26" t="s">
        <v>29</v>
      </c>
      <c r="J332" s="17">
        <v>90.02</v>
      </c>
      <c r="K332" s="7" t="s">
        <v>30</v>
      </c>
      <c r="L332" s="3" t="s">
        <v>465</v>
      </c>
      <c r="M332" s="3" t="s">
        <v>466</v>
      </c>
      <c r="N332" s="3" t="s">
        <v>214</v>
      </c>
      <c r="O332" s="3" t="s">
        <v>467</v>
      </c>
    </row>
    <row r="333" spans="1:15" hidden="1" x14ac:dyDescent="0.25">
      <c r="A333" s="3" t="s">
        <v>26</v>
      </c>
      <c r="B333" s="3" t="s">
        <v>35</v>
      </c>
      <c r="C333" s="4" t="s">
        <v>36</v>
      </c>
      <c r="D333" s="6">
        <v>46088</v>
      </c>
      <c r="F333" s="25">
        <f t="shared" si="10"/>
        <v>-22</v>
      </c>
      <c r="G333" s="35">
        <v>3</v>
      </c>
      <c r="H333" s="20">
        <f t="shared" si="11"/>
        <v>111.22818751627049</v>
      </c>
      <c r="I333" s="26" t="s">
        <v>45</v>
      </c>
      <c r="J333" s="17">
        <v>55544.02</v>
      </c>
      <c r="K333" s="7" t="s">
        <v>46</v>
      </c>
      <c r="L333" s="3" t="s">
        <v>82</v>
      </c>
      <c r="M333" s="3" t="s">
        <v>468</v>
      </c>
      <c r="N333" s="3" t="s">
        <v>174</v>
      </c>
      <c r="O333" s="3" t="s">
        <v>469</v>
      </c>
    </row>
    <row r="334" spans="1:15" x14ac:dyDescent="0.25">
      <c r="A334" s="3" t="s">
        <v>26</v>
      </c>
      <c r="B334" s="3" t="s">
        <v>60</v>
      </c>
      <c r="C334" s="4" t="s">
        <v>36</v>
      </c>
      <c r="D334" s="6">
        <v>46062</v>
      </c>
      <c r="E334" s="6">
        <v>46062</v>
      </c>
      <c r="F334" s="25">
        <f t="shared" si="10"/>
        <v>4</v>
      </c>
      <c r="G334" s="35">
        <v>1</v>
      </c>
      <c r="H334" s="20">
        <f t="shared" si="11"/>
        <v>6063</v>
      </c>
      <c r="I334" s="26" t="s">
        <v>29</v>
      </c>
      <c r="J334" s="17">
        <v>6063</v>
      </c>
      <c r="K334" s="7" t="s">
        <v>30</v>
      </c>
      <c r="L334" s="3" t="s">
        <v>212</v>
      </c>
      <c r="M334" s="3" t="s">
        <v>213</v>
      </c>
      <c r="N334" s="3" t="s">
        <v>214</v>
      </c>
      <c r="O334" s="3" t="s">
        <v>215</v>
      </c>
    </row>
    <row r="335" spans="1:15" hidden="1" x14ac:dyDescent="0.25">
      <c r="A335" s="3" t="s">
        <v>26</v>
      </c>
      <c r="B335" s="3" t="s">
        <v>67</v>
      </c>
      <c r="C335" s="4" t="s">
        <v>44</v>
      </c>
      <c r="D335" s="6">
        <v>46089</v>
      </c>
      <c r="F335" s="25">
        <f t="shared" si="10"/>
        <v>-23</v>
      </c>
      <c r="G335" s="35">
        <v>3</v>
      </c>
      <c r="H335" s="20">
        <f t="shared" si="11"/>
        <v>520.65802911668698</v>
      </c>
      <c r="I335" s="26" t="s">
        <v>45</v>
      </c>
      <c r="J335" s="17">
        <v>260001</v>
      </c>
      <c r="K335" s="7" t="s">
        <v>46</v>
      </c>
      <c r="L335" s="3" t="s">
        <v>317</v>
      </c>
      <c r="M335" s="3" t="s">
        <v>472</v>
      </c>
      <c r="N335" s="3" t="s">
        <v>109</v>
      </c>
      <c r="O335" s="3" t="s">
        <v>473</v>
      </c>
    </row>
    <row r="336" spans="1:15" hidden="1" x14ac:dyDescent="0.25">
      <c r="A336" s="3" t="s">
        <v>26</v>
      </c>
      <c r="B336" s="3" t="s">
        <v>81</v>
      </c>
      <c r="C336" s="4" t="s">
        <v>36</v>
      </c>
      <c r="D336" s="6">
        <v>46089</v>
      </c>
      <c r="F336" s="25">
        <f t="shared" si="10"/>
        <v>-23</v>
      </c>
      <c r="G336" s="35">
        <v>3</v>
      </c>
      <c r="H336" s="20">
        <f t="shared" si="11"/>
        <v>647.67829465126056</v>
      </c>
      <c r="I336" s="26" t="s">
        <v>45</v>
      </c>
      <c r="J336" s="17">
        <v>323431.11</v>
      </c>
      <c r="K336" s="7" t="s">
        <v>46</v>
      </c>
      <c r="L336" s="3" t="s">
        <v>256</v>
      </c>
      <c r="M336" s="3" t="s">
        <v>868</v>
      </c>
      <c r="N336" s="3" t="s">
        <v>174</v>
      </c>
      <c r="O336" s="3" t="s">
        <v>869</v>
      </c>
    </row>
    <row r="337" spans="1:15" hidden="1" x14ac:dyDescent="0.25">
      <c r="A337" s="3" t="s">
        <v>26</v>
      </c>
      <c r="B337" s="3" t="s">
        <v>81</v>
      </c>
      <c r="C337" s="4" t="s">
        <v>36</v>
      </c>
      <c r="D337" s="6">
        <v>46090</v>
      </c>
      <c r="E337" s="51">
        <v>46090</v>
      </c>
      <c r="F337" s="25">
        <f t="shared" si="10"/>
        <v>-24</v>
      </c>
      <c r="G337" s="35">
        <v>3</v>
      </c>
      <c r="H337" s="20">
        <f t="shared" si="11"/>
        <v>547.5</v>
      </c>
      <c r="I337" s="26" t="s">
        <v>29</v>
      </c>
      <c r="J337" s="17">
        <v>547.5</v>
      </c>
      <c r="K337" s="7" t="s">
        <v>46</v>
      </c>
      <c r="L337" s="3" t="s">
        <v>281</v>
      </c>
      <c r="M337" s="3" t="s">
        <v>474</v>
      </c>
      <c r="N337" s="3" t="s">
        <v>84</v>
      </c>
      <c r="O337" s="3" t="s">
        <v>475</v>
      </c>
    </row>
    <row r="338" spans="1:15" hidden="1" x14ac:dyDescent="0.25">
      <c r="A338" s="3" t="s">
        <v>26</v>
      </c>
      <c r="B338" s="3" t="s">
        <v>81</v>
      </c>
      <c r="C338" s="4" t="s">
        <v>36</v>
      </c>
      <c r="D338" s="6">
        <v>46090</v>
      </c>
      <c r="F338" s="25">
        <f t="shared" si="10"/>
        <v>-24</v>
      </c>
      <c r="G338" s="35">
        <v>3</v>
      </c>
      <c r="H338" s="20">
        <f t="shared" si="11"/>
        <v>56.116026193003187</v>
      </c>
      <c r="I338" s="26" t="s">
        <v>45</v>
      </c>
      <c r="J338" s="17">
        <v>28022.66</v>
      </c>
      <c r="K338" s="7" t="s">
        <v>46</v>
      </c>
      <c r="L338" s="3" t="s">
        <v>82</v>
      </c>
      <c r="M338" s="3" t="s">
        <v>476</v>
      </c>
      <c r="N338" s="3" t="s">
        <v>174</v>
      </c>
      <c r="O338" s="3" t="s">
        <v>477</v>
      </c>
    </row>
    <row r="339" spans="1:15" hidden="1" x14ac:dyDescent="0.25">
      <c r="A339" s="3" t="s">
        <v>26</v>
      </c>
      <c r="B339" s="3" t="s">
        <v>60</v>
      </c>
      <c r="C339" s="4" t="s">
        <v>36</v>
      </c>
      <c r="D339" s="6">
        <v>46073</v>
      </c>
      <c r="E339" s="72">
        <v>46073</v>
      </c>
      <c r="F339" s="25">
        <f t="shared" si="10"/>
        <v>-7</v>
      </c>
      <c r="G339" s="35">
        <v>2</v>
      </c>
      <c r="H339" s="20">
        <f t="shared" si="11"/>
        <v>4229</v>
      </c>
      <c r="I339" s="26" t="s">
        <v>29</v>
      </c>
      <c r="J339" s="17">
        <v>4229</v>
      </c>
      <c r="K339" s="7" t="s">
        <v>30</v>
      </c>
      <c r="L339" s="3" t="s">
        <v>212</v>
      </c>
      <c r="M339" s="3" t="s">
        <v>393</v>
      </c>
      <c r="N339" s="3" t="s">
        <v>214</v>
      </c>
      <c r="O339" s="3" t="s">
        <v>394</v>
      </c>
    </row>
    <row r="340" spans="1:15" hidden="1" x14ac:dyDescent="0.25">
      <c r="A340" s="3" t="s">
        <v>26</v>
      </c>
      <c r="B340" s="3" t="s">
        <v>60</v>
      </c>
      <c r="C340" s="4" t="s">
        <v>36</v>
      </c>
      <c r="D340" s="6">
        <v>46094</v>
      </c>
      <c r="E340" s="51">
        <v>46094</v>
      </c>
      <c r="F340" s="25">
        <f t="shared" si="10"/>
        <v>-28</v>
      </c>
      <c r="G340" s="35">
        <v>3</v>
      </c>
      <c r="H340" s="20">
        <f t="shared" si="11"/>
        <v>4628</v>
      </c>
      <c r="I340" s="26" t="s">
        <v>29</v>
      </c>
      <c r="J340" s="17">
        <v>4628</v>
      </c>
      <c r="K340" s="7" t="s">
        <v>30</v>
      </c>
      <c r="L340" s="3" t="s">
        <v>212</v>
      </c>
      <c r="M340" s="3" t="s">
        <v>489</v>
      </c>
      <c r="N340" s="3" t="s">
        <v>214</v>
      </c>
      <c r="O340" s="3" t="s">
        <v>490</v>
      </c>
    </row>
    <row r="341" spans="1:15" hidden="1" x14ac:dyDescent="0.25">
      <c r="A341" s="3" t="s">
        <v>26</v>
      </c>
      <c r="B341" s="3" t="s">
        <v>81</v>
      </c>
      <c r="C341" s="4" t="s">
        <v>36</v>
      </c>
      <c r="D341" s="6">
        <v>46090</v>
      </c>
      <c r="F341" s="25">
        <f t="shared" si="10"/>
        <v>-24</v>
      </c>
      <c r="G341" s="35">
        <v>3</v>
      </c>
      <c r="H341" s="20">
        <f t="shared" si="11"/>
        <v>569.95564411158057</v>
      </c>
      <c r="I341" s="26" t="s">
        <v>45</v>
      </c>
      <c r="J341" s="17">
        <v>284618.75</v>
      </c>
      <c r="K341" s="7" t="s">
        <v>46</v>
      </c>
      <c r="L341" s="3" t="s">
        <v>824</v>
      </c>
      <c r="M341" s="3" t="s">
        <v>825</v>
      </c>
      <c r="N341" s="3" t="s">
        <v>174</v>
      </c>
      <c r="O341" s="3" t="s">
        <v>826</v>
      </c>
    </row>
    <row r="342" spans="1:15" hidden="1" x14ac:dyDescent="0.25">
      <c r="A342" s="3" t="s">
        <v>26</v>
      </c>
      <c r="B342" s="3" t="s">
        <v>81</v>
      </c>
      <c r="C342" s="4" t="s">
        <v>36</v>
      </c>
      <c r="D342" s="6">
        <v>46091</v>
      </c>
      <c r="F342" s="25">
        <f t="shared" si="10"/>
        <v>-25</v>
      </c>
      <c r="G342" s="35">
        <v>3</v>
      </c>
      <c r="H342" s="20">
        <f t="shared" si="11"/>
        <v>226.14209904479645</v>
      </c>
      <c r="I342" s="26" t="s">
        <v>45</v>
      </c>
      <c r="J342" s="17">
        <v>112928.58</v>
      </c>
      <c r="K342" s="7" t="s">
        <v>46</v>
      </c>
      <c r="L342" s="3" t="s">
        <v>227</v>
      </c>
      <c r="M342" s="3" t="s">
        <v>480</v>
      </c>
      <c r="N342" s="3" t="s">
        <v>168</v>
      </c>
      <c r="O342" s="3" t="s">
        <v>481</v>
      </c>
    </row>
    <row r="343" spans="1:15" hidden="1" x14ac:dyDescent="0.25">
      <c r="A343" s="3" t="s">
        <v>26</v>
      </c>
      <c r="B343" s="3" t="s">
        <v>81</v>
      </c>
      <c r="C343" s="4" t="s">
        <v>36</v>
      </c>
      <c r="D343" s="6">
        <v>46059</v>
      </c>
      <c r="E343" s="48">
        <v>46059</v>
      </c>
      <c r="F343" s="25">
        <v>-63</v>
      </c>
      <c r="G343" s="47" t="s">
        <v>906</v>
      </c>
      <c r="H343" s="20">
        <v>13796.997675999999</v>
      </c>
      <c r="I343" s="26" t="s">
        <v>111</v>
      </c>
      <c r="J343" s="14">
        <v>11956.84</v>
      </c>
      <c r="K343" s="7" t="s">
        <v>112</v>
      </c>
      <c r="L343" s="3" t="s">
        <v>166</v>
      </c>
      <c r="M343" s="3" t="s">
        <v>167</v>
      </c>
      <c r="N343" s="3" t="s">
        <v>168</v>
      </c>
      <c r="O343" s="2" t="s">
        <v>169</v>
      </c>
    </row>
    <row r="344" spans="1:15" hidden="1" x14ac:dyDescent="0.25">
      <c r="A344" s="3" t="s">
        <v>26</v>
      </c>
      <c r="B344" s="3" t="s">
        <v>81</v>
      </c>
      <c r="C344" s="4" t="s">
        <v>36</v>
      </c>
      <c r="D344" s="6">
        <v>46099</v>
      </c>
      <c r="E344" s="51">
        <v>46099</v>
      </c>
      <c r="F344" s="25">
        <f t="shared" ref="F344:F365" si="12">IF(D344=0,0,+F$4-D344)</f>
        <v>-33</v>
      </c>
      <c r="G344" s="35">
        <v>3</v>
      </c>
      <c r="H344" s="20">
        <f t="shared" ref="H344:H365" si="13">IF(I344="¢",IFERROR(J344/G$4,0),IF(I344="€",J344*J$4,J344))</f>
        <v>25579.665199800002</v>
      </c>
      <c r="I344" s="26" t="s">
        <v>111</v>
      </c>
      <c r="J344" s="17">
        <v>21630.023000000001</v>
      </c>
      <c r="K344" s="7" t="s">
        <v>112</v>
      </c>
      <c r="L344" s="3" t="s">
        <v>166</v>
      </c>
      <c r="M344" s="3" t="s">
        <v>505</v>
      </c>
      <c r="N344" s="3" t="s">
        <v>168</v>
      </c>
      <c r="O344" s="3" t="s">
        <v>506</v>
      </c>
    </row>
    <row r="345" spans="1:15" hidden="1" x14ac:dyDescent="0.25">
      <c r="A345" s="3" t="s">
        <v>26</v>
      </c>
      <c r="B345" s="3" t="s">
        <v>43</v>
      </c>
      <c r="C345" s="4" t="s">
        <v>44</v>
      </c>
      <c r="D345" s="6">
        <v>46093</v>
      </c>
      <c r="E345" s="51">
        <v>46093</v>
      </c>
      <c r="F345" s="25">
        <f t="shared" si="12"/>
        <v>-27</v>
      </c>
      <c r="G345" s="35">
        <v>3</v>
      </c>
      <c r="H345" s="20">
        <f t="shared" si="13"/>
        <v>7921.3</v>
      </c>
      <c r="I345" s="26" t="s">
        <v>29</v>
      </c>
      <c r="J345" s="17">
        <v>7921.3</v>
      </c>
      <c r="K345" s="7" t="s">
        <v>46</v>
      </c>
      <c r="L345" s="3" t="s">
        <v>486</v>
      </c>
      <c r="M345" s="3" t="s">
        <v>487</v>
      </c>
      <c r="N345" s="3" t="s">
        <v>168</v>
      </c>
      <c r="O345" s="3" t="s">
        <v>488</v>
      </c>
    </row>
    <row r="346" spans="1:15" hidden="1" x14ac:dyDescent="0.25">
      <c r="A346" s="3" t="s">
        <v>26</v>
      </c>
      <c r="B346" s="3" t="s">
        <v>81</v>
      </c>
      <c r="C346" s="4" t="s">
        <v>36</v>
      </c>
      <c r="D346" s="6">
        <v>46103</v>
      </c>
      <c r="E346" s="51">
        <v>46103</v>
      </c>
      <c r="F346" s="25">
        <f t="shared" si="12"/>
        <v>-37</v>
      </c>
      <c r="G346" s="35">
        <v>3</v>
      </c>
      <c r="H346" s="20">
        <f t="shared" si="13"/>
        <v>14140.158984000002</v>
      </c>
      <c r="I346" s="26" t="s">
        <v>111</v>
      </c>
      <c r="J346" s="17">
        <v>11956.84</v>
      </c>
      <c r="K346" s="7" t="s">
        <v>112</v>
      </c>
      <c r="L346" s="3" t="s">
        <v>166</v>
      </c>
      <c r="M346" s="3" t="s">
        <v>510</v>
      </c>
      <c r="N346" s="3" t="s">
        <v>168</v>
      </c>
      <c r="O346" s="3" t="s">
        <v>506</v>
      </c>
    </row>
    <row r="347" spans="1:15" hidden="1" x14ac:dyDescent="0.25">
      <c r="A347" s="3" t="s">
        <v>26</v>
      </c>
      <c r="B347" s="3" t="s">
        <v>43</v>
      </c>
      <c r="C347" s="4" t="s">
        <v>44</v>
      </c>
      <c r="D347" s="6">
        <v>46095</v>
      </c>
      <c r="F347" s="25">
        <f t="shared" si="12"/>
        <v>-29</v>
      </c>
      <c r="G347" s="35">
        <v>3</v>
      </c>
      <c r="H347" s="20">
        <f t="shared" si="13"/>
        <v>196.84316238460463</v>
      </c>
      <c r="I347" s="26" t="s">
        <v>45</v>
      </c>
      <c r="J347" s="17">
        <v>98297.57</v>
      </c>
      <c r="K347" s="7" t="s">
        <v>46</v>
      </c>
      <c r="L347" s="3" t="s">
        <v>82</v>
      </c>
      <c r="M347" s="3" t="s">
        <v>491</v>
      </c>
      <c r="N347" s="3" t="s">
        <v>174</v>
      </c>
      <c r="O347" s="3" t="s">
        <v>492</v>
      </c>
    </row>
    <row r="348" spans="1:15" hidden="1" x14ac:dyDescent="0.25">
      <c r="A348" s="3" t="s">
        <v>26</v>
      </c>
      <c r="B348" s="3" t="s">
        <v>81</v>
      </c>
      <c r="C348" s="4" t="s">
        <v>36</v>
      </c>
      <c r="D348" s="6">
        <v>46096</v>
      </c>
      <c r="F348" s="25">
        <f t="shared" si="12"/>
        <v>-30</v>
      </c>
      <c r="G348" s="35">
        <v>3</v>
      </c>
      <c r="H348" s="60">
        <f t="shared" si="13"/>
        <v>58.13</v>
      </c>
      <c r="I348" s="59" t="s">
        <v>29</v>
      </c>
      <c r="J348" s="17">
        <v>58.13</v>
      </c>
      <c r="K348" s="61" t="s">
        <v>46</v>
      </c>
      <c r="L348" s="3" t="s">
        <v>281</v>
      </c>
      <c r="M348" s="3" t="s">
        <v>493</v>
      </c>
      <c r="N348" s="3" t="s">
        <v>174</v>
      </c>
      <c r="O348" s="3" t="s">
        <v>494</v>
      </c>
    </row>
    <row r="349" spans="1:15" hidden="1" x14ac:dyDescent="0.25">
      <c r="A349" s="3" t="s">
        <v>26</v>
      </c>
      <c r="B349" s="3" t="s">
        <v>35</v>
      </c>
      <c r="C349" s="4" t="s">
        <v>36</v>
      </c>
      <c r="D349" s="6">
        <v>46096</v>
      </c>
      <c r="F349" s="25">
        <f t="shared" si="12"/>
        <v>-30</v>
      </c>
      <c r="G349" s="35">
        <v>3</v>
      </c>
      <c r="H349" s="20">
        <f t="shared" si="13"/>
        <v>193.38893005186534</v>
      </c>
      <c r="I349" s="26" t="s">
        <v>45</v>
      </c>
      <c r="J349" s="17">
        <v>96572.63</v>
      </c>
      <c r="K349" s="7" t="s">
        <v>46</v>
      </c>
      <c r="L349" s="3" t="s">
        <v>82</v>
      </c>
      <c r="M349" s="3" t="s">
        <v>495</v>
      </c>
      <c r="N349" s="3" t="s">
        <v>174</v>
      </c>
      <c r="O349" s="3" t="s">
        <v>496</v>
      </c>
    </row>
    <row r="350" spans="1:15" hidden="1" x14ac:dyDescent="0.25">
      <c r="A350" s="3" t="s">
        <v>26</v>
      </c>
      <c r="B350" s="3" t="s">
        <v>81</v>
      </c>
      <c r="C350" s="4" t="s">
        <v>36</v>
      </c>
      <c r="D350" s="6">
        <v>46096</v>
      </c>
      <c r="F350" s="25">
        <f t="shared" si="12"/>
        <v>-30</v>
      </c>
      <c r="G350" s="35">
        <v>3</v>
      </c>
      <c r="H350" s="20">
        <f t="shared" si="13"/>
        <v>101.59749284097963</v>
      </c>
      <c r="I350" s="26" t="s">
        <v>45</v>
      </c>
      <c r="J350" s="17">
        <v>50734.74</v>
      </c>
      <c r="K350" s="7" t="s">
        <v>46</v>
      </c>
      <c r="L350" s="3" t="s">
        <v>82</v>
      </c>
      <c r="M350" s="3" t="s">
        <v>497</v>
      </c>
      <c r="N350" s="3" t="s">
        <v>174</v>
      </c>
      <c r="O350" s="3" t="s">
        <v>498</v>
      </c>
    </row>
    <row r="351" spans="1:15" hidden="1" x14ac:dyDescent="0.25">
      <c r="A351" s="3" t="s">
        <v>26</v>
      </c>
      <c r="B351" s="3" t="s">
        <v>81</v>
      </c>
      <c r="C351" s="4" t="s">
        <v>36</v>
      </c>
      <c r="D351" s="6">
        <v>46097</v>
      </c>
      <c r="F351" s="25">
        <f t="shared" si="12"/>
        <v>-31</v>
      </c>
      <c r="G351" s="35">
        <v>3</v>
      </c>
      <c r="H351" s="20">
        <f t="shared" si="13"/>
        <v>1783.0543284538517</v>
      </c>
      <c r="I351" s="26" t="s">
        <v>45</v>
      </c>
      <c r="J351" s="17">
        <v>890403.83999999997</v>
      </c>
      <c r="K351" s="7" t="s">
        <v>46</v>
      </c>
      <c r="L351" s="3" t="s">
        <v>227</v>
      </c>
      <c r="M351" s="3" t="s">
        <v>499</v>
      </c>
      <c r="N351" s="3" t="s">
        <v>168</v>
      </c>
      <c r="O351" s="3" t="s">
        <v>500</v>
      </c>
    </row>
    <row r="352" spans="1:15" hidden="1" x14ac:dyDescent="0.25">
      <c r="A352" s="3" t="s">
        <v>26</v>
      </c>
      <c r="B352" s="3" t="s">
        <v>43</v>
      </c>
      <c r="C352" s="4" t="s">
        <v>44</v>
      </c>
      <c r="D352" s="6">
        <v>46097</v>
      </c>
      <c r="F352" s="25">
        <f t="shared" si="12"/>
        <v>-31</v>
      </c>
      <c r="G352" s="35">
        <v>3</v>
      </c>
      <c r="H352" s="20">
        <f t="shared" si="13"/>
        <v>196.84316238460463</v>
      </c>
      <c r="I352" s="26" t="s">
        <v>45</v>
      </c>
      <c r="J352" s="17">
        <v>98297.57</v>
      </c>
      <c r="K352" s="7" t="s">
        <v>46</v>
      </c>
      <c r="L352" s="3" t="s">
        <v>82</v>
      </c>
      <c r="M352" s="3" t="s">
        <v>501</v>
      </c>
      <c r="N352" s="3" t="s">
        <v>174</v>
      </c>
      <c r="O352" s="3" t="s">
        <v>502</v>
      </c>
    </row>
    <row r="353" spans="1:15" hidden="1" x14ac:dyDescent="0.25">
      <c r="A353" s="3" t="s">
        <v>26</v>
      </c>
      <c r="B353" s="3" t="s">
        <v>43</v>
      </c>
      <c r="C353" s="4" t="s">
        <v>44</v>
      </c>
      <c r="D353" s="6">
        <v>46097</v>
      </c>
      <c r="F353" s="25">
        <f t="shared" si="12"/>
        <v>-31</v>
      </c>
      <c r="G353" s="35">
        <v>3</v>
      </c>
      <c r="H353" s="20">
        <f t="shared" si="13"/>
        <v>514.72333139756097</v>
      </c>
      <c r="I353" s="26" t="s">
        <v>45</v>
      </c>
      <c r="J353" s="17">
        <v>257037.39</v>
      </c>
      <c r="K353" s="7" t="s">
        <v>46</v>
      </c>
      <c r="L353" s="3" t="s">
        <v>82</v>
      </c>
      <c r="M353" s="3" t="s">
        <v>503</v>
      </c>
      <c r="N353" s="3" t="s">
        <v>174</v>
      </c>
      <c r="O353" s="3" t="s">
        <v>504</v>
      </c>
    </row>
    <row r="354" spans="1:15" hidden="1" x14ac:dyDescent="0.25">
      <c r="A354" s="3" t="s">
        <v>26</v>
      </c>
      <c r="B354" s="3" t="s">
        <v>67</v>
      </c>
      <c r="C354" s="4" t="s">
        <v>44</v>
      </c>
      <c r="D354" s="6">
        <v>46098</v>
      </c>
      <c r="F354" s="25">
        <f t="shared" si="12"/>
        <v>-32</v>
      </c>
      <c r="G354" s="35">
        <v>3</v>
      </c>
      <c r="H354" s="20">
        <f t="shared" si="13"/>
        <v>375.08</v>
      </c>
      <c r="I354" s="26" t="s">
        <v>29</v>
      </c>
      <c r="J354" s="17">
        <v>375.08</v>
      </c>
      <c r="K354" s="7" t="s">
        <v>46</v>
      </c>
      <c r="L354" s="3" t="s">
        <v>281</v>
      </c>
      <c r="M354" s="3" t="s">
        <v>625</v>
      </c>
      <c r="N354" s="3" t="s">
        <v>84</v>
      </c>
      <c r="O354" s="3" t="s">
        <v>626</v>
      </c>
    </row>
    <row r="355" spans="1:15" hidden="1" x14ac:dyDescent="0.25">
      <c r="A355" s="3" t="s">
        <v>26</v>
      </c>
      <c r="B355" s="3" t="s">
        <v>81</v>
      </c>
      <c r="C355" s="4" t="s">
        <v>36</v>
      </c>
      <c r="D355" s="6">
        <v>46098</v>
      </c>
      <c r="F355" s="25">
        <f t="shared" si="12"/>
        <v>-32</v>
      </c>
      <c r="G355" s="35">
        <v>3</v>
      </c>
      <c r="H355" s="20">
        <f t="shared" si="13"/>
        <v>2464.1448224763203</v>
      </c>
      <c r="I355" s="26" t="s">
        <v>45</v>
      </c>
      <c r="J355" s="17">
        <v>1230520</v>
      </c>
      <c r="K355" s="7" t="s">
        <v>46</v>
      </c>
      <c r="L355" s="3" t="s">
        <v>227</v>
      </c>
      <c r="M355" s="3" t="s">
        <v>778</v>
      </c>
      <c r="N355" s="3" t="s">
        <v>168</v>
      </c>
      <c r="O355" s="3" t="s">
        <v>779</v>
      </c>
    </row>
    <row r="356" spans="1:15" hidden="1" x14ac:dyDescent="0.25">
      <c r="A356" s="3" t="s">
        <v>26</v>
      </c>
      <c r="B356" s="3" t="s">
        <v>35</v>
      </c>
      <c r="C356" s="4" t="s">
        <v>36</v>
      </c>
      <c r="D356" s="6">
        <v>46038</v>
      </c>
      <c r="E356" s="51">
        <v>46172</v>
      </c>
      <c r="F356" s="25">
        <f t="shared" si="12"/>
        <v>28</v>
      </c>
      <c r="G356" s="47">
        <v>5</v>
      </c>
      <c r="H356" s="20">
        <f t="shared" si="13"/>
        <v>12223</v>
      </c>
      <c r="I356" s="26" t="s">
        <v>29</v>
      </c>
      <c r="J356" s="17">
        <v>12223</v>
      </c>
      <c r="K356" s="7" t="s">
        <v>30</v>
      </c>
      <c r="L356" s="3" t="s">
        <v>37</v>
      </c>
      <c r="M356" s="3" t="s">
        <v>38</v>
      </c>
      <c r="N356" s="3" t="s">
        <v>39</v>
      </c>
      <c r="O356" s="3" t="s">
        <v>40</v>
      </c>
    </row>
    <row r="357" spans="1:15" hidden="1" x14ac:dyDescent="0.25">
      <c r="A357" s="3" t="s">
        <v>26</v>
      </c>
      <c r="B357" s="3" t="s">
        <v>81</v>
      </c>
      <c r="C357" s="4" t="s">
        <v>36</v>
      </c>
      <c r="D357" s="6">
        <v>46083</v>
      </c>
      <c r="E357" s="48">
        <v>46083</v>
      </c>
      <c r="F357" s="25">
        <f t="shared" si="12"/>
        <v>-17</v>
      </c>
      <c r="G357" s="35">
        <v>3</v>
      </c>
      <c r="H357" s="20">
        <f t="shared" si="13"/>
        <v>216.5</v>
      </c>
      <c r="I357" s="26" t="s">
        <v>29</v>
      </c>
      <c r="J357" s="17">
        <v>216.5</v>
      </c>
      <c r="K357" s="7" t="s">
        <v>30</v>
      </c>
      <c r="L357" s="3" t="s">
        <v>458</v>
      </c>
      <c r="M357" s="3" t="s">
        <v>459</v>
      </c>
      <c r="N357" s="3" t="s">
        <v>174</v>
      </c>
      <c r="O357" s="3" t="s">
        <v>460</v>
      </c>
    </row>
    <row r="358" spans="1:15" hidden="1" x14ac:dyDescent="0.25">
      <c r="A358" s="3" t="s">
        <v>26</v>
      </c>
      <c r="B358" s="3" t="s">
        <v>35</v>
      </c>
      <c r="C358" s="4" t="s">
        <v>36</v>
      </c>
      <c r="D358" s="6">
        <v>46049</v>
      </c>
      <c r="E358" s="51">
        <v>46059</v>
      </c>
      <c r="F358" s="25">
        <f t="shared" si="12"/>
        <v>17</v>
      </c>
      <c r="G358" s="47" t="s">
        <v>906</v>
      </c>
      <c r="H358" s="20">
        <f t="shared" si="13"/>
        <v>2814.6</v>
      </c>
      <c r="I358" s="26" t="s">
        <v>29</v>
      </c>
      <c r="J358" s="17">
        <v>2814.6</v>
      </c>
      <c r="K358" s="7" t="s">
        <v>30</v>
      </c>
      <c r="L358" s="3" t="s">
        <v>590</v>
      </c>
      <c r="M358" s="3" t="s">
        <v>591</v>
      </c>
      <c r="N358" s="3" t="s">
        <v>565</v>
      </c>
      <c r="O358" s="3" t="s">
        <v>592</v>
      </c>
    </row>
    <row r="359" spans="1:15" hidden="1" x14ac:dyDescent="0.25">
      <c r="A359" s="3" t="s">
        <v>26</v>
      </c>
      <c r="B359" s="3" t="s">
        <v>43</v>
      </c>
      <c r="C359" s="4" t="s">
        <v>44</v>
      </c>
      <c r="D359" s="6">
        <v>46105</v>
      </c>
      <c r="F359" s="25">
        <f t="shared" si="12"/>
        <v>-39</v>
      </c>
      <c r="G359" s="35">
        <v>3</v>
      </c>
      <c r="H359" s="20">
        <f t="shared" si="13"/>
        <v>780.81763021406982</v>
      </c>
      <c r="I359" s="26" t="s">
        <v>45</v>
      </c>
      <c r="J359" s="17">
        <v>389916.9</v>
      </c>
      <c r="K359" s="7" t="s">
        <v>46</v>
      </c>
      <c r="L359" s="3" t="s">
        <v>82</v>
      </c>
      <c r="M359" s="3" t="s">
        <v>894</v>
      </c>
      <c r="N359" s="3" t="s">
        <v>174</v>
      </c>
      <c r="O359" s="3" t="s">
        <v>895</v>
      </c>
    </row>
    <row r="360" spans="1:15" hidden="1" x14ac:dyDescent="0.25">
      <c r="A360" s="3" t="s">
        <v>26</v>
      </c>
      <c r="B360" s="3" t="s">
        <v>81</v>
      </c>
      <c r="C360" s="4" t="s">
        <v>36</v>
      </c>
      <c r="D360" s="6">
        <v>46108</v>
      </c>
      <c r="F360" s="25">
        <f t="shared" si="12"/>
        <v>-42</v>
      </c>
      <c r="G360" s="35">
        <v>3</v>
      </c>
      <c r="H360" s="20">
        <f t="shared" si="13"/>
        <v>590.46274305625093</v>
      </c>
      <c r="I360" s="26" t="s">
        <v>45</v>
      </c>
      <c r="J360" s="17">
        <v>294859.38</v>
      </c>
      <c r="K360" s="7" t="s">
        <v>46</v>
      </c>
      <c r="L360" s="3" t="s">
        <v>82</v>
      </c>
      <c r="M360" s="3" t="s">
        <v>896</v>
      </c>
      <c r="N360" s="3" t="s">
        <v>174</v>
      </c>
      <c r="O360" s="3" t="s">
        <v>897</v>
      </c>
    </row>
    <row r="361" spans="1:15" hidden="1" x14ac:dyDescent="0.25">
      <c r="A361" s="3" t="s">
        <v>26</v>
      </c>
      <c r="B361" s="3" t="s">
        <v>81</v>
      </c>
      <c r="C361" s="4" t="s">
        <v>36</v>
      </c>
      <c r="D361" s="6">
        <v>46108</v>
      </c>
      <c r="F361" s="25">
        <f t="shared" si="12"/>
        <v>-42</v>
      </c>
      <c r="G361" s="35">
        <v>3</v>
      </c>
      <c r="H361" s="20">
        <f t="shared" si="13"/>
        <v>65.011714760598352</v>
      </c>
      <c r="I361" s="26" t="s">
        <v>45</v>
      </c>
      <c r="J361" s="17">
        <v>32464.9</v>
      </c>
      <c r="K361" s="7" t="s">
        <v>46</v>
      </c>
      <c r="L361" s="3" t="s">
        <v>82</v>
      </c>
      <c r="M361" s="3" t="s">
        <v>902</v>
      </c>
      <c r="N361" s="3" t="s">
        <v>174</v>
      </c>
      <c r="O361" s="3" t="s">
        <v>903</v>
      </c>
    </row>
    <row r="362" spans="1:15" hidden="1" x14ac:dyDescent="0.25">
      <c r="A362" s="3" t="s">
        <v>26</v>
      </c>
      <c r="B362" s="3" t="s">
        <v>27</v>
      </c>
      <c r="C362" s="4" t="s">
        <v>28</v>
      </c>
      <c r="D362" s="6">
        <v>46066</v>
      </c>
      <c r="E362" s="69">
        <v>46057</v>
      </c>
      <c r="F362" s="25">
        <f t="shared" si="12"/>
        <v>0</v>
      </c>
      <c r="G362" s="70">
        <v>46057</v>
      </c>
      <c r="H362" s="20">
        <f t="shared" si="13"/>
        <v>19505</v>
      </c>
      <c r="I362" s="26" t="s">
        <v>29</v>
      </c>
      <c r="J362" s="17">
        <v>19505</v>
      </c>
      <c r="K362" s="7" t="s">
        <v>30</v>
      </c>
      <c r="L362" s="3" t="s">
        <v>593</v>
      </c>
      <c r="M362" s="3" t="s">
        <v>594</v>
      </c>
      <c r="N362" s="3" t="s">
        <v>33</v>
      </c>
      <c r="O362" s="3" t="s">
        <v>595</v>
      </c>
    </row>
    <row r="363" spans="1:15" hidden="1" x14ac:dyDescent="0.25">
      <c r="A363" s="3" t="s">
        <v>26</v>
      </c>
      <c r="B363" s="3" t="s">
        <v>67</v>
      </c>
      <c r="C363" s="4" t="s">
        <v>44</v>
      </c>
      <c r="D363" s="6">
        <v>46057</v>
      </c>
      <c r="E363" s="72">
        <v>46063</v>
      </c>
      <c r="F363" s="25">
        <f t="shared" si="12"/>
        <v>9</v>
      </c>
      <c r="G363" s="35">
        <v>2</v>
      </c>
      <c r="H363" s="20">
        <f t="shared" si="13"/>
        <v>834.31</v>
      </c>
      <c r="I363" s="26" t="s">
        <v>29</v>
      </c>
      <c r="J363" s="17">
        <v>834.31</v>
      </c>
      <c r="K363" s="7" t="s">
        <v>30</v>
      </c>
      <c r="L363" s="3" t="s">
        <v>596</v>
      </c>
      <c r="M363" s="3" t="s">
        <v>597</v>
      </c>
      <c r="N363" s="3" t="s">
        <v>571</v>
      </c>
      <c r="O363" s="3" t="s">
        <v>598</v>
      </c>
    </row>
    <row r="364" spans="1:15" hidden="1" x14ac:dyDescent="0.25">
      <c r="A364" s="3" t="s">
        <v>26</v>
      </c>
      <c r="B364" s="3" t="s">
        <v>67</v>
      </c>
      <c r="C364" s="4" t="s">
        <v>44</v>
      </c>
      <c r="D364" s="6">
        <v>46109</v>
      </c>
      <c r="E364" s="51">
        <v>46118</v>
      </c>
      <c r="F364" s="25">
        <f t="shared" si="12"/>
        <v>-43</v>
      </c>
      <c r="G364" s="35">
        <v>4</v>
      </c>
      <c r="H364" s="20">
        <f t="shared" si="13"/>
        <v>30459.05</v>
      </c>
      <c r="I364" s="26" t="s">
        <v>29</v>
      </c>
      <c r="J364" s="17">
        <v>30459.05</v>
      </c>
      <c r="K364" s="7" t="s">
        <v>30</v>
      </c>
      <c r="L364" s="3" t="s">
        <v>596</v>
      </c>
      <c r="M364" s="3" t="s">
        <v>599</v>
      </c>
      <c r="N364" s="3" t="s">
        <v>600</v>
      </c>
      <c r="O364" s="3" t="s">
        <v>601</v>
      </c>
    </row>
    <row r="365" spans="1:15" hidden="1" x14ac:dyDescent="0.25">
      <c r="A365" s="3" t="s">
        <v>26</v>
      </c>
      <c r="B365" s="3" t="s">
        <v>67</v>
      </c>
      <c r="C365" s="4" t="s">
        <v>44</v>
      </c>
      <c r="D365" s="67">
        <v>46057</v>
      </c>
      <c r="E365" s="48">
        <v>46057</v>
      </c>
      <c r="F365" s="25">
        <f t="shared" si="12"/>
        <v>9</v>
      </c>
      <c r="G365" s="71" t="s">
        <v>907</v>
      </c>
      <c r="H365" s="20">
        <f t="shared" si="13"/>
        <v>833.05891800000006</v>
      </c>
      <c r="I365" s="26" t="s">
        <v>111</v>
      </c>
      <c r="J365" s="17">
        <v>704.43</v>
      </c>
      <c r="K365" s="7" t="s">
        <v>112</v>
      </c>
      <c r="L365" s="3" t="s">
        <v>522</v>
      </c>
      <c r="M365" s="3" t="s">
        <v>900</v>
      </c>
      <c r="N365" s="3" t="s">
        <v>566</v>
      </c>
      <c r="O365" s="3" t="s">
        <v>901</v>
      </c>
    </row>
    <row r="366" spans="1:15" hidden="1" x14ac:dyDescent="0.25">
      <c r="H366" s="21">
        <f>SUM(H7:H365)</f>
        <v>1045855.0676866086</v>
      </c>
    </row>
  </sheetData>
  <autoFilter ref="A6:O366" xr:uid="{F6D7BB1E-2C68-4FAE-AD3B-FEB01955464B}">
    <filterColumn colId="6">
      <filters>
        <filter val="1"/>
      </filters>
    </filterColumn>
    <sortState xmlns:xlrd2="http://schemas.microsoft.com/office/spreadsheetml/2017/richdata2" ref="A7:O366">
      <sortCondition ref="L7:L366"/>
    </sortState>
  </autoFilter>
  <phoneticPr fontId="8" type="noConversion"/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0F7228B-CD6E-45C3-948A-A0D2F744C1F7}">
          <x14:formula1>
            <xm:f>'Catálogo de Monedas'!$B$6:$B$25</xm:f>
          </x14:formula1>
          <xm:sqref>I7:J365</xm:sqref>
        </x14:dataValidation>
        <x14:dataValidation type="list" allowBlank="1" showInputMessage="1" showErrorMessage="1" xr:uid="{992279C4-6400-4C5C-8E04-200648120BA0}">
          <x14:formula1>
            <xm:f>'Tipos de Proveedores'!$B$6:$B$8</xm:f>
          </x14:formula1>
          <xm:sqref>K7:K365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3375-4BE1-400A-A191-56A576E122A1}">
  <sheetPr codeName="Hoja2">
    <tabColor theme="4" tint="-0.249977111117893"/>
  </sheetPr>
  <dimension ref="A1:P240"/>
  <sheetViews>
    <sheetView showGridLines="0" topLeftCell="A4" workbookViewId="0">
      <selection activeCell="E25" sqref="E25"/>
    </sheetView>
  </sheetViews>
  <sheetFormatPr baseColWidth="10" defaultColWidth="11.42578125" defaultRowHeight="15" x14ac:dyDescent="0.25"/>
  <cols>
    <col min="1" max="1" width="12.5703125" bestFit="1" customWidth="1"/>
    <col min="2" max="2" width="37.42578125" bestFit="1" customWidth="1"/>
    <col min="3" max="3" width="16.42578125" bestFit="1" customWidth="1"/>
    <col min="4" max="5" width="18.42578125" customWidth="1"/>
    <col min="6" max="6" width="13.42578125" bestFit="1" customWidth="1"/>
    <col min="7" max="7" width="20.5703125" customWidth="1"/>
    <col min="8" max="8" width="13.5703125" bestFit="1" customWidth="1"/>
    <col min="9" max="9" width="12.5703125" bestFit="1" customWidth="1"/>
    <col min="10" max="10" width="13.5703125" style="14" bestFit="1" customWidth="1"/>
    <col min="11" max="11" width="13.5703125" bestFit="1" customWidth="1"/>
    <col min="12" max="12" width="32" bestFit="1" customWidth="1"/>
    <col min="13" max="13" width="62.42578125" bestFit="1" customWidth="1"/>
    <col min="14" max="14" width="30.5703125" bestFit="1" customWidth="1"/>
    <col min="15" max="15" width="71" bestFit="1" customWidth="1"/>
    <col min="16" max="16" width="16.42578125" customWidth="1"/>
  </cols>
  <sheetData>
    <row r="1" spans="1:16" s="3" customFormat="1" x14ac:dyDescent="0.25">
      <c r="B1" s="1" t="s">
        <v>0</v>
      </c>
      <c r="C1" s="1"/>
      <c r="D1" s="2"/>
      <c r="E1" s="2"/>
      <c r="F1" s="1"/>
      <c r="G1" s="1" t="s">
        <v>2</v>
      </c>
      <c r="H1" s="1" t="s">
        <v>2</v>
      </c>
      <c r="I1" s="4"/>
      <c r="J1" s="17"/>
    </row>
    <row r="2" spans="1:16" s="3" customFormat="1" x14ac:dyDescent="0.25">
      <c r="B2" s="1" t="s">
        <v>3</v>
      </c>
      <c r="C2" s="1"/>
      <c r="D2" s="2"/>
      <c r="E2" s="2"/>
      <c r="F2" s="1" t="s">
        <v>4</v>
      </c>
      <c r="G2" s="1" t="s">
        <v>5</v>
      </c>
      <c r="H2" s="1" t="s">
        <v>5</v>
      </c>
      <c r="I2" s="4"/>
      <c r="J2" s="17"/>
    </row>
    <row r="3" spans="1:16" s="3" customFormat="1" x14ac:dyDescent="0.25">
      <c r="B3" s="1" t="s">
        <v>6</v>
      </c>
      <c r="C3" s="1"/>
      <c r="D3" s="2"/>
      <c r="E3" s="2"/>
      <c r="F3" s="1" t="s">
        <v>7</v>
      </c>
      <c r="G3" s="1" t="s">
        <v>8</v>
      </c>
      <c r="H3" s="1" t="s">
        <v>9</v>
      </c>
      <c r="I3" s="4"/>
      <c r="J3" s="17"/>
    </row>
    <row r="4" spans="1:16" s="3" customFormat="1" ht="14.1" customHeight="1" x14ac:dyDescent="0.25">
      <c r="B4" s="1" t="s">
        <v>10</v>
      </c>
      <c r="C4" s="1"/>
      <c r="D4" s="2"/>
      <c r="E4" s="51"/>
      <c r="F4" s="18">
        <v>46066</v>
      </c>
      <c r="G4" s="33">
        <v>499.37</v>
      </c>
      <c r="H4" s="19">
        <v>1.1826000000000001</v>
      </c>
      <c r="I4" s="4"/>
      <c r="P4" s="4"/>
    </row>
    <row r="5" spans="1:16" s="3" customFormat="1" x14ac:dyDescent="0.25">
      <c r="C5" s="4"/>
      <c r="D5" s="6"/>
      <c r="E5" s="6"/>
      <c r="G5" s="4"/>
      <c r="I5" s="4"/>
      <c r="J5" s="17"/>
    </row>
    <row r="6" spans="1:16" s="4" customFormat="1" ht="48.6" customHeight="1" x14ac:dyDescent="0.25">
      <c r="A6" s="8" t="s">
        <v>11</v>
      </c>
      <c r="B6" s="9" t="s">
        <v>12</v>
      </c>
      <c r="C6" s="9" t="s">
        <v>13</v>
      </c>
      <c r="D6" s="9" t="s">
        <v>14</v>
      </c>
      <c r="E6" s="52" t="s">
        <v>15</v>
      </c>
      <c r="F6" s="8" t="s">
        <v>16</v>
      </c>
      <c r="G6" s="8" t="s">
        <v>17</v>
      </c>
      <c r="H6" s="10" t="s">
        <v>18</v>
      </c>
      <c r="I6" s="8" t="s">
        <v>19</v>
      </c>
      <c r="J6" s="10" t="s">
        <v>20</v>
      </c>
      <c r="K6" s="8" t="s">
        <v>21</v>
      </c>
      <c r="L6" s="8" t="s">
        <v>22</v>
      </c>
      <c r="M6" s="9" t="s">
        <v>23</v>
      </c>
      <c r="N6" s="9" t="s">
        <v>24</v>
      </c>
      <c r="O6" s="9" t="s">
        <v>25</v>
      </c>
    </row>
    <row r="7" spans="1:16" x14ac:dyDescent="0.25">
      <c r="A7" s="3" t="s">
        <v>515</v>
      </c>
      <c r="B7" s="3" t="s">
        <v>516</v>
      </c>
      <c r="C7" s="4" t="s">
        <v>44</v>
      </c>
      <c r="D7" s="55">
        <v>46044</v>
      </c>
      <c r="F7" s="7">
        <f t="shared" ref="F7:F18" si="0">IF(D7=0,0,+F$4-D7)</f>
        <v>22</v>
      </c>
      <c r="G7" s="50" t="s">
        <v>906</v>
      </c>
      <c r="H7" s="36">
        <v>456.5</v>
      </c>
      <c r="I7" s="26" t="s">
        <v>29</v>
      </c>
      <c r="J7" s="20">
        <f t="shared" ref="J7:J18" si="1">IF(I7="¢",IFERROR(H7/G$4,0),IF(I7="€",H7*H$4,H7))</f>
        <v>456.5</v>
      </c>
      <c r="K7" s="7" t="s">
        <v>46</v>
      </c>
      <c r="L7" t="s">
        <v>579</v>
      </c>
      <c r="M7" t="s">
        <v>580</v>
      </c>
      <c r="N7" t="s">
        <v>65</v>
      </c>
      <c r="O7" t="s">
        <v>581</v>
      </c>
    </row>
    <row r="8" spans="1:16" x14ac:dyDescent="0.25">
      <c r="A8" s="3" t="s">
        <v>515</v>
      </c>
      <c r="B8" s="3" t="s">
        <v>516</v>
      </c>
      <c r="C8" s="4" t="s">
        <v>44</v>
      </c>
      <c r="D8" s="55">
        <v>46050</v>
      </c>
      <c r="F8" s="7">
        <f t="shared" si="0"/>
        <v>16</v>
      </c>
      <c r="G8" s="50" t="s">
        <v>906</v>
      </c>
      <c r="H8" s="36">
        <v>665.93</v>
      </c>
      <c r="I8" s="26" t="s">
        <v>29</v>
      </c>
      <c r="J8" s="20">
        <f t="shared" si="1"/>
        <v>665.93</v>
      </c>
      <c r="K8" s="7" t="s">
        <v>46</v>
      </c>
      <c r="L8" t="s">
        <v>579</v>
      </c>
      <c r="M8" t="s">
        <v>582</v>
      </c>
      <c r="N8" t="s">
        <v>65</v>
      </c>
      <c r="O8" t="s">
        <v>583</v>
      </c>
    </row>
    <row r="9" spans="1:16" x14ac:dyDescent="0.25">
      <c r="A9" s="3" t="s">
        <v>515</v>
      </c>
      <c r="B9" s="3" t="s">
        <v>516</v>
      </c>
      <c r="C9" s="4" t="s">
        <v>44</v>
      </c>
      <c r="D9" s="55">
        <v>46050</v>
      </c>
      <c r="F9" s="7">
        <f t="shared" si="0"/>
        <v>16</v>
      </c>
      <c r="G9" s="50" t="s">
        <v>906</v>
      </c>
      <c r="H9" s="36">
        <v>673.3</v>
      </c>
      <c r="I9" s="26" t="s">
        <v>29</v>
      </c>
      <c r="J9" s="20">
        <f t="shared" si="1"/>
        <v>673.3</v>
      </c>
      <c r="K9" s="7" t="s">
        <v>46</v>
      </c>
      <c r="L9" t="s">
        <v>579</v>
      </c>
      <c r="M9" t="s">
        <v>584</v>
      </c>
      <c r="N9" t="s">
        <v>65</v>
      </c>
      <c r="O9" t="s">
        <v>585</v>
      </c>
    </row>
    <row r="10" spans="1:16" x14ac:dyDescent="0.25">
      <c r="A10" s="3" t="s">
        <v>515</v>
      </c>
      <c r="B10" s="3" t="s">
        <v>516</v>
      </c>
      <c r="C10" s="4" t="s">
        <v>44</v>
      </c>
      <c r="D10" s="55">
        <v>46051</v>
      </c>
      <c r="E10" s="66">
        <v>46057</v>
      </c>
      <c r="F10" s="7">
        <f t="shared" si="0"/>
        <v>15</v>
      </c>
      <c r="G10" s="65" t="s">
        <v>904</v>
      </c>
      <c r="H10">
        <v>85.25</v>
      </c>
      <c r="I10" s="26" t="s">
        <v>111</v>
      </c>
      <c r="J10" s="20">
        <f t="shared" si="1"/>
        <v>100.81665000000001</v>
      </c>
      <c r="K10" s="7" t="s">
        <v>112</v>
      </c>
      <c r="L10" t="s">
        <v>522</v>
      </c>
      <c r="M10" t="s">
        <v>586</v>
      </c>
      <c r="N10" t="s">
        <v>371</v>
      </c>
      <c r="O10" t="s">
        <v>587</v>
      </c>
    </row>
    <row r="11" spans="1:16" x14ac:dyDescent="0.25">
      <c r="A11" s="3" t="s">
        <v>515</v>
      </c>
      <c r="B11" s="3" t="s">
        <v>516</v>
      </c>
      <c r="C11" s="4" t="s">
        <v>44</v>
      </c>
      <c r="D11" s="55">
        <v>46057</v>
      </c>
      <c r="E11" s="66">
        <v>46057</v>
      </c>
      <c r="F11" s="7">
        <f t="shared" si="0"/>
        <v>9</v>
      </c>
      <c r="G11" s="65" t="s">
        <v>904</v>
      </c>
      <c r="H11" s="36">
        <v>1706</v>
      </c>
      <c r="I11" s="26" t="s">
        <v>111</v>
      </c>
      <c r="J11" s="20">
        <f t="shared" si="1"/>
        <v>2017.5156000000002</v>
      </c>
      <c r="K11" s="7" t="s">
        <v>112</v>
      </c>
      <c r="L11" t="s">
        <v>522</v>
      </c>
      <c r="M11" t="s">
        <v>898</v>
      </c>
      <c r="N11" t="s">
        <v>566</v>
      </c>
      <c r="O11" t="s">
        <v>899</v>
      </c>
    </row>
    <row r="12" spans="1:16" x14ac:dyDescent="0.25">
      <c r="A12" s="3" t="s">
        <v>515</v>
      </c>
      <c r="B12" s="3" t="s">
        <v>516</v>
      </c>
      <c r="C12" s="4" t="s">
        <v>44</v>
      </c>
      <c r="D12" s="55">
        <v>46061</v>
      </c>
      <c r="F12" s="7">
        <f t="shared" si="0"/>
        <v>5</v>
      </c>
      <c r="G12" s="50" t="s">
        <v>905</v>
      </c>
      <c r="H12" s="36">
        <v>50850</v>
      </c>
      <c r="I12" s="26" t="s">
        <v>45</v>
      </c>
      <c r="J12" s="20">
        <f t="shared" si="1"/>
        <v>101.8283036626149</v>
      </c>
      <c r="K12" s="7" t="s">
        <v>46</v>
      </c>
      <c r="L12" t="s">
        <v>148</v>
      </c>
      <c r="M12" t="s">
        <v>518</v>
      </c>
      <c r="N12" t="s">
        <v>65</v>
      </c>
      <c r="O12" t="s">
        <v>519</v>
      </c>
    </row>
    <row r="13" spans="1:16" x14ac:dyDescent="0.25">
      <c r="A13" s="3" t="s">
        <v>515</v>
      </c>
      <c r="B13" s="3" t="s">
        <v>516</v>
      </c>
      <c r="C13" s="4" t="s">
        <v>44</v>
      </c>
      <c r="D13" s="55">
        <v>46061</v>
      </c>
      <c r="F13" s="7">
        <f t="shared" si="0"/>
        <v>5</v>
      </c>
      <c r="G13" s="50" t="s">
        <v>905</v>
      </c>
      <c r="H13" s="36">
        <v>62150</v>
      </c>
      <c r="I13" s="26" t="s">
        <v>45</v>
      </c>
      <c r="J13" s="20">
        <f t="shared" si="1"/>
        <v>124.45681558764042</v>
      </c>
      <c r="K13" s="7" t="s">
        <v>46</v>
      </c>
      <c r="L13" t="s">
        <v>133</v>
      </c>
      <c r="M13" t="s">
        <v>520</v>
      </c>
      <c r="N13" t="s">
        <v>65</v>
      </c>
      <c r="O13" t="s">
        <v>521</v>
      </c>
    </row>
    <row r="14" spans="1:16" x14ac:dyDescent="0.25">
      <c r="A14" s="3" t="s">
        <v>515</v>
      </c>
      <c r="B14" s="3" t="s">
        <v>516</v>
      </c>
      <c r="C14" s="4" t="s">
        <v>44</v>
      </c>
      <c r="D14" s="55">
        <v>46078</v>
      </c>
      <c r="F14" s="7">
        <f t="shared" si="0"/>
        <v>-12</v>
      </c>
      <c r="G14" s="50" t="s">
        <v>517</v>
      </c>
      <c r="H14" s="36">
        <v>100650.23</v>
      </c>
      <c r="I14" s="26" t="s">
        <v>45</v>
      </c>
      <c r="J14" s="20">
        <f t="shared" si="1"/>
        <v>201.55441856739492</v>
      </c>
      <c r="K14" s="7" t="s">
        <v>46</v>
      </c>
      <c r="L14" t="s">
        <v>63</v>
      </c>
      <c r="M14" t="s">
        <v>573</v>
      </c>
      <c r="N14" t="s">
        <v>65</v>
      </c>
      <c r="O14" t="s">
        <v>574</v>
      </c>
    </row>
    <row r="15" spans="1:16" x14ac:dyDescent="0.25">
      <c r="A15" s="3" t="s">
        <v>515</v>
      </c>
      <c r="B15" s="3" t="s">
        <v>516</v>
      </c>
      <c r="C15" s="4" t="s">
        <v>44</v>
      </c>
      <c r="D15" s="55">
        <v>46078</v>
      </c>
      <c r="F15" s="7">
        <f t="shared" si="0"/>
        <v>-12</v>
      </c>
      <c r="G15" s="50" t="s">
        <v>517</v>
      </c>
      <c r="H15" s="36">
        <v>28250</v>
      </c>
      <c r="I15" s="26" t="s">
        <v>45</v>
      </c>
      <c r="J15" s="20">
        <f t="shared" si="1"/>
        <v>56.57127981256383</v>
      </c>
      <c r="K15" s="7" t="s">
        <v>46</v>
      </c>
      <c r="L15" t="s">
        <v>148</v>
      </c>
      <c r="M15" t="s">
        <v>575</v>
      </c>
      <c r="N15" t="s">
        <v>65</v>
      </c>
      <c r="O15" t="s">
        <v>576</v>
      </c>
    </row>
    <row r="16" spans="1:16" x14ac:dyDescent="0.25">
      <c r="A16" s="3" t="s">
        <v>515</v>
      </c>
      <c r="B16" s="3" t="s">
        <v>516</v>
      </c>
      <c r="C16" s="4" t="s">
        <v>44</v>
      </c>
      <c r="D16" s="55">
        <v>46078</v>
      </c>
      <c r="F16" s="7">
        <f t="shared" si="0"/>
        <v>-12</v>
      </c>
      <c r="G16" s="50" t="s">
        <v>517</v>
      </c>
      <c r="H16" s="36">
        <v>39550</v>
      </c>
      <c r="I16" s="26" t="s">
        <v>45</v>
      </c>
      <c r="J16" s="20">
        <f t="shared" si="1"/>
        <v>79.199791737589365</v>
      </c>
      <c r="K16" s="7" t="s">
        <v>46</v>
      </c>
      <c r="L16" t="s">
        <v>133</v>
      </c>
      <c r="M16" t="s">
        <v>577</v>
      </c>
      <c r="N16" t="s">
        <v>65</v>
      </c>
      <c r="O16" t="s">
        <v>578</v>
      </c>
    </row>
    <row r="17" spans="1:15" x14ac:dyDescent="0.25">
      <c r="A17" s="3" t="s">
        <v>515</v>
      </c>
      <c r="B17" s="3" t="s">
        <v>516</v>
      </c>
      <c r="C17" s="4" t="s">
        <v>44</v>
      </c>
      <c r="D17" s="55">
        <v>46079</v>
      </c>
      <c r="E17" s="62">
        <v>46079</v>
      </c>
      <c r="F17" s="7">
        <f t="shared" si="0"/>
        <v>-13</v>
      </c>
      <c r="G17" s="50" t="s">
        <v>517</v>
      </c>
      <c r="H17" s="36">
        <v>1114.3499999999999</v>
      </c>
      <c r="I17" s="26" t="s">
        <v>111</v>
      </c>
      <c r="J17" s="20">
        <f t="shared" si="1"/>
        <v>1317.8303100000001</v>
      </c>
      <c r="K17" s="7" t="s">
        <v>112</v>
      </c>
      <c r="L17" t="s">
        <v>522</v>
      </c>
      <c r="M17" t="s">
        <v>523</v>
      </c>
      <c r="N17" t="s">
        <v>371</v>
      </c>
      <c r="O17" t="s">
        <v>524</v>
      </c>
    </row>
    <row r="18" spans="1:15" x14ac:dyDescent="0.25">
      <c r="A18" s="3" t="s">
        <v>515</v>
      </c>
      <c r="B18" s="3" t="s">
        <v>516</v>
      </c>
      <c r="C18" s="4" t="s">
        <v>44</v>
      </c>
      <c r="D18" s="55">
        <v>46079</v>
      </c>
      <c r="E18" s="62">
        <v>46079</v>
      </c>
      <c r="F18" s="7">
        <f t="shared" si="0"/>
        <v>-13</v>
      </c>
      <c r="G18" s="50" t="s">
        <v>517</v>
      </c>
      <c r="H18">
        <v>5960.78</v>
      </c>
      <c r="I18" s="26" t="s">
        <v>111</v>
      </c>
      <c r="J18" s="20">
        <f t="shared" si="1"/>
        <v>7049.2184280000001</v>
      </c>
      <c r="K18" s="7" t="s">
        <v>112</v>
      </c>
      <c r="L18" t="s">
        <v>522</v>
      </c>
      <c r="M18" t="s">
        <v>525</v>
      </c>
      <c r="N18" t="s">
        <v>371</v>
      </c>
      <c r="O18" t="s">
        <v>526</v>
      </c>
    </row>
    <row r="19" spans="1:15" x14ac:dyDescent="0.25">
      <c r="J19" s="21">
        <f>SUM(J7:J18)</f>
        <v>12844.721597367803</v>
      </c>
    </row>
    <row r="26" spans="1:15" x14ac:dyDescent="0.25">
      <c r="C26" s="4"/>
    </row>
    <row r="41" spans="3:3" x14ac:dyDescent="0.25">
      <c r="C41" s="4"/>
    </row>
    <row r="56" spans="3:3" x14ac:dyDescent="0.25">
      <c r="C56" s="4"/>
    </row>
    <row r="80" spans="3:3" x14ac:dyDescent="0.25">
      <c r="C80" s="4"/>
    </row>
    <row r="81" spans="3:3" x14ac:dyDescent="0.25">
      <c r="C81" s="4"/>
    </row>
    <row r="82" spans="3:3" x14ac:dyDescent="0.25">
      <c r="C82" s="4"/>
    </row>
    <row r="84" spans="3:3" x14ac:dyDescent="0.25">
      <c r="C84" s="4"/>
    </row>
    <row r="91" spans="3:3" x14ac:dyDescent="0.25">
      <c r="C91" s="4"/>
    </row>
    <row r="107" spans="3:3" x14ac:dyDescent="0.25">
      <c r="C107" s="4"/>
    </row>
    <row r="120" spans="3:3" x14ac:dyDescent="0.25">
      <c r="C120" s="4"/>
    </row>
    <row r="133" spans="3:3" x14ac:dyDescent="0.25">
      <c r="C133" s="4"/>
    </row>
    <row r="155" spans="3:3" x14ac:dyDescent="0.25">
      <c r="C155" s="4"/>
    </row>
    <row r="169" spans="3:3" x14ac:dyDescent="0.25">
      <c r="C169" s="4"/>
    </row>
    <row r="170" spans="3:3" x14ac:dyDescent="0.25">
      <c r="C170" s="4"/>
    </row>
    <row r="171" spans="3:3" x14ac:dyDescent="0.25">
      <c r="C171" s="4"/>
    </row>
    <row r="178" spans="3:3" x14ac:dyDescent="0.25">
      <c r="C178" s="4"/>
    </row>
    <row r="203" spans="3:3" x14ac:dyDescent="0.25">
      <c r="C203" s="4"/>
    </row>
    <row r="216" spans="3:3" x14ac:dyDescent="0.25">
      <c r="C216" s="4"/>
    </row>
    <row r="224" spans="3:3" x14ac:dyDescent="0.25">
      <c r="C224" s="4"/>
    </row>
    <row r="232" spans="3:3" x14ac:dyDescent="0.25">
      <c r="C232" s="4"/>
    </row>
    <row r="240" spans="3:3" x14ac:dyDescent="0.25">
      <c r="C240" s="4"/>
    </row>
  </sheetData>
  <autoFilter ref="A6:O19" xr:uid="{14143375-4BE1-400A-A191-56A576E122A1}">
    <sortState xmlns:xlrd2="http://schemas.microsoft.com/office/spreadsheetml/2017/richdata2" ref="A7:O19">
      <sortCondition ref="D6:D11"/>
    </sortState>
  </autoFilter>
  <phoneticPr fontId="8" type="noConversion"/>
  <conditionalFormatting sqref="M4">
    <cfRule type="duplicateValues" dxfId="1" priority="1"/>
  </conditionalFormatting>
  <pageMargins left="0.7" right="0.7" top="0.75" bottom="0.75" header="0.3" footer="0.3"/>
  <pageSetup orientation="portrait" r:id="rId1"/>
  <ignoredErrors>
    <ignoredError sqref="G12:G16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C113624-38D4-44B9-9889-B05C5F1707C6}">
          <x14:formula1>
            <xm:f>Responsables!$B$6:$B$10</xm:f>
          </x14:formula1>
          <xm:sqref>C224 C232 C240 C216 C203 C26 C41 C56 C80:C82 C84 C91 C107 C120 C133 C155 C169:C171 C178 C7:C18</xm:sqref>
        </x14:dataValidation>
        <x14:dataValidation type="list" allowBlank="1" showInputMessage="1" showErrorMessage="1" xr:uid="{FB1D49AC-00D4-4241-B5DE-9EC3DFA29C40}">
          <x14:formula1>
            <xm:f>'Tipos de Proveedores'!$A$12:$A$15</xm:f>
          </x14:formula1>
          <xm:sqref>A7:A18</xm:sqref>
        </x14:dataValidation>
        <x14:dataValidation type="list" allowBlank="1" showInputMessage="1" showErrorMessage="1" xr:uid="{A1CB5D75-FB5B-45A4-9981-0A0BC682D152}">
          <x14:formula1>
            <xm:f>'Tipos de Proveedores'!$B$6:$B$8</xm:f>
          </x14:formula1>
          <xm:sqref>K7:K18</xm:sqref>
        </x14:dataValidation>
        <x14:dataValidation type="list" allowBlank="1" showInputMessage="1" showErrorMessage="1" xr:uid="{26FDA2DA-A13E-4B1C-BDBD-2B2C3885F3CD}">
          <x14:formula1>
            <xm:f>'Catálogo de Monedas'!$B$6:$B$25</xm:f>
          </x14:formula1>
          <xm:sqref>I7:I18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B1ED-29F3-4A99-82F9-7A6E3B5D80A6}">
  <sheetPr codeName="Hoja3">
    <tabColor theme="3" tint="0.249977111117893"/>
    <pageSetUpPr fitToPage="1"/>
  </sheetPr>
  <dimension ref="A1:P31"/>
  <sheetViews>
    <sheetView showGridLines="0" zoomScale="90" zoomScaleNormal="90" workbookViewId="0">
      <selection activeCell="J26" sqref="J26"/>
    </sheetView>
  </sheetViews>
  <sheetFormatPr baseColWidth="10" defaultColWidth="11.42578125" defaultRowHeight="15" outlineLevelCol="1" x14ac:dyDescent="0.25"/>
  <cols>
    <col min="1" max="1" width="10.5703125" customWidth="1"/>
    <col min="2" max="2" width="29" customWidth="1"/>
    <col min="3" max="3" width="16.42578125" customWidth="1"/>
    <col min="4" max="4" width="13.42578125" customWidth="1"/>
    <col min="5" max="5" width="17.5703125" bestFit="1" customWidth="1"/>
    <col min="6" max="7" width="11.42578125" customWidth="1" outlineLevel="1"/>
    <col min="8" max="8" width="13" customWidth="1"/>
    <col min="9" max="9" width="11" customWidth="1"/>
    <col min="10" max="10" width="13.5703125" style="14" bestFit="1" customWidth="1"/>
    <col min="11" max="11" width="7.5703125" customWidth="1"/>
    <col min="12" max="12" width="37.5703125" customWidth="1"/>
    <col min="13" max="13" width="31.42578125" customWidth="1"/>
    <col min="14" max="14" width="35.140625" customWidth="1"/>
    <col min="15" max="15" width="54.5703125" customWidth="1"/>
  </cols>
  <sheetData>
    <row r="1" spans="1:16" s="3" customFormat="1" x14ac:dyDescent="0.25">
      <c r="B1" s="1" t="s">
        <v>0</v>
      </c>
      <c r="C1" s="1"/>
      <c r="D1" s="2"/>
      <c r="E1" s="2"/>
      <c r="F1" s="1"/>
      <c r="G1" s="1" t="s">
        <v>2</v>
      </c>
      <c r="H1" s="1" t="s">
        <v>2</v>
      </c>
      <c r="I1" s="4"/>
      <c r="J1" s="17"/>
    </row>
    <row r="2" spans="1:16" s="3" customFormat="1" x14ac:dyDescent="0.25">
      <c r="B2" s="1" t="s">
        <v>3</v>
      </c>
      <c r="C2" s="1"/>
      <c r="D2" s="2"/>
      <c r="E2" s="2"/>
      <c r="F2" s="1" t="s">
        <v>4</v>
      </c>
      <c r="G2" s="1" t="s">
        <v>5</v>
      </c>
      <c r="H2" s="1" t="s">
        <v>5</v>
      </c>
      <c r="I2" s="4"/>
      <c r="J2" s="17"/>
    </row>
    <row r="3" spans="1:16" s="3" customFormat="1" x14ac:dyDescent="0.25">
      <c r="B3" s="1" t="s">
        <v>6</v>
      </c>
      <c r="C3" s="1"/>
      <c r="D3" s="2"/>
      <c r="E3" s="2"/>
      <c r="F3" s="1" t="s">
        <v>7</v>
      </c>
      <c r="G3" s="1" t="s">
        <v>8</v>
      </c>
      <c r="H3" s="1" t="s">
        <v>9</v>
      </c>
      <c r="I3" s="4"/>
      <c r="J3" s="17"/>
    </row>
    <row r="4" spans="1:16" s="3" customFormat="1" ht="14.1" customHeight="1" x14ac:dyDescent="0.25">
      <c r="B4" s="1" t="s">
        <v>10</v>
      </c>
      <c r="C4" s="1"/>
      <c r="D4" s="2"/>
      <c r="E4" s="51"/>
      <c r="F4" s="18">
        <v>46066</v>
      </c>
      <c r="G4" s="33">
        <v>499.37</v>
      </c>
      <c r="H4" s="19">
        <v>1.1826000000000001</v>
      </c>
      <c r="I4" s="4"/>
      <c r="P4" s="4"/>
    </row>
    <row r="5" spans="1:16" s="3" customFormat="1" x14ac:dyDescent="0.25">
      <c r="C5" s="4"/>
      <c r="D5" s="6"/>
      <c r="E5" s="6"/>
      <c r="G5" s="4"/>
      <c r="I5" s="4"/>
      <c r="J5" s="17"/>
    </row>
    <row r="6" spans="1:16" s="4" customFormat="1" ht="45" x14ac:dyDescent="0.25">
      <c r="A6" s="22" t="s">
        <v>11</v>
      </c>
      <c r="B6" s="23" t="s">
        <v>12</v>
      </c>
      <c r="C6" s="23" t="s">
        <v>13</v>
      </c>
      <c r="D6" s="23" t="s">
        <v>14</v>
      </c>
      <c r="E6" s="54" t="s">
        <v>15</v>
      </c>
      <c r="F6" s="22" t="s">
        <v>16</v>
      </c>
      <c r="G6" s="22" t="s">
        <v>17</v>
      </c>
      <c r="H6" s="24" t="s">
        <v>18</v>
      </c>
      <c r="I6" s="22" t="s">
        <v>19</v>
      </c>
      <c r="J6" s="24" t="s">
        <v>20</v>
      </c>
      <c r="K6" s="22" t="s">
        <v>21</v>
      </c>
      <c r="L6" s="22" t="s">
        <v>22</v>
      </c>
      <c r="M6" s="23" t="s">
        <v>23</v>
      </c>
      <c r="N6" s="23" t="s">
        <v>24</v>
      </c>
      <c r="O6" s="23" t="s">
        <v>25</v>
      </c>
    </row>
    <row r="7" spans="1:16" s="16" customFormat="1" ht="14.85" customHeight="1" x14ac:dyDescent="0.25">
      <c r="A7" s="3" t="s">
        <v>527</v>
      </c>
      <c r="B7" s="3" t="s">
        <v>528</v>
      </c>
      <c r="C7" s="4" t="s">
        <v>36</v>
      </c>
      <c r="D7" s="46">
        <v>46018</v>
      </c>
      <c r="E7" s="46">
        <v>46069</v>
      </c>
      <c r="F7" s="25">
        <f t="shared" ref="F7:F12" si="0">IF(D7=0,0,+F$4-D7)</f>
        <v>48</v>
      </c>
      <c r="G7" s="4">
        <v>2</v>
      </c>
      <c r="H7" s="27">
        <v>813.04</v>
      </c>
      <c r="I7" s="26" t="s">
        <v>29</v>
      </c>
      <c r="J7" s="29">
        <f t="shared" ref="J7:J12" si="1">IF(I7="¢",IFERROR(H7/G$4,0),IF(I7="€",H7*H$4,H7))</f>
        <v>813.04</v>
      </c>
      <c r="K7" s="31" t="s">
        <v>30</v>
      </c>
      <c r="L7" s="37" t="s">
        <v>529</v>
      </c>
      <c r="M7" s="38" t="s">
        <v>530</v>
      </c>
      <c r="N7" s="30" t="s">
        <v>214</v>
      </c>
      <c r="O7" s="30" t="s">
        <v>531</v>
      </c>
    </row>
    <row r="8" spans="1:16" s="16" customFormat="1" ht="14.85" customHeight="1" x14ac:dyDescent="0.25">
      <c r="A8" s="3" t="s">
        <v>527</v>
      </c>
      <c r="B8" s="3" t="s">
        <v>528</v>
      </c>
      <c r="C8" s="4" t="s">
        <v>36</v>
      </c>
      <c r="D8" s="46">
        <v>46018</v>
      </c>
      <c r="E8" s="46">
        <v>46069</v>
      </c>
      <c r="F8" s="25">
        <f t="shared" si="0"/>
        <v>48</v>
      </c>
      <c r="G8" s="4">
        <v>2</v>
      </c>
      <c r="H8" s="27">
        <v>11928.64</v>
      </c>
      <c r="I8" s="26" t="s">
        <v>29</v>
      </c>
      <c r="J8" s="29">
        <f t="shared" si="1"/>
        <v>11928.64</v>
      </c>
      <c r="K8" s="31" t="s">
        <v>30</v>
      </c>
      <c r="L8" s="37" t="s">
        <v>529</v>
      </c>
      <c r="M8" s="38" t="s">
        <v>532</v>
      </c>
      <c r="N8" s="30" t="s">
        <v>214</v>
      </c>
      <c r="O8" s="30" t="s">
        <v>533</v>
      </c>
    </row>
    <row r="9" spans="1:16" s="16" customFormat="1" ht="14.85" customHeight="1" x14ac:dyDescent="0.25">
      <c r="A9" s="3" t="s">
        <v>527</v>
      </c>
      <c r="B9" s="3" t="s">
        <v>528</v>
      </c>
      <c r="C9" s="4" t="s">
        <v>36</v>
      </c>
      <c r="D9" s="46">
        <v>46018</v>
      </c>
      <c r="E9" s="46">
        <v>46069</v>
      </c>
      <c r="F9" s="25">
        <f t="shared" si="0"/>
        <v>48</v>
      </c>
      <c r="G9" s="4">
        <v>2</v>
      </c>
      <c r="H9" s="27">
        <v>6534.8</v>
      </c>
      <c r="I9" s="26" t="s">
        <v>29</v>
      </c>
      <c r="J9" s="29">
        <f t="shared" si="1"/>
        <v>6534.8</v>
      </c>
      <c r="K9" s="31" t="s">
        <v>30</v>
      </c>
      <c r="L9" s="37" t="s">
        <v>529</v>
      </c>
      <c r="M9" s="38" t="s">
        <v>534</v>
      </c>
      <c r="N9" s="30" t="s">
        <v>214</v>
      </c>
      <c r="O9" s="30" t="s">
        <v>535</v>
      </c>
    </row>
    <row r="10" spans="1:16" s="16" customFormat="1" ht="14.85" customHeight="1" x14ac:dyDescent="0.25">
      <c r="A10" s="3" t="s">
        <v>527</v>
      </c>
      <c r="B10" s="3" t="s">
        <v>528</v>
      </c>
      <c r="C10" s="4" t="s">
        <v>36</v>
      </c>
      <c r="D10" s="46">
        <v>46018</v>
      </c>
      <c r="E10" s="46">
        <v>46069</v>
      </c>
      <c r="F10" s="25">
        <f t="shared" si="0"/>
        <v>48</v>
      </c>
      <c r="G10" s="4">
        <v>2</v>
      </c>
      <c r="H10" s="27">
        <v>20250.439999999999</v>
      </c>
      <c r="I10" s="26" t="s">
        <v>29</v>
      </c>
      <c r="J10" s="29">
        <f t="shared" si="1"/>
        <v>20250.439999999999</v>
      </c>
      <c r="K10" s="31" t="s">
        <v>30</v>
      </c>
      <c r="L10" s="37" t="s">
        <v>529</v>
      </c>
      <c r="M10" s="38" t="s">
        <v>536</v>
      </c>
      <c r="N10" s="30" t="s">
        <v>214</v>
      </c>
      <c r="O10" s="30" t="s">
        <v>537</v>
      </c>
    </row>
    <row r="11" spans="1:16" s="16" customFormat="1" ht="14.85" customHeight="1" x14ac:dyDescent="0.25">
      <c r="A11" s="3" t="s">
        <v>527</v>
      </c>
      <c r="B11" s="3" t="s">
        <v>528</v>
      </c>
      <c r="C11" s="4" t="s">
        <v>36</v>
      </c>
      <c r="D11" s="46">
        <v>46061</v>
      </c>
      <c r="E11" s="46"/>
      <c r="F11" s="25">
        <f t="shared" si="0"/>
        <v>5</v>
      </c>
      <c r="G11" s="4">
        <v>1</v>
      </c>
      <c r="H11" s="27">
        <v>50850</v>
      </c>
      <c r="I11" s="26" t="s">
        <v>45</v>
      </c>
      <c r="J11" s="29">
        <f t="shared" si="1"/>
        <v>101.8283036626149</v>
      </c>
      <c r="K11" s="31" t="s">
        <v>46</v>
      </c>
      <c r="L11" s="37" t="s">
        <v>133</v>
      </c>
      <c r="M11" s="38" t="s">
        <v>538</v>
      </c>
      <c r="N11" s="30" t="s">
        <v>65</v>
      </c>
      <c r="O11" s="30" t="s">
        <v>539</v>
      </c>
    </row>
    <row r="12" spans="1:16" s="16" customFormat="1" ht="14.85" customHeight="1" x14ac:dyDescent="0.25">
      <c r="A12" s="3" t="s">
        <v>527</v>
      </c>
      <c r="B12" s="3" t="s">
        <v>528</v>
      </c>
      <c r="C12" s="4" t="s">
        <v>36</v>
      </c>
      <c r="D12" s="46">
        <v>46061</v>
      </c>
      <c r="E12" s="46"/>
      <c r="F12" s="25">
        <f t="shared" si="0"/>
        <v>5</v>
      </c>
      <c r="G12" s="4">
        <v>1</v>
      </c>
      <c r="H12" s="27">
        <v>28250</v>
      </c>
      <c r="I12" s="26" t="s">
        <v>45</v>
      </c>
      <c r="J12" s="29">
        <f t="shared" si="1"/>
        <v>56.57127981256383</v>
      </c>
      <c r="K12" s="31" t="s">
        <v>46</v>
      </c>
      <c r="L12" s="37" t="s">
        <v>148</v>
      </c>
      <c r="M12" s="38" t="s">
        <v>540</v>
      </c>
      <c r="N12" s="30" t="s">
        <v>65</v>
      </c>
      <c r="O12" s="30" t="s">
        <v>541</v>
      </c>
    </row>
    <row r="13" spans="1:16" s="16" customFormat="1" ht="14.85" customHeight="1" x14ac:dyDescent="0.25">
      <c r="A13" s="3" t="s">
        <v>527</v>
      </c>
      <c r="B13" s="3" t="s">
        <v>528</v>
      </c>
      <c r="C13" s="4" t="s">
        <v>36</v>
      </c>
      <c r="D13" s="46">
        <v>46055</v>
      </c>
      <c r="E13" s="46">
        <v>46055</v>
      </c>
      <c r="F13" s="25">
        <f t="shared" ref="F13" si="2">IF(D13=0,0,+F$4-D13)</f>
        <v>11</v>
      </c>
      <c r="G13" s="46">
        <v>46055</v>
      </c>
      <c r="H13" s="27">
        <v>1651.45</v>
      </c>
      <c r="I13" s="26" t="s">
        <v>29</v>
      </c>
      <c r="J13" s="29">
        <f t="shared" ref="J13" si="3">IF(I13="¢",IFERROR(H13/G$4,0),IF(I13="€",H13*H$4,H13))</f>
        <v>1651.45</v>
      </c>
      <c r="K13" s="31" t="s">
        <v>30</v>
      </c>
      <c r="L13" s="37" t="s">
        <v>529</v>
      </c>
      <c r="M13" s="38" t="s">
        <v>588</v>
      </c>
      <c r="N13" s="30" t="s">
        <v>214</v>
      </c>
      <c r="O13" s="30" t="s">
        <v>589</v>
      </c>
    </row>
    <row r="14" spans="1:16" s="16" customFormat="1" ht="14.85" customHeight="1" x14ac:dyDescent="0.25">
      <c r="A14" s="56"/>
      <c r="B14" s="56"/>
      <c r="C14" s="4"/>
      <c r="D14" s="46"/>
      <c r="E14" s="46"/>
      <c r="F14" s="57"/>
      <c r="G14" s="4"/>
      <c r="H14" s="27"/>
      <c r="I14" s="4"/>
      <c r="J14" s="64">
        <f>SUM(J7:J13)</f>
        <v>41336.769583475172</v>
      </c>
      <c r="K14" s="56"/>
      <c r="L14" s="37"/>
      <c r="M14" s="38"/>
      <c r="N14" s="30"/>
      <c r="O14" s="30"/>
    </row>
    <row r="15" spans="1:16" s="16" customFormat="1" ht="14.85" customHeight="1" x14ac:dyDescent="0.25">
      <c r="A15"/>
      <c r="B15"/>
      <c r="C15"/>
      <c r="D15"/>
      <c r="E15"/>
      <c r="F15"/>
      <c r="G15"/>
      <c r="H15"/>
      <c r="I15"/>
      <c r="K15"/>
      <c r="L15"/>
      <c r="M15"/>
      <c r="N15"/>
      <c r="O15"/>
    </row>
    <row r="16" spans="1:16" s="16" customFormat="1" ht="14.85" customHeight="1" x14ac:dyDescent="0.25">
      <c r="A16"/>
      <c r="B16"/>
      <c r="C16"/>
      <c r="D16"/>
      <c r="E16"/>
      <c r="F16"/>
      <c r="G16"/>
      <c r="H16"/>
      <c r="I16"/>
      <c r="K16"/>
      <c r="L16"/>
      <c r="M16"/>
      <c r="N16"/>
      <c r="O16"/>
    </row>
    <row r="17" spans="1:15" s="16" customFormat="1" ht="14.85" customHeight="1" x14ac:dyDescent="0.25">
      <c r="A17"/>
      <c r="B17"/>
      <c r="C17"/>
      <c r="D17"/>
      <c r="E17"/>
      <c r="F17"/>
      <c r="G17"/>
      <c r="H17"/>
      <c r="I17"/>
      <c r="J17" s="14"/>
      <c r="K17"/>
      <c r="L17"/>
      <c r="M17"/>
      <c r="N17"/>
      <c r="O17"/>
    </row>
    <row r="18" spans="1:15" s="16" customFormat="1" ht="14.85" customHeight="1" x14ac:dyDescent="0.25">
      <c r="A18"/>
      <c r="B18"/>
      <c r="C18"/>
      <c r="D18"/>
      <c r="E18"/>
      <c r="F18"/>
      <c r="G18"/>
      <c r="H18"/>
      <c r="I18"/>
      <c r="J18" s="14"/>
      <c r="K18"/>
      <c r="L18"/>
      <c r="M18"/>
      <c r="N18"/>
      <c r="O18"/>
    </row>
    <row r="19" spans="1:15" s="16" customFormat="1" ht="14.85" customHeight="1" x14ac:dyDescent="0.25">
      <c r="A19"/>
      <c r="B19"/>
      <c r="C19"/>
      <c r="D19"/>
      <c r="E19"/>
      <c r="F19"/>
      <c r="G19"/>
      <c r="H19"/>
      <c r="I19"/>
      <c r="J19" s="14"/>
      <c r="K19"/>
      <c r="L19"/>
      <c r="M19"/>
      <c r="N19"/>
      <c r="O19"/>
    </row>
    <row r="20" spans="1:15" s="16" customFormat="1" ht="14.85" customHeight="1" x14ac:dyDescent="0.25">
      <c r="A20"/>
      <c r="B20"/>
      <c r="C20"/>
      <c r="D20"/>
      <c r="E20"/>
      <c r="F20"/>
      <c r="G20"/>
      <c r="H20"/>
      <c r="I20"/>
      <c r="J20" s="14"/>
      <c r="K20"/>
      <c r="L20"/>
      <c r="M20"/>
      <c r="N20"/>
      <c r="O20"/>
    </row>
    <row r="21" spans="1:15" s="16" customFormat="1" ht="14.85" customHeight="1" x14ac:dyDescent="0.25">
      <c r="A21"/>
      <c r="B21"/>
      <c r="C21"/>
      <c r="D21"/>
      <c r="E21"/>
      <c r="F21"/>
      <c r="G21"/>
      <c r="H21"/>
      <c r="I21"/>
      <c r="J21" s="14"/>
      <c r="K21"/>
      <c r="L21"/>
      <c r="M21"/>
      <c r="N21"/>
      <c r="O21"/>
    </row>
    <row r="22" spans="1:15" s="16" customFormat="1" ht="14.85" customHeight="1" x14ac:dyDescent="0.25">
      <c r="A22"/>
      <c r="B22"/>
      <c r="C22"/>
      <c r="D22"/>
      <c r="E22"/>
      <c r="F22"/>
      <c r="G22"/>
      <c r="H22"/>
      <c r="I22"/>
      <c r="J22" s="14"/>
      <c r="K22"/>
      <c r="L22"/>
      <c r="M22"/>
      <c r="N22"/>
      <c r="O22"/>
    </row>
    <row r="23" spans="1:15" s="16" customFormat="1" ht="14.85" customHeight="1" x14ac:dyDescent="0.25">
      <c r="A23"/>
      <c r="B23"/>
      <c r="C23"/>
      <c r="D23"/>
      <c r="E23"/>
      <c r="F23"/>
      <c r="G23"/>
      <c r="H23"/>
      <c r="I23"/>
      <c r="J23" s="14"/>
      <c r="K23"/>
      <c r="L23"/>
      <c r="M23"/>
      <c r="N23"/>
      <c r="O23"/>
    </row>
    <row r="24" spans="1:15" s="16" customFormat="1" ht="14.85" customHeight="1" x14ac:dyDescent="0.25">
      <c r="A24"/>
      <c r="B24"/>
      <c r="C24"/>
      <c r="D24"/>
      <c r="E24"/>
      <c r="F24"/>
      <c r="G24"/>
      <c r="H24"/>
      <c r="I24"/>
      <c r="J24" s="14"/>
      <c r="K24"/>
      <c r="L24"/>
      <c r="M24"/>
      <c r="N24"/>
      <c r="O24"/>
    </row>
    <row r="25" spans="1:15" s="16" customFormat="1" x14ac:dyDescent="0.25">
      <c r="A25"/>
      <c r="B25"/>
      <c r="C25"/>
      <c r="D25"/>
      <c r="E25"/>
      <c r="F25"/>
      <c r="G25"/>
      <c r="H25"/>
      <c r="I25"/>
      <c r="J25" s="14"/>
      <c r="K25"/>
      <c r="L25"/>
      <c r="M25"/>
      <c r="N25"/>
      <c r="O25"/>
    </row>
    <row r="26" spans="1:15" s="16" customFormat="1" x14ac:dyDescent="0.25">
      <c r="A26"/>
      <c r="B26"/>
      <c r="C26"/>
      <c r="D26"/>
      <c r="E26"/>
      <c r="F26"/>
      <c r="G26"/>
      <c r="H26"/>
      <c r="I26"/>
      <c r="J26" s="14"/>
      <c r="K26"/>
      <c r="L26"/>
      <c r="M26"/>
      <c r="N26"/>
      <c r="O26"/>
    </row>
    <row r="27" spans="1:15" s="16" customFormat="1" ht="14.85" customHeight="1" x14ac:dyDescent="0.25">
      <c r="A27"/>
      <c r="B27"/>
      <c r="C27"/>
      <c r="D27"/>
      <c r="E27"/>
      <c r="F27"/>
      <c r="G27"/>
      <c r="H27"/>
      <c r="I27"/>
      <c r="J27" s="14"/>
      <c r="K27"/>
      <c r="L27"/>
      <c r="M27"/>
      <c r="N27"/>
      <c r="O27"/>
    </row>
    <row r="28" spans="1:15" s="16" customFormat="1" ht="14.85" customHeight="1" x14ac:dyDescent="0.25">
      <c r="A28"/>
      <c r="B28"/>
      <c r="C28"/>
      <c r="D28"/>
      <c r="E28"/>
      <c r="F28"/>
      <c r="G28"/>
      <c r="H28"/>
      <c r="I28"/>
      <c r="J28" s="14"/>
      <c r="K28"/>
      <c r="L28"/>
      <c r="M28"/>
      <c r="N28"/>
      <c r="O28"/>
    </row>
    <row r="30" spans="1:15" s="16" customFormat="1" ht="14.85" customHeight="1" x14ac:dyDescent="0.25">
      <c r="A30"/>
      <c r="B30"/>
      <c r="C30"/>
      <c r="D30"/>
      <c r="E30"/>
      <c r="F30"/>
      <c r="G30"/>
      <c r="H30"/>
      <c r="I30"/>
      <c r="J30" s="14"/>
      <c r="K30"/>
      <c r="L30"/>
      <c r="M30"/>
      <c r="N30"/>
      <c r="O30"/>
    </row>
    <row r="31" spans="1:15" s="16" customFormat="1" ht="14.85" customHeight="1" x14ac:dyDescent="0.25">
      <c r="A31"/>
      <c r="B31"/>
      <c r="C31"/>
      <c r="D31"/>
      <c r="E31"/>
      <c r="F31"/>
      <c r="G31"/>
      <c r="H31"/>
      <c r="I31"/>
      <c r="J31" s="14"/>
      <c r="K31"/>
      <c r="L31"/>
      <c r="M31"/>
      <c r="N31"/>
      <c r="O31"/>
    </row>
  </sheetData>
  <phoneticPr fontId="8" type="noConversion"/>
  <conditionalFormatting sqref="M4">
    <cfRule type="duplicateValues" dxfId="0" priority="1"/>
  </conditionalFormatting>
  <pageMargins left="0.7" right="0.7" top="0.75" bottom="0.75" header="0.3" footer="0.3"/>
  <pageSetup scale="39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C0EFB5A9-4CDA-46E3-A535-0EAC896596A4}">
          <x14:formula1>
            <xm:f>'Catálogo de Monedas'!$B$6:$B$25</xm:f>
          </x14:formula1>
          <xm:sqref>I7:I13</xm:sqref>
        </x14:dataValidation>
        <x14:dataValidation type="list" allowBlank="1" showInputMessage="1" showErrorMessage="1" xr:uid="{46C62BA4-2D48-41F3-AC00-B359CFCD0737}">
          <x14:formula1>
            <xm:f>'Tipos de Proveedores'!$B$6:$B$8</xm:f>
          </x14:formula1>
          <xm:sqref>K7:K13</xm:sqref>
        </x14:dataValidation>
        <x14:dataValidation type="list" allowBlank="1" showInputMessage="1" showErrorMessage="1" xr:uid="{73A23412-6DFB-4CE3-A36C-F1B2D1BAB6B7}">
          <x14:formula1>
            <xm:f>Responsables!$B$6:$B$10</xm:f>
          </x14:formula1>
          <xm:sqref>C7:C13</xm:sqref>
        </x14:dataValidation>
        <x14:dataValidation type="list" allowBlank="1" showInputMessage="1" showErrorMessage="1" xr:uid="{926B9944-C7AF-40D9-BA01-5B0FC7AD99F1}">
          <x14:formula1>
            <xm:f>'Tipos de Proveedores'!$A$12:$A$18</xm:f>
          </x14:formula1>
          <xm:sqref>A7:A13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353F-6D92-48E6-B57B-B77B6B0FE0AA}">
  <sheetPr codeName="Hoja4">
    <tabColor theme="3" tint="0.749992370372631"/>
  </sheetPr>
  <dimension ref="A1:B15"/>
  <sheetViews>
    <sheetView workbookViewId="0">
      <selection activeCell="A13" sqref="A13"/>
    </sheetView>
  </sheetViews>
  <sheetFormatPr baseColWidth="10" defaultColWidth="11.42578125" defaultRowHeight="15" x14ac:dyDescent="0.25"/>
  <cols>
    <col min="1" max="1" width="27.5703125" bestFit="1" customWidth="1"/>
  </cols>
  <sheetData>
    <row r="1" spans="1:2" x14ac:dyDescent="0.25">
      <c r="A1" s="1" t="s">
        <v>0</v>
      </c>
      <c r="B1" s="2"/>
    </row>
    <row r="2" spans="1:2" x14ac:dyDescent="0.25">
      <c r="A2" s="1" t="s">
        <v>3</v>
      </c>
      <c r="B2" s="2"/>
    </row>
    <row r="3" spans="1:2" x14ac:dyDescent="0.25">
      <c r="A3" s="1" t="s">
        <v>542</v>
      </c>
      <c r="B3" s="2"/>
    </row>
    <row r="4" spans="1:2" x14ac:dyDescent="0.25">
      <c r="A4" s="2"/>
      <c r="B4" s="2"/>
    </row>
    <row r="5" spans="1:2" x14ac:dyDescent="0.25">
      <c r="A5" s="1" t="s">
        <v>23</v>
      </c>
      <c r="B5" s="1" t="s">
        <v>543</v>
      </c>
    </row>
    <row r="6" spans="1:2" x14ac:dyDescent="0.25">
      <c r="A6" s="2" t="s">
        <v>544</v>
      </c>
      <c r="B6" s="4" t="s">
        <v>46</v>
      </c>
    </row>
    <row r="7" spans="1:2" x14ac:dyDescent="0.25">
      <c r="A7" s="2" t="s">
        <v>545</v>
      </c>
      <c r="B7" s="5" t="s">
        <v>30</v>
      </c>
    </row>
    <row r="8" spans="1:2" x14ac:dyDescent="0.25">
      <c r="A8" s="2" t="s">
        <v>546</v>
      </c>
      <c r="B8" s="5" t="s">
        <v>112</v>
      </c>
    </row>
    <row r="11" spans="1:2" x14ac:dyDescent="0.25">
      <c r="A11" s="1" t="s">
        <v>11</v>
      </c>
      <c r="B11" s="1"/>
    </row>
    <row r="12" spans="1:2" x14ac:dyDescent="0.25">
      <c r="A12" t="s">
        <v>26</v>
      </c>
    </row>
    <row r="13" spans="1:2" x14ac:dyDescent="0.25">
      <c r="A13" t="s">
        <v>73</v>
      </c>
    </row>
    <row r="14" spans="1:2" x14ac:dyDescent="0.25">
      <c r="A14" t="s">
        <v>515</v>
      </c>
    </row>
    <row r="15" spans="1:2" x14ac:dyDescent="0.25">
      <c r="A15" t="s">
        <v>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B8B9-E58C-4988-A24E-7949F3CFB921}">
  <sheetPr codeName="Hoja5"/>
  <dimension ref="A1:C10"/>
  <sheetViews>
    <sheetView showGridLines="0" workbookViewId="0">
      <selection activeCell="B9" sqref="B9"/>
    </sheetView>
  </sheetViews>
  <sheetFormatPr baseColWidth="10" defaultColWidth="11.42578125" defaultRowHeight="15" x14ac:dyDescent="0.25"/>
  <cols>
    <col min="1" max="1" width="27.5703125" bestFit="1" customWidth="1"/>
    <col min="2" max="2" width="13.42578125" style="12" bestFit="1" customWidth="1"/>
    <col min="3" max="3" width="20.42578125" customWidth="1"/>
  </cols>
  <sheetData>
    <row r="1" spans="1:3" x14ac:dyDescent="0.25">
      <c r="A1" s="1" t="s">
        <v>0</v>
      </c>
      <c r="B1" s="39"/>
    </row>
    <row r="2" spans="1:3" x14ac:dyDescent="0.25">
      <c r="A2" s="1" t="s">
        <v>3</v>
      </c>
      <c r="B2" s="39"/>
    </row>
    <row r="3" spans="1:3" x14ac:dyDescent="0.25">
      <c r="A3" s="1" t="s">
        <v>542</v>
      </c>
      <c r="B3" s="39"/>
    </row>
    <row r="4" spans="1:3" x14ac:dyDescent="0.25">
      <c r="A4" s="2"/>
      <c r="B4" s="39"/>
    </row>
    <row r="5" spans="1:3" x14ac:dyDescent="0.25">
      <c r="A5" s="1" t="s">
        <v>23</v>
      </c>
      <c r="B5" s="40" t="s">
        <v>543</v>
      </c>
      <c r="C5" t="s">
        <v>547</v>
      </c>
    </row>
    <row r="6" spans="1:3" x14ac:dyDescent="0.25">
      <c r="A6" s="41" t="s">
        <v>548</v>
      </c>
      <c r="B6" s="42" t="s">
        <v>28</v>
      </c>
      <c r="C6" s="43" t="s">
        <v>549</v>
      </c>
    </row>
    <row r="7" spans="1:3" x14ac:dyDescent="0.25">
      <c r="A7" s="41" t="s">
        <v>550</v>
      </c>
      <c r="B7" s="44" t="s">
        <v>36</v>
      </c>
      <c r="C7" s="43" t="s">
        <v>551</v>
      </c>
    </row>
    <row r="8" spans="1:3" x14ac:dyDescent="0.25">
      <c r="A8" s="41" t="s">
        <v>552</v>
      </c>
      <c r="B8" s="44" t="s">
        <v>44</v>
      </c>
      <c r="C8" s="43" t="s">
        <v>553</v>
      </c>
    </row>
    <row r="9" spans="1:3" x14ac:dyDescent="0.25">
      <c r="A9" s="41" t="s">
        <v>554</v>
      </c>
      <c r="B9" s="45" t="s">
        <v>52</v>
      </c>
      <c r="C9" s="43" t="s">
        <v>555</v>
      </c>
    </row>
    <row r="10" spans="1:3" x14ac:dyDescent="0.25">
      <c r="A10" s="41" t="s">
        <v>554</v>
      </c>
      <c r="B10" s="42" t="s">
        <v>556</v>
      </c>
      <c r="C10" s="43" t="s">
        <v>557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4D88-C4E6-4473-A20A-5D993F2F903F}">
  <sheetPr codeName="Hoja6">
    <tabColor theme="3" tint="9.9978637043366805E-2"/>
  </sheetPr>
  <dimension ref="A1:B8"/>
  <sheetViews>
    <sheetView workbookViewId="0">
      <selection activeCell="I28" sqref="I28"/>
    </sheetView>
  </sheetViews>
  <sheetFormatPr baseColWidth="10" defaultColWidth="9.42578125" defaultRowHeight="15" x14ac:dyDescent="0.25"/>
  <cols>
    <col min="1" max="1" width="38.42578125" style="2" bestFit="1" customWidth="1"/>
    <col min="2" max="16384" width="9.42578125" style="2"/>
  </cols>
  <sheetData>
    <row r="1" spans="1:2" x14ac:dyDescent="0.25">
      <c r="A1" s="1" t="s">
        <v>0</v>
      </c>
    </row>
    <row r="2" spans="1:2" x14ac:dyDescent="0.25">
      <c r="A2" s="1" t="s">
        <v>3</v>
      </c>
    </row>
    <row r="3" spans="1:2" x14ac:dyDescent="0.25">
      <c r="A3" s="1" t="s">
        <v>542</v>
      </c>
    </row>
    <row r="5" spans="1:2" s="1" customFormat="1" x14ac:dyDescent="0.25">
      <c r="A5" s="1" t="s">
        <v>23</v>
      </c>
      <c r="B5" s="1" t="s">
        <v>543</v>
      </c>
    </row>
    <row r="6" spans="1:2" x14ac:dyDescent="0.25">
      <c r="A6" s="2" t="s">
        <v>558</v>
      </c>
      <c r="B6" s="4" t="s">
        <v>45</v>
      </c>
    </row>
    <row r="7" spans="1:2" x14ac:dyDescent="0.25">
      <c r="A7" s="2" t="s">
        <v>559</v>
      </c>
      <c r="B7" s="5" t="s">
        <v>29</v>
      </c>
    </row>
    <row r="8" spans="1:2" x14ac:dyDescent="0.25">
      <c r="A8" s="2" t="s">
        <v>560</v>
      </c>
      <c r="B8" s="5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73E1-15D6-4FAA-8472-8441292AB1BF}">
  <sheetPr codeName="Hoja7">
    <tabColor theme="6" tint="0.39997558519241921"/>
  </sheetPr>
  <dimension ref="A1:C204"/>
  <sheetViews>
    <sheetView showGridLines="0" topLeftCell="A37" zoomScaleNormal="100" workbookViewId="0">
      <selection activeCell="B45" sqref="B45"/>
    </sheetView>
  </sheetViews>
  <sheetFormatPr baseColWidth="10" defaultColWidth="11.42578125" defaultRowHeight="15" x14ac:dyDescent="0.25"/>
  <cols>
    <col min="1" max="1" width="38.85546875" bestFit="1" customWidth="1"/>
    <col min="2" max="2" width="33.140625" style="14" bestFit="1" customWidth="1"/>
    <col min="3" max="3" width="19.140625" style="14" bestFit="1" customWidth="1"/>
  </cols>
  <sheetData>
    <row r="1" spans="1:3" x14ac:dyDescent="0.25">
      <c r="A1" s="28" t="s">
        <v>561</v>
      </c>
    </row>
    <row r="2" spans="1:3" x14ac:dyDescent="0.25">
      <c r="A2" s="11" t="s">
        <v>562</v>
      </c>
      <c r="B2" t="s">
        <v>563</v>
      </c>
      <c r="C2" t="s">
        <v>564</v>
      </c>
    </row>
    <row r="3" spans="1:3" x14ac:dyDescent="0.25">
      <c r="A3" s="12" t="s">
        <v>29</v>
      </c>
      <c r="B3" s="14">
        <v>768147.75219999987</v>
      </c>
      <c r="C3" s="14">
        <v>768147.75219999987</v>
      </c>
    </row>
    <row r="4" spans="1:3" x14ac:dyDescent="0.25">
      <c r="A4" s="13" t="s">
        <v>30</v>
      </c>
      <c r="B4" s="14">
        <v>613049.46</v>
      </c>
      <c r="C4" s="14">
        <v>613049.46</v>
      </c>
    </row>
    <row r="5" spans="1:3" x14ac:dyDescent="0.25">
      <c r="A5" s="15" t="s">
        <v>565</v>
      </c>
      <c r="B5" s="14">
        <v>2814.6</v>
      </c>
      <c r="C5" s="14">
        <v>2814.6</v>
      </c>
    </row>
    <row r="6" spans="1:3" x14ac:dyDescent="0.25">
      <c r="A6" s="15" t="s">
        <v>571</v>
      </c>
      <c r="B6" s="14">
        <v>834.31</v>
      </c>
      <c r="C6" s="14">
        <v>834.31</v>
      </c>
    </row>
    <row r="7" spans="1:3" x14ac:dyDescent="0.25">
      <c r="A7" s="15" t="s">
        <v>214</v>
      </c>
      <c r="B7" s="14">
        <v>15010.02</v>
      </c>
      <c r="C7" s="14">
        <v>15010.02</v>
      </c>
    </row>
    <row r="8" spans="1:3" x14ac:dyDescent="0.25">
      <c r="A8" s="15" t="s">
        <v>174</v>
      </c>
      <c r="B8" s="14">
        <v>216.5</v>
      </c>
      <c r="C8" s="14">
        <v>216.5</v>
      </c>
    </row>
    <row r="9" spans="1:3" x14ac:dyDescent="0.25">
      <c r="A9" s="15" t="s">
        <v>33</v>
      </c>
      <c r="B9" s="14">
        <v>400410.12999999995</v>
      </c>
      <c r="C9" s="14">
        <v>400410.12999999995</v>
      </c>
    </row>
    <row r="10" spans="1:3" x14ac:dyDescent="0.25">
      <c r="A10" s="15" t="s">
        <v>39</v>
      </c>
      <c r="B10" s="14">
        <v>12223</v>
      </c>
      <c r="C10" s="14">
        <v>12223</v>
      </c>
    </row>
    <row r="11" spans="1:3" x14ac:dyDescent="0.25">
      <c r="A11" s="15" t="s">
        <v>371</v>
      </c>
      <c r="B11" s="14">
        <v>11157.07</v>
      </c>
      <c r="C11" s="14">
        <v>11157.07</v>
      </c>
    </row>
    <row r="12" spans="1:3" x14ac:dyDescent="0.25">
      <c r="A12" s="15" t="s">
        <v>600</v>
      </c>
      <c r="B12" s="14">
        <v>30459.05</v>
      </c>
      <c r="C12" s="14">
        <v>30459.05</v>
      </c>
    </row>
    <row r="13" spans="1:3" x14ac:dyDescent="0.25">
      <c r="A13" s="15" t="s">
        <v>332</v>
      </c>
      <c r="B13" s="14">
        <v>139924.78</v>
      </c>
      <c r="C13" s="14">
        <v>139924.78</v>
      </c>
    </row>
    <row r="14" spans="1:3" x14ac:dyDescent="0.25">
      <c r="A14" s="13" t="s">
        <v>46</v>
      </c>
      <c r="B14" s="14">
        <v>155098.29220000003</v>
      </c>
      <c r="C14" s="14">
        <v>155098.29220000003</v>
      </c>
    </row>
    <row r="15" spans="1:3" x14ac:dyDescent="0.25">
      <c r="A15" s="15" t="s">
        <v>214</v>
      </c>
      <c r="B15" s="14">
        <v>21418.12</v>
      </c>
      <c r="C15" s="14">
        <v>21418.12</v>
      </c>
    </row>
    <row r="16" spans="1:3" x14ac:dyDescent="0.25">
      <c r="A16" s="15" t="s">
        <v>239</v>
      </c>
      <c r="B16" s="14">
        <v>2946.9922000000006</v>
      </c>
      <c r="C16" s="14">
        <v>2946.9922000000006</v>
      </c>
    </row>
    <row r="17" spans="1:3" x14ac:dyDescent="0.25">
      <c r="A17" s="15" t="s">
        <v>65</v>
      </c>
      <c r="B17" s="14">
        <v>97741.6</v>
      </c>
      <c r="C17" s="14">
        <v>97741.6</v>
      </c>
    </row>
    <row r="18" spans="1:3" x14ac:dyDescent="0.25">
      <c r="A18" s="15" t="s">
        <v>174</v>
      </c>
      <c r="B18" s="14">
        <v>4632.88</v>
      </c>
      <c r="C18" s="14">
        <v>4632.88</v>
      </c>
    </row>
    <row r="19" spans="1:3" x14ac:dyDescent="0.25">
      <c r="A19" s="15" t="s">
        <v>164</v>
      </c>
      <c r="B19" s="14">
        <v>803.73</v>
      </c>
      <c r="C19" s="14">
        <v>803.73</v>
      </c>
    </row>
    <row r="20" spans="1:3" x14ac:dyDescent="0.25">
      <c r="A20" s="15" t="s">
        <v>55</v>
      </c>
      <c r="B20" s="14">
        <v>4774.0200000000004</v>
      </c>
      <c r="C20" s="14">
        <v>4774.0200000000004</v>
      </c>
    </row>
    <row r="21" spans="1:3" x14ac:dyDescent="0.25">
      <c r="A21" s="15" t="s">
        <v>168</v>
      </c>
      <c r="B21" s="14">
        <v>19308.810000000001</v>
      </c>
      <c r="C21" s="14">
        <v>19308.810000000001</v>
      </c>
    </row>
    <row r="22" spans="1:3" x14ac:dyDescent="0.25">
      <c r="A22" s="15" t="s">
        <v>422</v>
      </c>
      <c r="B22" s="14">
        <v>2068.4699999999998</v>
      </c>
      <c r="C22" s="14">
        <v>2068.4699999999998</v>
      </c>
    </row>
    <row r="23" spans="1:3" x14ac:dyDescent="0.25">
      <c r="A23" s="15" t="s">
        <v>84</v>
      </c>
      <c r="B23" s="14">
        <v>1324.57</v>
      </c>
      <c r="C23" s="14">
        <v>1324.57</v>
      </c>
    </row>
    <row r="24" spans="1:3" x14ac:dyDescent="0.25">
      <c r="A24" s="15" t="s">
        <v>567</v>
      </c>
      <c r="B24" s="14">
        <v>79.099999999999994</v>
      </c>
      <c r="C24" s="14">
        <v>79.099999999999994</v>
      </c>
    </row>
    <row r="25" spans="1:3" x14ac:dyDescent="0.25">
      <c r="A25" s="12" t="s">
        <v>45</v>
      </c>
      <c r="B25" s="14">
        <v>46405057.612198591</v>
      </c>
      <c r="C25" s="14">
        <v>92927.203500808188</v>
      </c>
    </row>
    <row r="26" spans="1:3" x14ac:dyDescent="0.25">
      <c r="A26" s="13" t="s">
        <v>46</v>
      </c>
      <c r="B26" s="14">
        <v>46405057.612198591</v>
      </c>
      <c r="C26" s="14">
        <v>92927.203500808188</v>
      </c>
    </row>
    <row r="27" spans="1:3" x14ac:dyDescent="0.25">
      <c r="A27" s="15" t="s">
        <v>744</v>
      </c>
      <c r="B27" s="14">
        <v>236677.87</v>
      </c>
      <c r="C27" s="14">
        <v>473.95292068005688</v>
      </c>
    </row>
    <row r="28" spans="1:3" x14ac:dyDescent="0.25">
      <c r="A28" s="15" t="s">
        <v>109</v>
      </c>
      <c r="B28" s="14">
        <v>2768151.5205319147</v>
      </c>
      <c r="C28" s="14">
        <v>5543.2875834189363</v>
      </c>
    </row>
    <row r="29" spans="1:3" x14ac:dyDescent="0.25">
      <c r="A29" s="15" t="s">
        <v>272</v>
      </c>
      <c r="B29" s="14">
        <v>651137</v>
      </c>
      <c r="C29" s="14">
        <v>1303.9169353385269</v>
      </c>
    </row>
    <row r="30" spans="1:3" x14ac:dyDescent="0.25">
      <c r="A30" s="15" t="s">
        <v>214</v>
      </c>
      <c r="B30" s="14">
        <v>678402.57</v>
      </c>
      <c r="C30" s="14">
        <v>1358.5168712577847</v>
      </c>
    </row>
    <row r="31" spans="1:3" x14ac:dyDescent="0.25">
      <c r="A31" s="15" t="s">
        <v>49</v>
      </c>
      <c r="B31" s="14">
        <v>1311888.1599999999</v>
      </c>
      <c r="C31" s="14">
        <v>2627.0864489256464</v>
      </c>
    </row>
    <row r="32" spans="1:3" x14ac:dyDescent="0.25">
      <c r="A32" s="15" t="s">
        <v>568</v>
      </c>
      <c r="B32" s="14">
        <v>682769</v>
      </c>
      <c r="C32" s="14">
        <v>1367.2607485431645</v>
      </c>
    </row>
    <row r="33" spans="1:3" x14ac:dyDescent="0.25">
      <c r="A33" s="15" t="s">
        <v>65</v>
      </c>
      <c r="B33" s="14">
        <v>6600599.1150000012</v>
      </c>
      <c r="C33" s="14">
        <v>13217.852724432785</v>
      </c>
    </row>
    <row r="34" spans="1:3" x14ac:dyDescent="0.25">
      <c r="A34" s="15" t="s">
        <v>276</v>
      </c>
      <c r="B34" s="14">
        <v>63171.519999999997</v>
      </c>
      <c r="C34" s="14">
        <v>126.50243306566273</v>
      </c>
    </row>
    <row r="35" spans="1:3" x14ac:dyDescent="0.25">
      <c r="A35" s="15" t="s">
        <v>829</v>
      </c>
      <c r="B35" s="14">
        <v>118650</v>
      </c>
      <c r="C35" s="14">
        <v>237.59937521276808</v>
      </c>
    </row>
    <row r="36" spans="1:3" x14ac:dyDescent="0.25">
      <c r="A36" s="15" t="s">
        <v>174</v>
      </c>
      <c r="B36" s="14">
        <v>9316115.9500000011</v>
      </c>
      <c r="C36" s="14">
        <v>18655.738130043857</v>
      </c>
    </row>
    <row r="37" spans="1:3" x14ac:dyDescent="0.25">
      <c r="A37" s="15" t="s">
        <v>357</v>
      </c>
      <c r="B37" s="14">
        <v>1113033.33</v>
      </c>
      <c r="C37" s="14">
        <v>2228.8750425536173</v>
      </c>
    </row>
    <row r="38" spans="1:3" x14ac:dyDescent="0.25">
      <c r="A38" s="15" t="s">
        <v>157</v>
      </c>
      <c r="B38" s="14">
        <v>663481.91</v>
      </c>
      <c r="C38" s="14">
        <v>1328.637903758736</v>
      </c>
    </row>
    <row r="39" spans="1:3" x14ac:dyDescent="0.25">
      <c r="A39" s="15" t="s">
        <v>55</v>
      </c>
      <c r="B39" s="14">
        <v>8780504.8466666676</v>
      </c>
      <c r="C39" s="14">
        <v>17583.16448057886</v>
      </c>
    </row>
    <row r="40" spans="1:3" x14ac:dyDescent="0.25">
      <c r="A40" s="15" t="s">
        <v>168</v>
      </c>
      <c r="B40" s="14">
        <v>4389587.0600000005</v>
      </c>
      <c r="C40" s="14">
        <v>8790.2498347918372</v>
      </c>
    </row>
    <row r="41" spans="1:3" x14ac:dyDescent="0.25">
      <c r="A41" s="15" t="s">
        <v>77</v>
      </c>
      <c r="B41" s="14">
        <v>1082220.74</v>
      </c>
      <c r="C41" s="14">
        <v>2167.1721168672525</v>
      </c>
    </row>
    <row r="42" spans="1:3" x14ac:dyDescent="0.25">
      <c r="A42" s="15" t="s">
        <v>98</v>
      </c>
      <c r="B42" s="14">
        <v>576300</v>
      </c>
      <c r="C42" s="14">
        <v>1154.0541081763022</v>
      </c>
    </row>
    <row r="43" spans="1:3" x14ac:dyDescent="0.25">
      <c r="A43" s="15" t="s">
        <v>84</v>
      </c>
      <c r="B43" s="14">
        <v>623677.06000000006</v>
      </c>
      <c r="C43" s="14">
        <v>1248.9277689889259</v>
      </c>
    </row>
    <row r="44" spans="1:3" x14ac:dyDescent="0.25">
      <c r="A44" s="15" t="s">
        <v>567</v>
      </c>
      <c r="B44" s="14">
        <v>6748689.96</v>
      </c>
      <c r="C44" s="14">
        <v>13514.408074173458</v>
      </c>
    </row>
    <row r="45" spans="1:3" x14ac:dyDescent="0.25">
      <c r="A45" s="12" t="s">
        <v>111</v>
      </c>
      <c r="B45" s="14">
        <v>156539.21299999999</v>
      </c>
      <c r="C45" s="14">
        <v>184780.11198580003</v>
      </c>
    </row>
    <row r="46" spans="1:3" x14ac:dyDescent="0.25">
      <c r="A46" s="13" t="s">
        <v>112</v>
      </c>
      <c r="B46" s="14">
        <v>156539.21299999999</v>
      </c>
      <c r="C46" s="14">
        <v>184780.11198580003</v>
      </c>
    </row>
    <row r="47" spans="1:3" x14ac:dyDescent="0.25">
      <c r="A47" s="15" t="s">
        <v>168</v>
      </c>
      <c r="B47" s="14">
        <v>45543.702999999994</v>
      </c>
      <c r="C47" s="14">
        <v>53516.821859800002</v>
      </c>
    </row>
    <row r="48" spans="1:3" x14ac:dyDescent="0.25">
      <c r="A48" s="15" t="s">
        <v>39</v>
      </c>
      <c r="B48" s="14">
        <v>110291.08000000002</v>
      </c>
      <c r="C48" s="14">
        <v>130430.23120800003</v>
      </c>
    </row>
    <row r="49" spans="1:3" x14ac:dyDescent="0.25">
      <c r="A49" s="15" t="s">
        <v>566</v>
      </c>
      <c r="B49" s="14">
        <v>704.43</v>
      </c>
      <c r="C49" s="14">
        <v>833.05891800000006</v>
      </c>
    </row>
    <row r="50" spans="1:3" x14ac:dyDescent="0.25">
      <c r="A50" s="12" t="s">
        <v>569</v>
      </c>
      <c r="B50" s="14">
        <v>47329744.577398591</v>
      </c>
      <c r="C50" s="14">
        <v>1045855.0676866082</v>
      </c>
    </row>
    <row r="51" spans="1:3" x14ac:dyDescent="0.25">
      <c r="B51"/>
      <c r="C51"/>
    </row>
    <row r="52" spans="1:3" x14ac:dyDescent="0.25">
      <c r="B52"/>
      <c r="C52"/>
    </row>
    <row r="53" spans="1:3" x14ac:dyDescent="0.25">
      <c r="B53"/>
      <c r="C53"/>
    </row>
    <row r="54" spans="1:3" x14ac:dyDescent="0.25">
      <c r="B54"/>
      <c r="C54"/>
    </row>
    <row r="55" spans="1:3" x14ac:dyDescent="0.25">
      <c r="B55"/>
      <c r="C55"/>
    </row>
    <row r="56" spans="1:3" x14ac:dyDescent="0.25">
      <c r="B56"/>
      <c r="C56"/>
    </row>
    <row r="57" spans="1:3" x14ac:dyDescent="0.25">
      <c r="B57"/>
      <c r="C57"/>
    </row>
    <row r="58" spans="1:3" x14ac:dyDescent="0.25">
      <c r="B58"/>
      <c r="C58"/>
    </row>
    <row r="59" spans="1:3" x14ac:dyDescent="0.25">
      <c r="B59"/>
      <c r="C59"/>
    </row>
    <row r="60" spans="1:3" x14ac:dyDescent="0.25">
      <c r="B60"/>
      <c r="C60"/>
    </row>
    <row r="61" spans="1:3" x14ac:dyDescent="0.25">
      <c r="B61"/>
      <c r="C61"/>
    </row>
    <row r="62" spans="1:3" x14ac:dyDescent="0.25">
      <c r="B62"/>
      <c r="C62"/>
    </row>
    <row r="63" spans="1:3" x14ac:dyDescent="0.25">
      <c r="B63"/>
      <c r="C63"/>
    </row>
    <row r="64" spans="1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</sheetData>
  <printOptions horizontalCentered="1"/>
  <pageMargins left="0.45" right="0.7" top="0.25" bottom="0.75" header="0.3" footer="0.3"/>
  <pageSetup scale="83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C64D-2D11-4B44-A337-0CAE409A2BEC}">
  <sheetPr>
    <tabColor theme="9" tint="0.39997558519241921"/>
  </sheetPr>
  <dimension ref="A1:C20"/>
  <sheetViews>
    <sheetView showGridLines="0" workbookViewId="0">
      <selection activeCell="B10" sqref="B10"/>
    </sheetView>
  </sheetViews>
  <sheetFormatPr baseColWidth="10" defaultColWidth="11.42578125" defaultRowHeight="15" x14ac:dyDescent="0.25"/>
  <cols>
    <col min="1" max="1" width="32.42578125" bestFit="1" customWidth="1"/>
    <col min="2" max="2" width="33.140625" style="14" bestFit="1" customWidth="1"/>
    <col min="3" max="3" width="19.140625" style="14" bestFit="1" customWidth="1"/>
  </cols>
  <sheetData>
    <row r="1" spans="1:3" x14ac:dyDescent="0.25">
      <c r="A1" s="28" t="s">
        <v>570</v>
      </c>
    </row>
    <row r="2" spans="1:3" x14ac:dyDescent="0.25">
      <c r="A2" s="11" t="s">
        <v>562</v>
      </c>
      <c r="B2" t="s">
        <v>563</v>
      </c>
      <c r="C2" t="s">
        <v>564</v>
      </c>
    </row>
    <row r="3" spans="1:3" x14ac:dyDescent="0.25">
      <c r="A3" s="12" t="s">
        <v>29</v>
      </c>
      <c r="B3">
        <v>1795.7299999999998</v>
      </c>
      <c r="C3" s="14">
        <v>1795.7299999999998</v>
      </c>
    </row>
    <row r="4" spans="1:3" x14ac:dyDescent="0.25">
      <c r="A4" s="13" t="s">
        <v>46</v>
      </c>
      <c r="B4">
        <v>1795.7299999999998</v>
      </c>
      <c r="C4" s="14">
        <v>1795.7299999999998</v>
      </c>
    </row>
    <row r="5" spans="1:3" x14ac:dyDescent="0.25">
      <c r="A5" s="15" t="s">
        <v>65</v>
      </c>
      <c r="B5">
        <v>1795.7299999999998</v>
      </c>
      <c r="C5" s="14">
        <v>1795.7299999999998</v>
      </c>
    </row>
    <row r="6" spans="1:3" x14ac:dyDescent="0.25">
      <c r="A6" s="12" t="s">
        <v>45</v>
      </c>
      <c r="B6">
        <v>281450.23</v>
      </c>
      <c r="C6" s="14">
        <v>563.61060936780348</v>
      </c>
    </row>
    <row r="7" spans="1:3" x14ac:dyDescent="0.25">
      <c r="A7" s="13" t="s">
        <v>46</v>
      </c>
      <c r="B7">
        <v>281450.23</v>
      </c>
      <c r="C7" s="14">
        <v>563.61060936780348</v>
      </c>
    </row>
    <row r="8" spans="1:3" x14ac:dyDescent="0.25">
      <c r="A8" s="15" t="s">
        <v>65</v>
      </c>
      <c r="B8">
        <v>281450.23</v>
      </c>
      <c r="C8" s="14">
        <v>563.61060936780348</v>
      </c>
    </row>
    <row r="9" spans="1:3" x14ac:dyDescent="0.25">
      <c r="A9" s="12" t="s">
        <v>111</v>
      </c>
      <c r="B9">
        <v>8866.3799999999992</v>
      </c>
      <c r="C9" s="14">
        <v>10485.380988000001</v>
      </c>
    </row>
    <row r="10" spans="1:3" x14ac:dyDescent="0.25">
      <c r="A10" s="13" t="s">
        <v>112</v>
      </c>
      <c r="B10">
        <v>8866.3799999999992</v>
      </c>
      <c r="C10" s="14">
        <v>10485.380988000001</v>
      </c>
    </row>
    <row r="11" spans="1:3" x14ac:dyDescent="0.25">
      <c r="A11" s="15" t="s">
        <v>371</v>
      </c>
      <c r="B11">
        <v>7160.3799999999992</v>
      </c>
      <c r="C11" s="14">
        <v>8467.8653880000002</v>
      </c>
    </row>
    <row r="12" spans="1:3" x14ac:dyDescent="0.25">
      <c r="A12" s="15" t="s">
        <v>566</v>
      </c>
      <c r="B12">
        <v>1706</v>
      </c>
      <c r="C12" s="14">
        <v>2017.5156000000002</v>
      </c>
    </row>
    <row r="13" spans="1:3" x14ac:dyDescent="0.25">
      <c r="A13" s="12" t="s">
        <v>569</v>
      </c>
      <c r="B13">
        <v>292112.33999999997</v>
      </c>
      <c r="C13" s="14">
        <v>12844.721597367805</v>
      </c>
    </row>
    <row r="14" spans="1:3" x14ac:dyDescent="0.25">
      <c r="B14"/>
      <c r="C14"/>
    </row>
    <row r="15" spans="1:3" x14ac:dyDescent="0.25">
      <c r="B15"/>
      <c r="C15"/>
    </row>
    <row r="16" spans="1:3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ADF0-3FD4-4084-B40A-37CACF7AAC2E}">
  <dimension ref="A1:C9"/>
  <sheetViews>
    <sheetView showGridLines="0" workbookViewId="0">
      <selection activeCell="C10" sqref="C10"/>
    </sheetView>
  </sheetViews>
  <sheetFormatPr baseColWidth="10" defaultColWidth="11.42578125" defaultRowHeight="15" x14ac:dyDescent="0.25"/>
  <cols>
    <col min="1" max="1" width="23" bestFit="1" customWidth="1"/>
    <col min="2" max="2" width="33.140625" bestFit="1" customWidth="1"/>
    <col min="3" max="3" width="19.140625" bestFit="1" customWidth="1"/>
  </cols>
  <sheetData>
    <row r="1" spans="1:3" x14ac:dyDescent="0.25">
      <c r="A1" s="28" t="s">
        <v>572</v>
      </c>
    </row>
    <row r="2" spans="1:3" x14ac:dyDescent="0.25">
      <c r="A2" s="11" t="s">
        <v>562</v>
      </c>
      <c r="B2" t="s">
        <v>563</v>
      </c>
      <c r="C2" t="s">
        <v>564</v>
      </c>
    </row>
    <row r="3" spans="1:3" x14ac:dyDescent="0.25">
      <c r="A3" s="12" t="s">
        <v>29</v>
      </c>
      <c r="B3" s="14">
        <v>41178.369999999995</v>
      </c>
      <c r="C3" s="14">
        <v>41178.369999999995</v>
      </c>
    </row>
    <row r="4" spans="1:3" x14ac:dyDescent="0.25">
      <c r="A4" s="13" t="s">
        <v>30</v>
      </c>
      <c r="B4" s="14">
        <v>41178.369999999995</v>
      </c>
      <c r="C4" s="14">
        <v>41178.369999999995</v>
      </c>
    </row>
    <row r="5" spans="1:3" x14ac:dyDescent="0.25">
      <c r="A5" s="15" t="s">
        <v>214</v>
      </c>
      <c r="B5" s="14">
        <v>41178.369999999995</v>
      </c>
      <c r="C5" s="14">
        <v>41178.369999999995</v>
      </c>
    </row>
    <row r="6" spans="1:3" x14ac:dyDescent="0.25">
      <c r="A6" s="12" t="s">
        <v>45</v>
      </c>
      <c r="B6" s="14">
        <v>79100</v>
      </c>
      <c r="C6" s="14">
        <v>158.39958347517873</v>
      </c>
    </row>
    <row r="7" spans="1:3" x14ac:dyDescent="0.25">
      <c r="A7" s="13" t="s">
        <v>46</v>
      </c>
      <c r="B7" s="14">
        <v>79100</v>
      </c>
      <c r="C7" s="14">
        <v>158.39958347517873</v>
      </c>
    </row>
    <row r="8" spans="1:3" x14ac:dyDescent="0.25">
      <c r="A8" s="15" t="s">
        <v>65</v>
      </c>
      <c r="B8" s="14">
        <v>79100</v>
      </c>
      <c r="C8" s="14">
        <v>158.39958347517873</v>
      </c>
    </row>
    <row r="9" spans="1:3" x14ac:dyDescent="0.25">
      <c r="A9" s="12" t="s">
        <v>569</v>
      </c>
      <c r="B9" s="14">
        <v>120278.37</v>
      </c>
      <c r="C9" s="14">
        <v>41336.769583475172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10a1b8-fe2d-48bb-86f7-ee17a4853fde">
      <Terms xmlns="http://schemas.microsoft.com/office/infopath/2007/PartnerControls"/>
    </lcf76f155ced4ddcb4097134ff3c332f>
    <TaxCatchAll xmlns="029fe502-54b4-4406-b013-9e806026c06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086EB3FD90254D844042CCB9278ABD" ma:contentTypeVersion="15" ma:contentTypeDescription="Crear nuevo documento." ma:contentTypeScope="" ma:versionID="1b35298b64d679dff02be016bf5dd9e8">
  <xsd:schema xmlns:xsd="http://www.w3.org/2001/XMLSchema" xmlns:xs="http://www.w3.org/2001/XMLSchema" xmlns:p="http://schemas.microsoft.com/office/2006/metadata/properties" xmlns:ns2="1010a1b8-fe2d-48bb-86f7-ee17a4853fde" xmlns:ns3="029fe502-54b4-4406-b013-9e806026c06c" targetNamespace="http://schemas.microsoft.com/office/2006/metadata/properties" ma:root="true" ma:fieldsID="e183782a711e7ff7cf6f02e801ed96e0" ns2:_="" ns3:_="">
    <xsd:import namespace="1010a1b8-fe2d-48bb-86f7-ee17a4853fde"/>
    <xsd:import namespace="029fe502-54b4-4406-b013-9e806026c0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0a1b8-fe2d-48bb-86f7-ee17a4853f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41c0c66-6f98-430b-ad32-afd300242c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fe502-54b4-4406-b013-9e806026c06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d67637-b190-4129-814d-9e83681beded}" ma:internalName="TaxCatchAll" ma:showField="CatchAllData" ma:web="029fe502-54b4-4406-b013-9e806026c0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547A4F-A677-4019-A675-8444B2E83B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F4090C-D6A8-40F4-888B-37E553478D1A}">
  <ds:schemaRefs>
    <ds:schemaRef ds:uri="http://schemas.microsoft.com/office/2006/metadata/properties"/>
    <ds:schemaRef ds:uri="http://schemas.microsoft.com/office/infopath/2007/PartnerControls"/>
    <ds:schemaRef ds:uri="1010a1b8-fe2d-48bb-86f7-ee17a4853fde"/>
    <ds:schemaRef ds:uri="029fe502-54b4-4406-b013-9e806026c06c"/>
  </ds:schemaRefs>
</ds:datastoreItem>
</file>

<file path=customXml/itemProps3.xml><?xml version="1.0" encoding="utf-8"?>
<ds:datastoreItem xmlns:ds="http://schemas.openxmlformats.org/officeDocument/2006/customXml" ds:itemID="{E5F7AA34-85D9-4E32-BBBD-44CEA33C32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10a1b8-fe2d-48bb-86f7-ee17a4853fde"/>
    <ds:schemaRef ds:uri="029fe502-54b4-4406-b013-9e806026c0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Euromobilia</vt:lpstr>
      <vt:lpstr>Paneltech</vt:lpstr>
      <vt:lpstr>Multiclamp</vt:lpstr>
      <vt:lpstr>Tipos de Proveedores</vt:lpstr>
      <vt:lpstr>Responsables</vt:lpstr>
      <vt:lpstr>Catálogo de Monedas</vt:lpstr>
      <vt:lpstr>PIVOT EURO</vt:lpstr>
      <vt:lpstr>PIVOT PANEL</vt:lpstr>
      <vt:lpstr>PIVOT MULTI</vt:lpstr>
      <vt:lpstr>'PIVOT EURO'!Área_de_impresión</vt:lpstr>
      <vt:lpstr>Euromobilia!Títulos_a_imprimir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Jacquelline Alvarado</dc:creator>
  <cp:keywords/>
  <dc:description/>
  <cp:lastModifiedBy>Katherine Garcia</cp:lastModifiedBy>
  <cp:revision/>
  <dcterms:created xsi:type="dcterms:W3CDTF">2024-06-10T18:38:26Z</dcterms:created>
  <dcterms:modified xsi:type="dcterms:W3CDTF">2026-02-03T17:39:12Z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0x01010083086EB3FD90254D844042CCB9278ABD</vt:lpwstr>
  </property>
  <property fmtid="{D5CDD505-2E9C-101B-9397-08002B2CF9AE}" pid="3" name="MediaServiceImageTags">
    <vt:lpwstr/>
  </property>
</Properties>
</file>