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mobilia-my.sharepoint.com/personal/luis_barrantes_euromobilia_com/Documents/Escritorio/Analisis de cartera/Analisis PH/"/>
    </mc:Choice>
  </mc:AlternateContent>
  <xr:revisionPtr revIDLastSave="1083" documentId="13_ncr:1_{8C5E02AC-E447-425C-9B89-AF622B5D587E}" xr6:coauthVersionLast="47" xr6:coauthVersionMax="47" xr10:uidLastSave="{DF6339DF-2629-41D5-9203-3F4C5F2B5090}"/>
  <bookViews>
    <workbookView xWindow="-108" yWindow="-108" windowWidth="23256" windowHeight="13896" activeTab="2" xr2:uid="{B324A21B-DB95-431B-A730-2E00BC9C701E}"/>
  </bookViews>
  <sheets>
    <sheet name="Resumen" sheetId="2" r:id="rId1"/>
    <sheet name="Proyección" sheetId="3" r:id="rId2"/>
    <sheet name="General" sheetId="1" r:id="rId3"/>
  </sheets>
  <definedNames>
    <definedName name="_xlnm._FilterDatabase" localSheetId="2" hidden="1">General!$A$1:$X$277</definedName>
    <definedName name="SegmentaciónDeDatos_Empresa">#N/A</definedName>
    <definedName name="SegmentaciónDeDatos_Status">#N/A</definedName>
    <definedName name="SegmentaciónDeDatos_Status1">#N/A</definedName>
  </definedNames>
  <calcPr calcId="191029"/>
  <pivotCaches>
    <pivotCache cacheId="0" r:id="rId4"/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</calcChain>
</file>

<file path=xl/sharedStrings.xml><?xml version="1.0" encoding="utf-8"?>
<sst xmlns="http://schemas.openxmlformats.org/spreadsheetml/2006/main" count="3174" uniqueCount="459">
  <si>
    <t>FA</t>
  </si>
  <si>
    <t>PRODUCTIVIDAD HUMANA</t>
  </si>
  <si>
    <t>004-001</t>
  </si>
  <si>
    <t>ANC CAR SOCIEDAD ANONIMA</t>
  </si>
  <si>
    <t>BILCO COSTA RICA S.A.</t>
  </si>
  <si>
    <t>CAFETAL DOS DE BELEN S.A</t>
  </si>
  <si>
    <t>CLIENTE FACTURACION PRESTAMOS</t>
  </si>
  <si>
    <t>COMPANIA CONSTRUCTORA VAN DER LAAT Y JIMENEZ S.A.</t>
  </si>
  <si>
    <t>CONSTRUCTORA ELISEO VARGAS &amp; ASOCIADOS S.A.</t>
  </si>
  <si>
    <t>CONSTRUCTORA GADA L.R.G. SOCIEDAD DE RESPONSABILID</t>
  </si>
  <si>
    <t>CONSTRUCTORA GONZALO DELGADO SOCIEDAD ANONIMA</t>
  </si>
  <si>
    <t>CONSTRUCTORA NAVARRO Y AVILES SOCIEDAD ANONIMA</t>
  </si>
  <si>
    <t>CONTRACT WORKPLACES COSTA RICA SOCIEDAD ANONIMA</t>
  </si>
  <si>
    <t>DOUGLAS EDUARDO MENESES ALFARO</t>
  </si>
  <si>
    <t>EDIFICADORA CENTROAMERICANA RAPIPAREDES S.A.</t>
  </si>
  <si>
    <t>EDIFICAR S.A</t>
  </si>
  <si>
    <t>004-003</t>
  </si>
  <si>
    <t>FEDERACION COSTARRICENSE DE FUTBOL</t>
  </si>
  <si>
    <t>GISELLE ALFARO SOTO</t>
  </si>
  <si>
    <t>Global Supply Sociedad Anonima</t>
  </si>
  <si>
    <t>GRUPO CORPORATIVO AR PUNTO COM S.R.L</t>
  </si>
  <si>
    <t>IMPROSA CENTRO DE SERVICIOS COMPARTIDOS ICSC S.A</t>
  </si>
  <si>
    <t>IMPROSA SERVICIOS INTERNACIONALES SOCIEDAD ANONIMA</t>
  </si>
  <si>
    <t>INDUSTRIAS PANORAMA SOCIEDAD ANONIMA</t>
  </si>
  <si>
    <t>INVERSIONES HOTELERAS CH DE ALAJUELA S.A.</t>
  </si>
  <si>
    <t>JONES LANG LASALLE LIMITADA</t>
  </si>
  <si>
    <t>LOS ARALLANES SOCIEDAD ANONIMA</t>
  </si>
  <si>
    <t>MAURICIO SANCHEZ</t>
  </si>
  <si>
    <t>MICROVENTION COSTA RICA SRL</t>
  </si>
  <si>
    <t>MINISTERIO DE EDUCACION PUBLICA</t>
  </si>
  <si>
    <t>MUNICIPALIDAD DE ALAJUELA</t>
  </si>
  <si>
    <t>NORFUND</t>
  </si>
  <si>
    <t>PFIZER ZONA FRANCA SOCIEDAD ANONIMA</t>
  </si>
  <si>
    <t>PROYECTA MPM MIL</t>
  </si>
  <si>
    <t>PROYECTOS DE ACCESO PROA S.A</t>
  </si>
  <si>
    <t>REBECA HERRERA BOGARIN</t>
  </si>
  <si>
    <t>SAMTEC INTERCONNECT ASSEMBLY SIA COSTA RICA S.R.L</t>
  </si>
  <si>
    <t>SERVICIOS CASA DE AQUI SOCIEDAD ANONIMA</t>
  </si>
  <si>
    <t>TRON AB COSTA RICA SOCIEDAD ANONIMA</t>
  </si>
  <si>
    <t>UNIVERSIDAD ESTATAL A DISTANCIA</t>
  </si>
  <si>
    <t>VETRASA SA</t>
  </si>
  <si>
    <t>Nombre</t>
  </si>
  <si>
    <t>Tipo</t>
  </si>
  <si>
    <t>Vendedor</t>
  </si>
  <si>
    <t>Cod_Vendedor</t>
  </si>
  <si>
    <t>Documento</t>
  </si>
  <si>
    <t>Negocio</t>
  </si>
  <si>
    <t>Monto</t>
  </si>
  <si>
    <t>cSinVencer</t>
  </si>
  <si>
    <t>De30Dias</t>
  </si>
  <si>
    <t>De60Dias</t>
  </si>
  <si>
    <t>De90Dias</t>
  </si>
  <si>
    <t>Mas90Dias</t>
  </si>
  <si>
    <t>Total</t>
  </si>
  <si>
    <t>Fecha_Factura</t>
  </si>
  <si>
    <t>Vencimiento</t>
  </si>
  <si>
    <t>Dias</t>
  </si>
  <si>
    <t>CodTienda</t>
  </si>
  <si>
    <t>Empresa</t>
  </si>
  <si>
    <t>Euromobilia</t>
  </si>
  <si>
    <t>001</t>
  </si>
  <si>
    <t>002</t>
  </si>
  <si>
    <t>CENTRO COMERCIAL MULTIPLAZA SOCIEDAD ANONIMA</t>
  </si>
  <si>
    <t>CHACON ARQUITECTOS SOCIEDAD ANONIMA</t>
  </si>
  <si>
    <t>Cliente Facturacion Prestamos</t>
  </si>
  <si>
    <t>CONICO, CONSULTORIA INTEGRAL DE LA CONSTRUCCION, SOCIEDAD ANONIMA</t>
  </si>
  <si>
    <t>GOSOCKET SHARED SERVICES S.A</t>
  </si>
  <si>
    <t>MULTI CLAMP SOCIEDAD ANONIMA</t>
  </si>
  <si>
    <t>NOVASHORE OUTSOURCING SOLUTIONS SOCIEDAD ANONIMA</t>
  </si>
  <si>
    <t>P Y P CONSTRUCCIONES S.A.</t>
  </si>
  <si>
    <t>PARQUE CENTRAL SOCIEDAD ANONIMA</t>
  </si>
  <si>
    <t>SERVICIOS COMPUTACIONALES NOVA COMP SOCIEDAD ANONIMA</t>
  </si>
  <si>
    <t>Paneltec</t>
  </si>
  <si>
    <t>Status</t>
  </si>
  <si>
    <t>Caso especial</t>
  </si>
  <si>
    <t>Arreglo de pago</t>
  </si>
  <si>
    <t>Gestion de cobro</t>
  </si>
  <si>
    <t>Refacturar</t>
  </si>
  <si>
    <t>Sin vencer</t>
  </si>
  <si>
    <t>Retenciones - Contr.</t>
  </si>
  <si>
    <t>Total general</t>
  </si>
  <si>
    <t xml:space="preserve">Saldo arreglo </t>
  </si>
  <si>
    <t>Proyección cobro</t>
  </si>
  <si>
    <t>SinVencer</t>
  </si>
  <si>
    <t>CARTERA PRODUCTIVIDAD HUMANA</t>
  </si>
  <si>
    <t>Mes</t>
  </si>
  <si>
    <t>ND</t>
  </si>
  <si>
    <t>NC</t>
  </si>
  <si>
    <t>MOTO PARTES RUTA SESENTA Y SEIS S.A</t>
  </si>
  <si>
    <t>INDIRA SOLANO VINDAS</t>
  </si>
  <si>
    <t>AD00024685</t>
  </si>
  <si>
    <t>EDICA LIMITADA</t>
  </si>
  <si>
    <t>AD00001076</t>
  </si>
  <si>
    <t>COOPERATIVA DE AHORRO Y CREDITO ANDE NUMERO 1 RL</t>
  </si>
  <si>
    <t>AD00000943</t>
  </si>
  <si>
    <t>BANCO DAVIVIENDA (COSTA RICA) SOCIEDAD ANONIMA</t>
  </si>
  <si>
    <t>AD00001343</t>
  </si>
  <si>
    <t>AD00002194</t>
  </si>
  <si>
    <t>COMPANIA DE GALLETAS POZUELO DCR SOCIEDAD ANONIMA</t>
  </si>
  <si>
    <t>MAURICIO AMADOR ALMANZA</t>
  </si>
  <si>
    <t>GOLDTECH DE COSTA RICA S.AA</t>
  </si>
  <si>
    <t>ASOCIACION SOLIDARISTA EMPLEADOS CAJA</t>
  </si>
  <si>
    <t>AD00024847</t>
  </si>
  <si>
    <t>SWAROVSKI GLOBAL BUSINESS SERVICES AMERICAS SOCIEDAD DE RESPONSABILIDAD LIM</t>
  </si>
  <si>
    <t>Universidad U Latina S.R.L</t>
  </si>
  <si>
    <t>CORTE SUPREMA DE JUSTICIA PODER JUDICIAL</t>
  </si>
  <si>
    <t>AD00001751</t>
  </si>
  <si>
    <t>ROBERSI ESTUARD GARCIA AGUINAGA</t>
  </si>
  <si>
    <t>AD00001892</t>
  </si>
  <si>
    <t>INSTITUTO COSTARRICENSE DEL DEPORTE Y LA RECREACIO</t>
  </si>
  <si>
    <t>LATAM LOGISTIC CR OPCO S.R.L</t>
  </si>
  <si>
    <t>Zona Franca Coyol S.A. NO USAR</t>
  </si>
  <si>
    <t>AD00001159</t>
  </si>
  <si>
    <t>CONSTRUCTORA PIACO SOCIEDAD ANONIMA</t>
  </si>
  <si>
    <t>AD00001982</t>
  </si>
  <si>
    <t>CLAI PAYMENTS COSTA RICA S.A.</t>
  </si>
  <si>
    <t>JAVIER EDUARDO ROMERO ARMAS</t>
  </si>
  <si>
    <t>AD00001968</t>
  </si>
  <si>
    <t>Importadora la meseta imlane SA</t>
  </si>
  <si>
    <t>DEL ESTE BIENES RAICES DEBR SOCIEDAD ANONIMA</t>
  </si>
  <si>
    <t>SERVICIOS CORPORATIVOS GBA SOCIEDAD ANONIMA</t>
  </si>
  <si>
    <t>AD00001260</t>
  </si>
  <si>
    <t>GRUPO ELECTROMECANICO INTER COOL SOCIEDAD ANONIMA</t>
  </si>
  <si>
    <t>AD00002043</t>
  </si>
  <si>
    <t>COMPAÑIA DE GALLETAS POZUELO DCR SOCIEDAD ANONIMA</t>
  </si>
  <si>
    <t>GRUPO CONDECO VAC SOCIEDAD ANONIMA</t>
  </si>
  <si>
    <t>AD00002019</t>
  </si>
  <si>
    <t>AD00001546</t>
  </si>
  <si>
    <t>SERVICIOS NUTRESA COSTA RICA SOCIEDAD ANONIMA</t>
  </si>
  <si>
    <t>Colegio Profesional de Orientación</t>
  </si>
  <si>
    <t>AD00001658</t>
  </si>
  <si>
    <t>JAVIER POLANCO</t>
  </si>
  <si>
    <t>AD00001946</t>
  </si>
  <si>
    <t>NITINOL DEVICES &amp; COMPONENTS COSTA RICA SOCIEDAD DE RESPOSABILIDAD LIMITADA</t>
  </si>
  <si>
    <t>AD00001725</t>
  </si>
  <si>
    <t>ESTRUCTURAS SOCIEDAD ANONIMA</t>
  </si>
  <si>
    <t>NOVOGAR S.A</t>
  </si>
  <si>
    <t xml:space="preserve">UNION DEL OESTE DE COSTA RICA S.R.L                                        </t>
  </si>
  <si>
    <t>AD00001315</t>
  </si>
  <si>
    <t>CSS SECURITAS INTERNACIONAL DE COSTA RICA S.A</t>
  </si>
  <si>
    <t>AD00001153</t>
  </si>
  <si>
    <t xml:space="preserve">CARLOS FEDERSPIEL &amp; COMPAÑIA, S.A                                          </t>
  </si>
  <si>
    <t>AD00001301</t>
  </si>
  <si>
    <t>MARCOS PATTERSON ULLOA</t>
  </si>
  <si>
    <t>Seguritronic Security Center SA</t>
  </si>
  <si>
    <t>INMOBILIARIA ALDEBARAN SOCIEDAD ANONIMA</t>
  </si>
  <si>
    <t>AD00001924</t>
  </si>
  <si>
    <t>Transportes silver</t>
  </si>
  <si>
    <t>Roofing Solutions Limited Liability Company</t>
  </si>
  <si>
    <t>AD00025034</t>
  </si>
  <si>
    <t>FUNERARIA MANANTIAL DE VIDA</t>
  </si>
  <si>
    <t>RAINIER TRADING FOOD SA</t>
  </si>
  <si>
    <t>UNIGROUP WORLDWIDE COSTA RICA SRL</t>
  </si>
  <si>
    <t>AD00001477</t>
  </si>
  <si>
    <t>LOS ARALLANES S.A.</t>
  </si>
  <si>
    <t>AD00001361</t>
  </si>
  <si>
    <t>INTERSTUHL LATAM S.A DE C.V</t>
  </si>
  <si>
    <t>AD00002166</t>
  </si>
  <si>
    <t>INTERRA SOCIEDAD ANONIMA</t>
  </si>
  <si>
    <t>AD00001535</t>
  </si>
  <si>
    <t>Wright Medical Costa Rica, S.A.</t>
  </si>
  <si>
    <t>AD00001087</t>
  </si>
  <si>
    <t>AD00001259</t>
  </si>
  <si>
    <t>FRUTA INTERNACIONAL SOCIEDAD ANONIMA</t>
  </si>
  <si>
    <t>ACTIVE CAMPAIGN COSTA RICA SOCIEDAD DE RESPONSABIL</t>
  </si>
  <si>
    <t>CONCRETERA NACIONAL SOCIEDAD ANONIMA</t>
  </si>
  <si>
    <t>AD00001140</t>
  </si>
  <si>
    <t>CLEAN CONSTRUCTION LIMITADA</t>
  </si>
  <si>
    <t>AD00000959</t>
  </si>
  <si>
    <t>AD00001233</t>
  </si>
  <si>
    <t>INSTITUTO NACIONAL DE SEGUROS</t>
  </si>
  <si>
    <t>SEGNINI EXPORTACIONES SOCIEDAD ANONIMA</t>
  </si>
  <si>
    <t>AD00002177</t>
  </si>
  <si>
    <t>ELECTRONICA CENTROAMERICANA SOCIEDAD ANONIMA</t>
  </si>
  <si>
    <t>Costa Rica Container SA</t>
  </si>
  <si>
    <t>ESTABLISHMENT LABS SOCIEDAD ANONIMA</t>
  </si>
  <si>
    <t>AD00002001</t>
  </si>
  <si>
    <t>PROLEPSIS</t>
  </si>
  <si>
    <t xml:space="preserve">INMOBILIARIA PLAZOLETA DEL TIEMPO PDT, S.A                                 </t>
  </si>
  <si>
    <t>NELSY LINETH DE LOS ANGELES SANABRIA OROZCO</t>
  </si>
  <si>
    <t>AD00002120</t>
  </si>
  <si>
    <t>TORRECILLA CINCUENTA Y UNO SOCIEDAD DE RESPONSABILIDAD LIMITADA</t>
  </si>
  <si>
    <t>AD00002140</t>
  </si>
  <si>
    <t>Proyekta Ingenieria y Construccion S.A.</t>
  </si>
  <si>
    <t>AD00001923</t>
  </si>
  <si>
    <t>AD00001709</t>
  </si>
  <si>
    <t>ASEMECO</t>
  </si>
  <si>
    <t>AD00001716</t>
  </si>
  <si>
    <t>PROYECTOS TURBINA S.A</t>
  </si>
  <si>
    <t>LUMEN ILUMINACION SOCIEDAD ANONIMA</t>
  </si>
  <si>
    <t>FISHER SCIENTIFIC COSTA RICA SOCIEDAD DE RESPONSABILIDAD LIMITADA</t>
  </si>
  <si>
    <t>AD00001488</t>
  </si>
  <si>
    <t>ROMA PRINCE SOCIEDAD ANONIMA</t>
  </si>
  <si>
    <t>AD00025375</t>
  </si>
  <si>
    <t>PARAISO TROPICAL INC SOCIEDAD ANONIMA</t>
  </si>
  <si>
    <t>AD00001947</t>
  </si>
  <si>
    <t>H CINCO INDUSTRIAL SOCIEDAD ANONIMA</t>
  </si>
  <si>
    <t>AD00002126</t>
  </si>
  <si>
    <t>AD00001864</t>
  </si>
  <si>
    <t>AD00001595</t>
  </si>
  <si>
    <t>CORPORACION AGROPECUARIA CORPECO SOCIEDAD ANONIMA</t>
  </si>
  <si>
    <t>AD00001998</t>
  </si>
  <si>
    <t>GFI PHARMA LOGISTIC S.A</t>
  </si>
  <si>
    <t>PROQUINAL COSTA RICA SOCIEDAD ANONIMA</t>
  </si>
  <si>
    <t>AD00001943</t>
  </si>
  <si>
    <t>GRUPO LEUMI G L SOCIEDAD ANONIMA</t>
  </si>
  <si>
    <t>AD00002028</t>
  </si>
  <si>
    <t>AD00001842</t>
  </si>
  <si>
    <t>DEL PARQUE ARDILLA S.A</t>
  </si>
  <si>
    <t>AD00025271</t>
  </si>
  <si>
    <t>3-101-742029 SOCIEDAD ANONIMA</t>
  </si>
  <si>
    <t>AD00002153</t>
  </si>
  <si>
    <t>AD00002161</t>
  </si>
  <si>
    <t>SEAR INGENIERIA DISEÑO Y CONSTRUCCION SOCIEDAD ANONIMA</t>
  </si>
  <si>
    <t>AD00002059</t>
  </si>
  <si>
    <t>DESARROLLOS URBANISTICOS MODERNOS LIMITADA</t>
  </si>
  <si>
    <t>AD00002010</t>
  </si>
  <si>
    <t>INTERACTIVE LIGHTNING SOCIEDAD ANONIMA</t>
  </si>
  <si>
    <t>GAS TOMZA DE COSTA RICA SOCIEDAD ANONIMA</t>
  </si>
  <si>
    <t>Arreglo Pago</t>
  </si>
  <si>
    <t>+30Dias</t>
  </si>
  <si>
    <t>+60Dias</t>
  </si>
  <si>
    <t>+90Dias</t>
  </si>
  <si>
    <t>Gran Total</t>
  </si>
  <si>
    <t>TELEDOLAR SOCIEDAD ANONIMA</t>
  </si>
  <si>
    <t>Anticipo por facturar</t>
  </si>
  <si>
    <t>Corporacion de Supermercados Unidos SRL</t>
  </si>
  <si>
    <t>ATRES ARQUITECTOS SOCIEDAD DE RESPONSABILIDAD LIMITADA</t>
  </si>
  <si>
    <t>AD00025512</t>
  </si>
  <si>
    <t>AD00025445</t>
  </si>
  <si>
    <t>AD00025448</t>
  </si>
  <si>
    <t>Universidad de Costa Rica</t>
  </si>
  <si>
    <t>Aplicar</t>
  </si>
  <si>
    <t>DUWEST CAFESA SOCIEDAD ANONIMA</t>
  </si>
  <si>
    <t>Cartera Productividad Humana</t>
  </si>
  <si>
    <t>EUROMOBILIA SOCIEDAD ANONIMA</t>
  </si>
  <si>
    <t>AD00025622</t>
  </si>
  <si>
    <t>FERRETERIA EPA, SOCIEDAD ANONIMA</t>
  </si>
  <si>
    <t>AD00002223</t>
  </si>
  <si>
    <t>AD00025623</t>
  </si>
  <si>
    <t>90Dias</t>
  </si>
  <si>
    <t>Observaciones</t>
  </si>
  <si>
    <t>FDO INV. DESARROLLO PROYECTOS MULTIFONDOS SECRT ESCALANTE</t>
  </si>
  <si>
    <t>TRIBUNAL SUPREMO DE ELECCIONES</t>
  </si>
  <si>
    <t>I M C INTERAMERICANA MEDIOS DE COMUNICACION SOCIEDAD ANONIMA</t>
  </si>
  <si>
    <t>ASOCIACION SOLIDARISTA EMPLEADOS CAJA COSTARRICENSE SEGURO SOCIAL</t>
  </si>
  <si>
    <t>EVOLUTION FREE ZONE SOCIEDAD ANONIMA</t>
  </si>
  <si>
    <t>AD00025734</t>
  </si>
  <si>
    <t>ULTRAPARK DOS SOCIEDAD ANONIMA</t>
  </si>
  <si>
    <t>PLAZA RIVIERA SOCIEDAD ANONIMA</t>
  </si>
  <si>
    <t>CORPORACION COSTARRICENSE DE MERCADEO INTER</t>
  </si>
  <si>
    <t>Mederi Limitada</t>
  </si>
  <si>
    <t>AD00025822</t>
  </si>
  <si>
    <t>P Y P CONSTRUCCIONES SOCIEDAD ANONIMA</t>
  </si>
  <si>
    <t>DISTRIBUIDORA LA FLORIDA S.A.</t>
  </si>
  <si>
    <t>DIEGO BALDIZON VARGAS</t>
  </si>
  <si>
    <t>CAJA COSTARRICENSE DE SEGURO SOCIAL</t>
  </si>
  <si>
    <t>CONSTRIAL SOCIEDAD ANONIMA</t>
  </si>
  <si>
    <t>Btsu S.A</t>
  </si>
  <si>
    <t>AD00025925</t>
  </si>
  <si>
    <t>AD00002234</t>
  </si>
  <si>
    <t>AD00002237</t>
  </si>
  <si>
    <t>AD00002235</t>
  </si>
  <si>
    <t>AD00002236</t>
  </si>
  <si>
    <t>LUX SOLUTIONS LIMITADA</t>
  </si>
  <si>
    <t>AD00025854</t>
  </si>
  <si>
    <t>AD00002238</t>
  </si>
  <si>
    <t>AD00025890</t>
  </si>
  <si>
    <t>ALTEA G Y E SOCIEDAD ANONIMA</t>
  </si>
  <si>
    <t>004-033</t>
  </si>
  <si>
    <t>RONNY SALAZAR MORALES</t>
  </si>
  <si>
    <t>AD00025960</t>
  </si>
  <si>
    <t>CRHOY SOCIEDAD ANONIMA</t>
  </si>
  <si>
    <t>ALLERGAN COSTA RICA SOCIENDAD RESPONSABILIDAD LIMITADA</t>
  </si>
  <si>
    <t>UNIVERSIDAD DE COSTA RICA</t>
  </si>
  <si>
    <t>PURDY MOTOR SOCIEDAD ANONIMA</t>
  </si>
  <si>
    <t>AJIP INGENIERIA LIMITADA</t>
  </si>
  <si>
    <t>RAE INGENIEROS SOCIEDAD ANONIMA</t>
  </si>
  <si>
    <t>EMBAJADA DE LOS ESTADOS UNIDOS DE AMERICA</t>
  </si>
  <si>
    <t>CONTRATO DE FIDEICOMISO NO OCHO SIETE DOS MINISTERIO DE SALUD</t>
  </si>
  <si>
    <t>KPMG DELIVERY NETWORK COSTA RICA  T&amp;L SOCIEDAD ANONIMA</t>
  </si>
  <si>
    <t>MOBI OFFICE SA</t>
  </si>
  <si>
    <t>AD00026099</t>
  </si>
  <si>
    <t>TTA PROJECT MANAGEMENT SOCIEDAD DE RESPONSABILIDAD LIMITADA</t>
  </si>
  <si>
    <t>AD00002248</t>
  </si>
  <si>
    <t>CONNECT ASSISTANCE CR SOCIEDAD ANONIMA</t>
  </si>
  <si>
    <t>AD00026080</t>
  </si>
  <si>
    <t>STEWART TITLE GUARANTY COMPANY</t>
  </si>
  <si>
    <t>AD00026142</t>
  </si>
  <si>
    <t>PANELTECH SOCIEDAD ANONIMA</t>
  </si>
  <si>
    <t>INSTITUTO COSTARRICENSE DE PUERTOS DEL PACIFICO</t>
  </si>
  <si>
    <t>MANUEL ANTONIO SERRANO GARCIA</t>
  </si>
  <si>
    <t>AD00026073</t>
  </si>
  <si>
    <t>EUROCENTER INMOBILIARIA DE COSTA RICA ECR SOCIEDAD ANONIMA</t>
  </si>
  <si>
    <t>INVERSIONES EL AGUALOTE URUCA S.A.</t>
  </si>
  <si>
    <t>CORE DESARROLLADORA SRL.</t>
  </si>
  <si>
    <t>JUNTA ADMINISTRATIVA DEL ARCHIVO NACIONAL</t>
  </si>
  <si>
    <t>ROBERT BOSCH SERVICE SOLUTIONS COSTA RICA SOCIEDAD ANONIMA</t>
  </si>
  <si>
    <t>BLOCK CONSTRUCTORA SOCIEDAD ANONIMA</t>
  </si>
  <si>
    <t>AD00002258</t>
  </si>
  <si>
    <t>CONDOMINIO INMOBILIARIO JEROY SOCIEDAD ANONIMA</t>
  </si>
  <si>
    <t>AD00002257</t>
  </si>
  <si>
    <t>CONSTRUCTORA TOTEM SOCIEDAD ANONIMA</t>
  </si>
  <si>
    <t>GRUPO DESARROLLADOR DE PARQUES INDUSTRIALES SOCIEDAD ANONIMA</t>
  </si>
  <si>
    <t>AD00002261</t>
  </si>
  <si>
    <t>AD00002262</t>
  </si>
  <si>
    <t>Importaciones industriales MASACA SA</t>
  </si>
  <si>
    <t>AD00026268</t>
  </si>
  <si>
    <t>IMS CONSTRUCCIONES SOCIEDAD ANONIMA</t>
  </si>
  <si>
    <t>AD00026240</t>
  </si>
  <si>
    <t>AD00002260</t>
  </si>
  <si>
    <t>MARSH ASPROSE CORREDORA DE SEGUROS SOCIEDAD ANONIMA</t>
  </si>
  <si>
    <t>AD00002256</t>
  </si>
  <si>
    <t>AD00026286</t>
  </si>
  <si>
    <t>BILCO COSTA RICA SOCIEDAD ANONIMA</t>
  </si>
  <si>
    <t>AD00002265</t>
  </si>
  <si>
    <t>AD00026321</t>
  </si>
  <si>
    <t>AD00002275</t>
  </si>
  <si>
    <t>AD00002274</t>
  </si>
  <si>
    <t>AD00002268</t>
  </si>
  <si>
    <t>AD00002263</t>
  </si>
  <si>
    <t>AD00026291</t>
  </si>
  <si>
    <t>AD00026360</t>
  </si>
  <si>
    <t>PARTES ELECTROMECANICAS GULISA SOCIEDAD ANONIMA</t>
  </si>
  <si>
    <t>AD00002264</t>
  </si>
  <si>
    <t>AD00002267</t>
  </si>
  <si>
    <t>AD00002273</t>
  </si>
  <si>
    <t>CSI LEASING DE CENTROAMERICA SOCIEDAD DE RESPONSAB</t>
  </si>
  <si>
    <t>SAGA INGENIERIA SOCIEDAD ANONIMA</t>
  </si>
  <si>
    <t>SUMINISTROS INDUSTRIALES SOTO ESPINOZA S.A.</t>
  </si>
  <si>
    <t>Febrero</t>
  </si>
  <si>
    <t>Marzo</t>
  </si>
  <si>
    <t>Abril</t>
  </si>
  <si>
    <t>AD00002278</t>
  </si>
  <si>
    <t>AD00026401</t>
  </si>
  <si>
    <t>AD00026378</t>
  </si>
  <si>
    <t>AD00002281</t>
  </si>
  <si>
    <t>AD00002279</t>
  </si>
  <si>
    <t>ADMEDES SOCIEDAD ANONIMA</t>
  </si>
  <si>
    <t>AD00026427</t>
  </si>
  <si>
    <t>AD00026428</t>
  </si>
  <si>
    <t>AD00026332</t>
  </si>
  <si>
    <t>AD00026333</t>
  </si>
  <si>
    <t>REFINADORA COSTARRICENSE DE PETROLEO</t>
  </si>
  <si>
    <t>AD00002284</t>
  </si>
  <si>
    <t>UNOPETROL COSTA RICA SOCIEDAD DE RESPONSABILIDAD LIMITADA</t>
  </si>
  <si>
    <t>AD00026407</t>
  </si>
  <si>
    <t>ZONA FRANCA LA LIMA, SOCIEDAD DE RESPONSABILIDAD LIMITADA</t>
  </si>
  <si>
    <t>EURORAMSTACK C.R SOCIEDAD ANONIMA</t>
  </si>
  <si>
    <t>AD00002277</t>
  </si>
  <si>
    <t>TECNOMED QUINIENTOS SEIS SOCIEDAD ANONIMA</t>
  </si>
  <si>
    <t>AD00002282</t>
  </si>
  <si>
    <t>ASOCIACIÓN DE SERVICIOS MEDICOS COSTARRICENSES</t>
  </si>
  <si>
    <t>BOSTON SCIENTIFIC DE COSTA RICA S.R.L</t>
  </si>
  <si>
    <t>Compania Nacional de Fuerza y Luz S.A.</t>
  </si>
  <si>
    <t>INVERSIONES FUTURA ANDINO S.A.</t>
  </si>
  <si>
    <t>Municipalidad de Montes de Oca</t>
  </si>
  <si>
    <t>MUNICIPALIDAD DE PALMARES</t>
  </si>
  <si>
    <t>Monto Febrero</t>
  </si>
  <si>
    <t>Monto Marzo</t>
  </si>
  <si>
    <t xml:space="preserve">0001 </t>
  </si>
  <si>
    <t>OF313</t>
  </si>
  <si>
    <t>OF312</t>
  </si>
  <si>
    <t>OF116</t>
  </si>
  <si>
    <t xml:space="preserve">115  </t>
  </si>
  <si>
    <t>OF103</t>
  </si>
  <si>
    <t xml:space="preserve">005  </t>
  </si>
  <si>
    <t>OF111</t>
  </si>
  <si>
    <t xml:space="preserve">000  </t>
  </si>
  <si>
    <t>OF030</t>
  </si>
  <si>
    <t xml:space="preserve">37   </t>
  </si>
  <si>
    <t xml:space="preserve">065  </t>
  </si>
  <si>
    <t xml:space="preserve">23   </t>
  </si>
  <si>
    <t xml:space="preserve">044  </t>
  </si>
  <si>
    <t xml:space="preserve">111  </t>
  </si>
  <si>
    <t xml:space="preserve">75   </t>
  </si>
  <si>
    <t xml:space="preserve">O7EX </t>
  </si>
  <si>
    <t xml:space="preserve">1354 </t>
  </si>
  <si>
    <t xml:space="preserve">67   </t>
  </si>
  <si>
    <t xml:space="preserve">HO96 </t>
  </si>
  <si>
    <t xml:space="preserve">0181 </t>
  </si>
  <si>
    <t xml:space="preserve">89   </t>
  </si>
  <si>
    <t>0F105</t>
  </si>
  <si>
    <t>OF086</t>
  </si>
  <si>
    <t xml:space="preserve">90   </t>
  </si>
  <si>
    <t xml:space="preserve">34   </t>
  </si>
  <si>
    <t>OF113</t>
  </si>
  <si>
    <t xml:space="preserve">88   </t>
  </si>
  <si>
    <t>OF117</t>
  </si>
  <si>
    <t>PR042</t>
  </si>
  <si>
    <t xml:space="preserve">0103 </t>
  </si>
  <si>
    <t xml:space="preserve">85   </t>
  </si>
  <si>
    <t>OF057</t>
  </si>
  <si>
    <t xml:space="preserve">2029 </t>
  </si>
  <si>
    <t xml:space="preserve">2124 </t>
  </si>
  <si>
    <t xml:space="preserve">65   </t>
  </si>
  <si>
    <t xml:space="preserve">77   </t>
  </si>
  <si>
    <t xml:space="preserve">105  </t>
  </si>
  <si>
    <t xml:space="preserve">103  </t>
  </si>
  <si>
    <t xml:space="preserve">118  </t>
  </si>
  <si>
    <t xml:space="preserve">53   </t>
  </si>
  <si>
    <t>ASOCIACION CENTRO DE INVESTIGACION Y ADIESTRAMIENTO POLITICO ADMINISTRATIVO</t>
  </si>
  <si>
    <t>AD00026442</t>
  </si>
  <si>
    <t>BD CONSULTORES COSTA RICA, SOCIEDAD ANONIMA</t>
  </si>
  <si>
    <t>AD00002286</t>
  </si>
  <si>
    <t>CARIARI PREMIUM OUTLETS SOCIEDAD ANONIMA</t>
  </si>
  <si>
    <t>AD00002285</t>
  </si>
  <si>
    <t>CHIQUITA BRANDS COSTA RICA SRL</t>
  </si>
  <si>
    <t>CONCENTRIX COSTA RICA SOCIEDAD ANONIMA</t>
  </si>
  <si>
    <t>CONSTRUCTORA ENRIQUE MUÑOZ S.A.</t>
  </si>
  <si>
    <t>AD00002290</t>
  </si>
  <si>
    <t>AD00026476</t>
  </si>
  <si>
    <t>DHL CUSTOMS (COSTA RICA) SOCIEDAD ANONIMA</t>
  </si>
  <si>
    <t>AD00026470</t>
  </si>
  <si>
    <t>EDIFISA CONSTRUCTORA SOCIEDAD ANONIMA</t>
  </si>
  <si>
    <t>AD00026498</t>
  </si>
  <si>
    <t>FREUDENBERG MEDICAL SOCIEDAD DE RESPONSABILIDAD LIMITADA</t>
  </si>
  <si>
    <t>AD00002289</t>
  </si>
  <si>
    <t>HOSPEDAJE AEROPUERTO S M SOCIEDAD ANONIMA</t>
  </si>
  <si>
    <t>AD00002287</t>
  </si>
  <si>
    <t>LITOGRAFIA SAN RAFAEL SOCIEDAD ANONIMA</t>
  </si>
  <si>
    <t>AD00026499</t>
  </si>
  <si>
    <t>MAYCA DISTRIBUIDORES, S.A</t>
  </si>
  <si>
    <t>AD00002288</t>
  </si>
  <si>
    <t>NITINOL DEVICES &amp; COMPONENTS COSTA RICA SRL</t>
  </si>
  <si>
    <t>PUBLIEFECTO SOCIEDAD ANONIMA</t>
  </si>
  <si>
    <t>AD00026474</t>
  </si>
  <si>
    <t>AD00026472</t>
  </si>
  <si>
    <t>AD00026473</t>
  </si>
  <si>
    <t xml:space="preserve">1156 </t>
  </si>
  <si>
    <t>VALLE DORADO MONTESSORI SOCIEDAD ANONIMA</t>
  </si>
  <si>
    <t>AD00026471</t>
  </si>
  <si>
    <t>Monto Abril</t>
  </si>
  <si>
    <t>Establecer comunicación con area de CXP</t>
  </si>
  <si>
    <t>Pagado</t>
  </si>
  <si>
    <t>Sin fecha establecida - Tentativo 3er semana</t>
  </si>
  <si>
    <t>Reenviar correo 11/02</t>
  </si>
  <si>
    <t>Trámite legal</t>
  </si>
  <si>
    <t>Ver con asesor sobre el contacto - tener en cuenta que se esta despachando</t>
  </si>
  <si>
    <t>Monseñor Sanabria, en gestión de cobro</t>
  </si>
  <si>
    <t>Saldo de Intricom</t>
  </si>
  <si>
    <t>Gestión de cobro 11/02 - Cheque</t>
  </si>
  <si>
    <t>Gestión de cobro 11/02 - Llamada</t>
  </si>
  <si>
    <t>Retencion por pendientes - revisar con asist e instalaciones</t>
  </si>
  <si>
    <t>Contactar cliente en colombia -pide reenviar 11/02</t>
  </si>
  <si>
    <t>Subida correctamente Ariba</t>
  </si>
  <si>
    <t>Gestión de cobro</t>
  </si>
  <si>
    <t>Contactar cliente por correo 11/02</t>
  </si>
  <si>
    <t>Contactar cliente por llamada 11/02</t>
  </si>
  <si>
    <t>Negociación cliente para el pago - Ya está terminado</t>
  </si>
  <si>
    <t>Esperar las modificaiones del contrato</t>
  </si>
  <si>
    <t>Revisión de cobro 11/02 por correo</t>
  </si>
  <si>
    <t>Revisión de cobro 11/02 por correo - Entregado?</t>
  </si>
  <si>
    <t>Revisión 11/02</t>
  </si>
  <si>
    <t>Consultar por pago</t>
  </si>
  <si>
    <t>Conciliar canje con contabilidad</t>
  </si>
  <si>
    <t>Gestión de cobro 11/02 - Correo</t>
  </si>
  <si>
    <t>Contactar por correo 11/02</t>
  </si>
  <si>
    <t>Cobrar saldo 11/02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</si>
</sst>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m/d/yyyy"/>
    <numFmt numFmtId="165" formatCode="_-* #,##0_-;\-* #,##0_-;_-* &quot;-&quot;??_-;_-@_-"/>
    <numFmt numFmtId="166" formatCode="_-* #,##0.0_-;\-* #,##0.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Franklin Gothic Demi Cond"/>
      <family val="2"/>
    </font>
    <font>
      <sz val="10"/>
      <color theme="1"/>
      <name val="Aptos Narrow"/>
      <family val="2"/>
      <scheme val="minor"/>
    </font>
    <font>
      <sz val="11"/>
      <color theme="1"/>
      <name val="Franklin Gothic Demi Cond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43" fontId="0" fillId="0" borderId="0" xfId="0" applyNumberFormat="1"/>
    <xf numFmtId="0" fontId="0" fillId="0" borderId="0" xfId="0" applyAlignment="1">
      <alignment horizontal="right"/>
    </xf>
    <xf numFmtId="43" fontId="0" fillId="0" borderId="0" xfId="0" applyNumberFormat="1" applyAlignment="1">
      <alignment horizontal="right"/>
    </xf>
    <xf numFmtId="0" fontId="0" fillId="0" borderId="0" xfId="0" pivotButton="1" applyAlignment="1">
      <alignment horizontal="left"/>
    </xf>
    <xf numFmtId="0" fontId="3" fillId="0" borderId="0" xfId="0" pivotButton="1" applyFont="1" applyAlignment="1">
      <alignment horizontal="center"/>
    </xf>
    <xf numFmtId="0" fontId="3" fillId="0" borderId="0" xfId="0" applyFont="1" applyAlignment="1">
      <alignment horizontal="center"/>
    </xf>
    <xf numFmtId="0" fontId="0" fillId="4" borderId="0" xfId="0" applyFill="1"/>
    <xf numFmtId="165" fontId="3" fillId="0" borderId="0" xfId="0" applyNumberFormat="1" applyFont="1" applyAlignment="1">
      <alignment horizontal="right"/>
    </xf>
    <xf numFmtId="0" fontId="3" fillId="5" borderId="0" xfId="0" applyFont="1" applyFill="1" applyAlignment="1">
      <alignment horizontal="center"/>
    </xf>
    <xf numFmtId="165" fontId="3" fillId="5" borderId="0" xfId="0" applyNumberFormat="1" applyFont="1" applyFill="1" applyAlignment="1">
      <alignment horizontal="right"/>
    </xf>
    <xf numFmtId="17" fontId="3" fillId="0" borderId="0" xfId="0" applyNumberFormat="1" applyFont="1" applyAlignment="1">
      <alignment horizontal="left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left"/>
    </xf>
    <xf numFmtId="165" fontId="0" fillId="0" borderId="1" xfId="1" applyNumberFormat="1" applyFont="1" applyBorder="1"/>
    <xf numFmtId="165" fontId="0" fillId="0" borderId="0" xfId="1" applyNumberFormat="1" applyFont="1"/>
    <xf numFmtId="0" fontId="0" fillId="0" borderId="8" xfId="0" applyBorder="1"/>
    <xf numFmtId="0" fontId="3" fillId="0" borderId="8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166" fontId="3" fillId="0" borderId="1" xfId="1" applyNumberFormat="1" applyFont="1" applyBorder="1" applyAlignment="1">
      <alignment horizontal="right"/>
    </xf>
    <xf numFmtId="164" fontId="3" fillId="0" borderId="1" xfId="0" applyNumberFormat="1" applyFont="1" applyBorder="1"/>
    <xf numFmtId="1" fontId="3" fillId="0" borderId="1" xfId="1" applyNumberFormat="1" applyFont="1" applyBorder="1"/>
    <xf numFmtId="0" fontId="3" fillId="0" borderId="3" xfId="0" applyFont="1" applyBorder="1"/>
    <xf numFmtId="0" fontId="3" fillId="0" borderId="2" xfId="0" applyFont="1" applyBorder="1"/>
    <xf numFmtId="0" fontId="3" fillId="3" borderId="2" xfId="0" applyFont="1" applyFill="1" applyBorder="1" applyAlignment="1">
      <alignment horizontal="center"/>
    </xf>
    <xf numFmtId="17" fontId="3" fillId="3" borderId="7" xfId="1" applyNumberFormat="1" applyFont="1" applyFill="1" applyBorder="1" applyAlignment="1">
      <alignment horizontal="center"/>
    </xf>
    <xf numFmtId="43" fontId="3" fillId="3" borderId="1" xfId="1" applyFont="1" applyFill="1" applyBorder="1" applyAlignment="1">
      <alignment horizontal="center"/>
    </xf>
    <xf numFmtId="0" fontId="3" fillId="3" borderId="9" xfId="0" applyFont="1" applyFill="1" applyBorder="1"/>
    <xf numFmtId="43" fontId="3" fillId="3" borderId="10" xfId="1" applyFont="1" applyFill="1" applyBorder="1" applyAlignment="1">
      <alignment horizontal="center"/>
    </xf>
    <xf numFmtId="1" fontId="3" fillId="0" borderId="1" xfId="0" applyNumberFormat="1" applyFont="1" applyBorder="1"/>
    <xf numFmtId="14" fontId="3" fillId="0" borderId="1" xfId="0" applyNumberFormat="1" applyFont="1" applyBorder="1"/>
    <xf numFmtId="166" fontId="3" fillId="3" borderId="1" xfId="1" applyNumberFormat="1" applyFont="1" applyFill="1" applyBorder="1" applyAlignment="1">
      <alignment horizontal="right"/>
    </xf>
    <xf numFmtId="17" fontId="3" fillId="3" borderId="2" xfId="1" applyNumberFormat="1" applyFont="1" applyFill="1" applyBorder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165" fontId="3" fillId="6" borderId="0" xfId="0" applyNumberFormat="1" applyFont="1" applyFill="1" applyAlignment="1">
      <alignment horizontal="right"/>
    </xf>
    <xf numFmtId="17" fontId="3" fillId="6" borderId="0" xfId="0" applyNumberFormat="1" applyFont="1" applyFill="1" applyAlignment="1">
      <alignment horizontal="left"/>
    </xf>
    <xf numFmtId="0" fontId="4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2" formatCode="mmm/yy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m/d/yyyy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m/d/yyyy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_-* #,##0.0_-;\-* #,##0.0_-;_-* &quot;-&quot;??_-;_-@_-"/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_-* #,##0.0_-;\-* #,##0.0_-;_-* &quot;-&quot;??_-;_-@_-"/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_-* #,##0.0_-;\-* #,##0.0_-;_-* &quot;-&quot;??_-;_-@_-"/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_-* #,##0.0_-;\-* #,##0.0_-;_-* &quot;-&quot;??_-;_-@_-"/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_-* #,##0.0_-;\-* #,##0.0_-;_-* &quot;-&quot;??_-;_-@_-"/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_-* #,##0.0_-;\-* #,##0.0_-;_-* &quot;-&quot;??_-;_-@_-"/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_-* #,##0.0_-;\-* #,##0.0_-;_-* &quot;-&quot;??_-;_-@_-"/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none">
          <fgColor indexed="64"/>
          <bgColor indexed="65"/>
        </patternFill>
      </fill>
    </dxf>
    <dxf>
      <alignment horizontal="left"/>
    </dxf>
    <dxf>
      <alignment horizontal="left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numFmt numFmtId="165" formatCode="_-* #,##0_-;\-* #,##0_-;_-* &quot;-&quot;??_-;_-@_-"/>
    </dxf>
    <dxf>
      <alignment horizontal="center"/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numFmt numFmtId="22" formatCode="mmm/yy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right"/>
    </dxf>
    <dxf>
      <alignment horizontal="left"/>
    </dxf>
    <dxf>
      <alignment horizontal="center"/>
    </dxf>
    <dxf>
      <alignment horizontal="right"/>
    </dxf>
    <dxf>
      <numFmt numFmtId="35" formatCode="_-* #,##0.00_-;\-* #,##0.00_-;_-* &quot;-&quot;??_-;_-@_-"/>
    </dxf>
    <dxf>
      <alignment horizontal="left"/>
    </dxf>
    <dxf>
      <alignment horizontal="general"/>
    </dxf>
    <dxf>
      <alignment vertical="top"/>
    </dxf>
    <dxf>
      <alignment horizontal="left"/>
    </dxf>
    <dxf>
      <alignment horizontal="right"/>
    </dxf>
    <dxf>
      <alignment horizontal="right"/>
    </dxf>
    <dxf>
      <alignment horizontal="right"/>
    </dxf>
    <dxf>
      <numFmt numFmtId="35" formatCode="_-* #,##0.00_-;\-* #,##0.00_-;_-* &quot;-&quot;??_-;_-@_-"/>
    </dxf>
  </dxfs>
  <tableStyles count="1" defaultTableStyle="TableStyleMedium2" defaultPivotStyle="PivotStyleLight16">
    <tableStyle name="Invisible" pivot="0" table="0" count="0" xr9:uid="{F5F9FC21-A0A3-4B19-88F6-A8BE0BAEC7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13</xdr:row>
      <xdr:rowOff>5715</xdr:rowOff>
    </xdr:from>
    <xdr:to>
      <xdr:col>2</xdr:col>
      <xdr:colOff>723900</xdr:colOff>
      <xdr:row>16</xdr:row>
      <xdr:rowOff>15240</xdr:rowOff>
    </xdr:to>
    <xdr:sp macro="" textlink="$C$11">
      <xdr:nvSpPr>
        <xdr:cNvPr id="2" name="Rectángulo 1">
          <a:extLst>
            <a:ext uri="{FF2B5EF4-FFF2-40B4-BE49-F238E27FC236}">
              <a16:creationId xmlns:a16="http://schemas.microsoft.com/office/drawing/2014/main" id="{F3ECE54C-FCD4-422A-83C5-ADCB0AA5D3A4}"/>
            </a:ext>
          </a:extLst>
        </xdr:cNvPr>
        <xdr:cNvSpPr/>
      </xdr:nvSpPr>
      <xdr:spPr>
        <a:xfrm>
          <a:off x="188595" y="1476375"/>
          <a:ext cx="1746885" cy="55816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5EC0872-89BB-4E7F-9B8E-07C7758DD7F6}" type="TxLink">
            <a:rPr lang="en-US" sz="1200" b="0" i="0" u="none" strike="noStrike">
              <a:solidFill>
                <a:srgbClr val="000000"/>
              </a:solidFill>
              <a:latin typeface="Aptos Narrow"/>
              <a:cs typeface="Segoe UI Light" panose="020B0502040204020203" pitchFamily="34" charset="0"/>
            </a:rPr>
            <a:pPr algn="ctr"/>
            <a:t> 958,795.87 </a:t>
          </a:fld>
          <a:endParaRPr lang="es-CR" sz="36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oneCell">
    <xdr:from>
      <xdr:col>3</xdr:col>
      <xdr:colOff>257175</xdr:colOff>
      <xdr:row>2</xdr:row>
      <xdr:rowOff>9525</xdr:rowOff>
    </xdr:from>
    <xdr:to>
      <xdr:col>6</xdr:col>
      <xdr:colOff>733425</xdr:colOff>
      <xdr:row>17</xdr:row>
      <xdr:rowOff>38101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tatus 1">
              <a:extLst>
                <a:ext uri="{FF2B5EF4-FFF2-40B4-BE49-F238E27FC236}">
                  <a16:creationId xmlns:a16="http://schemas.microsoft.com/office/drawing/2014/main" id="{E3E64B62-25F0-AB8B-E8DE-7F4274B56C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95525" y="400050"/>
              <a:ext cx="2762250" cy="18573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76199</xdr:colOff>
      <xdr:row>2</xdr:row>
      <xdr:rowOff>0</xdr:rowOff>
    </xdr:from>
    <xdr:to>
      <xdr:col>12</xdr:col>
      <xdr:colOff>9525</xdr:colOff>
      <xdr:row>13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tatus">
              <a:extLst>
                <a:ext uri="{FF2B5EF4-FFF2-40B4-BE49-F238E27FC236}">
                  <a16:creationId xmlns:a16="http://schemas.microsoft.com/office/drawing/2014/main" id="{27A2B203-E394-1473-4B8D-A4C0157594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599" y="409575"/>
              <a:ext cx="2486026" cy="1981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83820</xdr:colOff>
      <xdr:row>1</xdr:row>
      <xdr:rowOff>175261</xdr:rowOff>
    </xdr:from>
    <xdr:to>
      <xdr:col>15</xdr:col>
      <xdr:colOff>335280</xdr:colOff>
      <xdr:row>13</xdr:row>
      <xdr:rowOff>76201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mpresa">
              <a:extLst>
                <a:ext uri="{FF2B5EF4-FFF2-40B4-BE49-F238E27FC236}">
                  <a16:creationId xmlns:a16="http://schemas.microsoft.com/office/drawing/2014/main" id="{287BB2E8-D52B-9392-6343-68C363B21B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13320" y="388621"/>
              <a:ext cx="1828800" cy="209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Money" refreshedDate="46056.583962962963" createdVersion="8" refreshedVersion="8" minRefreshableVersion="3" recordCount="382" xr:uid="{DD8A733D-C1A3-4444-B2C6-FCCEC0C4C4F0}">
  <cacheSource type="worksheet">
    <worksheetSource name="Tabla1"/>
  </cacheSource>
  <cacheFields count="25">
    <cacheField name="Nombre" numFmtId="0">
      <sharedItems/>
    </cacheField>
    <cacheField name="Tipo" numFmtId="0">
      <sharedItems/>
    </cacheField>
    <cacheField name="Cod_Vendedor" numFmtId="0">
      <sharedItems/>
    </cacheField>
    <cacheField name="Documento" numFmtId="0">
      <sharedItems containsMixedTypes="1" containsNumber="1" containsInteger="1" minValue="15" maxValue="2100028772"/>
    </cacheField>
    <cacheField name="Negocio" numFmtId="0">
      <sharedItems/>
    </cacheField>
    <cacheField name="Monto" numFmtId="166">
      <sharedItems containsSemiMixedTypes="0" containsString="0" containsNumber="1" minValue="-201436.02" maxValue="341650.6"/>
    </cacheField>
    <cacheField name="cSinVencer" numFmtId="166">
      <sharedItems containsSemiMixedTypes="0" containsString="0" containsNumber="1" minValue="0" maxValue="54548.5"/>
    </cacheField>
    <cacheField name="De30Dias" numFmtId="166">
      <sharedItems containsSemiMixedTypes="0" containsString="0" containsNumber="1" minValue="-201436.02" maxValue="79875.179999999993"/>
    </cacheField>
    <cacheField name="De60Dias" numFmtId="166">
      <sharedItems containsSemiMixedTypes="0" containsString="0" containsNumber="1" minValue="-7182.74" maxValue="36955.56"/>
    </cacheField>
    <cacheField name="De90Dias" numFmtId="166">
      <sharedItems containsSemiMixedTypes="0" containsString="0" containsNumber="1" minValue="-39394.44" maxValue="80370.240000000005"/>
    </cacheField>
    <cacheField name="Mas90Dias" numFmtId="166">
      <sharedItems containsSemiMixedTypes="0" containsString="0" containsNumber="1" minValue="-74187.899999999994" maxValue="341650.6"/>
    </cacheField>
    <cacheField name="Total" numFmtId="166">
      <sharedItems containsSemiMixedTypes="0" containsString="0" containsNumber="1" minValue="-201436.02" maxValue="341650.6"/>
    </cacheField>
    <cacheField name="Fecha_Factura" numFmtId="0">
      <sharedItems containsSemiMixedTypes="0" containsNonDate="0" containsDate="1" containsString="0" minDate="2016-07-29T00:00:00" maxDate="2026-01-31T00:00:00"/>
    </cacheField>
    <cacheField name="Vencimiento" numFmtId="164">
      <sharedItems containsSemiMixedTypes="0" containsNonDate="0" containsDate="1" containsString="0" minDate="2016-08-13T00:00:00" maxDate="2026-03-30T00:00:00"/>
    </cacheField>
    <cacheField name="Dias" numFmtId="1">
      <sharedItems containsSemiMixedTypes="0" containsString="0" containsNumber="1" containsInteger="1" minValue="-3457" maxValue="58"/>
    </cacheField>
    <cacheField name="CodTienda" numFmtId="0">
      <sharedItems/>
    </cacheField>
    <cacheField name="Empresa" numFmtId="0">
      <sharedItems count="2">
        <s v="Euromobilia"/>
        <s v="Paneltec"/>
      </sharedItems>
    </cacheField>
    <cacheField name="Status" numFmtId="0">
      <sharedItems containsBlank="1" count="11">
        <s v="Sin vencer"/>
        <s v="Gestion de cobro"/>
        <s v="Retenciones - Contr."/>
        <s v="Refacturar"/>
        <s v="NC"/>
        <s v="Aplicar"/>
        <s v="Caso especial"/>
        <s v="Anticipo por facturar"/>
        <s v="Arreglo de pago"/>
        <s v="Retenciones - Inst." u="1"/>
        <m u="1"/>
      </sharedItems>
    </cacheField>
    <cacheField name="Mes" numFmtId="17">
      <sharedItems containsDate="1" containsBlank="1" containsMixedTypes="1" minDate="2025-05-01T00:00:00" maxDate="2025-06-02T00:00:00" count="20">
        <d v="2026-02-01T00:00:00"/>
        <d v="2026-03-01T00:00:00"/>
        <d v="2026-04-01T00:00:00"/>
        <s v="NC"/>
        <s v="Aplicar"/>
        <s v="Caso especial"/>
        <s v="Anticipo por facturar"/>
        <s v="Arreglo de pago"/>
        <d v="2026-01-01T00:00:00" u="1"/>
        <d v="2025-12-01T00:00:00" u="1"/>
        <d v="2025-11-01T00:00:00" u="1"/>
        <d v="2025-10-01T00:00:00" u="1"/>
        <d v="2025-09-01T00:00:00" u="1"/>
        <d v="2025-08-01T00:00:00" u="1"/>
        <d v="2025-07-01T00:00:00" u="1"/>
        <n v="45870" u="1"/>
        <m u="1"/>
        <n v="45839" u="1"/>
        <d v="2025-06-01T00:00:00" u="1"/>
        <d v="2025-05-01T00:00:00" u="1"/>
      </sharedItems>
    </cacheField>
    <cacheField name="Febrero" numFmtId="43">
      <sharedItems containsString="0" containsBlank="1" containsNumber="1" minValue="0" maxValue="54548.5"/>
    </cacheField>
    <cacheField name="Marzo" numFmtId="43">
      <sharedItems containsString="0" containsBlank="1" containsNumber="1" minValue="0" maxValue="94399.99"/>
    </cacheField>
    <cacheField name="Abril" numFmtId="43">
      <sharedItems containsString="0" containsBlank="1" containsNumber="1" minValue="0" maxValue="40669"/>
    </cacheField>
    <cacheField name="Saldo arreglo " numFmtId="43">
      <sharedItems containsString="0" containsBlank="1" containsNumber="1" minValue="0" maxValue="23779.1"/>
    </cacheField>
    <cacheField name="Vendedor" numFmtId="0">
      <sharedItems containsString="0" containsBlank="1" containsNumber="1" containsInteger="1" minValue="0" maxValue="0"/>
    </cacheField>
    <cacheField name="Observaciones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 pivotCacheId="189159158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Money" refreshedDate="46056.583963657409" createdVersion="8" refreshedVersion="8" minRefreshableVersion="3" recordCount="382" xr:uid="{65131E85-C000-4366-AD4B-B8419F003233}">
  <cacheSource type="worksheet">
    <worksheetSource ref="A1:Y383" sheet="General"/>
  </cacheSource>
  <cacheFields count="25">
    <cacheField name="Nombre" numFmtId="0">
      <sharedItems/>
    </cacheField>
    <cacheField name="Tipo" numFmtId="0">
      <sharedItems/>
    </cacheField>
    <cacheField name="Cod_Vendedor" numFmtId="0">
      <sharedItems/>
    </cacheField>
    <cacheField name="Documento" numFmtId="0">
      <sharedItems containsMixedTypes="1" containsNumber="1" containsInteger="1" minValue="15" maxValue="2100028772"/>
    </cacheField>
    <cacheField name="Negocio" numFmtId="0">
      <sharedItems/>
    </cacheField>
    <cacheField name="Monto" numFmtId="166">
      <sharedItems containsSemiMixedTypes="0" containsString="0" containsNumber="1" minValue="-201436.02" maxValue="341650.6"/>
    </cacheField>
    <cacheField name="cSinVencer" numFmtId="166">
      <sharedItems containsSemiMixedTypes="0" containsString="0" containsNumber="1" minValue="0" maxValue="54548.5"/>
    </cacheField>
    <cacheField name="De30Dias" numFmtId="166">
      <sharedItems containsSemiMixedTypes="0" containsString="0" containsNumber="1" minValue="-201436.02" maxValue="79875.179999999993"/>
    </cacheField>
    <cacheField name="De60Dias" numFmtId="166">
      <sharedItems containsSemiMixedTypes="0" containsString="0" containsNumber="1" minValue="-7182.74" maxValue="36955.56"/>
    </cacheField>
    <cacheField name="De90Dias" numFmtId="166">
      <sharedItems containsSemiMixedTypes="0" containsString="0" containsNumber="1" minValue="-39394.44" maxValue="80370.240000000005"/>
    </cacheField>
    <cacheField name="Mas90Dias" numFmtId="166">
      <sharedItems containsSemiMixedTypes="0" containsString="0" containsNumber="1" minValue="-74187.899999999994" maxValue="341650.6"/>
    </cacheField>
    <cacheField name="Total" numFmtId="166">
      <sharedItems containsSemiMixedTypes="0" containsString="0" containsNumber="1" minValue="-201436.02" maxValue="341650.6"/>
    </cacheField>
    <cacheField name="Fecha_Factura" numFmtId="0">
      <sharedItems containsSemiMixedTypes="0" containsNonDate="0" containsDate="1" containsString="0" minDate="2016-07-29T00:00:00" maxDate="2026-01-31T00:00:00"/>
    </cacheField>
    <cacheField name="Vencimiento" numFmtId="164">
      <sharedItems containsSemiMixedTypes="0" containsNonDate="0" containsDate="1" containsString="0" minDate="2016-08-13T00:00:00" maxDate="2026-03-30T00:00:00"/>
    </cacheField>
    <cacheField name="Dias" numFmtId="1">
      <sharedItems containsSemiMixedTypes="0" containsString="0" containsNumber="1" containsInteger="1" minValue="-3457" maxValue="58"/>
    </cacheField>
    <cacheField name="CodTienda" numFmtId="0">
      <sharedItems/>
    </cacheField>
    <cacheField name="Empresa" numFmtId="0">
      <sharedItems/>
    </cacheField>
    <cacheField name="Status" numFmtId="0">
      <sharedItems count="10">
        <s v="Sin vencer"/>
        <s v="Gestion de cobro"/>
        <s v="Retenciones - Contr."/>
        <s v="Refacturar"/>
        <s v="NC"/>
        <s v="Aplicar"/>
        <s v="Caso especial"/>
        <s v="Anticipo por facturar"/>
        <s v="Arreglo de pago"/>
        <s v="Retenciones - Inst." u="1"/>
      </sharedItems>
    </cacheField>
    <cacheField name="Mes" numFmtId="17">
      <sharedItems containsDate="1" containsMixedTypes="1" minDate="2026-02-01T00:00:00" maxDate="2026-04-02T00:00:00"/>
    </cacheField>
    <cacheField name="Febrero" numFmtId="43">
      <sharedItems containsString="0" containsBlank="1" containsNumber="1" minValue="0" maxValue="54548.5"/>
    </cacheField>
    <cacheField name="Marzo" numFmtId="43">
      <sharedItems containsString="0" containsBlank="1" containsNumber="1" minValue="0" maxValue="94399.99"/>
    </cacheField>
    <cacheField name="Abril" numFmtId="43">
      <sharedItems containsString="0" containsBlank="1" containsNumber="1" minValue="0" maxValue="40669"/>
    </cacheField>
    <cacheField name="Saldo arreglo " numFmtId="43">
      <sharedItems containsString="0" containsBlank="1" containsNumber="1" minValue="0" maxValue="23779.1"/>
    </cacheField>
    <cacheField name="Vendedor" numFmtId="0">
      <sharedItems containsString="0" containsBlank="1" containsNumber="1" containsInteger="1" minValue="0" maxValue="0"/>
    </cacheField>
    <cacheField name="Observaciones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 pivotCacheId="11095815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2">
  <r>
    <s v="CONCENTRIX COSTA RICA SOCIEDAD ANONIMA"/>
    <s v="FA"/>
    <s v="OF111"/>
    <n v="2100028762"/>
    <s v="PRODUCTIVIDAD HUMANA"/>
    <n v="54548.5"/>
    <n v="54548.5"/>
    <n v="0"/>
    <n v="0"/>
    <n v="0"/>
    <n v="0"/>
    <n v="54548.5"/>
    <d v="2026-01-26T00:00:00"/>
    <d v="2026-02-25T00:00:00"/>
    <n v="26"/>
    <s v="004-001"/>
    <x v="0"/>
    <x v="0"/>
    <x v="0"/>
    <n v="54548.5"/>
    <m/>
    <m/>
    <m/>
    <m/>
    <m/>
  </r>
  <r>
    <s v="EDIFISA CONSTRUCTORA SOCIEDAD ANONIMA"/>
    <s v="FA"/>
    <s v="115  "/>
    <n v="71142"/>
    <s v="PRODUCTIVIDAD HUMANA"/>
    <n v="54011.92"/>
    <n v="54011.92"/>
    <n v="0"/>
    <n v="0"/>
    <n v="0"/>
    <n v="0"/>
    <n v="54011.92"/>
    <d v="2026-01-22T00:00:00"/>
    <d v="2026-02-06T00:00:00"/>
    <n v="7"/>
    <s v="001"/>
    <x v="1"/>
    <x v="0"/>
    <x v="0"/>
    <n v="54011.92"/>
    <m/>
    <m/>
    <m/>
    <m/>
    <m/>
  </r>
  <r>
    <s v="Compania Nacional de Fuerza y Luz S.A."/>
    <s v="FA"/>
    <s v="1354 "/>
    <n v="71118"/>
    <s v="PRODUCTIVIDAD HUMANA"/>
    <n v="37894.370000000003"/>
    <n v="0"/>
    <n v="37894.370000000003"/>
    <n v="0"/>
    <n v="0"/>
    <n v="0"/>
    <n v="37894.370000000003"/>
    <d v="2025-12-19T00:00:00"/>
    <d v="2026-01-18T00:00:00"/>
    <n v="-12"/>
    <s v="001"/>
    <x v="1"/>
    <x v="1"/>
    <x v="0"/>
    <n v="37894.370000000003"/>
    <n v="0"/>
    <n v="0"/>
    <n v="0"/>
    <n v="0"/>
    <n v="0"/>
  </r>
  <r>
    <s v="RAE INGENIEROS SOCIEDAD ANONIMA"/>
    <s v="FA"/>
    <s v="OF030"/>
    <n v="2100028505"/>
    <s v="PRODUCTIVIDAD HUMANA"/>
    <n v="36955.56"/>
    <n v="0"/>
    <n v="0"/>
    <n v="36955.56"/>
    <n v="0"/>
    <n v="0"/>
    <n v="36955.56"/>
    <d v="2025-12-04T00:00:00"/>
    <d v="2025-12-05T00:00:00"/>
    <n v="-56"/>
    <s v="004-001"/>
    <x v="0"/>
    <x v="1"/>
    <x v="0"/>
    <n v="36955.56"/>
    <n v="0"/>
    <n v="0"/>
    <n v="0"/>
    <n v="0"/>
    <n v="0"/>
  </r>
  <r>
    <s v="UNIVERSIDAD DE COSTA RICA"/>
    <s v="FA"/>
    <s v="1156 "/>
    <n v="2100028541"/>
    <s v="PRODUCTIVIDAD HUMANA"/>
    <n v="29553.48"/>
    <n v="0"/>
    <n v="29553.48"/>
    <n v="0"/>
    <n v="0"/>
    <n v="0"/>
    <n v="29553.48"/>
    <d v="2025-12-15T00:00:00"/>
    <d v="2026-01-14T00:00:00"/>
    <n v="-16"/>
    <s v="004-001"/>
    <x v="0"/>
    <x v="1"/>
    <x v="0"/>
    <n v="29553.48"/>
    <m/>
    <m/>
    <m/>
    <m/>
    <m/>
  </r>
  <r>
    <s v="BILCO COSTA RICA S.A."/>
    <s v="FA"/>
    <s v="OF030"/>
    <n v="2100028306"/>
    <s v="PRODUCTIVIDAD HUMANA"/>
    <n v="24118.97"/>
    <n v="0"/>
    <n v="0"/>
    <n v="0"/>
    <n v="24118.97"/>
    <n v="0"/>
    <n v="24118.97"/>
    <d v="2025-10-29T00:00:00"/>
    <d v="2025-11-28T00:00:00"/>
    <n v="-63"/>
    <s v="004-001"/>
    <x v="0"/>
    <x v="1"/>
    <x v="0"/>
    <n v="24118.97"/>
    <n v="0"/>
    <n v="0"/>
    <n v="0"/>
    <n v="0"/>
    <n v="0"/>
  </r>
  <r>
    <s v="AJIP INGENIERIA LIMITADA"/>
    <s v="FA"/>
    <s v="OF312"/>
    <n v="2100028058"/>
    <s v="PRODUCTIVIDAD HUMANA"/>
    <n v="20899.349999999999"/>
    <n v="0"/>
    <n v="0"/>
    <n v="0"/>
    <n v="0"/>
    <n v="20899.349999999999"/>
    <n v="20899.349999999999"/>
    <d v="2025-09-19T00:00:00"/>
    <d v="2025-09-20T00:00:00"/>
    <n v="-132"/>
    <s v="004-001"/>
    <x v="0"/>
    <x v="1"/>
    <x v="0"/>
    <n v="20899.349999999999"/>
    <n v="0"/>
    <n v="0"/>
    <n v="0"/>
    <n v="0"/>
    <n v="0"/>
  </r>
  <r>
    <s v="ASOCIACIÓN DE SERVICIOS MEDICOS COSTARRICENSES"/>
    <s v="FA"/>
    <s v="OF111"/>
    <n v="2100028631"/>
    <s v="PRODUCTIVIDAD HUMANA"/>
    <n v="18520.7"/>
    <n v="0"/>
    <n v="18520.7"/>
    <n v="0"/>
    <n v="0"/>
    <n v="0"/>
    <n v="18520.7"/>
    <d v="2025-12-29T00:00:00"/>
    <d v="2026-01-28T00:00:00"/>
    <n v="-2"/>
    <s v="004-001"/>
    <x v="0"/>
    <x v="0"/>
    <x v="0"/>
    <n v="18520.7"/>
    <n v="0"/>
    <n v="0"/>
    <n v="0"/>
    <n v="0"/>
    <n v="0"/>
  </r>
  <r>
    <s v="TTA PROJECT MANAGEMENT SOCIEDAD DE RESPONSABILIDAD LIMITADA"/>
    <s v="FA"/>
    <s v="115  "/>
    <n v="71145"/>
    <s v="PRODUCTIVIDAD HUMANA"/>
    <n v="17260.060000000001"/>
    <n v="0"/>
    <n v="17260.060000000001"/>
    <n v="0"/>
    <n v="0"/>
    <n v="0"/>
    <n v="17260.060000000001"/>
    <d v="2026-01-23T00:00:00"/>
    <d v="2026-01-28T00:00:00"/>
    <n v="-2"/>
    <s v="001"/>
    <x v="1"/>
    <x v="1"/>
    <x v="0"/>
    <n v="17260.060000000001"/>
    <m/>
    <m/>
    <m/>
    <m/>
    <m/>
  </r>
  <r>
    <s v="RAE INGENIEROS SOCIEDAD ANONIMA"/>
    <s v="FA"/>
    <s v="OF030"/>
    <n v="2100028769"/>
    <s v="PRODUCTIVIDAD HUMANA"/>
    <n v="16798.22"/>
    <n v="0"/>
    <n v="16798.22"/>
    <n v="0"/>
    <n v="0"/>
    <n v="0"/>
    <n v="16798.22"/>
    <d v="2026-01-28T00:00:00"/>
    <d v="2026-01-29T00:00:00"/>
    <n v="-1"/>
    <s v="004-001"/>
    <x v="0"/>
    <x v="1"/>
    <x v="0"/>
    <n v="16798.22"/>
    <m/>
    <m/>
    <m/>
    <m/>
    <m/>
  </r>
  <r>
    <s v="CAJA COSTARRICENSE DE SEGURO SOCIAL"/>
    <s v="FA"/>
    <s v="OF111"/>
    <n v="2100028516"/>
    <s v="PRODUCTIVIDAD HUMANA"/>
    <n v="16497.86"/>
    <n v="0"/>
    <n v="16497.86"/>
    <n v="0"/>
    <n v="0"/>
    <n v="0"/>
    <n v="16497.86"/>
    <d v="2025-12-08T00:00:00"/>
    <d v="2026-01-07T00:00:00"/>
    <n v="-23"/>
    <s v="004-001"/>
    <x v="0"/>
    <x v="1"/>
    <x v="0"/>
    <n v="16497.86"/>
    <n v="0"/>
    <n v="0"/>
    <n v="0"/>
    <n v="0"/>
    <n v="0"/>
  </r>
  <r>
    <s v="EVOLUTION FREE ZONE SOCIEDAD ANONIMA"/>
    <s v="FA"/>
    <s v="OF030"/>
    <n v="2100028669"/>
    <s v="PRODUCTIVIDAD HUMANA"/>
    <n v="16082.59"/>
    <n v="16082.59"/>
    <n v="0"/>
    <n v="0"/>
    <n v="0"/>
    <n v="0"/>
    <n v="16082.59"/>
    <d v="2026-01-08T00:00:00"/>
    <d v="2026-02-07T00:00:00"/>
    <n v="8"/>
    <s v="004-001"/>
    <x v="0"/>
    <x v="0"/>
    <x v="0"/>
    <n v="16082.59"/>
    <m/>
    <m/>
    <m/>
    <m/>
    <m/>
  </r>
  <r>
    <s v="AJIP INGENIERIA LIMITADA"/>
    <s v="FA"/>
    <s v="OF116"/>
    <n v="2100028144"/>
    <s v="PRODUCTIVIDAD HUMANA"/>
    <n v="13475.25"/>
    <n v="0"/>
    <n v="0"/>
    <n v="0"/>
    <n v="0"/>
    <n v="13475.25"/>
    <n v="13475.25"/>
    <d v="2025-09-30T00:00:00"/>
    <d v="2025-10-01T00:00:00"/>
    <n v="-121"/>
    <s v="004-001"/>
    <x v="0"/>
    <x v="1"/>
    <x v="0"/>
    <n v="13475.25"/>
    <n v="0"/>
    <n v="0"/>
    <n v="0"/>
    <n v="0"/>
    <n v="0"/>
  </r>
  <r>
    <s v="EVOLUTION FREE ZONE SOCIEDAD ANONIMA"/>
    <s v="FA"/>
    <s v="OF030"/>
    <n v="2100028714"/>
    <s v="PRODUCTIVIDAD HUMANA"/>
    <n v="8627.9"/>
    <n v="8627.9"/>
    <n v="0"/>
    <n v="0"/>
    <n v="0"/>
    <n v="0"/>
    <n v="8627.9"/>
    <d v="2026-01-16T00:00:00"/>
    <d v="2026-02-15T00:00:00"/>
    <n v="16"/>
    <s v="004-001"/>
    <x v="0"/>
    <x v="0"/>
    <x v="0"/>
    <n v="8627.9"/>
    <m/>
    <m/>
    <m/>
    <m/>
    <m/>
  </r>
  <r>
    <s v="MUNICIPALIDAD DE ALAJUELA"/>
    <s v="FA"/>
    <s v="OF111"/>
    <n v="2100028515"/>
    <s v="PRODUCTIVIDAD HUMANA"/>
    <n v="8321.5300000000007"/>
    <n v="0"/>
    <n v="8321.5300000000007"/>
    <n v="0"/>
    <n v="0"/>
    <n v="0"/>
    <n v="8321.5300000000007"/>
    <d v="2025-12-08T00:00:00"/>
    <d v="2026-01-07T00:00:00"/>
    <n v="-23"/>
    <s v="004-001"/>
    <x v="0"/>
    <x v="0"/>
    <x v="0"/>
    <n v="8321.5300000000007"/>
    <n v="0"/>
    <n v="0"/>
    <n v="0"/>
    <n v="0"/>
    <n v="0"/>
  </r>
  <r>
    <s v="CSI LEASING DE CENTROAMERICA SOCIEDAD DE RESPONSAB"/>
    <s v="FA"/>
    <s v="OF086"/>
    <n v="2100028456"/>
    <s v="PRODUCTIVIDAD HUMANA"/>
    <n v="7789.94"/>
    <n v="0"/>
    <n v="0"/>
    <n v="7789.94"/>
    <n v="0"/>
    <n v="0"/>
    <n v="7789.94"/>
    <d v="2025-11-28T00:00:00"/>
    <d v="2025-12-28T00:00:00"/>
    <n v="-33"/>
    <s v="004-001"/>
    <x v="0"/>
    <x v="1"/>
    <x v="0"/>
    <n v="7789.94"/>
    <n v="0"/>
    <n v="0"/>
    <n v="0"/>
    <n v="0"/>
    <n v="0"/>
  </r>
  <r>
    <s v="CONSTRUCTORA TOTEM SOCIEDAD ANONIMA"/>
    <s v="FA"/>
    <s v="OF111"/>
    <n v="2100028452"/>
    <s v="PRODUCTIVIDAD HUMANA"/>
    <n v="7711.28"/>
    <n v="0"/>
    <n v="0"/>
    <n v="0"/>
    <n v="7711.28"/>
    <n v="0"/>
    <n v="7711.28"/>
    <d v="2025-11-28T00:00:00"/>
    <d v="2025-11-29T00:00:00"/>
    <n v="-62"/>
    <s v="004-001"/>
    <x v="0"/>
    <x v="1"/>
    <x v="0"/>
    <n v="7711.28"/>
    <n v="0"/>
    <n v="0"/>
    <n v="0"/>
    <n v="0"/>
    <n v="0"/>
  </r>
  <r>
    <s v="COMPAÑIA DE GALLETAS POZUELO DCR SOCIEDAD ANONIMA"/>
    <s v="FA"/>
    <s v="OF116"/>
    <n v="2100028433"/>
    <s v="PRODUCTIVIDAD HUMANA"/>
    <n v="5780.06"/>
    <n v="0"/>
    <n v="5780.06"/>
    <n v="0"/>
    <n v="0"/>
    <n v="0"/>
    <n v="5780.06"/>
    <d v="2025-11-24T00:00:00"/>
    <d v="2026-01-23T00:00:00"/>
    <n v="-7"/>
    <s v="004-003"/>
    <x v="0"/>
    <x v="0"/>
    <x v="0"/>
    <n v="5780.06"/>
    <n v="0"/>
    <n v="0"/>
    <n v="0"/>
    <n v="0"/>
    <n v="0"/>
  </r>
  <r>
    <s v="ROBERT BOSCH SERVICE SOLUTIONS COSTA RICA SOCIEDAD ANONIMA"/>
    <s v="FA"/>
    <s v="115  "/>
    <n v="71062"/>
    <s v="PRODUCTIVIDAD HUMANA"/>
    <n v="5451.45"/>
    <n v="0"/>
    <n v="0"/>
    <n v="5451.45"/>
    <n v="0"/>
    <n v="0"/>
    <n v="5451.45"/>
    <d v="2025-10-29T00:00:00"/>
    <d v="2025-12-28T00:00:00"/>
    <n v="-33"/>
    <s v="002"/>
    <x v="1"/>
    <x v="1"/>
    <x v="0"/>
    <n v="5451.45"/>
    <n v="0"/>
    <n v="0"/>
    <n v="0"/>
    <n v="0"/>
    <n v="0"/>
  </r>
  <r>
    <s v="DISTRIBUIDORA LA FLORIDA S.A."/>
    <s v="FA"/>
    <s v="88   "/>
    <n v="71107"/>
    <s v="PRODUCTIVIDAD HUMANA"/>
    <n v="5421.32"/>
    <n v="5421.32"/>
    <n v="0"/>
    <n v="0"/>
    <n v="0"/>
    <n v="0"/>
    <n v="5421.32"/>
    <d v="2025-12-11T00:00:00"/>
    <d v="2026-02-09T00:00:00"/>
    <n v="10"/>
    <s v="001"/>
    <x v="1"/>
    <x v="0"/>
    <x v="0"/>
    <n v="5421.32"/>
    <n v="0"/>
    <n v="0"/>
    <n v="0"/>
    <n v="0"/>
    <n v="0"/>
  </r>
  <r>
    <s v="BOSTON SCIENTIFIC DE COSTA RICA S.R.L"/>
    <s v="FA"/>
    <s v="OF111"/>
    <n v="2100028571"/>
    <s v="PRODUCTIVIDAD HUMANA"/>
    <n v="4460"/>
    <n v="4460"/>
    <n v="0"/>
    <n v="0"/>
    <n v="0"/>
    <n v="0"/>
    <n v="4460"/>
    <d v="2025-12-19T00:00:00"/>
    <d v="2026-02-17T00:00:00"/>
    <n v="18"/>
    <s v="004-001"/>
    <x v="0"/>
    <x v="0"/>
    <x v="0"/>
    <n v="4460"/>
    <n v="0"/>
    <n v="0"/>
    <n v="0"/>
    <n v="0"/>
    <n v="0"/>
  </r>
  <r>
    <s v="CONICO, CONSULTORIA INTEGRAL DE LA CONSTRUCCION, SOCIEDAD ANONIMA"/>
    <s v="FA"/>
    <s v="115  "/>
    <n v="71039"/>
    <s v="PRODUCTIVIDAD HUMANA"/>
    <n v="4153.4399999999996"/>
    <n v="0"/>
    <n v="0"/>
    <n v="0"/>
    <n v="0"/>
    <n v="4153.4399999999996"/>
    <n v="4153.4399999999996"/>
    <d v="2025-09-26T00:00:00"/>
    <d v="2025-10-26T00:00:00"/>
    <n v="-96"/>
    <s v="001"/>
    <x v="1"/>
    <x v="1"/>
    <x v="0"/>
    <n v="4153.4399999999996"/>
    <n v="0"/>
    <n v="0"/>
    <n v="0"/>
    <n v="0"/>
    <n v="0"/>
  </r>
  <r>
    <s v="CONSTRIAL SOCIEDAD ANONIMA"/>
    <s v="FA"/>
    <s v="OF111"/>
    <n v="2100027594"/>
    <s v="PRODUCTIVIDAD HUMANA"/>
    <n v="4082.49"/>
    <n v="0"/>
    <n v="0"/>
    <n v="0"/>
    <n v="0"/>
    <n v="4082.49"/>
    <n v="4082.49"/>
    <d v="2025-07-07T00:00:00"/>
    <d v="2025-08-06T00:00:00"/>
    <n v="-177"/>
    <s v="004-001"/>
    <x v="0"/>
    <x v="1"/>
    <x v="0"/>
    <n v="4082.49"/>
    <n v="0"/>
    <n v="0"/>
    <n v="0"/>
    <n v="0"/>
    <n v="0"/>
  </r>
  <r>
    <s v="CONICO, CONSULTORIA INTEGRAL DE LA CONSTRUCCION, SOCIEDAD ANONIMA"/>
    <s v="FA"/>
    <s v="005  "/>
    <n v="71007"/>
    <s v="PRODUCTIVIDAD HUMANA"/>
    <n v="4074.02"/>
    <n v="0"/>
    <n v="0"/>
    <n v="0"/>
    <n v="0"/>
    <n v="4074.02"/>
    <n v="4074.02"/>
    <d v="2025-07-28T00:00:00"/>
    <d v="2025-08-27T00:00:00"/>
    <n v="-156"/>
    <s v="001"/>
    <x v="1"/>
    <x v="1"/>
    <x v="0"/>
    <n v="4074.02"/>
    <n v="0"/>
    <n v="0"/>
    <n v="0"/>
    <n v="0"/>
    <n v="0"/>
  </r>
  <r>
    <s v="TTA PROJECT MANAGEMENT SOCIEDAD DE RESPONSABILIDAD LIMITADA"/>
    <s v="FA"/>
    <s v="115  "/>
    <n v="71146"/>
    <s v="PRODUCTIVIDAD HUMANA"/>
    <n v="3922.94"/>
    <n v="0"/>
    <n v="3922.94"/>
    <n v="0"/>
    <n v="0"/>
    <n v="0"/>
    <n v="3922.94"/>
    <d v="2026-01-23T00:00:00"/>
    <d v="2026-01-28T00:00:00"/>
    <n v="-2"/>
    <s v="001"/>
    <x v="1"/>
    <x v="1"/>
    <x v="0"/>
    <n v="3922.94"/>
    <m/>
    <m/>
    <m/>
    <m/>
    <m/>
  </r>
  <r>
    <s v="UNIVERSIDAD DE COSTA RICA"/>
    <s v="FA"/>
    <s v="77   "/>
    <n v="71136"/>
    <s v="PRODUCTIVIDAD HUMANA"/>
    <n v="3876.79"/>
    <n v="3876.79"/>
    <n v="0"/>
    <n v="0"/>
    <n v="0"/>
    <n v="0"/>
    <n v="3876.79"/>
    <d v="2026-01-08T00:00:00"/>
    <d v="2026-02-07T00:00:00"/>
    <n v="8"/>
    <s v="001"/>
    <x v="1"/>
    <x v="0"/>
    <x v="0"/>
    <n v="3876.79"/>
    <m/>
    <m/>
    <m/>
    <m/>
    <m/>
  </r>
  <r>
    <s v="UNIVERSIDAD DE COSTA RICA"/>
    <s v="FA"/>
    <s v="1354 "/>
    <n v="71075"/>
    <s v="PRODUCTIVIDAD HUMANA"/>
    <n v="3576.97"/>
    <n v="0"/>
    <n v="0"/>
    <n v="3576.97"/>
    <n v="0"/>
    <n v="0"/>
    <n v="3576.97"/>
    <d v="2025-11-21T00:00:00"/>
    <d v="2025-12-21T00:00:00"/>
    <n v="-40"/>
    <s v="001"/>
    <x v="1"/>
    <x v="1"/>
    <x v="0"/>
    <n v="3576.97"/>
    <n v="0"/>
    <n v="0"/>
    <n v="0"/>
    <n v="0"/>
    <n v="0"/>
  </r>
  <r>
    <s v="CONTRATO DE FIDEICOMISO NO OCHO SIETE DOS MINISTERIO DE SALUD"/>
    <s v="FA"/>
    <s v="OF111"/>
    <n v="2100028492"/>
    <s v="PRODUCTIVIDAD HUMANA"/>
    <n v="3140.63"/>
    <n v="0"/>
    <n v="3140.63"/>
    <n v="0"/>
    <n v="0"/>
    <n v="0"/>
    <n v="3140.63"/>
    <d v="2025-12-02T00:00:00"/>
    <d v="2026-01-01T00:00:00"/>
    <n v="-29"/>
    <s v="004-001"/>
    <x v="0"/>
    <x v="1"/>
    <x v="0"/>
    <n v="3140.63"/>
    <n v="0"/>
    <n v="0"/>
    <n v="0"/>
    <n v="0"/>
    <n v="0"/>
  </r>
  <r>
    <s v="UNIVERSIDAD DE COSTA RICA"/>
    <s v="FA"/>
    <s v="OF111"/>
    <n v="2100028403"/>
    <s v="PRODUCTIVIDAD HUMANA"/>
    <n v="3096.56"/>
    <n v="0"/>
    <n v="0"/>
    <n v="3096.56"/>
    <n v="0"/>
    <n v="0"/>
    <n v="3096.56"/>
    <d v="2025-11-17T00:00:00"/>
    <d v="2025-12-17T00:00:00"/>
    <n v="-44"/>
    <s v="004-001"/>
    <x v="0"/>
    <x v="1"/>
    <x v="0"/>
    <n v="3096.56"/>
    <n v="0"/>
    <n v="0"/>
    <n v="0"/>
    <n v="0"/>
    <n v="0"/>
  </r>
  <r>
    <s v="ZONA FRANCA LA LIMA, SOCIEDAD DE RESPONSABILIDAD LIMITADA"/>
    <s v="FA"/>
    <s v="1354 "/>
    <n v="71135"/>
    <s v="PRODUCTIVIDAD HUMANA"/>
    <n v="2900.24"/>
    <n v="0"/>
    <n v="2900.24"/>
    <n v="0"/>
    <n v="0"/>
    <n v="0"/>
    <n v="2900.24"/>
    <d v="2025-12-30T00:00:00"/>
    <d v="2026-01-07T00:00:00"/>
    <n v="-23"/>
    <s v="001"/>
    <x v="1"/>
    <x v="1"/>
    <x v="0"/>
    <n v="2900.24"/>
    <n v="0"/>
    <n v="0"/>
    <n v="0"/>
    <n v="0"/>
    <n v="0"/>
  </r>
  <r>
    <s v="UNIVERSIDAD DE COSTA RICA"/>
    <s v="FA"/>
    <s v="OF111"/>
    <n v="2100028443"/>
    <s v="PRODUCTIVIDAD HUMANA"/>
    <n v="2418.1"/>
    <n v="0"/>
    <n v="0"/>
    <n v="2418.1"/>
    <n v="0"/>
    <n v="0"/>
    <n v="2418.1"/>
    <d v="2025-11-27T00:00:00"/>
    <d v="2025-12-27T00:00:00"/>
    <n v="-34"/>
    <s v="004-001"/>
    <x v="0"/>
    <x v="1"/>
    <x v="0"/>
    <n v="2418.1"/>
    <n v="0"/>
    <n v="0"/>
    <n v="0"/>
    <n v="0"/>
    <n v="0"/>
  </r>
  <r>
    <s v="CONTRACT WORKPLACES COSTA RICA SOCIEDAD ANONIMA"/>
    <s v="FA"/>
    <s v="1354 "/>
    <n v="71130"/>
    <s v="PRODUCTIVIDAD HUMANA"/>
    <n v="2370.8200000000002"/>
    <n v="0"/>
    <n v="2370.8200000000002"/>
    <n v="0"/>
    <n v="0"/>
    <n v="0"/>
    <n v="2370.8200000000002"/>
    <d v="2025-12-30T00:00:00"/>
    <d v="2026-01-29T00:00:00"/>
    <n v="-1"/>
    <s v="001"/>
    <x v="1"/>
    <x v="1"/>
    <x v="0"/>
    <n v="2370.83"/>
    <n v="0"/>
    <n v="0"/>
    <n v="0"/>
    <n v="0"/>
    <n v="0"/>
  </r>
  <r>
    <s v="CORPORACION COSTARRICENSE DE MERCADEO INTER"/>
    <s v="FA"/>
    <s v="OF116"/>
    <n v="2100028628"/>
    <s v="PRODUCTIVIDAD HUMANA"/>
    <n v="1931.17"/>
    <n v="0"/>
    <n v="1931.17"/>
    <n v="0"/>
    <n v="0"/>
    <n v="0"/>
    <n v="1931.17"/>
    <d v="2025-12-29T00:00:00"/>
    <d v="2026-01-28T00:00:00"/>
    <n v="-2"/>
    <s v="004-001"/>
    <x v="0"/>
    <x v="1"/>
    <x v="0"/>
    <n v="1931.17"/>
    <n v="0"/>
    <n v="0"/>
    <n v="0"/>
    <n v="0"/>
    <n v="0"/>
  </r>
  <r>
    <s v="UNIVERSIDAD DE COSTA RICA"/>
    <s v="FA"/>
    <s v="OF111"/>
    <n v="2100028564"/>
    <s v="PRODUCTIVIDAD HUMANA"/>
    <n v="1880.75"/>
    <n v="0"/>
    <n v="1880.75"/>
    <n v="0"/>
    <n v="0"/>
    <n v="0"/>
    <n v="1880.75"/>
    <d v="2025-12-16T00:00:00"/>
    <d v="2026-01-15T00:00:00"/>
    <n v="-15"/>
    <s v="004-001"/>
    <x v="0"/>
    <x v="1"/>
    <x v="0"/>
    <n v="1880.75"/>
    <n v="0"/>
    <n v="0"/>
    <n v="0"/>
    <n v="0"/>
    <n v="0"/>
  </r>
  <r>
    <s v="CONTRATO DE FIDEICOMISO NO OCHO SIETE DOS MINISTERIO DE SALUD"/>
    <s v="FA"/>
    <s v="OF111"/>
    <n v="2100028010"/>
    <s v="PRODUCTIVIDAD HUMANA"/>
    <n v="1832.04"/>
    <n v="0"/>
    <n v="0"/>
    <n v="0"/>
    <n v="0"/>
    <n v="1832.04"/>
    <n v="1832.04"/>
    <d v="2025-09-12T00:00:00"/>
    <d v="2025-10-12T00:00:00"/>
    <n v="-110"/>
    <s v="004-001"/>
    <x v="0"/>
    <x v="1"/>
    <x v="0"/>
    <n v="1832.04"/>
    <n v="0"/>
    <n v="0"/>
    <n v="0"/>
    <n v="0"/>
    <n v="0"/>
  </r>
  <r>
    <s v="UNIVERSIDAD DE COSTA RICA"/>
    <s v="FA"/>
    <s v="OF111"/>
    <n v="2100028038"/>
    <s v="PRODUCTIVIDAD HUMANA"/>
    <n v="1822.9"/>
    <n v="0"/>
    <n v="0"/>
    <n v="0"/>
    <n v="0"/>
    <n v="1822.9"/>
    <n v="1822.9"/>
    <d v="2025-09-17T00:00:00"/>
    <d v="2025-10-17T00:00:00"/>
    <n v="-105"/>
    <s v="004-001"/>
    <x v="0"/>
    <x v="1"/>
    <x v="0"/>
    <n v="1822.9"/>
    <n v="0"/>
    <n v="0"/>
    <n v="0"/>
    <n v="0"/>
    <n v="0"/>
  </r>
  <r>
    <s v="PARQUE CENTRAL SOCIEDAD ANONIMA"/>
    <s v="FA"/>
    <s v="111  "/>
    <n v="70965"/>
    <s v="PRODUCTIVIDAD HUMANA"/>
    <n v="1669.71"/>
    <n v="0"/>
    <n v="0"/>
    <n v="0"/>
    <n v="0"/>
    <n v="1669.71"/>
    <n v="1669.71"/>
    <d v="2025-06-17T00:00:00"/>
    <d v="2025-06-25T00:00:00"/>
    <n v="-219"/>
    <s v="001"/>
    <x v="1"/>
    <x v="2"/>
    <x v="0"/>
    <n v="1669.71"/>
    <n v="0"/>
    <n v="0"/>
    <n v="0"/>
    <n v="0"/>
    <n v="0"/>
  </r>
  <r>
    <s v="DISTRIBUIDORA LA FLORIDA S.A."/>
    <s v="FA"/>
    <s v="88   "/>
    <n v="71108"/>
    <s v="PRODUCTIVIDAD HUMANA"/>
    <n v="1659.97"/>
    <n v="1659.97"/>
    <n v="0"/>
    <n v="0"/>
    <n v="0"/>
    <n v="0"/>
    <n v="1659.97"/>
    <d v="2025-12-11T00:00:00"/>
    <d v="2026-02-09T00:00:00"/>
    <n v="10"/>
    <s v="001"/>
    <x v="1"/>
    <x v="0"/>
    <x v="0"/>
    <n v="1659.97"/>
    <n v="0"/>
    <n v="0"/>
    <n v="0"/>
    <n v="0"/>
    <n v="0"/>
  </r>
  <r>
    <s v="MICROVENTION COSTA RICA SRL"/>
    <s v="FA"/>
    <s v="OF111"/>
    <n v="2100028641"/>
    <s v="PRODUCTIVIDAD HUMANA"/>
    <n v="1634.3"/>
    <n v="0"/>
    <n v="1634.3"/>
    <n v="0"/>
    <n v="0"/>
    <n v="0"/>
    <n v="1634.3"/>
    <d v="2025-12-29T00:00:00"/>
    <d v="2026-01-28T00:00:00"/>
    <n v="-2"/>
    <s v="004-001"/>
    <x v="0"/>
    <x v="1"/>
    <x v="0"/>
    <n v="1634.3"/>
    <n v="0"/>
    <n v="0"/>
    <n v="0"/>
    <n v="0"/>
    <n v="0"/>
  </r>
  <r>
    <s v="INVERSIONES EL AGUALOTE URUCA S.A."/>
    <s v="FA"/>
    <s v="2029 "/>
    <n v="2100028310"/>
    <s v="PRODUCTIVIDAD HUMANA"/>
    <n v="1593.03"/>
    <n v="0"/>
    <n v="0"/>
    <n v="0"/>
    <n v="1593.03"/>
    <n v="0"/>
    <n v="1593.03"/>
    <d v="2025-10-29T00:00:00"/>
    <d v="2025-11-28T00:00:00"/>
    <n v="-63"/>
    <s v="004-001"/>
    <x v="0"/>
    <x v="1"/>
    <x v="0"/>
    <n v="1593.03"/>
    <n v="0"/>
    <n v="0"/>
    <n v="0"/>
    <n v="0"/>
    <n v="0"/>
  </r>
  <r>
    <s v="KPMG DELIVERY NETWORK COSTA RICA  T&amp;L SOCIEDAD ANONIMA"/>
    <s v="FA"/>
    <s v="OF116"/>
    <n v="2100027944"/>
    <s v="PRODUCTIVIDAD HUMANA"/>
    <n v="1500"/>
    <n v="0"/>
    <n v="0"/>
    <n v="0"/>
    <n v="0"/>
    <n v="1500"/>
    <n v="1500"/>
    <d v="2025-09-03T00:00:00"/>
    <d v="2025-09-18T00:00:00"/>
    <n v="-134"/>
    <s v="004-001"/>
    <x v="0"/>
    <x v="1"/>
    <x v="0"/>
    <n v="1500"/>
    <n v="0"/>
    <n v="0"/>
    <n v="0"/>
    <n v="0"/>
    <n v="0"/>
  </r>
  <r>
    <s v="EUROCENTER INMOBILIARIA DE COSTA RICA ECR SOCIEDAD ANONIMA"/>
    <s v="FA"/>
    <s v="OF312"/>
    <n v="2100028312"/>
    <s v="PRODUCTIVIDAD HUMANA"/>
    <n v="1011.32"/>
    <n v="0"/>
    <n v="0"/>
    <n v="0"/>
    <n v="1011.32"/>
    <n v="0"/>
    <n v="1011.32"/>
    <d v="2025-10-29T00:00:00"/>
    <d v="2025-11-28T00:00:00"/>
    <n v="-63"/>
    <s v="004-001"/>
    <x v="0"/>
    <x v="1"/>
    <x v="0"/>
    <n v="1011.32"/>
    <n v="0"/>
    <n v="0"/>
    <n v="0"/>
    <n v="0"/>
    <n v="0"/>
  </r>
  <r>
    <s v="LOS ARALLANES SOCIEDAD ANONIMA"/>
    <s v="FA"/>
    <s v="OF111"/>
    <n v="2100028738"/>
    <s v="PRODUCTIVIDAD HUMANA"/>
    <n v="941.48"/>
    <n v="941.48"/>
    <n v="0"/>
    <n v="0"/>
    <n v="0"/>
    <n v="0"/>
    <n v="941.48"/>
    <d v="2026-01-21T00:00:00"/>
    <d v="2026-02-20T00:00:00"/>
    <n v="21"/>
    <s v="004-001"/>
    <x v="0"/>
    <x v="0"/>
    <x v="0"/>
    <n v="941.48"/>
    <m/>
    <m/>
    <m/>
    <m/>
    <m/>
  </r>
  <r>
    <s v="DHL CUSTOMS (COSTA RICA) SOCIEDAD ANONIMA"/>
    <s v="FA"/>
    <s v="77   "/>
    <n v="71150"/>
    <s v="PRODUCTIVIDAD HUMANA"/>
    <n v="888.18"/>
    <n v="888.18"/>
    <n v="0"/>
    <n v="0"/>
    <n v="0"/>
    <n v="0"/>
    <n v="888.18"/>
    <d v="2026-01-28T00:00:00"/>
    <d v="2026-02-27T00:00:00"/>
    <n v="28"/>
    <s v="001"/>
    <x v="1"/>
    <x v="0"/>
    <x v="0"/>
    <n v="888.18"/>
    <m/>
    <m/>
    <m/>
    <m/>
    <m/>
  </r>
  <r>
    <s v="LOS ARALLANES SOCIEDAD ANONIMA"/>
    <s v="FA"/>
    <s v="OF111"/>
    <n v="2100028313"/>
    <s v="PRODUCTIVIDAD HUMANA"/>
    <n v="750"/>
    <n v="0"/>
    <n v="0"/>
    <n v="0"/>
    <n v="750"/>
    <n v="0"/>
    <n v="750"/>
    <d v="2025-10-29T00:00:00"/>
    <d v="2025-11-28T00:00:00"/>
    <n v="-63"/>
    <s v="004-001"/>
    <x v="0"/>
    <x v="1"/>
    <x v="0"/>
    <n v="750"/>
    <n v="0"/>
    <n v="0"/>
    <n v="0"/>
    <n v="0"/>
    <n v="0"/>
  </r>
  <r>
    <s v="SAMTEC INTERCONNECT ASSEMBLY SIA COSTA RICA S.R.L"/>
    <s v="FA"/>
    <s v="OF111"/>
    <n v="2100028661"/>
    <s v="PRODUCTIVIDAD HUMANA"/>
    <n v="743.2"/>
    <n v="0"/>
    <n v="743.2"/>
    <n v="0"/>
    <n v="0"/>
    <n v="0"/>
    <n v="743.2"/>
    <d v="2026-01-06T00:00:00"/>
    <d v="2026-01-21T00:00:00"/>
    <n v="-9"/>
    <s v="004-001"/>
    <x v="0"/>
    <x v="1"/>
    <x v="0"/>
    <n v="743.2"/>
    <m/>
    <m/>
    <m/>
    <m/>
    <m/>
  </r>
  <r>
    <s v="PARQUE CENTRAL SOCIEDAD ANONIMA"/>
    <s v="FA"/>
    <s v="111  "/>
    <n v="70795"/>
    <s v="PRODUCTIVIDAD HUMANA"/>
    <n v="727.26"/>
    <n v="0"/>
    <n v="0"/>
    <n v="0"/>
    <n v="0"/>
    <n v="727.26"/>
    <n v="727.26"/>
    <d v="2024-10-18T00:00:00"/>
    <d v="2024-10-26T00:00:00"/>
    <n v="-461"/>
    <s v="001"/>
    <x v="1"/>
    <x v="2"/>
    <x v="0"/>
    <n v="727.26"/>
    <n v="0"/>
    <n v="0"/>
    <n v="0"/>
    <n v="0"/>
    <n v="0"/>
  </r>
  <r>
    <s v="CHIQUITA BRANDS COSTA RICA SRL"/>
    <s v="FA"/>
    <s v="115  "/>
    <n v="71141"/>
    <s v="PRODUCTIVIDAD HUMANA"/>
    <n v="610.20000000000005"/>
    <n v="610.20000000000005"/>
    <n v="0"/>
    <n v="0"/>
    <n v="0"/>
    <n v="0"/>
    <n v="610.20000000000005"/>
    <d v="2026-01-22T00:00:00"/>
    <d v="2026-02-21T00:00:00"/>
    <n v="22"/>
    <s v="001"/>
    <x v="1"/>
    <x v="0"/>
    <x v="0"/>
    <n v="610.20000000000005"/>
    <m/>
    <m/>
    <m/>
    <m/>
    <m/>
  </r>
  <r>
    <s v="EMBAJADA DE LOS ESTADOS UNIDOS DE AMERICA"/>
    <s v="FA"/>
    <s v="OF116"/>
    <n v="2100028390"/>
    <s v="PRODUCTIVIDAD HUMANA"/>
    <n v="581"/>
    <n v="0"/>
    <n v="0"/>
    <n v="581"/>
    <n v="0"/>
    <n v="0"/>
    <n v="581"/>
    <d v="2025-11-12T00:00:00"/>
    <d v="2025-12-12T00:00:00"/>
    <n v="-49"/>
    <s v="004-001"/>
    <x v="0"/>
    <x v="1"/>
    <x v="0"/>
    <n v="581"/>
    <n v="0"/>
    <n v="0"/>
    <n v="0"/>
    <n v="0"/>
    <n v="0"/>
  </r>
  <r>
    <s v="INVERSIONES FUTURA ANDINO S.A."/>
    <s v="FA"/>
    <s v="2124 "/>
    <n v="2100028496"/>
    <s v="PRODUCTIVIDAD HUMANA"/>
    <n v="553.70000000000005"/>
    <n v="0"/>
    <n v="553.70000000000005"/>
    <n v="0"/>
    <n v="0"/>
    <n v="0"/>
    <n v="553.70000000000005"/>
    <d v="2025-12-04T00:00:00"/>
    <d v="2026-01-03T00:00:00"/>
    <n v="-27"/>
    <s v="004-001"/>
    <x v="0"/>
    <x v="1"/>
    <x v="0"/>
    <n v="553.70000000000005"/>
    <n v="0"/>
    <n v="0"/>
    <n v="0"/>
    <n v="0"/>
    <n v="0"/>
  </r>
  <r>
    <s v="PURDY MOTOR SOCIEDAD ANONIMA"/>
    <s v="FA"/>
    <s v="OF103"/>
    <n v="2100028692"/>
    <s v="PRODUCTIVIDAD HUMANA"/>
    <n v="542.4"/>
    <n v="542.4"/>
    <n v="0"/>
    <n v="0"/>
    <n v="0"/>
    <n v="0"/>
    <n v="542.4"/>
    <d v="2026-01-13T00:00:00"/>
    <d v="2026-02-12T00:00:00"/>
    <n v="13"/>
    <s v="004-001"/>
    <x v="0"/>
    <x v="0"/>
    <x v="0"/>
    <n v="542.4"/>
    <m/>
    <m/>
    <m/>
    <m/>
    <m/>
  </r>
  <r>
    <s v="ATRES ARQUITECTOS SOCIEDAD DE RESPONSABILIDAD LIMITADA"/>
    <s v="FA"/>
    <s v="OF030"/>
    <n v="2100028630"/>
    <s v="PRODUCTIVIDAD HUMANA"/>
    <n v="978.31"/>
    <n v="0"/>
    <n v="978.31"/>
    <n v="0"/>
    <n v="0"/>
    <n v="0"/>
    <n v="978.31"/>
    <d v="2025-12-29T00:00:00"/>
    <d v="2026-01-28T00:00:00"/>
    <n v="-2"/>
    <s v="004-001"/>
    <x v="0"/>
    <x v="1"/>
    <x v="0"/>
    <n v="507.5"/>
    <n v="0"/>
    <n v="0"/>
    <n v="0"/>
    <n v="0"/>
    <n v="0"/>
  </r>
  <r>
    <s v="LUX SOLUTIONS LIMITADA"/>
    <s v="FA"/>
    <s v="OF116"/>
    <n v="2100028646"/>
    <s v="PRODUCTIVIDAD HUMANA"/>
    <n v="427.14"/>
    <n v="0"/>
    <n v="427.14"/>
    <n v="0"/>
    <n v="0"/>
    <n v="0"/>
    <n v="427.14"/>
    <d v="2025-12-30T00:00:00"/>
    <d v="2025-12-31T00:00:00"/>
    <n v="-30"/>
    <s v="004-001"/>
    <x v="0"/>
    <x v="1"/>
    <x v="0"/>
    <n v="427.14"/>
    <n v="0"/>
    <n v="0"/>
    <n v="0"/>
    <n v="0"/>
    <n v="0"/>
  </r>
  <r>
    <s v="NITINOL DEVICES &amp; COMPONENTS COSTA RICA SRL"/>
    <s v="FA"/>
    <s v="OF313"/>
    <n v="2100028709"/>
    <s v="PRODUCTIVIDAD HUMANA"/>
    <n v="405.96"/>
    <n v="405.96"/>
    <n v="0"/>
    <n v="0"/>
    <n v="0"/>
    <n v="0"/>
    <n v="405.96"/>
    <d v="2026-01-15T00:00:00"/>
    <d v="2026-02-14T00:00:00"/>
    <n v="15"/>
    <s v="004-001"/>
    <x v="0"/>
    <x v="0"/>
    <x v="0"/>
    <n v="405.96"/>
    <m/>
    <m/>
    <m/>
    <m/>
    <m/>
  </r>
  <r>
    <s v="CONTRACT WORKPLACES COSTA RICA SOCIEDAD ANONIMA"/>
    <s v="FA"/>
    <s v="1354 "/>
    <n v="71134"/>
    <s v="PRODUCTIVIDAD HUMANA"/>
    <n v="390.4"/>
    <n v="0"/>
    <n v="390.4"/>
    <n v="0"/>
    <n v="0"/>
    <n v="0"/>
    <n v="390.4"/>
    <d v="2025-12-30T00:00:00"/>
    <d v="2026-01-29T00:00:00"/>
    <n v="-1"/>
    <s v="001"/>
    <x v="1"/>
    <x v="1"/>
    <x v="0"/>
    <n v="390.4"/>
    <n v="0"/>
    <n v="0"/>
    <n v="0"/>
    <n v="0"/>
    <n v="0"/>
  </r>
  <r>
    <s v="PURDY MOTOR SOCIEDAD ANONIMA"/>
    <s v="FA"/>
    <s v="OF103"/>
    <n v="2100028366"/>
    <s v="PRODUCTIVIDAD HUMANA"/>
    <n v="339"/>
    <n v="0"/>
    <n v="0"/>
    <n v="339"/>
    <n v="0"/>
    <n v="0"/>
    <n v="339"/>
    <d v="2025-11-06T00:00:00"/>
    <d v="2025-12-06T00:00:00"/>
    <n v="-55"/>
    <s v="004-001"/>
    <x v="0"/>
    <x v="1"/>
    <x v="0"/>
    <n v="339"/>
    <n v="0"/>
    <n v="0"/>
    <n v="0"/>
    <n v="0"/>
    <n v="0"/>
  </r>
  <r>
    <s v="PURDY MOTOR SOCIEDAD ANONIMA"/>
    <s v="FA"/>
    <s v="OF103"/>
    <n v="2100028693"/>
    <s v="PRODUCTIVIDAD HUMANA"/>
    <n v="339"/>
    <n v="339"/>
    <n v="0"/>
    <n v="0"/>
    <n v="0"/>
    <n v="0"/>
    <n v="339"/>
    <d v="2026-01-13T00:00:00"/>
    <d v="2026-02-12T00:00:00"/>
    <n v="13"/>
    <s v="004-001"/>
    <x v="0"/>
    <x v="0"/>
    <x v="0"/>
    <n v="339"/>
    <m/>
    <m/>
    <m/>
    <m/>
    <m/>
  </r>
  <r>
    <s v="CAJA COSTARRICENSE DE SEGURO SOCIAL"/>
    <s v="FA"/>
    <s v="OF111"/>
    <n v="2100028321"/>
    <s v="PRODUCTIVIDAD HUMANA"/>
    <n v="231.61"/>
    <n v="0"/>
    <n v="0"/>
    <n v="0"/>
    <n v="231.61"/>
    <n v="0"/>
    <n v="231.61"/>
    <d v="2025-10-30T00:00:00"/>
    <d v="2025-11-29T00:00:00"/>
    <n v="-62"/>
    <s v="004-001"/>
    <x v="0"/>
    <x v="1"/>
    <x v="0"/>
    <n v="231.61"/>
    <n v="0"/>
    <n v="0"/>
    <n v="0"/>
    <n v="0"/>
    <n v="0"/>
  </r>
  <r>
    <s v="ELECTRONICA CENTROAMERICANA SOCIEDAD ANONIMA"/>
    <s v="FA"/>
    <s v="77   "/>
    <n v="71139"/>
    <s v="PRODUCTIVIDAD HUMANA"/>
    <n v="216.59"/>
    <n v="0"/>
    <n v="216.59"/>
    <n v="0"/>
    <n v="0"/>
    <n v="0"/>
    <n v="216.59"/>
    <d v="2026-01-22T00:00:00"/>
    <d v="2026-01-23T00:00:00"/>
    <n v="-7"/>
    <s v="001"/>
    <x v="1"/>
    <x v="1"/>
    <x v="0"/>
    <n v="216.59"/>
    <m/>
    <m/>
    <m/>
    <m/>
    <m/>
  </r>
  <r>
    <s v="LITOGRAFIA SAN RAFAEL SOCIEDAD ANONIMA"/>
    <s v="FA"/>
    <s v="OF116"/>
    <n v="2100028766"/>
    <s v="PRODUCTIVIDAD HUMANA"/>
    <n v="67.8"/>
    <n v="0"/>
    <n v="67.8"/>
    <n v="0"/>
    <n v="0"/>
    <n v="0"/>
    <n v="67.8"/>
    <d v="2026-01-27T00:00:00"/>
    <d v="2026-01-28T00:00:00"/>
    <n v="-2"/>
    <s v="004-001"/>
    <x v="0"/>
    <x v="1"/>
    <x v="0"/>
    <n v="67.8"/>
    <m/>
    <m/>
    <m/>
    <m/>
    <m/>
  </r>
  <r>
    <s v="EMBAJADA DE LOS ESTADOS UNIDOS DE AMERICA"/>
    <s v="FA"/>
    <s v="OF116"/>
    <n v="2100028389"/>
    <s v="PRODUCTIVIDAD HUMANA"/>
    <n v="35"/>
    <n v="0"/>
    <n v="0"/>
    <n v="35"/>
    <n v="0"/>
    <n v="0"/>
    <n v="35"/>
    <d v="2025-11-12T00:00:00"/>
    <d v="2025-12-12T00:00:00"/>
    <n v="-49"/>
    <s v="004-001"/>
    <x v="0"/>
    <x v="1"/>
    <x v="0"/>
    <n v="35"/>
    <n v="0"/>
    <n v="0"/>
    <n v="0"/>
    <n v="0"/>
    <n v="0"/>
  </r>
  <r>
    <s v="PLAZA RIVIERA SOCIEDAD ANONIMA"/>
    <s v="FA"/>
    <s v="O7EX "/>
    <n v="2100028226"/>
    <s v="PRODUCTIVIDAD HUMANA"/>
    <n v="28.53"/>
    <n v="0"/>
    <n v="0"/>
    <n v="0"/>
    <n v="28.53"/>
    <n v="0"/>
    <n v="28.53"/>
    <d v="2025-10-10T00:00:00"/>
    <d v="2025-11-09T00:00:00"/>
    <n v="-82"/>
    <s v="004-001"/>
    <x v="0"/>
    <x v="2"/>
    <x v="0"/>
    <n v="28.53"/>
    <n v="0"/>
    <n v="0"/>
    <n v="0"/>
    <n v="0"/>
    <n v="0"/>
  </r>
  <r>
    <s v="SUMINISTROS INDUSTRIALES SOTO ESPINOZA S.A."/>
    <s v="FA"/>
    <s v="OF030"/>
    <n v="2100028643"/>
    <s v="PRODUCTIVIDAD HUMANA"/>
    <n v="51873.94"/>
    <n v="0"/>
    <n v="51873.94"/>
    <n v="0"/>
    <n v="0"/>
    <n v="0"/>
    <n v="51873.94"/>
    <d v="2025-12-29T00:00:00"/>
    <d v="2026-01-28T00:00:00"/>
    <n v="-2"/>
    <s v="004-001"/>
    <x v="0"/>
    <x v="0"/>
    <x v="1"/>
    <n v="0"/>
    <n v="51873.94"/>
    <n v="0"/>
    <n v="0"/>
    <n v="0"/>
    <n v="0"/>
  </r>
  <r>
    <s v="CONSTRUCTORA GONZALO DELGADO SOCIEDAD ANONIMA"/>
    <s v="FA"/>
    <s v="O7EX "/>
    <n v="2100027667"/>
    <s v="PRODUCTIVIDAD HUMANA"/>
    <n v="125000"/>
    <n v="0"/>
    <n v="0"/>
    <n v="0"/>
    <n v="0"/>
    <n v="125000"/>
    <n v="125000"/>
    <d v="2025-07-17T00:00:00"/>
    <d v="2025-09-15T00:00:00"/>
    <n v="-137"/>
    <s v="004-001"/>
    <x v="0"/>
    <x v="2"/>
    <x v="2"/>
    <n v="0"/>
    <n v="0"/>
    <n v="40669"/>
    <n v="0"/>
    <n v="0"/>
    <n v="0"/>
  </r>
  <r>
    <s v="CONTRACT WORKPLACES COSTA RICA SOCIEDAD ANONIMA"/>
    <s v="FA"/>
    <s v="0F105"/>
    <n v="2100027472"/>
    <s v="PRODUCTIVIDAD HUMANA"/>
    <n v="14410"/>
    <n v="0"/>
    <n v="0"/>
    <n v="0"/>
    <n v="0"/>
    <n v="14410"/>
    <n v="14410"/>
    <d v="2025-06-25T00:00:00"/>
    <d v="2025-07-25T00:00:00"/>
    <n v="-189"/>
    <s v="004-001"/>
    <x v="0"/>
    <x v="2"/>
    <x v="2"/>
    <n v="0"/>
    <n v="0"/>
    <n v="14410"/>
    <n v="0"/>
    <n v="0"/>
    <n v="0"/>
  </r>
  <r>
    <s v="CONSTRUCTORA GONZALO DELGADO SOCIEDAD ANONIMA"/>
    <s v="FA"/>
    <s v="OF030"/>
    <n v="2100027235"/>
    <s v="PRODUCTIVIDAD HUMANA"/>
    <n v="13560.23"/>
    <n v="0"/>
    <n v="0"/>
    <n v="0"/>
    <n v="0"/>
    <n v="13560.23"/>
    <n v="13560.23"/>
    <d v="2025-05-12T00:00:00"/>
    <d v="2025-06-11T00:00:00"/>
    <n v="-233"/>
    <s v="004-001"/>
    <x v="0"/>
    <x v="2"/>
    <x v="2"/>
    <n v="0"/>
    <n v="0"/>
    <n v="13560.23"/>
    <n v="0"/>
    <n v="0"/>
    <n v="0"/>
  </r>
  <r>
    <s v="CONSTRUCTORA GONZALO DELGADO SOCIEDAD ANONIMA"/>
    <s v="FA"/>
    <s v="OF030"/>
    <n v="2100027705"/>
    <s v="PRODUCTIVIDAD HUMANA"/>
    <n v="12203.8"/>
    <n v="0"/>
    <n v="0"/>
    <n v="0"/>
    <n v="0"/>
    <n v="12203.8"/>
    <n v="12203.8"/>
    <d v="2025-07-28T00:00:00"/>
    <d v="2025-09-26T00:00:00"/>
    <n v="-126"/>
    <s v="004-001"/>
    <x v="0"/>
    <x v="2"/>
    <x v="2"/>
    <n v="0"/>
    <n v="0"/>
    <n v="12203.8"/>
    <n v="0"/>
    <n v="0"/>
    <n v="0"/>
  </r>
  <r>
    <s v="CONSTRUCTORA GONZALO DELGADO SOCIEDAD ANONIMA"/>
    <s v="FA"/>
    <s v="OF030"/>
    <n v="2100027706"/>
    <s v="PRODUCTIVIDAD HUMANA"/>
    <n v="7766.22"/>
    <n v="0"/>
    <n v="0"/>
    <n v="0"/>
    <n v="0"/>
    <n v="7766.22"/>
    <n v="7766.22"/>
    <d v="2025-07-28T00:00:00"/>
    <d v="2025-09-26T00:00:00"/>
    <n v="-126"/>
    <s v="004-001"/>
    <x v="0"/>
    <x v="2"/>
    <x v="2"/>
    <n v="0"/>
    <n v="0"/>
    <n v="7766.22"/>
    <n v="0"/>
    <n v="0"/>
    <n v="0"/>
  </r>
  <r>
    <s v="CONSTRUCTORA GONZALO DELGADO SOCIEDAD ANONIMA"/>
    <s v="FA"/>
    <s v="O7EX "/>
    <n v="2100027167"/>
    <s v="PRODUCTIVIDAD HUMANA"/>
    <n v="6250"/>
    <n v="0"/>
    <n v="0"/>
    <n v="0"/>
    <n v="0"/>
    <n v="6250"/>
    <n v="6250"/>
    <d v="2025-04-30T00:00:00"/>
    <d v="2025-05-30T00:00:00"/>
    <n v="-245"/>
    <s v="004-001"/>
    <x v="0"/>
    <x v="2"/>
    <x v="2"/>
    <n v="0"/>
    <n v="0"/>
    <n v="6250"/>
    <n v="0"/>
    <n v="0"/>
    <n v="0"/>
  </r>
  <r>
    <s v="PLAZA RIVIERA SOCIEDAD ANONIMA"/>
    <s v="FA"/>
    <s v="O7EX "/>
    <n v="2100027666"/>
    <s v="PRODUCTIVIDAD HUMANA"/>
    <n v="5791.36"/>
    <n v="0"/>
    <n v="0"/>
    <n v="0"/>
    <n v="0"/>
    <n v="5791.36"/>
    <n v="5791.36"/>
    <d v="2025-07-17T00:00:00"/>
    <d v="2025-08-16T00:00:00"/>
    <n v="-167"/>
    <s v="004-001"/>
    <x v="0"/>
    <x v="2"/>
    <x v="2"/>
    <n v="0"/>
    <n v="0"/>
    <n v="5791.36"/>
    <n v="0"/>
    <n v="0"/>
    <n v="0"/>
  </r>
  <r>
    <s v="CONSTRUCTORA GONZALO DELGADO SOCIEDAD ANONIMA"/>
    <s v="FA"/>
    <s v="OF030"/>
    <n v="2100027704"/>
    <s v="PRODUCTIVIDAD HUMANA"/>
    <n v="5732.05"/>
    <n v="0"/>
    <n v="0"/>
    <n v="0"/>
    <n v="0"/>
    <n v="5732.05"/>
    <n v="5732.05"/>
    <d v="2025-07-28T00:00:00"/>
    <d v="2025-09-26T00:00:00"/>
    <n v="-126"/>
    <s v="004-001"/>
    <x v="0"/>
    <x v="2"/>
    <x v="2"/>
    <n v="0"/>
    <n v="0"/>
    <n v="5732.05"/>
    <n v="0"/>
    <n v="0"/>
    <n v="0"/>
  </r>
  <r>
    <s v="CONSTRUCTORA GONZALO DELGADO SOCIEDAD ANONIMA"/>
    <s v="FA"/>
    <s v="OF030"/>
    <n v="2100025592"/>
    <s v="PRODUCTIVIDAD HUMANA"/>
    <n v="2227.42"/>
    <n v="0"/>
    <n v="0"/>
    <n v="0"/>
    <n v="0"/>
    <n v="2227.42"/>
    <n v="2227.42"/>
    <d v="2024-09-10T00:00:00"/>
    <d v="2024-10-10T00:00:00"/>
    <n v="-477"/>
    <s v="004-001"/>
    <x v="0"/>
    <x v="2"/>
    <x v="2"/>
    <n v="0"/>
    <n v="0"/>
    <n v="2227.42"/>
    <n v="0"/>
    <n v="0"/>
    <n v="0"/>
  </r>
  <r>
    <s v="EDIFICADORA CENTROAMERICANA RAPIPAREDES S.A."/>
    <s v="FA"/>
    <s v="OF113"/>
    <n v="2100028158"/>
    <s v="PRODUCTIVIDAD HUMANA"/>
    <n v="2207.2600000000002"/>
    <n v="0"/>
    <n v="0"/>
    <n v="0"/>
    <n v="2207.2600000000002"/>
    <n v="0"/>
    <n v="2207.2600000000002"/>
    <d v="2025-10-02T00:00:00"/>
    <d v="2025-11-01T00:00:00"/>
    <n v="-90"/>
    <s v="004-001"/>
    <x v="0"/>
    <x v="2"/>
    <x v="2"/>
    <n v="0"/>
    <n v="0"/>
    <n v="2207.2600000000002"/>
    <n v="0"/>
    <n v="0"/>
    <n v="0"/>
  </r>
  <r>
    <s v="BILCO COSTA RICA S.A."/>
    <s v="FA"/>
    <s v="OF030"/>
    <n v="2100028309"/>
    <s v="PRODUCTIVIDAD HUMANA"/>
    <n v="2094.62"/>
    <n v="0"/>
    <n v="0"/>
    <n v="0"/>
    <n v="2094.62"/>
    <n v="0"/>
    <n v="2094.62"/>
    <d v="2025-10-29T00:00:00"/>
    <d v="2025-11-28T00:00:00"/>
    <n v="-63"/>
    <s v="004-001"/>
    <x v="0"/>
    <x v="2"/>
    <x v="2"/>
    <n v="0"/>
    <n v="0"/>
    <n v="2094.62"/>
    <n v="0"/>
    <n v="0"/>
    <n v="0"/>
  </r>
  <r>
    <s v="FREUDENBERG MEDICAL SOCIEDAD DE RESPONSABILIDAD LIMITADA"/>
    <s v="FA"/>
    <s v="111  "/>
    <n v="71151"/>
    <s v="PRODUCTIVIDAD HUMANA"/>
    <n v="2056"/>
    <n v="2056"/>
    <n v="0"/>
    <n v="0"/>
    <n v="0"/>
    <n v="0"/>
    <n v="2056"/>
    <d v="2026-01-28T00:00:00"/>
    <d v="2026-03-29T00:00:00"/>
    <n v="58"/>
    <s v="001"/>
    <x v="1"/>
    <x v="0"/>
    <x v="2"/>
    <n v="0"/>
    <n v="0"/>
    <n v="2056"/>
    <m/>
    <m/>
    <m/>
  </r>
  <r>
    <s v="BILCO COSTA RICA S.A."/>
    <s v="FA"/>
    <s v="OF030"/>
    <n v="2100028114"/>
    <s v="PRODUCTIVIDAD HUMANA"/>
    <n v="2009.91"/>
    <n v="0"/>
    <n v="0"/>
    <n v="0"/>
    <n v="0"/>
    <n v="2009.91"/>
    <n v="2009.91"/>
    <d v="2025-09-26T00:00:00"/>
    <d v="2025-10-26T00:00:00"/>
    <n v="-96"/>
    <s v="004-001"/>
    <x v="0"/>
    <x v="2"/>
    <x v="2"/>
    <n v="0"/>
    <n v="0"/>
    <n v="2009.91"/>
    <n v="0"/>
    <n v="0"/>
    <n v="0"/>
  </r>
  <r>
    <s v="CONSTRUCTORA GONZALO DELGADO SOCIEDAD ANONIMA"/>
    <s v="FA"/>
    <s v="OF030"/>
    <n v="2100027707"/>
    <s v="PRODUCTIVIDAD HUMANA"/>
    <n v="1216.43"/>
    <n v="0"/>
    <n v="0"/>
    <n v="0"/>
    <n v="0"/>
    <n v="1216.43"/>
    <n v="1216.43"/>
    <d v="2025-07-28T00:00:00"/>
    <d v="2025-09-26T00:00:00"/>
    <n v="-126"/>
    <s v="004-001"/>
    <x v="0"/>
    <x v="2"/>
    <x v="2"/>
    <n v="0"/>
    <n v="0"/>
    <n v="1216.43"/>
    <n v="0"/>
    <n v="0"/>
    <n v="0"/>
  </r>
  <r>
    <s v="EDIFICAR S.A"/>
    <s v="FA"/>
    <s v="0001 "/>
    <n v="10056"/>
    <s v="PRODUCTIVIDAD HUMANA"/>
    <n v="675.74"/>
    <n v="0"/>
    <n v="0"/>
    <n v="0"/>
    <n v="0"/>
    <n v="675.74"/>
    <n v="675.74"/>
    <d v="2024-05-14T00:00:00"/>
    <d v="2024-05-14T00:00:00"/>
    <n v="-626"/>
    <s v="004-001"/>
    <x v="0"/>
    <x v="3"/>
    <x v="2"/>
    <n v="0"/>
    <n v="0"/>
    <n v="675.74"/>
    <n v="0"/>
    <n v="0"/>
    <n v="0"/>
  </r>
  <r>
    <s v="MAYCA DISTRIBUIDORES, S.A"/>
    <s v="FA"/>
    <s v="OF116"/>
    <n v="2100028772"/>
    <s v="PRODUCTIVIDAD HUMANA"/>
    <n v="345.53"/>
    <n v="345.53"/>
    <n v="0"/>
    <n v="0"/>
    <n v="0"/>
    <n v="0"/>
    <n v="345.53"/>
    <d v="2026-01-28T00:00:00"/>
    <d v="2026-03-29T00:00:00"/>
    <n v="58"/>
    <s v="004-001"/>
    <x v="0"/>
    <x v="0"/>
    <x v="2"/>
    <n v="0"/>
    <n v="0"/>
    <n v="345.53"/>
    <m/>
    <m/>
    <m/>
  </r>
  <r>
    <s v="3-101-742029 SOCIEDAD ANONIMA"/>
    <s v="NC"/>
    <s v="0001 "/>
    <n v="412"/>
    <s v="PRODUCTIVIDAD HUMANA"/>
    <n v="-4385.71"/>
    <n v="0"/>
    <n v="0"/>
    <n v="0"/>
    <n v="0"/>
    <n v="-4385.71"/>
    <n v="-4385.71"/>
    <d v="2022-10-12T00:00:00"/>
    <d v="2022-10-12T00:00:00"/>
    <n v="-1206"/>
    <s v="004-001"/>
    <x v="0"/>
    <x v="4"/>
    <x v="3"/>
    <n v="0"/>
    <n v="0"/>
    <n v="0"/>
    <n v="0"/>
    <n v="0"/>
    <n v="0"/>
  </r>
  <r>
    <s v="ACTIVE CAMPAIGN COSTA RICA SOCIEDAD DE RESPONSABIL"/>
    <s v="NC"/>
    <s v="0001 "/>
    <n v="7682"/>
    <s v="PRODUCTIVIDAD HUMANA"/>
    <n v="-596.59"/>
    <n v="0"/>
    <n v="0"/>
    <n v="0"/>
    <n v="0"/>
    <n v="-596.59"/>
    <n v="-596.59"/>
    <d v="2024-02-22T00:00:00"/>
    <d v="2024-02-22T00:00:00"/>
    <n v="-708"/>
    <s v="004-001"/>
    <x v="0"/>
    <x v="4"/>
    <x v="3"/>
    <n v="0"/>
    <n v="0"/>
    <n v="0"/>
    <n v="0"/>
    <n v="0"/>
    <n v="0"/>
  </r>
  <r>
    <s v="ADMEDES SOCIEDAD ANONIMA"/>
    <s v="NC"/>
    <s v="OF313"/>
    <s v="AD00026427"/>
    <s v="PRODUCTIVIDAD HUMANA"/>
    <n v="-56"/>
    <n v="0"/>
    <n v="0"/>
    <n v="-56"/>
    <n v="0"/>
    <n v="0"/>
    <n v="-56"/>
    <d v="2025-12-22T00:00:00"/>
    <d v="2025-12-22T00:00:00"/>
    <n v="-39"/>
    <s v="004-001"/>
    <x v="0"/>
    <x v="5"/>
    <x v="4"/>
    <n v="0"/>
    <n v="0"/>
    <n v="0"/>
    <n v="0"/>
    <n v="0"/>
    <n v="0"/>
  </r>
  <r>
    <s v="ADMEDES SOCIEDAD ANONIMA"/>
    <s v="NC"/>
    <s v="OF313"/>
    <s v="AD00026428"/>
    <s v="PRODUCTIVIDAD HUMANA"/>
    <n v="-56"/>
    <n v="0"/>
    <n v="0"/>
    <n v="-56"/>
    <n v="0"/>
    <n v="0"/>
    <n v="-56"/>
    <d v="2025-12-22T00:00:00"/>
    <d v="2025-12-22T00:00:00"/>
    <n v="-39"/>
    <s v="004-001"/>
    <x v="0"/>
    <x v="5"/>
    <x v="4"/>
    <n v="0"/>
    <n v="0"/>
    <n v="0"/>
    <n v="0"/>
    <n v="0"/>
    <n v="0"/>
  </r>
  <r>
    <s v="ALLERGAN COSTA RICA SOCIENDAD RESPONSABILIDAD LIMITADA"/>
    <s v="NC"/>
    <s v="115  "/>
    <n v="51133"/>
    <s v="PRODUCTIVIDAD HUMANA"/>
    <n v="-625"/>
    <n v="0"/>
    <n v="0"/>
    <n v="0"/>
    <n v="0"/>
    <n v="-625"/>
    <n v="-625"/>
    <d v="2025-10-02T00:00:00"/>
    <d v="2025-10-02T00:00:00"/>
    <n v="-120"/>
    <s v="002"/>
    <x v="1"/>
    <x v="5"/>
    <x v="4"/>
    <n v="0"/>
    <n v="0"/>
    <n v="0"/>
    <n v="0"/>
    <n v="0"/>
    <n v="0"/>
  </r>
  <r>
    <s v="ALLERGAN COSTA RICA SOCIENDAD RESPONSABILIDAD LIMITADA"/>
    <s v="FA"/>
    <s v="115  "/>
    <n v="71112"/>
    <s v="PRODUCTIVIDAD HUMANA"/>
    <n v="1120"/>
    <n v="1120"/>
    <n v="0"/>
    <n v="0"/>
    <n v="0"/>
    <n v="0"/>
    <n v="1120"/>
    <d v="2025-12-12T00:00:00"/>
    <d v="2026-03-12T00:00:00"/>
    <n v="41"/>
    <s v="001"/>
    <x v="1"/>
    <x v="0"/>
    <x v="1"/>
    <n v="0"/>
    <n v="495"/>
    <n v="0"/>
    <n v="0"/>
    <n v="0"/>
    <n v="0"/>
  </r>
  <r>
    <s v="ALTEA G Y E SOCIEDAD ANONIMA"/>
    <s v="FA"/>
    <s v="OF103"/>
    <n v="1200016040"/>
    <s v="PRODUCTIVIDAD HUMANA"/>
    <n v="11948.77"/>
    <n v="0"/>
    <n v="0"/>
    <n v="0"/>
    <n v="0"/>
    <n v="11948.77"/>
    <n v="11948.77"/>
    <d v="2025-08-04T00:00:00"/>
    <d v="2025-09-03T00:00:00"/>
    <n v="-149"/>
    <s v="004-033"/>
    <x v="0"/>
    <x v="6"/>
    <x v="5"/>
    <n v="0"/>
    <n v="0"/>
    <n v="0"/>
    <n v="0"/>
    <n v="0"/>
    <n v="0"/>
  </r>
  <r>
    <s v="ANC CAR SOCIEDAD ANONIMA"/>
    <s v="FA"/>
    <s v="0001 "/>
    <n v="4713"/>
    <s v="PRODUCTIVIDAD HUMANA"/>
    <n v="2821.72"/>
    <n v="0"/>
    <n v="0"/>
    <n v="0"/>
    <n v="0"/>
    <n v="2821.72"/>
    <n v="2821.72"/>
    <d v="2023-11-23T00:00:00"/>
    <d v="2023-11-23T00:00:00"/>
    <n v="-799"/>
    <s v="004-001"/>
    <x v="0"/>
    <x v="6"/>
    <x v="5"/>
    <n v="0"/>
    <n v="0"/>
    <n v="0"/>
    <n v="0"/>
    <n v="0"/>
    <n v="0"/>
  </r>
  <r>
    <s v="ASEMECO"/>
    <s v="NC"/>
    <s v="005  "/>
    <s v="AD00001716"/>
    <s v="PRODUCTIVIDAD HUMANA"/>
    <n v="-1026.1600000000001"/>
    <n v="0"/>
    <n v="0"/>
    <n v="0"/>
    <n v="0"/>
    <n v="-1026.1600000000001"/>
    <n v="-1026.1600000000001"/>
    <d v="2020-12-28T00:00:00"/>
    <d v="2020-12-28T00:00:00"/>
    <n v="-1859"/>
    <s v="001"/>
    <x v="1"/>
    <x v="4"/>
    <x v="3"/>
    <n v="0"/>
    <n v="0"/>
    <n v="0"/>
    <n v="0"/>
    <n v="0"/>
    <n v="0"/>
  </r>
  <r>
    <s v="ASOCIACION SOLIDARISTA EMPLEADOS CAJA"/>
    <s v="NC"/>
    <s v="000  "/>
    <s v="AD00024847"/>
    <s v="PRODUCTIVIDAD HUMANA"/>
    <n v="-88.84"/>
    <n v="0"/>
    <n v="0"/>
    <n v="0"/>
    <n v="0"/>
    <n v="-88.84"/>
    <n v="-88.84"/>
    <d v="2024-09-27T00:00:00"/>
    <d v="2024-09-27T00:00:00"/>
    <n v="-490"/>
    <s v="004-001"/>
    <x v="0"/>
    <x v="4"/>
    <x v="3"/>
    <n v="0"/>
    <n v="0"/>
    <n v="0"/>
    <n v="0"/>
    <n v="0"/>
    <n v="0"/>
  </r>
  <r>
    <s v="ASOCIACION SOLIDARISTA EMPLEADOS CAJA COSTARRICENSE SEGURO SOCIAL"/>
    <s v="NC"/>
    <s v="OF030"/>
    <s v="AD00025890"/>
    <s v="PRODUCTIVIDAD HUMANA"/>
    <n v="-19.329999999999998"/>
    <n v="0"/>
    <n v="0"/>
    <n v="0"/>
    <n v="0"/>
    <n v="-19.329999999999998"/>
    <n v="-19.329999999999998"/>
    <d v="2025-07-16T00:00:00"/>
    <d v="2025-07-16T00:00:00"/>
    <n v="-198"/>
    <s v="004-001"/>
    <x v="0"/>
    <x v="4"/>
    <x v="3"/>
    <n v="0"/>
    <n v="0"/>
    <n v="0"/>
    <n v="0"/>
    <n v="0"/>
    <n v="0"/>
  </r>
  <r>
    <s v="ATRES ARQUITECTOS SOCIEDAD DE RESPONSABILIDAD LIMITADA"/>
    <s v="NC"/>
    <s v="OF030"/>
    <s v="AD00025512"/>
    <s v="PRODUCTIVIDAD HUMANA"/>
    <n v="-61.2"/>
    <n v="0"/>
    <n v="0"/>
    <n v="0"/>
    <n v="0"/>
    <n v="-61.2"/>
    <n v="-61.2"/>
    <d v="2025-03-31T00:00:00"/>
    <d v="2025-03-31T00:00:00"/>
    <n v="-305"/>
    <s v="004-001"/>
    <x v="0"/>
    <x v="5"/>
    <x v="4"/>
    <n v="0"/>
    <n v="0"/>
    <n v="0"/>
    <n v="0"/>
    <n v="0"/>
    <n v="0"/>
  </r>
  <r>
    <s v="ATRES ARQUITECTOS SOCIEDAD DE RESPONSABILIDAD LIMITADA"/>
    <s v="NC"/>
    <s v="OF030"/>
    <s v="AD00026286"/>
    <s v="PRODUCTIVIDAD HUMANA"/>
    <n v="-409.57"/>
    <n v="0"/>
    <n v="0"/>
    <n v="0"/>
    <n v="0"/>
    <n v="-409.57"/>
    <n v="-409.57"/>
    <d v="2025-10-30T00:00:00"/>
    <d v="2025-10-30T00:00:00"/>
    <n v="-92"/>
    <s v="004-001"/>
    <x v="0"/>
    <x v="5"/>
    <x v="4"/>
    <n v="0"/>
    <n v="0"/>
    <n v="0"/>
    <n v="0"/>
    <n v="0"/>
    <n v="0"/>
  </r>
  <r>
    <s v="BANCO DAVIVIENDA (COSTA RICA) SOCIEDAD ANONIMA"/>
    <s v="NC"/>
    <s v="37   "/>
    <s v="AD00001343"/>
    <s v="PRODUCTIVIDAD HUMANA"/>
    <n v="-55.24"/>
    <n v="0"/>
    <n v="0"/>
    <n v="0"/>
    <n v="0"/>
    <n v="-55.24"/>
    <n v="-55.24"/>
    <d v="2018-07-13T00:00:00"/>
    <d v="2018-07-13T00:00:00"/>
    <n v="-2758"/>
    <s v="001"/>
    <x v="1"/>
    <x v="4"/>
    <x v="3"/>
    <n v="0"/>
    <n v="0"/>
    <n v="0"/>
    <n v="0"/>
    <n v="0"/>
    <n v="0"/>
  </r>
  <r>
    <s v="BILCO COSTA RICA S.A."/>
    <s v="FA"/>
    <s v="0001 "/>
    <n v="8442"/>
    <s v="PRODUCTIVIDAD HUMANA"/>
    <n v="2002.14"/>
    <n v="0"/>
    <n v="0"/>
    <n v="0"/>
    <n v="0"/>
    <n v="2002.14"/>
    <n v="2002.14"/>
    <d v="2024-03-15T00:00:00"/>
    <d v="2024-03-15T00:00:00"/>
    <n v="-686"/>
    <s v="004-001"/>
    <x v="0"/>
    <x v="6"/>
    <x v="5"/>
    <n v="0"/>
    <n v="0"/>
    <n v="0"/>
    <n v="0"/>
    <n v="0"/>
    <n v="0"/>
  </r>
  <r>
    <s v="BILCO COSTA RICA SOCIEDAD ANONIMA"/>
    <s v="NC"/>
    <s v="065  "/>
    <s v="AD00002265"/>
    <s v="PRODUCTIVIDAD HUMANA"/>
    <n v="-39394.44"/>
    <n v="0"/>
    <n v="0"/>
    <n v="0"/>
    <n v="-39394.44"/>
    <n v="0"/>
    <n v="-39394.44"/>
    <d v="2025-11-10T00:00:00"/>
    <d v="2025-11-10T00:00:00"/>
    <n v="-81"/>
    <s v="001"/>
    <x v="1"/>
    <x v="7"/>
    <x v="6"/>
    <n v="0"/>
    <n v="0"/>
    <n v="0"/>
    <n v="0"/>
    <n v="0"/>
    <n v="0"/>
  </r>
  <r>
    <s v="BLOCK CONSTRUCTORA SOCIEDAD ANONIMA"/>
    <s v="NC"/>
    <s v="23   "/>
    <s v="AD00002258"/>
    <s v="PRODUCTIVIDAD HUMANA"/>
    <n v="-17858.25"/>
    <n v="0"/>
    <n v="0"/>
    <n v="0"/>
    <n v="0"/>
    <n v="-17858.25"/>
    <n v="-17858.25"/>
    <d v="2025-10-09T00:00:00"/>
    <d v="2025-10-09T00:00:00"/>
    <n v="-113"/>
    <s v="001"/>
    <x v="1"/>
    <x v="7"/>
    <x v="6"/>
    <n v="0"/>
    <n v="0"/>
    <n v="0"/>
    <n v="0"/>
    <n v="0"/>
    <n v="0"/>
  </r>
  <r>
    <s v="BLOCK CONSTRUCTORA SOCIEDAD ANONIMA"/>
    <s v="NC"/>
    <s v="23   "/>
    <s v="AD00002278"/>
    <s v="PRODUCTIVIDAD HUMANA"/>
    <n v="-7182.74"/>
    <n v="0"/>
    <n v="0"/>
    <n v="-7182.74"/>
    <n v="0"/>
    <n v="0"/>
    <n v="-7182.74"/>
    <d v="2025-12-17T00:00:00"/>
    <d v="2025-12-17T00:00:00"/>
    <n v="-44"/>
    <s v="001"/>
    <x v="1"/>
    <x v="7"/>
    <x v="6"/>
    <n v="0"/>
    <n v="0"/>
    <n v="0"/>
    <n v="0"/>
    <n v="0"/>
    <n v="0"/>
  </r>
  <r>
    <s v="Btsu S.A"/>
    <s v="NC"/>
    <s v="000  "/>
    <s v="AD00025925"/>
    <s v="PRODUCTIVIDAD HUMANA"/>
    <n v="-1614.604403"/>
    <n v="0"/>
    <n v="0"/>
    <n v="0"/>
    <n v="0"/>
    <n v="-1614.6"/>
    <n v="-1614.6"/>
    <d v="2025-07-28T00:00:00"/>
    <d v="2025-07-28T00:00:00"/>
    <n v="-186"/>
    <s v="004-001"/>
    <x v="0"/>
    <x v="7"/>
    <x v="6"/>
    <n v="0"/>
    <n v="0"/>
    <n v="0"/>
    <n v="0"/>
    <n v="0"/>
    <n v="0"/>
  </r>
  <r>
    <s v="CAFETAL DOS DE BELEN S.A"/>
    <s v="FA"/>
    <s v="0001 "/>
    <n v="4323"/>
    <s v="PRODUCTIVIDAD HUMANA"/>
    <n v="2546.66"/>
    <n v="0"/>
    <n v="0"/>
    <n v="0"/>
    <n v="0"/>
    <n v="2546.66"/>
    <n v="2546.66"/>
    <d v="2023-11-07T00:00:00"/>
    <d v="2023-12-07T00:00:00"/>
    <n v="-785"/>
    <s v="004-001"/>
    <x v="0"/>
    <x v="2"/>
    <x v="1"/>
    <n v="0"/>
    <n v="2546.66"/>
    <n v="0"/>
    <n v="0"/>
    <n v="0"/>
    <n v="0"/>
  </r>
  <r>
    <s v="CAJA COSTARRICENSE DE SEGURO SOCIAL"/>
    <s v="FA"/>
    <s v="OF030"/>
    <n v="2100028497"/>
    <s v="PRODUCTIVIDAD HUMANA"/>
    <n v="184.24"/>
    <n v="0"/>
    <n v="184.24"/>
    <n v="0"/>
    <n v="0"/>
    <n v="0"/>
    <n v="184.24"/>
    <d v="2025-12-04T00:00:00"/>
    <d v="2026-01-03T00:00:00"/>
    <n v="-27"/>
    <s v="004-001"/>
    <x v="0"/>
    <x v="5"/>
    <x v="4"/>
    <n v="0"/>
    <n v="0"/>
    <n v="0"/>
    <n v="0"/>
    <n v="0"/>
    <n v="0"/>
  </r>
  <r>
    <s v="CARLOS FEDERSPIEL &amp; COMPAÑIA, S.A                                          "/>
    <s v="NC"/>
    <s v="044  "/>
    <s v="AD00001301"/>
    <s v="PRODUCTIVIDAD HUMANA"/>
    <n v="-384.2"/>
    <n v="0"/>
    <n v="0"/>
    <n v="0"/>
    <n v="0"/>
    <n v="-384.2"/>
    <n v="-384.2"/>
    <d v="2018-05-17T00:00:00"/>
    <d v="2018-05-17T00:00:00"/>
    <n v="-2815"/>
    <s v="001"/>
    <x v="1"/>
    <x v="4"/>
    <x v="3"/>
    <n v="0"/>
    <n v="0"/>
    <n v="0"/>
    <n v="0"/>
    <n v="0"/>
    <n v="0"/>
  </r>
  <r>
    <s v="CENTRO COMERCIAL MULTIPLAZA SOCIEDAD ANONIMA"/>
    <s v="FA"/>
    <s v="111  "/>
    <n v="70838"/>
    <s v="PRODUCTIVIDAD HUMANA"/>
    <n v="1372.89"/>
    <n v="0"/>
    <n v="0"/>
    <n v="0"/>
    <n v="0"/>
    <n v="1372.89"/>
    <n v="1372.89"/>
    <d v="2024-12-18T00:00:00"/>
    <d v="2024-12-26T00:00:00"/>
    <n v="-400"/>
    <s v="001"/>
    <x v="1"/>
    <x v="2"/>
    <x v="1"/>
    <n v="0"/>
    <n v="1372.89"/>
    <n v="0"/>
    <n v="0"/>
    <n v="0"/>
    <n v="0"/>
  </r>
  <r>
    <s v="CENTRO COMERCIAL MULTIPLAZA SOCIEDAD ANONIMA"/>
    <s v="FA"/>
    <s v="111  "/>
    <n v="70992"/>
    <s v="PRODUCTIVIDAD HUMANA"/>
    <n v="710.42"/>
    <n v="0"/>
    <n v="0"/>
    <n v="0"/>
    <n v="0"/>
    <n v="710.42"/>
    <n v="710.42"/>
    <d v="2025-07-01T00:00:00"/>
    <d v="2025-07-09T00:00:00"/>
    <n v="-205"/>
    <s v="001"/>
    <x v="1"/>
    <x v="2"/>
    <x v="1"/>
    <n v="0"/>
    <n v="710.42"/>
    <n v="0"/>
    <n v="0"/>
    <n v="0"/>
    <n v="0"/>
  </r>
  <r>
    <s v="CHACON ARQUITECTOS SOCIEDAD ANONIMA"/>
    <s v="FA"/>
    <s v="005  "/>
    <n v="23254"/>
    <s v="PRODUCTIVIDAD HUMANA"/>
    <n v="6173.74"/>
    <n v="0"/>
    <n v="0"/>
    <n v="0"/>
    <n v="0"/>
    <n v="6173.74"/>
    <n v="6173.74"/>
    <d v="2022-06-22T00:00:00"/>
    <d v="2022-06-30T00:00:00"/>
    <n v="-1310"/>
    <s v="001"/>
    <x v="1"/>
    <x v="6"/>
    <x v="5"/>
    <n v="0"/>
    <n v="0"/>
    <n v="0"/>
    <n v="0"/>
    <n v="0"/>
    <n v="0"/>
  </r>
  <r>
    <s v="CLAI PAYMENTS COSTA RICA S.A."/>
    <s v="NC"/>
    <s v="0001 "/>
    <n v="7499"/>
    <s v="PRODUCTIVIDAD HUMANA"/>
    <n v="-174.92"/>
    <n v="0"/>
    <n v="0"/>
    <n v="0"/>
    <n v="0"/>
    <n v="-174.92"/>
    <n v="-174.92"/>
    <d v="2024-02-02T00:00:00"/>
    <d v="2024-02-02T00:00:00"/>
    <n v="-728"/>
    <s v="004-001"/>
    <x v="0"/>
    <x v="4"/>
    <x v="3"/>
    <n v="0"/>
    <n v="0"/>
    <n v="0"/>
    <n v="0"/>
    <n v="0"/>
    <n v="0"/>
  </r>
  <r>
    <s v="CLEAN CONSTRUCTION LIMITADA"/>
    <s v="NC"/>
    <s v="044  "/>
    <s v="AD00000959"/>
    <s v="PRODUCTIVIDAD HUMANA"/>
    <n v="-637.5"/>
    <n v="0"/>
    <n v="0"/>
    <n v="0"/>
    <n v="0"/>
    <n v="-637.5"/>
    <n v="-637.5"/>
    <d v="2016-11-09T00:00:00"/>
    <d v="2016-11-09T00:00:00"/>
    <n v="-3369"/>
    <s v="001"/>
    <x v="1"/>
    <x v="4"/>
    <x v="3"/>
    <n v="0"/>
    <n v="0"/>
    <n v="0"/>
    <n v="0"/>
    <n v="0"/>
    <n v="0"/>
  </r>
  <r>
    <s v="CLIENTE FACTURACION PRESTAMOS"/>
    <s v="FA"/>
    <s v="0001 "/>
    <n v="1658"/>
    <s v="PRODUCTIVIDAD HUMANA"/>
    <n v="7964.42"/>
    <n v="0"/>
    <n v="0"/>
    <n v="0"/>
    <n v="0"/>
    <n v="7964.42"/>
    <n v="7964.42"/>
    <d v="2022-08-23T00:00:00"/>
    <d v="2022-08-23T00:00:00"/>
    <n v="-1256"/>
    <s v="004-001"/>
    <x v="0"/>
    <x v="6"/>
    <x v="5"/>
    <n v="0"/>
    <n v="0"/>
    <n v="0"/>
    <n v="0"/>
    <n v="0"/>
    <n v="0"/>
  </r>
  <r>
    <s v="CLIENTE FACTURACION PRESTAMOS"/>
    <s v="FA"/>
    <s v="0001 "/>
    <n v="1907"/>
    <s v="PRODUCTIVIDAD HUMANA"/>
    <n v="1802.35"/>
    <n v="0"/>
    <n v="0"/>
    <n v="0"/>
    <n v="0"/>
    <n v="1802.35"/>
    <n v="1802.35"/>
    <d v="2023-08-24T00:00:00"/>
    <d v="2023-08-24T00:00:00"/>
    <n v="-890"/>
    <s v="004-001"/>
    <x v="0"/>
    <x v="6"/>
    <x v="5"/>
    <n v="0"/>
    <n v="0"/>
    <n v="0"/>
    <n v="0"/>
    <n v="0"/>
    <n v="0"/>
  </r>
  <r>
    <s v="CLIENTE FACTURACION PRESTAMOS"/>
    <s v="FA"/>
    <s v="0001 "/>
    <n v="55"/>
    <s v="PRODUCTIVIDAD HUMANA"/>
    <n v="1278.3876780000001"/>
    <n v="0"/>
    <n v="0"/>
    <n v="0"/>
    <n v="0"/>
    <n v="1278.3900000000001"/>
    <n v="1278.3900000000001"/>
    <d v="2018-04-06T00:00:00"/>
    <d v="2018-04-06T00:00:00"/>
    <n v="-2856"/>
    <s v="004-001"/>
    <x v="0"/>
    <x v="6"/>
    <x v="5"/>
    <n v="0"/>
    <n v="0"/>
    <n v="0"/>
    <n v="0"/>
    <n v="0"/>
    <n v="0"/>
  </r>
  <r>
    <s v="Cliente Facturacion Prestamos"/>
    <s v="FA"/>
    <s v="111  "/>
    <n v="70750"/>
    <s v="PRODUCTIVIDAD HUMANA"/>
    <n v="203.4"/>
    <n v="0"/>
    <n v="0"/>
    <n v="0"/>
    <n v="0"/>
    <n v="203.4"/>
    <n v="203.4"/>
    <d v="2024-08-13T00:00:00"/>
    <d v="2024-08-21T00:00:00"/>
    <n v="-527"/>
    <s v="001"/>
    <x v="1"/>
    <x v="6"/>
    <x v="5"/>
    <n v="0"/>
    <n v="0"/>
    <n v="0"/>
    <n v="0"/>
    <n v="0"/>
    <n v="0"/>
  </r>
  <r>
    <s v="Colegio Profesional de Orientación"/>
    <s v="NC"/>
    <s v="75   "/>
    <s v="AD00001658"/>
    <s v="PRODUCTIVIDAD HUMANA"/>
    <n v="-291.10000000000002"/>
    <n v="0"/>
    <n v="0"/>
    <n v="0"/>
    <n v="0"/>
    <n v="-291.10000000000002"/>
    <n v="-291.10000000000002"/>
    <d v="2020-05-13T00:00:00"/>
    <d v="2020-05-13T00:00:00"/>
    <n v="-2088"/>
    <s v="001"/>
    <x v="1"/>
    <x v="4"/>
    <x v="3"/>
    <n v="0"/>
    <n v="0"/>
    <n v="0"/>
    <n v="0"/>
    <n v="0"/>
    <n v="0"/>
  </r>
  <r>
    <s v="COMPANIA CONSTRUCTORA VAN DER LAAT Y JIMENEZ S.A."/>
    <s v="FA"/>
    <s v="0001 "/>
    <n v="1781"/>
    <s v="PRODUCTIVIDAD HUMANA"/>
    <n v="341650.6"/>
    <n v="0"/>
    <n v="0"/>
    <n v="0"/>
    <n v="0"/>
    <n v="341650.6"/>
    <n v="341650.6"/>
    <d v="2023-05-31T00:00:00"/>
    <d v="2023-05-31T00:00:00"/>
    <n v="-975"/>
    <s v="004-001"/>
    <x v="0"/>
    <x v="6"/>
    <x v="5"/>
    <n v="0"/>
    <n v="0"/>
    <n v="0"/>
    <n v="0"/>
    <n v="0"/>
    <n v="0"/>
  </r>
  <r>
    <s v="COMPANIA CONSTRUCTORA VAN DER LAAT Y JIMENEZ S.A."/>
    <s v="FA"/>
    <s v="O7EX "/>
    <n v="2100025749"/>
    <s v="PRODUCTIVIDAD HUMANA"/>
    <n v="60000"/>
    <n v="0"/>
    <n v="0"/>
    <n v="0"/>
    <n v="0"/>
    <n v="60000"/>
    <n v="60000"/>
    <d v="2024-09-30T00:00:00"/>
    <d v="2024-10-30T00:00:00"/>
    <n v="-457"/>
    <s v="004-001"/>
    <x v="0"/>
    <x v="6"/>
    <x v="5"/>
    <n v="0"/>
    <n v="0"/>
    <n v="0"/>
    <n v="0"/>
    <n v="0"/>
    <n v="0"/>
  </r>
  <r>
    <s v="COMPANIA CONSTRUCTORA VAN DER LAAT Y JIMENEZ S.A."/>
    <s v="FA"/>
    <s v="0001 "/>
    <n v="4513"/>
    <s v="PRODUCTIVIDAD HUMANA"/>
    <n v="45486.76"/>
    <n v="0"/>
    <n v="0"/>
    <n v="0"/>
    <n v="0"/>
    <n v="45486.76"/>
    <n v="45486.76"/>
    <d v="2023-11-16T00:00:00"/>
    <d v="2023-12-16T00:00:00"/>
    <n v="-776"/>
    <s v="004-001"/>
    <x v="0"/>
    <x v="6"/>
    <x v="5"/>
    <n v="0"/>
    <n v="0"/>
    <n v="0"/>
    <n v="0"/>
    <n v="0"/>
    <n v="0"/>
  </r>
  <r>
    <s v="COMPANIA CONSTRUCTORA VAN DER LAAT Y JIMENEZ S.A."/>
    <s v="NC"/>
    <s v="OF030"/>
    <n v="55637"/>
    <s v="PRODUCTIVIDAD HUMANA"/>
    <n v="-65.52"/>
    <n v="0"/>
    <n v="0"/>
    <n v="0"/>
    <n v="0"/>
    <n v="-65.52"/>
    <n v="-65.52"/>
    <d v="2024-07-12T00:00:00"/>
    <d v="2024-07-12T00:00:00"/>
    <n v="-567"/>
    <s v="004-001"/>
    <x v="0"/>
    <x v="4"/>
    <x v="3"/>
    <n v="0"/>
    <n v="0"/>
    <n v="0"/>
    <n v="0"/>
    <n v="0"/>
    <n v="0"/>
  </r>
  <r>
    <s v="COMPANIA DE GALLETAS POZUELO DCR SOCIEDAD ANONIMA"/>
    <s v="NC"/>
    <s v="0001 "/>
    <n v="8692"/>
    <s v="PRODUCTIVIDAD HUMANA"/>
    <n v="-72.150000000000006"/>
    <n v="0"/>
    <n v="0"/>
    <n v="0"/>
    <n v="0"/>
    <n v="-72.150000000000006"/>
    <n v="-72.150000000000006"/>
    <d v="2024-03-22T00:00:00"/>
    <d v="2024-05-21T00:00:00"/>
    <n v="-619"/>
    <s v="004-001"/>
    <x v="0"/>
    <x v="4"/>
    <x v="3"/>
    <n v="0"/>
    <n v="0"/>
    <n v="0"/>
    <n v="0"/>
    <n v="0"/>
    <n v="0"/>
  </r>
  <r>
    <s v="COMPAÑIA DE GALLETAS POZUELO DCR SOCIEDAD ANONIMA"/>
    <s v="NC"/>
    <s v="0001 "/>
    <n v="107"/>
    <s v="PRODUCTIVIDAD HUMANA"/>
    <n v="-244.08"/>
    <n v="0"/>
    <n v="0"/>
    <n v="0"/>
    <n v="0"/>
    <n v="-244.08"/>
    <n v="-244.08"/>
    <d v="2023-04-05T00:00:00"/>
    <d v="2023-04-05T00:00:00"/>
    <n v="-1031"/>
    <s v="004-001"/>
    <x v="0"/>
    <x v="4"/>
    <x v="3"/>
    <n v="0"/>
    <n v="0"/>
    <n v="0"/>
    <n v="0"/>
    <n v="0"/>
    <n v="0"/>
  </r>
  <r>
    <s v="CONCRETERA NACIONAL SOCIEDAD ANONIMA"/>
    <s v="NC"/>
    <s v="67   "/>
    <s v="AD00001140"/>
    <s v="PRODUCTIVIDAD HUMANA"/>
    <n v="-600"/>
    <n v="0"/>
    <n v="0"/>
    <n v="0"/>
    <n v="0"/>
    <n v="-600"/>
    <n v="-600"/>
    <d v="2017-08-18T00:00:00"/>
    <d v="2017-08-18T00:00:00"/>
    <n v="-3087"/>
    <s v="001"/>
    <x v="1"/>
    <x v="4"/>
    <x v="3"/>
    <n v="0"/>
    <n v="0"/>
    <n v="0"/>
    <n v="0"/>
    <n v="0"/>
    <n v="0"/>
  </r>
  <r>
    <s v="CONDOMINIO INMOBILIARIO JEROY SOCIEDAD ANONIMA"/>
    <s v="NC"/>
    <s v="1354 "/>
    <s v="AD00002257"/>
    <s v="PRODUCTIVIDAD HUMANA"/>
    <n v="-8.91"/>
    <n v="0"/>
    <n v="0"/>
    <n v="0"/>
    <n v="0"/>
    <n v="-8.91"/>
    <n v="-8.91"/>
    <d v="2025-10-09T00:00:00"/>
    <d v="2025-10-09T00:00:00"/>
    <n v="-113"/>
    <s v="001"/>
    <x v="1"/>
    <x v="5"/>
    <x v="4"/>
    <n v="0"/>
    <n v="0"/>
    <n v="0"/>
    <n v="0"/>
    <n v="0"/>
    <n v="0"/>
  </r>
  <r>
    <s v="CONICO, CONSULTORIA INTEGRAL DE LA CONSTRUCCION, SOCIEDAD ANONIMA"/>
    <s v="FA"/>
    <s v="005  "/>
    <n v="70630"/>
    <s v="PRODUCTIVIDAD HUMANA"/>
    <n v="646.33000000000004"/>
    <n v="0"/>
    <n v="0"/>
    <n v="0"/>
    <n v="0"/>
    <n v="646.33000000000004"/>
    <n v="646.33000000000004"/>
    <d v="2024-02-28T00:00:00"/>
    <d v="2024-05-28T00:00:00"/>
    <n v="-612"/>
    <s v="001"/>
    <x v="1"/>
    <x v="5"/>
    <x v="4"/>
    <n v="0"/>
    <n v="0"/>
    <n v="0"/>
    <n v="0"/>
    <n v="0"/>
    <n v="0"/>
  </r>
  <r>
    <s v="CONICO, CONSULTORIA INTEGRAL DE LA CONSTRUCCION, SOCIEDAD ANONIMA"/>
    <s v="FA"/>
    <s v="005  "/>
    <n v="71006"/>
    <s v="PRODUCTIVIDAD HUMANA"/>
    <n v="61.61"/>
    <n v="0"/>
    <n v="0"/>
    <n v="0"/>
    <n v="0"/>
    <n v="61.61"/>
    <n v="61.61"/>
    <d v="2025-07-28T00:00:00"/>
    <d v="2025-08-27T00:00:00"/>
    <n v="-156"/>
    <s v="001"/>
    <x v="1"/>
    <x v="5"/>
    <x v="4"/>
    <n v="0"/>
    <n v="0"/>
    <n v="0"/>
    <n v="0"/>
    <n v="0"/>
    <n v="0"/>
  </r>
  <r>
    <s v="CONNECT ASSISTANCE CR SOCIEDAD ANONIMA"/>
    <s v="NC"/>
    <s v="OF312"/>
    <s v="AD00026080"/>
    <s v="PRODUCTIVIDAD HUMANA"/>
    <n v="-12197.51"/>
    <n v="0"/>
    <n v="0"/>
    <n v="0"/>
    <n v="0"/>
    <n v="-12197.51"/>
    <n v="-12197.51"/>
    <d v="2025-08-31T00:00:00"/>
    <d v="2025-08-31T00:00:00"/>
    <n v="-152"/>
    <s v="004-001"/>
    <x v="0"/>
    <x v="7"/>
    <x v="6"/>
    <n v="0"/>
    <n v="0"/>
    <n v="0"/>
    <n v="0"/>
    <n v="0"/>
    <n v="0"/>
  </r>
  <r>
    <s v="CONSTRUCTORA ELISEO VARGAS &amp; ASOCIADOS S.A."/>
    <s v="FA"/>
    <s v="0001 "/>
    <n v="8623"/>
    <s v="PRODUCTIVIDAD HUMANA"/>
    <n v="23610"/>
    <n v="0"/>
    <n v="0"/>
    <n v="0"/>
    <n v="0"/>
    <n v="23610"/>
    <n v="23610"/>
    <d v="2024-03-21T00:00:00"/>
    <d v="2024-03-21T00:00:00"/>
    <n v="-680"/>
    <s v="004-001"/>
    <x v="0"/>
    <x v="6"/>
    <x v="5"/>
    <n v="0"/>
    <n v="0"/>
    <n v="0"/>
    <n v="0"/>
    <n v="0"/>
    <n v="0"/>
  </r>
  <r>
    <s v="CONSTRUCTORA GADA L.R.G. SOCIEDAD DE RESPONSABILID"/>
    <s v="FA"/>
    <s v="0001 "/>
    <n v="3953"/>
    <s v="PRODUCTIVIDAD HUMANA"/>
    <n v="1334.94"/>
    <n v="0"/>
    <n v="0"/>
    <n v="0"/>
    <n v="0"/>
    <n v="1334.94"/>
    <n v="1334.94"/>
    <d v="2023-10-30T00:00:00"/>
    <d v="2023-11-29T00:00:00"/>
    <n v="-793"/>
    <s v="004-001"/>
    <x v="0"/>
    <x v="6"/>
    <x v="5"/>
    <n v="0"/>
    <n v="0"/>
    <n v="0"/>
    <n v="0"/>
    <n v="0"/>
    <n v="0"/>
  </r>
  <r>
    <s v="CONSTRUCTORA GONZALO DELGADO SOCIEDAD ANONIMA"/>
    <s v="FA"/>
    <s v="O7EX "/>
    <n v="2100028108"/>
    <s v="PRODUCTIVIDAD HUMANA"/>
    <n v="80370.240000000005"/>
    <n v="0"/>
    <n v="0"/>
    <n v="0"/>
    <n v="80370.240000000005"/>
    <n v="0"/>
    <n v="80370.240000000005"/>
    <d v="2025-09-26T00:00:00"/>
    <d v="2025-11-25T00:00:00"/>
    <n v="-66"/>
    <s v="004-001"/>
    <x v="0"/>
    <x v="5"/>
    <x v="4"/>
    <n v="0"/>
    <n v="0"/>
    <n v="0"/>
    <n v="0"/>
    <n v="0"/>
    <n v="0"/>
  </r>
  <r>
    <s v="CONSTRUCTORA GONZALO DELGADO SOCIEDAD ANONIMA"/>
    <s v="NC"/>
    <s v="0001 "/>
    <n v="3397"/>
    <s v="PRODUCTIVIDAD HUMANA"/>
    <n v="-1145.3699999999999"/>
    <n v="0"/>
    <n v="0"/>
    <n v="0"/>
    <n v="0"/>
    <n v="-1145.3699999999999"/>
    <n v="-1145.3699999999999"/>
    <d v="2023-09-29T00:00:00"/>
    <d v="2023-09-29T00:00:00"/>
    <n v="-854"/>
    <s v="004-001"/>
    <x v="0"/>
    <x v="4"/>
    <x v="3"/>
    <n v="0"/>
    <n v="0"/>
    <n v="0"/>
    <n v="0"/>
    <n v="0"/>
    <n v="0"/>
  </r>
  <r>
    <s v="CONSTRUCTORA GONZALO DELGADO SOCIEDAD ANONIMA"/>
    <s v="ND"/>
    <s v="HO96 "/>
    <n v="15"/>
    <s v="PRODUCTIVIDAD HUMANA"/>
    <n v="38351.72"/>
    <n v="0"/>
    <n v="0"/>
    <n v="0"/>
    <n v="0"/>
    <n v="38351.72"/>
    <n v="38351.72"/>
    <d v="2024-07-12T00:00:00"/>
    <d v="2024-09-10T00:00:00"/>
    <n v="-507"/>
    <s v="004-003"/>
    <x v="0"/>
    <x v="6"/>
    <x v="5"/>
    <n v="0"/>
    <n v="0"/>
    <n v="0"/>
    <n v="0"/>
    <n v="0"/>
    <n v="0"/>
  </r>
  <r>
    <s v="CONSTRUCTORA GONZALO DELGADO SOCIEDAD ANONIMA"/>
    <s v="FA"/>
    <s v="0001 "/>
    <n v="9493"/>
    <s v="PRODUCTIVIDAD HUMANA"/>
    <n v="15889.16"/>
    <n v="0"/>
    <n v="0"/>
    <n v="0"/>
    <n v="0"/>
    <n v="15889.16"/>
    <n v="15889.16"/>
    <d v="2024-04-26T00:00:00"/>
    <d v="2024-05-26T00:00:00"/>
    <n v="-614"/>
    <s v="004-001"/>
    <x v="0"/>
    <x v="6"/>
    <x v="5"/>
    <n v="0"/>
    <n v="0"/>
    <n v="0"/>
    <n v="0"/>
    <n v="0"/>
    <n v="0"/>
  </r>
  <r>
    <s v="CONSTRUCTORA GONZALO DELGADO SOCIEDAD ANONIMA"/>
    <s v="NC"/>
    <s v="0181 "/>
    <s v="AD00026401"/>
    <s v="PRODUCTIVIDAD HUMANA"/>
    <n v="-6182.34"/>
    <n v="0"/>
    <n v="0"/>
    <n v="-6182.34"/>
    <n v="0"/>
    <n v="0"/>
    <n v="-6182.34"/>
    <d v="2025-12-12T00:00:00"/>
    <d v="2025-12-12T00:00:00"/>
    <n v="-49"/>
    <s v="004-001"/>
    <x v="0"/>
    <x v="7"/>
    <x v="6"/>
    <n v="0"/>
    <n v="0"/>
    <n v="0"/>
    <n v="0"/>
    <n v="0"/>
    <n v="0"/>
  </r>
  <r>
    <s v="CONSTRUCTORA GONZALO DELGADO SOCIEDAD ANONIMA"/>
    <s v="NC"/>
    <s v="000  "/>
    <s v="AD00026099"/>
    <s v="PRODUCTIVIDAD HUMANA"/>
    <n v="-74187.899999999994"/>
    <n v="0"/>
    <n v="0"/>
    <n v="0"/>
    <n v="0"/>
    <n v="-74187.899999999994"/>
    <n v="-74187.899999999994"/>
    <d v="2025-09-09T00:00:00"/>
    <d v="2025-09-09T00:00:00"/>
    <n v="-143"/>
    <s v="004-001"/>
    <x v="0"/>
    <x v="5"/>
    <x v="4"/>
    <n v="0"/>
    <n v="0"/>
    <n v="0"/>
    <n v="0"/>
    <n v="0"/>
    <n v="0"/>
  </r>
  <r>
    <s v="CONSTRUCTORA NAVARRO Y AVILES SOCIEDAD ANONIMA"/>
    <s v="FA"/>
    <s v="0001 "/>
    <n v="1675"/>
    <s v="PRODUCTIVIDAD HUMANA"/>
    <n v="7181.09"/>
    <n v="0"/>
    <n v="0"/>
    <n v="0"/>
    <n v="0"/>
    <n v="7181.09"/>
    <n v="7181.09"/>
    <d v="2022-10-12T00:00:00"/>
    <d v="2022-10-12T00:00:00"/>
    <n v="-1206"/>
    <s v="004-001"/>
    <x v="0"/>
    <x v="6"/>
    <x v="5"/>
    <n v="0"/>
    <n v="0"/>
    <n v="0"/>
    <n v="0"/>
    <n v="0"/>
    <n v="0"/>
  </r>
  <r>
    <s v="CONSTRUCTORA NAVARRO Y AVILES SOCIEDAD ANONIMA"/>
    <s v="FA"/>
    <s v="OF030"/>
    <n v="2100026995"/>
    <s v="PRODUCTIVIDAD HUMANA"/>
    <n v="4953.6400000000003"/>
    <n v="0"/>
    <n v="0"/>
    <n v="0"/>
    <n v="0"/>
    <n v="4953.6400000000003"/>
    <n v="4953.6400000000003"/>
    <d v="2025-03-31T00:00:00"/>
    <d v="2025-04-30T00:00:00"/>
    <n v="-275"/>
    <s v="004-001"/>
    <x v="0"/>
    <x v="6"/>
    <x v="5"/>
    <n v="0"/>
    <n v="0"/>
    <n v="0"/>
    <n v="0"/>
    <n v="0"/>
    <n v="0"/>
  </r>
  <r>
    <s v="CONSTRUCTORA NAVARRO Y AVILES SOCIEDAD ANONIMA"/>
    <s v="FA"/>
    <s v="0001 "/>
    <n v="1777"/>
    <s v="PRODUCTIVIDAD HUMANA"/>
    <n v="1556.01"/>
    <n v="0"/>
    <n v="0"/>
    <n v="0"/>
    <n v="0"/>
    <n v="1556.01"/>
    <n v="1556.01"/>
    <d v="2023-05-30T00:00:00"/>
    <d v="2023-05-30T00:00:00"/>
    <n v="-976"/>
    <s v="004-001"/>
    <x v="0"/>
    <x v="6"/>
    <x v="5"/>
    <n v="0"/>
    <n v="0"/>
    <n v="0"/>
    <n v="0"/>
    <n v="0"/>
    <n v="0"/>
  </r>
  <r>
    <s v="CONSTRUCTORA NAVARRO Y AVILES SOCIEDAD ANONIMA"/>
    <s v="FA"/>
    <s v="0001 "/>
    <n v="5867"/>
    <s v="PRODUCTIVIDAD HUMANA"/>
    <n v="765.25"/>
    <n v="0"/>
    <n v="0"/>
    <n v="0"/>
    <n v="0"/>
    <n v="765.25"/>
    <n v="765.25"/>
    <d v="2023-12-29T00:00:00"/>
    <d v="2024-01-13T00:00:00"/>
    <n v="-748"/>
    <s v="004-001"/>
    <x v="0"/>
    <x v="6"/>
    <x v="5"/>
    <n v="0"/>
    <n v="0"/>
    <n v="0"/>
    <n v="0"/>
    <n v="0"/>
    <n v="0"/>
  </r>
  <r>
    <s v="CONSTRUCTORA NAVARRO Y AVILES SOCIEDAD ANONIMA"/>
    <s v="NC"/>
    <s v="OF030"/>
    <s v="AD00026332"/>
    <s v="PRODUCTIVIDAD HUMANA"/>
    <n v="-8760.6200000000008"/>
    <n v="0"/>
    <n v="0"/>
    <n v="0"/>
    <n v="-8760.6200000000008"/>
    <n v="0"/>
    <n v="-8760.6200000000008"/>
    <d v="2025-11-21T00:00:00"/>
    <d v="2025-11-21T00:00:00"/>
    <n v="-70"/>
    <s v="004-001"/>
    <x v="0"/>
    <x v="5"/>
    <x v="4"/>
    <n v="0"/>
    <n v="0"/>
    <n v="0"/>
    <n v="0"/>
    <n v="0"/>
    <n v="0"/>
  </r>
  <r>
    <s v="CONSTRUCTORA NAVARRO Y AVILES SOCIEDAD ANONIMA"/>
    <s v="NC"/>
    <s v="OF030"/>
    <s v="AD00026333"/>
    <s v="PRODUCTIVIDAD HUMANA"/>
    <n v="-8760.6200000000008"/>
    <n v="0"/>
    <n v="0"/>
    <n v="0"/>
    <n v="-8760.6200000000008"/>
    <n v="0"/>
    <n v="-8760.6200000000008"/>
    <d v="2025-11-21T00:00:00"/>
    <d v="2025-11-21T00:00:00"/>
    <n v="-70"/>
    <s v="004-001"/>
    <x v="0"/>
    <x v="5"/>
    <x v="4"/>
    <n v="0"/>
    <n v="0"/>
    <n v="0"/>
    <n v="0"/>
    <n v="0"/>
    <n v="0"/>
  </r>
  <r>
    <s v="CONSTRUCTORA PIACO SOCIEDAD ANONIMA"/>
    <s v="NC"/>
    <s v="005  "/>
    <s v="AD00001864"/>
    <s v="PRODUCTIVIDAD HUMANA"/>
    <n v="-1566.18"/>
    <n v="0"/>
    <n v="0"/>
    <n v="0"/>
    <n v="0"/>
    <n v="-1566.18"/>
    <n v="-1566.18"/>
    <d v="2022-06-23T00:00:00"/>
    <d v="2022-06-23T00:00:00"/>
    <n v="-1317"/>
    <s v="001"/>
    <x v="1"/>
    <x v="4"/>
    <x v="3"/>
    <n v="0"/>
    <n v="0"/>
    <n v="0"/>
    <n v="0"/>
    <n v="0"/>
    <n v="0"/>
  </r>
  <r>
    <s v="CONSTRUCTORA PIACO SOCIEDAD ANONIMA"/>
    <s v="NC"/>
    <s v="89   "/>
    <s v="AD00001982"/>
    <s v="PRODUCTIVIDAD HUMANA"/>
    <n v="-135.6"/>
    <n v="0"/>
    <n v="0"/>
    <n v="0"/>
    <n v="0"/>
    <n v="-135.6"/>
    <n v="-135.6"/>
    <d v="2023-02-22T00:00:00"/>
    <d v="2023-02-22T00:00:00"/>
    <n v="-1073"/>
    <s v="002"/>
    <x v="1"/>
    <x v="4"/>
    <x v="3"/>
    <n v="0"/>
    <n v="0"/>
    <n v="0"/>
    <n v="0"/>
    <n v="0"/>
    <n v="0"/>
  </r>
  <r>
    <s v="CONTRACT WORKPLACES COSTA RICA SOCIEDAD ANONIMA"/>
    <s v="FA"/>
    <s v="0001 "/>
    <n v="4924"/>
    <s v="PRODUCTIVIDAD HUMANA"/>
    <n v="99.99"/>
    <n v="0"/>
    <n v="0"/>
    <n v="0"/>
    <n v="0"/>
    <n v="99.99"/>
    <n v="99.99"/>
    <d v="2023-11-30T00:00:00"/>
    <d v="2023-12-08T00:00:00"/>
    <n v="-784"/>
    <s v="004-001"/>
    <x v="0"/>
    <x v="6"/>
    <x v="5"/>
    <n v="0"/>
    <n v="0"/>
    <n v="0"/>
    <n v="0"/>
    <n v="0"/>
    <n v="0"/>
  </r>
  <r>
    <s v="CONTRACT WORKPLACES COSTA RICA SOCIEDAD ANONIMA"/>
    <s v="NC"/>
    <s v="000  "/>
    <s v="AD00025375"/>
    <s v="PRODUCTIVIDAD HUMANA"/>
    <n v="-1237.08"/>
    <n v="0"/>
    <n v="0"/>
    <n v="0"/>
    <n v="0"/>
    <n v="-1237.08"/>
    <n v="-1237.08"/>
    <d v="2025-03-06T00:00:00"/>
    <d v="2025-03-06T00:00:00"/>
    <n v="-330"/>
    <s v="004-001"/>
    <x v="0"/>
    <x v="5"/>
    <x v="4"/>
    <n v="0"/>
    <n v="0"/>
    <n v="0"/>
    <n v="0"/>
    <n v="0"/>
    <n v="0"/>
  </r>
  <r>
    <s v="COOPERATIVA DE AHORRO Y CREDITO ANDE NUMERO 1 RL"/>
    <s v="NC"/>
    <s v="005  "/>
    <s v="AD00000943"/>
    <s v="PRODUCTIVIDAD HUMANA"/>
    <n v="-33.93"/>
    <n v="0"/>
    <n v="0"/>
    <n v="0"/>
    <n v="0"/>
    <n v="-33.93"/>
    <n v="-33.93"/>
    <d v="2016-10-07T00:00:00"/>
    <d v="2016-10-07T00:00:00"/>
    <n v="-3402"/>
    <s v="001"/>
    <x v="1"/>
    <x v="4"/>
    <x v="3"/>
    <n v="0"/>
    <n v="0"/>
    <n v="0"/>
    <n v="0"/>
    <n v="0"/>
    <n v="0"/>
  </r>
  <r>
    <s v="COOPERATIVA DE AHORRO Y CREDITO ANDE NUMERO 1 RL"/>
    <s v="NC"/>
    <s v="005  "/>
    <n v="1490"/>
    <s v="PRODUCTIVIDAD HUMANA"/>
    <n v="-19585.164871000001"/>
    <n v="0"/>
    <n v="0"/>
    <n v="0"/>
    <n v="0"/>
    <n v="-19585.16"/>
    <n v="-19585.16"/>
    <d v="2024-05-13T00:00:00"/>
    <d v="2024-06-12T00:00:00"/>
    <n v="-597"/>
    <s v="001"/>
    <x v="1"/>
    <x v="4"/>
    <x v="3"/>
    <n v="0"/>
    <n v="0"/>
    <n v="0"/>
    <n v="0"/>
    <n v="0"/>
    <n v="0"/>
  </r>
  <r>
    <s v="CORE DESARROLLADORA SRL."/>
    <s v="FA"/>
    <s v="OF086"/>
    <n v="2100028316"/>
    <s v="PRODUCTIVIDAD HUMANA"/>
    <n v="444.09"/>
    <n v="0"/>
    <n v="0"/>
    <n v="0"/>
    <n v="444.09"/>
    <n v="0"/>
    <n v="444.09"/>
    <d v="2025-10-29T00:00:00"/>
    <d v="2025-11-28T00:00:00"/>
    <n v="-63"/>
    <s v="004-001"/>
    <x v="0"/>
    <x v="1"/>
    <x v="1"/>
    <n v="0"/>
    <n v="444.09"/>
    <n v="0"/>
    <n v="0"/>
    <n v="0"/>
    <n v="0"/>
  </r>
  <r>
    <s v="CORE DESARROLLADORA SRL."/>
    <s v="FA"/>
    <s v="OF086"/>
    <n v="2100028317"/>
    <s v="PRODUCTIVIDAD HUMANA"/>
    <n v="444.09"/>
    <n v="0"/>
    <n v="0"/>
    <n v="0"/>
    <n v="444.09"/>
    <n v="0"/>
    <n v="444.09"/>
    <d v="2025-10-29T00:00:00"/>
    <d v="2025-11-28T00:00:00"/>
    <n v="-63"/>
    <s v="004-001"/>
    <x v="0"/>
    <x v="1"/>
    <x v="1"/>
    <n v="0"/>
    <n v="444.09"/>
    <n v="0"/>
    <n v="0"/>
    <n v="0"/>
    <n v="0"/>
  </r>
  <r>
    <s v="CORPORACION AGROPECUARIA CORPECO SOCIEDAD ANONIMA"/>
    <s v="NC"/>
    <s v="90   "/>
    <s v="AD00001998"/>
    <s v="PRODUCTIVIDAD HUMANA"/>
    <n v="-2181.9"/>
    <n v="0"/>
    <n v="0"/>
    <n v="0"/>
    <n v="0"/>
    <n v="-2181.9"/>
    <n v="-2181.9"/>
    <d v="2023-03-13T00:00:00"/>
    <d v="2023-03-13T00:00:00"/>
    <n v="-1054"/>
    <s v="002"/>
    <x v="1"/>
    <x v="4"/>
    <x v="3"/>
    <n v="0"/>
    <n v="0"/>
    <n v="0"/>
    <n v="0"/>
    <n v="0"/>
    <n v="0"/>
  </r>
  <r>
    <s v="Corporacion de Supermercados Unidos SRL"/>
    <s v="FA"/>
    <s v="OF030"/>
    <n v="2100026930"/>
    <s v="PRODUCTIVIDAD HUMANA"/>
    <n v="1098.71"/>
    <n v="0"/>
    <n v="0"/>
    <n v="0"/>
    <n v="0"/>
    <n v="1098.71"/>
    <n v="1098.71"/>
    <d v="2025-03-24T00:00:00"/>
    <d v="2025-03-25T00:00:00"/>
    <n v="-311"/>
    <s v="004-001"/>
    <x v="0"/>
    <x v="6"/>
    <x v="5"/>
    <n v="0"/>
    <n v="0"/>
    <n v="0"/>
    <n v="0"/>
    <n v="0"/>
    <n v="0"/>
  </r>
  <r>
    <s v="CORTE SUPREMA DE JUSTICIA PODER JUDICIAL"/>
    <s v="NC"/>
    <s v="005  "/>
    <s v="AD00001751"/>
    <s v="PRODUCTIVIDAD HUMANA"/>
    <n v="-103.68435599999999"/>
    <n v="0"/>
    <n v="0"/>
    <n v="0"/>
    <n v="0"/>
    <n v="-103.68"/>
    <n v="-103.68"/>
    <d v="2021-05-21T00:00:00"/>
    <d v="2021-05-21T00:00:00"/>
    <n v="-1715"/>
    <s v="001"/>
    <x v="1"/>
    <x v="4"/>
    <x v="3"/>
    <n v="0"/>
    <n v="0"/>
    <n v="0"/>
    <n v="0"/>
    <n v="0"/>
    <n v="0"/>
  </r>
  <r>
    <s v="Costa Rica Container SA"/>
    <s v="NC"/>
    <s v="0001 "/>
    <n v="4187"/>
    <s v="PRODUCTIVIDAD HUMANA"/>
    <n v="-699"/>
    <n v="0"/>
    <n v="0"/>
    <n v="0"/>
    <n v="0"/>
    <n v="-699"/>
    <n v="-699"/>
    <d v="2023-10-30T00:00:00"/>
    <d v="2023-10-30T00:00:00"/>
    <n v="-823"/>
    <s v="004-001"/>
    <x v="0"/>
    <x v="4"/>
    <x v="3"/>
    <n v="0"/>
    <n v="0"/>
    <n v="0"/>
    <n v="0"/>
    <n v="0"/>
    <n v="0"/>
  </r>
  <r>
    <s v="CSS SECURITAS INTERNACIONAL DE COSTA RICA S.A"/>
    <s v="NC"/>
    <s v="005  "/>
    <s v="AD00001153"/>
    <s v="PRODUCTIVIDAD HUMANA"/>
    <n v="-377.31"/>
    <n v="0"/>
    <n v="0"/>
    <n v="0"/>
    <n v="0"/>
    <n v="-377.31"/>
    <n v="-377.31"/>
    <d v="2017-09-14T00:00:00"/>
    <d v="2017-09-14T00:00:00"/>
    <n v="-3060"/>
    <s v="001"/>
    <x v="1"/>
    <x v="4"/>
    <x v="3"/>
    <n v="0"/>
    <n v="0"/>
    <n v="0"/>
    <n v="0"/>
    <n v="0"/>
    <n v="0"/>
  </r>
  <r>
    <s v="DEL ESTE BIENES RAICES DEBR SOCIEDAD ANONIMA"/>
    <s v="NC"/>
    <s v="0001 "/>
    <n v="5140"/>
    <s v="PRODUCTIVIDAD HUMANA"/>
    <n v="-203.4"/>
    <n v="0"/>
    <n v="0"/>
    <n v="0"/>
    <n v="0"/>
    <n v="-203.4"/>
    <n v="-203.4"/>
    <d v="2023-11-20T00:00:00"/>
    <d v="2023-11-20T00:00:00"/>
    <n v="-802"/>
    <s v="004-001"/>
    <x v="0"/>
    <x v="4"/>
    <x v="3"/>
    <n v="0"/>
    <n v="0"/>
    <n v="0"/>
    <n v="0"/>
    <n v="0"/>
    <n v="0"/>
  </r>
  <r>
    <s v="DEL PARQUE ARDILLA S.A"/>
    <s v="NC"/>
    <s v="000  "/>
    <s v="AD00025271"/>
    <s v="PRODUCTIVIDAD HUMANA"/>
    <n v="-3902.14"/>
    <n v="0"/>
    <n v="0"/>
    <n v="0"/>
    <n v="0"/>
    <n v="-3902.14"/>
    <n v="-3902.14"/>
    <d v="2025-02-06T00:00:00"/>
    <d v="2025-02-06T00:00:00"/>
    <n v="-358"/>
    <s v="004-003"/>
    <x v="0"/>
    <x v="7"/>
    <x v="6"/>
    <n v="0"/>
    <n v="0"/>
    <n v="0"/>
    <n v="0"/>
    <n v="0"/>
    <n v="0"/>
  </r>
  <r>
    <s v="DESARROLLOS URBANISTICOS MODERNOS LIMITADA"/>
    <s v="NC"/>
    <s v="34   "/>
    <s v="AD00002010"/>
    <s v="PRODUCTIVIDAD HUMANA"/>
    <n v="-15499.37"/>
    <n v="0"/>
    <n v="0"/>
    <n v="0"/>
    <n v="0"/>
    <n v="-15499.37"/>
    <n v="-15499.37"/>
    <d v="2023-04-21T00:00:00"/>
    <d v="2023-04-21T00:00:00"/>
    <n v="-1015"/>
    <s v="002"/>
    <x v="1"/>
    <x v="4"/>
    <x v="3"/>
    <n v="0"/>
    <n v="0"/>
    <n v="0"/>
    <n v="0"/>
    <n v="0"/>
    <n v="0"/>
  </r>
  <r>
    <s v="DIEGO BALDIZON VARGAS"/>
    <s v="FA"/>
    <s v="OF113"/>
    <n v="2100027639"/>
    <s v="PRODUCTIVIDAD HUMANA"/>
    <n v="5717.8"/>
    <n v="0"/>
    <n v="0"/>
    <n v="0"/>
    <n v="0"/>
    <n v="5717.8"/>
    <n v="5717.8"/>
    <d v="2025-07-14T00:00:00"/>
    <d v="2025-07-15T00:00:00"/>
    <n v="-199"/>
    <s v="004-001"/>
    <x v="0"/>
    <x v="6"/>
    <x v="5"/>
    <n v="0"/>
    <n v="0"/>
    <n v="0"/>
    <n v="0"/>
    <n v="0"/>
    <n v="0"/>
  </r>
  <r>
    <s v="DISTRIBUIDORA LA FLORIDA S.A."/>
    <s v="FA"/>
    <s v="111  "/>
    <n v="71005"/>
    <s v="PRODUCTIVIDAD HUMANA"/>
    <n v="0.02"/>
    <n v="0"/>
    <n v="0"/>
    <n v="0"/>
    <n v="0"/>
    <n v="0.02"/>
    <n v="0.02"/>
    <d v="2025-07-28T00:00:00"/>
    <d v="2025-09-26T00:00:00"/>
    <n v="-126"/>
    <s v="001"/>
    <x v="1"/>
    <x v="5"/>
    <x v="4"/>
    <n v="0"/>
    <n v="0"/>
    <n v="0"/>
    <n v="0"/>
    <n v="0"/>
    <n v="0"/>
  </r>
  <r>
    <s v="DISTRIBUIDORA LA FLORIDA S.A."/>
    <s v="NC"/>
    <s v="005  "/>
    <s v="AD00002260"/>
    <s v="PRODUCTIVIDAD HUMANA"/>
    <n v="-0.04"/>
    <n v="0"/>
    <n v="0"/>
    <n v="0"/>
    <n v="0"/>
    <n v="-0.04"/>
    <n v="-0.04"/>
    <d v="2025-10-27T00:00:00"/>
    <d v="2025-10-27T00:00:00"/>
    <n v="-95"/>
    <s v="001"/>
    <x v="1"/>
    <x v="5"/>
    <x v="4"/>
    <n v="0"/>
    <n v="0"/>
    <n v="0"/>
    <n v="0"/>
    <n v="0"/>
    <n v="0"/>
  </r>
  <r>
    <s v="DISTRIBUIDORA LA FLORIDA S.A."/>
    <s v="NC"/>
    <s v="005  "/>
    <s v="AD00002277"/>
    <s v="PRODUCTIVIDAD HUMANA"/>
    <n v="-37.18"/>
    <n v="0"/>
    <n v="0"/>
    <n v="-37.18"/>
    <n v="0"/>
    <n v="0"/>
    <n v="-37.18"/>
    <d v="2025-12-17T00:00:00"/>
    <d v="2025-12-17T00:00:00"/>
    <n v="-44"/>
    <s v="001"/>
    <x v="1"/>
    <x v="4"/>
    <x v="3"/>
    <n v="0"/>
    <n v="0"/>
    <n v="0"/>
    <n v="0"/>
    <n v="0"/>
    <n v="0"/>
  </r>
  <r>
    <s v="DOUGLAS EDUARDO MENESES ALFARO"/>
    <s v="FA"/>
    <s v="OF117"/>
    <n v="2100026861"/>
    <s v="PRODUCTIVIDAD HUMANA"/>
    <n v="2629.16"/>
    <n v="0"/>
    <n v="0"/>
    <n v="0"/>
    <n v="0"/>
    <n v="2629.16"/>
    <n v="2629.16"/>
    <d v="2025-03-04T00:00:00"/>
    <d v="2025-03-05T00:00:00"/>
    <n v="-331"/>
    <s v="004-001"/>
    <x v="0"/>
    <x v="6"/>
    <x v="5"/>
    <n v="0"/>
    <n v="0"/>
    <n v="0"/>
    <n v="0"/>
    <n v="0"/>
    <n v="0"/>
  </r>
  <r>
    <s v="DOUGLAS EDUARDO MENESES ALFARO"/>
    <s v="FA"/>
    <s v="OF117"/>
    <n v="2100026829"/>
    <s v="PRODUCTIVIDAD HUMANA"/>
    <n v="1582"/>
    <n v="0"/>
    <n v="0"/>
    <n v="0"/>
    <n v="0"/>
    <n v="1582"/>
    <n v="1582"/>
    <d v="2025-02-27T00:00:00"/>
    <d v="2025-02-28T00:00:00"/>
    <n v="-336"/>
    <s v="004-001"/>
    <x v="0"/>
    <x v="6"/>
    <x v="5"/>
    <n v="0"/>
    <n v="0"/>
    <n v="0"/>
    <n v="0"/>
    <n v="0"/>
    <n v="0"/>
  </r>
  <r>
    <s v="DOUGLAS EDUARDO MENESES ALFARO"/>
    <s v="FA"/>
    <s v="OF117"/>
    <n v="2100026873"/>
    <s v="PRODUCTIVIDAD HUMANA"/>
    <n v="362.74"/>
    <n v="0"/>
    <n v="0"/>
    <n v="0"/>
    <n v="0"/>
    <n v="362.74"/>
    <n v="362.74"/>
    <d v="2025-03-06T00:00:00"/>
    <d v="2025-03-07T00:00:00"/>
    <n v="-329"/>
    <s v="004-001"/>
    <x v="0"/>
    <x v="6"/>
    <x v="5"/>
    <n v="0"/>
    <n v="0"/>
    <n v="0"/>
    <n v="0"/>
    <n v="0"/>
    <n v="0"/>
  </r>
  <r>
    <s v="DUWEST CAFESA SOCIEDAD ANONIMA"/>
    <s v="NC"/>
    <s v="34   "/>
    <s v="AD00001233"/>
    <s v="PRODUCTIVIDAD HUMANA"/>
    <n v="-641.72"/>
    <n v="0"/>
    <n v="0"/>
    <n v="0"/>
    <n v="0"/>
    <n v="-641.72"/>
    <n v="-641.72"/>
    <d v="2018-01-08T00:00:00"/>
    <d v="2018-01-08T00:00:00"/>
    <n v="-2944"/>
    <s v="001"/>
    <x v="1"/>
    <x v="4"/>
    <x v="3"/>
    <n v="0"/>
    <n v="0"/>
    <n v="0"/>
    <n v="0"/>
    <n v="0"/>
    <n v="0"/>
  </r>
  <r>
    <s v="EDICA LIMITADA"/>
    <s v="NC"/>
    <s v="34   "/>
    <s v="AD00001076"/>
    <s v="PRODUCTIVIDAD HUMANA"/>
    <n v="-22.86"/>
    <n v="0"/>
    <n v="0"/>
    <n v="0"/>
    <n v="0"/>
    <n v="-22.86"/>
    <n v="-22.86"/>
    <d v="2017-05-12T00:00:00"/>
    <d v="2017-05-12T00:00:00"/>
    <n v="-3185"/>
    <s v="001"/>
    <x v="1"/>
    <x v="4"/>
    <x v="3"/>
    <n v="0"/>
    <n v="0"/>
    <n v="0"/>
    <n v="0"/>
    <n v="0"/>
    <n v="0"/>
  </r>
  <r>
    <s v="EDICA LIMITADA"/>
    <s v="NC"/>
    <s v="34   "/>
    <s v="AD00001595"/>
    <s v="PRODUCTIVIDAD HUMANA"/>
    <n v="-1744.4"/>
    <n v="0"/>
    <n v="0"/>
    <n v="0"/>
    <n v="0"/>
    <n v="-1744.4"/>
    <n v="-1744.4"/>
    <d v="2019-12-04T00:00:00"/>
    <d v="2019-12-04T00:00:00"/>
    <n v="-2249"/>
    <s v="001"/>
    <x v="1"/>
    <x v="4"/>
    <x v="3"/>
    <n v="0"/>
    <n v="0"/>
    <n v="0"/>
    <n v="0"/>
    <n v="0"/>
    <n v="0"/>
  </r>
  <r>
    <s v="EDICA LIMITADA"/>
    <s v="NC"/>
    <s v="34   "/>
    <s v="AD00001709"/>
    <s v="PRODUCTIVIDAD HUMANA"/>
    <n v="-1017.77"/>
    <n v="0"/>
    <n v="0"/>
    <n v="0"/>
    <n v="0"/>
    <n v="-1017.77"/>
    <n v="-1017.77"/>
    <d v="2020-11-27T00:00:00"/>
    <d v="2020-11-27T00:00:00"/>
    <n v="-1890"/>
    <s v="001"/>
    <x v="1"/>
    <x v="4"/>
    <x v="3"/>
    <n v="0"/>
    <n v="0"/>
    <n v="0"/>
    <n v="0"/>
    <n v="0"/>
    <n v="0"/>
  </r>
  <r>
    <s v="EDICA LIMITADA"/>
    <s v="FA"/>
    <s v="OF103"/>
    <n v="2100028334"/>
    <s v="PRODUCTIVIDAD HUMANA"/>
    <n v="621.5"/>
    <n v="0"/>
    <n v="0"/>
    <n v="0"/>
    <n v="621.5"/>
    <n v="0"/>
    <n v="621.5"/>
    <d v="2025-10-30T00:00:00"/>
    <d v="2025-11-29T00:00:00"/>
    <n v="-62"/>
    <s v="004-001"/>
    <x v="0"/>
    <x v="5"/>
    <x v="4"/>
    <n v="0"/>
    <n v="0"/>
    <n v="0"/>
    <n v="0"/>
    <n v="0"/>
    <n v="0"/>
  </r>
  <r>
    <s v="EDIFICADORA CENTROAMERICANA RAPIPAREDES S.A."/>
    <s v="FA"/>
    <s v="0001 "/>
    <n v="5640"/>
    <s v="PRODUCTIVIDAD HUMANA"/>
    <n v="41553.236347999999"/>
    <n v="0"/>
    <n v="0"/>
    <n v="0"/>
    <n v="0"/>
    <n v="41553.24"/>
    <n v="41553.24"/>
    <d v="2023-12-27T00:00:00"/>
    <d v="2024-01-26T00:00:00"/>
    <n v="-735"/>
    <s v="004-001"/>
    <x v="0"/>
    <x v="6"/>
    <x v="5"/>
    <n v="0"/>
    <n v="0"/>
    <n v="0"/>
    <n v="0"/>
    <n v="0"/>
    <n v="0"/>
  </r>
  <r>
    <s v="EDIFICADORA CENTROAMERICANA RAPIPAREDES S.A."/>
    <s v="FA"/>
    <s v="OF113"/>
    <n v="2100025441"/>
    <s v="PRODUCTIVIDAD HUMANA"/>
    <n v="24520.39"/>
    <n v="0"/>
    <n v="0"/>
    <n v="0"/>
    <n v="0"/>
    <n v="24520.39"/>
    <n v="24520.39"/>
    <d v="2024-08-19T00:00:00"/>
    <d v="2024-09-18T00:00:00"/>
    <n v="-499"/>
    <s v="004-001"/>
    <x v="0"/>
    <x v="6"/>
    <x v="5"/>
    <n v="0"/>
    <n v="0"/>
    <n v="0"/>
    <n v="0"/>
    <n v="0"/>
    <n v="0"/>
  </r>
  <r>
    <s v="EDIFICADORA CENTROAMERICANA RAPIPAREDES S.A."/>
    <s v="FA"/>
    <s v="0001 "/>
    <n v="61"/>
    <s v="PRODUCTIVIDAD HUMANA"/>
    <n v="7402.2453230000001"/>
    <n v="0"/>
    <n v="0"/>
    <n v="0"/>
    <n v="0"/>
    <n v="7402.25"/>
    <n v="7402.25"/>
    <d v="2023-02-01T00:00:00"/>
    <d v="2023-02-01T00:00:00"/>
    <n v="-1094"/>
    <s v="004-001"/>
    <x v="0"/>
    <x v="6"/>
    <x v="5"/>
    <n v="0"/>
    <n v="0"/>
    <n v="0"/>
    <n v="0"/>
    <n v="0"/>
    <n v="0"/>
  </r>
  <r>
    <s v="EDIFICADORA CENTROAMERICANA RAPIPAREDES S.A."/>
    <s v="NC"/>
    <s v="PR042"/>
    <s v="AD00025623"/>
    <s v="PRODUCTIVIDAD HUMANA"/>
    <n v="-6544.9075620000003"/>
    <n v="0"/>
    <n v="0"/>
    <n v="0"/>
    <n v="0"/>
    <n v="-6544.91"/>
    <n v="-6544.91"/>
    <d v="2025-04-30T00:00:00"/>
    <d v="2025-04-30T00:00:00"/>
    <n v="-275"/>
    <s v="004-001"/>
    <x v="0"/>
    <x v="5"/>
    <x v="4"/>
    <n v="0"/>
    <n v="0"/>
    <n v="0"/>
    <n v="0"/>
    <n v="0"/>
    <n v="0"/>
  </r>
  <r>
    <s v="ELECTRONICA CENTROAMERICANA SOCIEDAD ANONIMA"/>
    <s v="NC"/>
    <s v="89   "/>
    <n v="1520"/>
    <s v="PRODUCTIVIDAD HUMANA"/>
    <n v="-683.65"/>
    <n v="0"/>
    <n v="0"/>
    <n v="0"/>
    <n v="0"/>
    <n v="-683.65"/>
    <n v="-683.65"/>
    <d v="2024-09-24T00:00:00"/>
    <d v="2024-09-25T00:00:00"/>
    <n v="-492"/>
    <s v="001"/>
    <x v="1"/>
    <x v="4"/>
    <x v="3"/>
    <n v="0"/>
    <n v="0"/>
    <n v="0"/>
    <n v="0"/>
    <n v="0"/>
    <n v="0"/>
  </r>
  <r>
    <s v="ESTABLISHMENT LABS SOCIEDAD ANONIMA"/>
    <s v="NC"/>
    <s v="0103 "/>
    <s v="AD00002001"/>
    <s v="PRODUCTIVIDAD HUMANA"/>
    <n v="-709.16"/>
    <n v="0"/>
    <n v="0"/>
    <n v="0"/>
    <n v="0"/>
    <n v="-709.16"/>
    <n v="-709.16"/>
    <d v="2023-03-17T00:00:00"/>
    <d v="2023-03-17T00:00:00"/>
    <n v="-1050"/>
    <s v="002"/>
    <x v="1"/>
    <x v="4"/>
    <x v="3"/>
    <n v="0"/>
    <n v="0"/>
    <n v="0"/>
    <n v="0"/>
    <n v="0"/>
    <n v="0"/>
  </r>
  <r>
    <s v="ESTRUCTURAS SOCIEDAD ANONIMA"/>
    <s v="NC"/>
    <s v="23   "/>
    <n v="1424"/>
    <s v="PRODUCTIVIDAD HUMANA"/>
    <n v="-306.66429299999999"/>
    <n v="0"/>
    <n v="0"/>
    <n v="0"/>
    <n v="0"/>
    <n v="-306.66000000000003"/>
    <n v="-306.66000000000003"/>
    <d v="2023-01-19T00:00:00"/>
    <d v="2023-01-19T00:00:00"/>
    <n v="-1107"/>
    <s v="002"/>
    <x v="1"/>
    <x v="4"/>
    <x v="3"/>
    <n v="0"/>
    <n v="0"/>
    <n v="0"/>
    <n v="0"/>
    <n v="0"/>
    <n v="0"/>
  </r>
  <r>
    <s v="EUROCENTER INMOBILIARIA DE COSTA RICA ECR SOCIEDAD ANONIMA"/>
    <s v="FA"/>
    <s v="OF312"/>
    <n v="2100028311"/>
    <s v="PRODUCTIVIDAD HUMANA"/>
    <n v="4045.27"/>
    <n v="0"/>
    <n v="0"/>
    <n v="0"/>
    <n v="4045.27"/>
    <n v="0"/>
    <n v="4045.27"/>
    <d v="2025-10-29T00:00:00"/>
    <d v="2025-11-28T00:00:00"/>
    <n v="-63"/>
    <s v="004-001"/>
    <x v="0"/>
    <x v="5"/>
    <x v="4"/>
    <n v="0"/>
    <n v="0"/>
    <n v="0"/>
    <n v="0"/>
    <n v="0"/>
    <n v="0"/>
  </r>
  <r>
    <s v="EUROCENTER INMOBILIARIA DE COSTA RICA ECR SOCIEDAD ANONIMA"/>
    <s v="NC"/>
    <s v="OF312"/>
    <n v="56394"/>
    <s v="PRODUCTIVIDAD HUMANA"/>
    <n v="-4045.27"/>
    <n v="0"/>
    <n v="0"/>
    <n v="0"/>
    <n v="0"/>
    <n v="-4045.27"/>
    <n v="-4045.27"/>
    <d v="2025-10-29T00:00:00"/>
    <d v="2025-10-29T00:00:00"/>
    <n v="-93"/>
    <s v="004-001"/>
    <x v="0"/>
    <x v="5"/>
    <x v="4"/>
    <n v="0"/>
    <n v="0"/>
    <n v="0"/>
    <n v="0"/>
    <n v="0"/>
    <n v="0"/>
  </r>
  <r>
    <s v="EUROMOBILIA SOCIEDAD ANONIMA"/>
    <s v="FA"/>
    <s v="89   "/>
    <n v="70938"/>
    <s v="PRODUCTIVIDAD HUMANA"/>
    <n v="593.85"/>
    <n v="0"/>
    <n v="0"/>
    <n v="0"/>
    <n v="0"/>
    <n v="593.85"/>
    <n v="593.85"/>
    <d v="2025-05-22T00:00:00"/>
    <d v="2025-06-21T00:00:00"/>
    <n v="-223"/>
    <s v="001"/>
    <x v="1"/>
    <x v="6"/>
    <x v="5"/>
    <n v="0"/>
    <n v="0"/>
    <n v="0"/>
    <n v="0"/>
    <n v="0"/>
    <n v="0"/>
  </r>
  <r>
    <s v="EUROMOBILIA SOCIEDAD ANONIMA"/>
    <s v="FA"/>
    <s v="111  "/>
    <n v="70924"/>
    <s v="PRODUCTIVIDAD HUMANA"/>
    <n v="149.16"/>
    <n v="0"/>
    <n v="0"/>
    <n v="0"/>
    <n v="0"/>
    <n v="149.16"/>
    <n v="149.16"/>
    <d v="2025-05-12T00:00:00"/>
    <d v="2025-06-11T00:00:00"/>
    <n v="-233"/>
    <s v="001"/>
    <x v="1"/>
    <x v="6"/>
    <x v="5"/>
    <n v="0"/>
    <n v="0"/>
    <n v="0"/>
    <n v="0"/>
    <n v="0"/>
    <n v="0"/>
  </r>
  <r>
    <s v="EURORAMSTACK C.R SOCIEDAD ANONIMA"/>
    <s v="FA"/>
    <s v="OF116"/>
    <n v="2100028533"/>
    <s v="PRODUCTIVIDAD HUMANA"/>
    <n v="13161.07"/>
    <n v="0"/>
    <n v="0"/>
    <n v="13161.07"/>
    <n v="0"/>
    <n v="0"/>
    <n v="13161.07"/>
    <d v="2025-12-11T00:00:00"/>
    <d v="2025-12-12T00:00:00"/>
    <n v="-49"/>
    <s v="004-003"/>
    <x v="0"/>
    <x v="1"/>
    <x v="1"/>
    <n v="0"/>
    <n v="13161.07"/>
    <n v="0"/>
    <n v="0"/>
    <n v="0"/>
    <n v="0"/>
  </r>
  <r>
    <s v="EVOLUTION FREE ZONE SOCIEDAD ANONIMA"/>
    <s v="FA"/>
    <s v="111  "/>
    <n v="71085"/>
    <s v="PRODUCTIVIDAD HUMANA"/>
    <n v="26673.1"/>
    <n v="0"/>
    <n v="0"/>
    <n v="26673.1"/>
    <n v="0"/>
    <n v="0"/>
    <n v="26673.1"/>
    <d v="2025-11-27T00:00:00"/>
    <d v="2025-12-12T00:00:00"/>
    <n v="-49"/>
    <s v="002"/>
    <x v="1"/>
    <x v="5"/>
    <x v="4"/>
    <n v="0"/>
    <n v="0"/>
    <n v="0"/>
    <n v="0"/>
    <n v="0"/>
    <n v="0"/>
  </r>
  <r>
    <s v="EVOLUTION FREE ZONE SOCIEDAD ANONIMA"/>
    <s v="FA"/>
    <s v="111  "/>
    <n v="71084"/>
    <s v="PRODUCTIVIDAD HUMANA"/>
    <n v="21996.11"/>
    <n v="0"/>
    <n v="0"/>
    <n v="21996.11"/>
    <n v="0"/>
    <n v="0"/>
    <n v="21996.11"/>
    <d v="2025-11-27T00:00:00"/>
    <d v="2025-12-12T00:00:00"/>
    <n v="-49"/>
    <s v="002"/>
    <x v="1"/>
    <x v="5"/>
    <x v="4"/>
    <n v="0"/>
    <n v="0"/>
    <n v="0"/>
    <n v="0"/>
    <n v="0"/>
    <n v="0"/>
  </r>
  <r>
    <s v="EVOLUTION FREE ZONE SOCIEDAD ANONIMA"/>
    <s v="NC"/>
    <s v="111  "/>
    <n v="1604"/>
    <s v="PRODUCTIVIDAD HUMANA"/>
    <n v="-25775.21"/>
    <n v="0"/>
    <n v="0"/>
    <n v="0"/>
    <n v="0"/>
    <n v="-25775.21"/>
    <n v="-25775.21"/>
    <d v="2025-08-31T00:00:00"/>
    <d v="2025-09-15T00:00:00"/>
    <n v="-137"/>
    <s v="001"/>
    <x v="1"/>
    <x v="7"/>
    <x v="6"/>
    <n v="0"/>
    <n v="0"/>
    <n v="0"/>
    <n v="0"/>
    <n v="0"/>
    <n v="0"/>
  </r>
  <r>
    <s v="EVOLUTION FREE ZONE SOCIEDAD ANONIMA"/>
    <s v="NC"/>
    <s v="111  "/>
    <s v="AD00002248"/>
    <s v="PRODUCTIVIDAD HUMANA"/>
    <n v="-24140"/>
    <n v="0"/>
    <n v="0"/>
    <n v="0"/>
    <n v="0"/>
    <n v="-24140"/>
    <n v="-24140"/>
    <d v="2025-09-05T00:00:00"/>
    <d v="2025-09-05T00:00:00"/>
    <n v="-147"/>
    <s v="001"/>
    <x v="1"/>
    <x v="7"/>
    <x v="6"/>
    <n v="0"/>
    <n v="0"/>
    <n v="0"/>
    <n v="0"/>
    <n v="0"/>
    <n v="0"/>
  </r>
  <r>
    <s v="EVOLUTION FREE ZONE SOCIEDAD ANONIMA"/>
    <s v="NC"/>
    <s v="OF030"/>
    <s v="AD00025734"/>
    <s v="PRODUCTIVIDAD HUMANA"/>
    <n v="-20103.22"/>
    <n v="0"/>
    <n v="0"/>
    <n v="0"/>
    <n v="0"/>
    <n v="-20103.22"/>
    <n v="-20103.22"/>
    <d v="2025-06-02T00:00:00"/>
    <d v="2025-06-02T00:00:00"/>
    <n v="-242"/>
    <s v="004-001"/>
    <x v="0"/>
    <x v="7"/>
    <x v="6"/>
    <n v="0"/>
    <n v="0"/>
    <n v="0"/>
    <n v="0"/>
    <n v="0"/>
    <n v="0"/>
  </r>
  <r>
    <s v="EVOLUTION FREE ZONE SOCIEDAD ANONIMA"/>
    <s v="NC"/>
    <s v="111  "/>
    <n v="1607"/>
    <s v="PRODUCTIVIDAD HUMANA"/>
    <n v="-4800.6000000000004"/>
    <n v="0"/>
    <n v="0"/>
    <n v="0"/>
    <n v="0"/>
    <n v="-4800.6000000000004"/>
    <n v="-4800.6000000000004"/>
    <d v="2025-10-01T00:00:00"/>
    <d v="2025-10-16T00:00:00"/>
    <n v="-106"/>
    <s v="001"/>
    <x v="1"/>
    <x v="7"/>
    <x v="6"/>
    <n v="0"/>
    <n v="0"/>
    <n v="0"/>
    <n v="0"/>
    <n v="0"/>
    <n v="0"/>
  </r>
  <r>
    <s v="EVOLUTION FREE ZONE SOCIEDAD ANONIMA"/>
    <s v="NC"/>
    <s v="OF030"/>
    <s v="AD00026378"/>
    <s v="PRODUCTIVIDAD HUMANA"/>
    <n v="-4798.8"/>
    <n v="0"/>
    <n v="0"/>
    <n v="-4798.8"/>
    <n v="0"/>
    <n v="0"/>
    <n v="-4798.8"/>
    <d v="2025-12-08T00:00:00"/>
    <d v="2025-12-08T00:00:00"/>
    <n v="-53"/>
    <s v="004-001"/>
    <x v="0"/>
    <x v="7"/>
    <x v="6"/>
    <n v="0"/>
    <n v="0"/>
    <n v="0"/>
    <n v="0"/>
    <n v="0"/>
    <n v="0"/>
  </r>
  <r>
    <s v="EVOLUTION FREE ZONE SOCIEDAD ANONIMA"/>
    <s v="NC"/>
    <s v="OF030"/>
    <s v="AD00026321"/>
    <s v="PRODUCTIVIDAD HUMANA"/>
    <n v="-3368.11"/>
    <n v="0"/>
    <n v="0"/>
    <n v="0"/>
    <n v="-3368.11"/>
    <n v="0"/>
    <n v="-3368.11"/>
    <d v="2025-11-17T00:00:00"/>
    <d v="2025-11-17T00:00:00"/>
    <n v="-74"/>
    <s v="004-001"/>
    <x v="0"/>
    <x v="7"/>
    <x v="6"/>
    <n v="0"/>
    <n v="0"/>
    <n v="0"/>
    <n v="0"/>
    <n v="0"/>
    <n v="0"/>
  </r>
  <r>
    <s v="FDO INV. DESARROLLO PROYECTOS MULTIFONDOS SECRT ESCALANTE"/>
    <s v="NC"/>
    <s v="000  "/>
    <n v="4770"/>
    <s v="PRODUCTIVIDAD HUMANA"/>
    <n v="-63133.03"/>
    <n v="0"/>
    <n v="0"/>
    <n v="0"/>
    <n v="0"/>
    <n v="-63133.03"/>
    <n v="-63133.03"/>
    <d v="2025-05-28T00:00:00"/>
    <d v="2025-05-28T00:00:00"/>
    <n v="-247"/>
    <s v="004-001"/>
    <x v="0"/>
    <x v="7"/>
    <x v="6"/>
    <n v="0"/>
    <n v="0"/>
    <n v="0"/>
    <n v="0"/>
    <n v="0"/>
    <n v="0"/>
  </r>
  <r>
    <s v="FDO INV. DESARROLLO PROYECTOS MULTIFONDOS SECRT ESCALANTE"/>
    <s v="FA"/>
    <s v="OF313"/>
    <n v="2100028123"/>
    <s v="PRODUCTIVIDAD HUMANA"/>
    <n v="3985"/>
    <n v="0"/>
    <n v="0"/>
    <n v="0"/>
    <n v="0"/>
    <n v="3985"/>
    <n v="3985"/>
    <d v="2025-09-26T00:00:00"/>
    <d v="2025-10-04T00:00:00"/>
    <n v="-118"/>
    <s v="004-003"/>
    <x v="0"/>
    <x v="1"/>
    <x v="1"/>
    <n v="0"/>
    <n v="3985"/>
    <n v="0"/>
    <n v="0"/>
    <n v="0"/>
    <n v="0"/>
  </r>
  <r>
    <s v="FEDERACION COSTARRICENSE DE FUTBOL"/>
    <s v="FA"/>
    <s v="0001 "/>
    <n v="1667"/>
    <s v="PRODUCTIVIDAD HUMANA"/>
    <n v="95208.5"/>
    <n v="0"/>
    <n v="0"/>
    <n v="0"/>
    <n v="0"/>
    <n v="95208.5"/>
    <n v="95208.5"/>
    <d v="2022-09-13T00:00:00"/>
    <d v="2022-09-13T00:00:00"/>
    <n v="-1235"/>
    <s v="004-001"/>
    <x v="0"/>
    <x v="8"/>
    <x v="7"/>
    <n v="0"/>
    <n v="0"/>
    <n v="0"/>
    <n v="21879"/>
    <n v="0"/>
    <n v="0"/>
  </r>
  <r>
    <s v="FERRETERIA EPA, SOCIEDAD ANONIMA"/>
    <s v="NC"/>
    <s v="89   "/>
    <s v="AD00002274"/>
    <s v="PRODUCTIVIDAD HUMANA"/>
    <n v="-5716.82"/>
    <n v="0"/>
    <n v="0"/>
    <n v="0"/>
    <n v="-5716.82"/>
    <n v="0"/>
    <n v="-5716.82"/>
    <d v="2025-11-28T00:00:00"/>
    <d v="2025-11-28T00:00:00"/>
    <n v="-63"/>
    <s v="001"/>
    <x v="1"/>
    <x v="7"/>
    <x v="6"/>
    <n v="0"/>
    <n v="0"/>
    <n v="0"/>
    <n v="0"/>
    <n v="0"/>
    <n v="0"/>
  </r>
  <r>
    <s v="FERRETERIA EPA, SOCIEDAD ANONIMA"/>
    <s v="NC"/>
    <s v="89   "/>
    <s v="AD00002223"/>
    <s v="PRODUCTIVIDAD HUMANA"/>
    <n v="-1813.05"/>
    <n v="0"/>
    <n v="0"/>
    <n v="0"/>
    <n v="0"/>
    <n v="-1813.05"/>
    <n v="-1813.05"/>
    <d v="2025-04-30T00:00:00"/>
    <d v="2025-04-30T00:00:00"/>
    <n v="-275"/>
    <s v="001"/>
    <x v="1"/>
    <x v="7"/>
    <x v="6"/>
    <n v="0"/>
    <n v="0"/>
    <n v="0"/>
    <n v="0"/>
    <n v="0"/>
    <n v="0"/>
  </r>
  <r>
    <s v="FERRETERIA EPA, SOCIEDAD ANONIMA"/>
    <s v="NC"/>
    <s v="89   "/>
    <s v="AD00002275"/>
    <s v="PRODUCTIVIDAD HUMANA"/>
    <n v="-1091.18"/>
    <n v="0"/>
    <n v="0"/>
    <n v="0"/>
    <n v="-1091.18"/>
    <n v="0"/>
    <n v="-1091.18"/>
    <d v="2025-11-28T00:00:00"/>
    <d v="2025-11-28T00:00:00"/>
    <n v="-63"/>
    <s v="001"/>
    <x v="1"/>
    <x v="7"/>
    <x v="6"/>
    <n v="0"/>
    <n v="0"/>
    <n v="0"/>
    <n v="0"/>
    <n v="0"/>
    <n v="0"/>
  </r>
  <r>
    <s v="FISHER SCIENTIFIC COSTA RICA SOCIEDAD DE RESPONSABILIDAD LIMITADA"/>
    <s v="NC"/>
    <s v="34   "/>
    <s v="AD00001488"/>
    <s v="PRODUCTIVIDAD HUMANA"/>
    <n v="-1150"/>
    <n v="0"/>
    <n v="0"/>
    <n v="0"/>
    <n v="0"/>
    <n v="-1150"/>
    <n v="-1150"/>
    <d v="2019-04-25T00:00:00"/>
    <d v="2019-04-25T00:00:00"/>
    <n v="-2472"/>
    <s v="001"/>
    <x v="1"/>
    <x v="4"/>
    <x v="3"/>
    <n v="0"/>
    <n v="0"/>
    <n v="0"/>
    <n v="0"/>
    <n v="0"/>
    <n v="0"/>
  </r>
  <r>
    <s v="FRUTA INTERNACIONAL SOCIEDAD ANONIMA"/>
    <s v="NC"/>
    <s v="0001 "/>
    <n v="4524"/>
    <s v="PRODUCTIVIDAD HUMANA"/>
    <n v="-584.21"/>
    <n v="0"/>
    <n v="0"/>
    <n v="0"/>
    <n v="0"/>
    <n v="-584.21"/>
    <n v="-584.21"/>
    <d v="2023-11-03T00:00:00"/>
    <d v="2023-11-03T00:00:00"/>
    <n v="-819"/>
    <s v="004-001"/>
    <x v="0"/>
    <x v="4"/>
    <x v="3"/>
    <n v="0"/>
    <n v="0"/>
    <n v="0"/>
    <n v="0"/>
    <n v="0"/>
    <n v="0"/>
  </r>
  <r>
    <s v="FUNERARIA MANANTIAL DE VIDA"/>
    <s v="NC"/>
    <s v="0001 "/>
    <n v="4251"/>
    <s v="PRODUCTIVIDAD HUMANA"/>
    <n v="-430.77659399999999"/>
    <n v="0"/>
    <n v="0"/>
    <n v="0"/>
    <n v="0"/>
    <n v="-430.78"/>
    <n v="-430.78"/>
    <d v="2023-10-28T00:00:00"/>
    <d v="2023-10-28T00:00:00"/>
    <n v="-825"/>
    <s v="004-001"/>
    <x v="0"/>
    <x v="4"/>
    <x v="3"/>
    <n v="0"/>
    <n v="0"/>
    <n v="0"/>
    <n v="0"/>
    <n v="0"/>
    <n v="0"/>
  </r>
  <r>
    <s v="GAS TOMZA DE COSTA RICA SOCIEDAD ANONIMA"/>
    <s v="FA"/>
    <s v="OF111"/>
    <n v="2100028297"/>
    <s v="PRODUCTIVIDAD HUMANA"/>
    <n v="898.81"/>
    <n v="0"/>
    <n v="0"/>
    <n v="0"/>
    <n v="0"/>
    <n v="898.81"/>
    <n v="898.81"/>
    <d v="2025-10-28T00:00:00"/>
    <d v="2025-10-29T00:00:00"/>
    <n v="-93"/>
    <s v="004-001"/>
    <x v="0"/>
    <x v="5"/>
    <x v="4"/>
    <n v="0"/>
    <n v="0"/>
    <n v="0"/>
    <n v="0"/>
    <n v="0"/>
    <n v="0"/>
  </r>
  <r>
    <s v="GAS TOMZA DE COSTA RICA SOCIEDAD ANONIMA"/>
    <s v="NC"/>
    <s v="OF111"/>
    <s v="AD00025445"/>
    <s v="PRODUCTIVIDAD HUMANA"/>
    <n v="-898.42"/>
    <n v="0"/>
    <n v="0"/>
    <n v="0"/>
    <n v="0"/>
    <n v="-898.42"/>
    <n v="-898.42"/>
    <d v="2025-03-21T00:00:00"/>
    <d v="2025-03-21T00:00:00"/>
    <n v="-315"/>
    <s v="004-001"/>
    <x v="0"/>
    <x v="5"/>
    <x v="4"/>
    <n v="0"/>
    <n v="0"/>
    <n v="0"/>
    <n v="0"/>
    <n v="0"/>
    <n v="0"/>
  </r>
  <r>
    <s v="GFI PHARMA LOGISTIC S.A"/>
    <s v="NC"/>
    <s v="85   "/>
    <n v="50985"/>
    <s v="PRODUCTIVIDAD HUMANA"/>
    <n v="-2545.79"/>
    <n v="0"/>
    <n v="0"/>
    <n v="0"/>
    <n v="0"/>
    <n v="-2545.79"/>
    <n v="-2545.79"/>
    <d v="2023-02-20T00:00:00"/>
    <d v="2023-02-20T00:00:00"/>
    <n v="-1075"/>
    <s v="002"/>
    <x v="1"/>
    <x v="4"/>
    <x v="3"/>
    <n v="0"/>
    <n v="0"/>
    <n v="0"/>
    <n v="0"/>
    <n v="0"/>
    <n v="0"/>
  </r>
  <r>
    <s v="GFI PHARMA LOGISTIC S.A"/>
    <s v="NC"/>
    <s v="90   "/>
    <s v="AD00002028"/>
    <s v="PRODUCTIVIDAD HUMANA"/>
    <n v="-3155.04"/>
    <n v="0"/>
    <n v="0"/>
    <n v="0"/>
    <n v="0"/>
    <n v="-3155.04"/>
    <n v="-3155.04"/>
    <d v="2023-06-19T00:00:00"/>
    <d v="2023-06-19T00:00:00"/>
    <n v="-956"/>
    <s v="001"/>
    <x v="1"/>
    <x v="4"/>
    <x v="3"/>
    <n v="0"/>
    <n v="0"/>
    <n v="0"/>
    <n v="0"/>
    <n v="0"/>
    <n v="0"/>
  </r>
  <r>
    <s v="GISELLE ALFARO SOTO"/>
    <s v="FA"/>
    <s v="OF111"/>
    <n v="2100026119"/>
    <s v="PRODUCTIVIDAD HUMANA"/>
    <n v="271.2"/>
    <n v="0"/>
    <n v="0"/>
    <n v="0"/>
    <n v="0"/>
    <n v="271.2"/>
    <n v="271.2"/>
    <d v="2024-11-08T00:00:00"/>
    <d v="2024-11-16T00:00:00"/>
    <n v="-440"/>
    <s v="004-001"/>
    <x v="0"/>
    <x v="6"/>
    <x v="5"/>
    <n v="0"/>
    <n v="0"/>
    <n v="0"/>
    <n v="0"/>
    <n v="0"/>
    <n v="0"/>
  </r>
  <r>
    <s v="Global Supply Sociedad Anonima"/>
    <s v="FA"/>
    <s v="OF030"/>
    <n v="2100025303"/>
    <s v="PRODUCTIVIDAD HUMANA"/>
    <n v="1879.72"/>
    <n v="0"/>
    <n v="0"/>
    <n v="0"/>
    <n v="0"/>
    <n v="1879.72"/>
    <n v="1879.72"/>
    <d v="2024-07-26T00:00:00"/>
    <d v="2024-08-25T00:00:00"/>
    <n v="-523"/>
    <s v="004-001"/>
    <x v="0"/>
    <x v="6"/>
    <x v="5"/>
    <n v="0"/>
    <n v="0"/>
    <n v="0"/>
    <n v="0"/>
    <n v="0"/>
    <n v="0"/>
  </r>
  <r>
    <s v="GOLDTECH DE COSTA RICA S.AA"/>
    <s v="NC"/>
    <s v="0001 "/>
    <n v="3716"/>
    <s v="PRODUCTIVIDAD HUMANA"/>
    <n v="-79.989999999999995"/>
    <n v="0"/>
    <n v="0"/>
    <n v="0"/>
    <n v="0"/>
    <n v="-79.989999999999995"/>
    <n v="-79.989999999999995"/>
    <d v="2023-09-16T00:00:00"/>
    <d v="2023-09-16T00:00:00"/>
    <n v="-867"/>
    <s v="004-001"/>
    <x v="0"/>
    <x v="4"/>
    <x v="3"/>
    <n v="0"/>
    <n v="0"/>
    <n v="0"/>
    <n v="0"/>
    <n v="0"/>
    <n v="0"/>
  </r>
  <r>
    <s v="GOSOCKET SHARED SERVICES S.A"/>
    <s v="NC"/>
    <s v="111  "/>
    <s v="AD00002194"/>
    <s v="PRODUCTIVIDAD HUMANA"/>
    <n v="-56.71"/>
    <n v="0"/>
    <n v="0"/>
    <n v="0"/>
    <n v="0"/>
    <n v="-56.71"/>
    <n v="-56.71"/>
    <d v="2024-12-17T00:00:00"/>
    <d v="2024-12-17T00:00:00"/>
    <n v="-409"/>
    <s v="001"/>
    <x v="1"/>
    <x v="4"/>
    <x v="3"/>
    <n v="0"/>
    <n v="0"/>
    <n v="0"/>
    <n v="0"/>
    <n v="0"/>
    <n v="0"/>
  </r>
  <r>
    <s v="GOSOCKET SHARED SERVICES S.A"/>
    <s v="NC"/>
    <s v="111  "/>
    <n v="1602"/>
    <s v="PRODUCTIVIDAD HUMANA"/>
    <n v="-2500"/>
    <n v="0"/>
    <n v="0"/>
    <n v="0"/>
    <n v="0"/>
    <n v="-2500"/>
    <n v="-2500"/>
    <d v="2025-08-29T00:00:00"/>
    <d v="2025-08-29T00:00:00"/>
    <n v="-154"/>
    <s v="002"/>
    <x v="1"/>
    <x v="4"/>
    <x v="3"/>
    <n v="0"/>
    <n v="0"/>
    <n v="0"/>
    <n v="0"/>
    <n v="0"/>
    <n v="0"/>
  </r>
  <r>
    <s v="GOSOCKET SHARED SERVICES S.A"/>
    <s v="FA"/>
    <s v="111  "/>
    <n v="70697"/>
    <s v="PRODUCTIVIDAD HUMANA"/>
    <n v="2556.71"/>
    <n v="0"/>
    <n v="0"/>
    <n v="0"/>
    <n v="0"/>
    <n v="2556.71"/>
    <n v="2556.71"/>
    <d v="2024-05-31T00:00:00"/>
    <d v="2024-06-30T00:00:00"/>
    <n v="-579"/>
    <s v="001"/>
    <x v="1"/>
    <x v="6"/>
    <x v="5"/>
    <n v="0"/>
    <n v="0"/>
    <n v="0"/>
    <n v="0"/>
    <n v="0"/>
    <n v="0"/>
  </r>
  <r>
    <s v="GRUPO CONDECO VAC SOCIEDAD ANONIMA"/>
    <s v="NC"/>
    <s v="065  "/>
    <s v="AD00002019"/>
    <s v="PRODUCTIVIDAD HUMANA"/>
    <n v="-250"/>
    <n v="0"/>
    <n v="0"/>
    <n v="0"/>
    <n v="0"/>
    <n v="-250"/>
    <n v="-250"/>
    <d v="2023-05-27T00:00:00"/>
    <d v="2023-05-27T00:00:00"/>
    <n v="-979"/>
    <s v="001"/>
    <x v="1"/>
    <x v="4"/>
    <x v="3"/>
    <n v="0"/>
    <n v="0"/>
    <n v="0"/>
    <n v="0"/>
    <n v="0"/>
    <n v="0"/>
  </r>
  <r>
    <s v="GRUPO CORPORATIVO AR PUNTO COM S.R.L"/>
    <s v="FA"/>
    <s v="0001 "/>
    <n v="788"/>
    <s v="PRODUCTIVIDAD HUMANA"/>
    <n v="5386.21"/>
    <n v="0"/>
    <n v="0"/>
    <n v="0"/>
    <n v="0"/>
    <n v="5386.21"/>
    <n v="5386.21"/>
    <d v="2017-12-20T00:00:00"/>
    <d v="2017-12-20T00:00:00"/>
    <n v="-2963"/>
    <s v="004-001"/>
    <x v="0"/>
    <x v="6"/>
    <x v="5"/>
    <n v="0"/>
    <n v="0"/>
    <n v="0"/>
    <n v="0"/>
    <n v="0"/>
    <n v="0"/>
  </r>
  <r>
    <s v="GRUPO DESARROLLADOR DE PARQUES INDUSTRIALES SOCIEDAD ANONIMA"/>
    <s v="NC"/>
    <s v="000  "/>
    <s v="AD00002268"/>
    <s v="PRODUCTIVIDAD HUMANA"/>
    <n v="-10611.71"/>
    <n v="0"/>
    <n v="0"/>
    <n v="0"/>
    <n v="-10611.71"/>
    <n v="0"/>
    <n v="-10611.71"/>
    <d v="2025-11-19T00:00:00"/>
    <d v="2025-11-19T00:00:00"/>
    <n v="-72"/>
    <s v="001"/>
    <x v="1"/>
    <x v="7"/>
    <x v="6"/>
    <n v="0"/>
    <n v="0"/>
    <n v="0"/>
    <n v="0"/>
    <n v="0"/>
    <n v="0"/>
  </r>
  <r>
    <s v="GRUPO DESARROLLADOR DE PARQUES INDUSTRIALES SOCIEDAD ANONIMA"/>
    <s v="NC"/>
    <s v="000  "/>
    <s v="AD00002262"/>
    <s v="PRODUCTIVIDAD HUMANA"/>
    <n v="-9865.66"/>
    <n v="0"/>
    <n v="0"/>
    <n v="0"/>
    <n v="0"/>
    <n v="-9865.66"/>
    <n v="-9865.66"/>
    <d v="2025-10-27T00:00:00"/>
    <d v="2025-10-27T00:00:00"/>
    <n v="-95"/>
    <s v="001"/>
    <x v="1"/>
    <x v="7"/>
    <x v="6"/>
    <n v="0"/>
    <n v="0"/>
    <n v="0"/>
    <n v="0"/>
    <n v="0"/>
    <n v="0"/>
  </r>
  <r>
    <s v="GRUPO DESARROLLADOR DE PARQUES INDUSTRIALES SOCIEDAD ANONIMA"/>
    <s v="NC"/>
    <s v="000  "/>
    <s v="AD00002261"/>
    <s v="PRODUCTIVIDAD HUMANA"/>
    <n v="-4897.43"/>
    <n v="0"/>
    <n v="0"/>
    <n v="0"/>
    <n v="0"/>
    <n v="-4897.43"/>
    <n v="-4897.43"/>
    <d v="2025-10-27T00:00:00"/>
    <d v="2025-10-27T00:00:00"/>
    <n v="-95"/>
    <s v="001"/>
    <x v="1"/>
    <x v="7"/>
    <x v="6"/>
    <n v="0"/>
    <n v="0"/>
    <n v="0"/>
    <n v="0"/>
    <n v="0"/>
    <n v="0"/>
  </r>
  <r>
    <s v="GRUPO DESARROLLADOR DE PARQUES INDUSTRIALES SOCIEDAD ANONIMA"/>
    <s v="NC"/>
    <s v="000  "/>
    <s v="AD00002263"/>
    <s v="PRODUCTIVIDAD HUMANA"/>
    <n v="-4897.43"/>
    <n v="0"/>
    <n v="0"/>
    <n v="0"/>
    <n v="-4897.43"/>
    <n v="0"/>
    <n v="-4897.43"/>
    <d v="2025-11-05T00:00:00"/>
    <d v="2025-11-05T00:00:00"/>
    <n v="-86"/>
    <s v="001"/>
    <x v="1"/>
    <x v="7"/>
    <x v="6"/>
    <n v="0"/>
    <n v="0"/>
    <n v="0"/>
    <n v="0"/>
    <n v="0"/>
    <n v="0"/>
  </r>
  <r>
    <s v="GRUPO DESARROLLADOR DE PARQUES INDUSTRIALES SOCIEDAD ANONIMA"/>
    <s v="NC"/>
    <s v="000  "/>
    <s v="AD00002279"/>
    <s v="PRODUCTIVIDAD HUMANA"/>
    <n v="-4435.96"/>
    <n v="0"/>
    <n v="0"/>
    <n v="-4435.96"/>
    <n v="0"/>
    <n v="0"/>
    <n v="-4435.96"/>
    <d v="2025-12-17T00:00:00"/>
    <d v="2025-12-17T00:00:00"/>
    <n v="-44"/>
    <s v="001"/>
    <x v="1"/>
    <x v="7"/>
    <x v="6"/>
    <n v="0"/>
    <n v="0"/>
    <n v="0"/>
    <n v="0"/>
    <n v="0"/>
    <n v="0"/>
  </r>
  <r>
    <s v="GRUPO DESARROLLADOR DE PARQUES INDUSTRIALES SOCIEDAD ANONIMA"/>
    <s v="NC"/>
    <s v="000  "/>
    <s v="AD00002281"/>
    <s v="PRODUCTIVIDAD HUMANA"/>
    <n v="-4435.96"/>
    <n v="0"/>
    <n v="0"/>
    <n v="-4435.96"/>
    <n v="0"/>
    <n v="0"/>
    <n v="-4435.96"/>
    <d v="2025-12-29T00:00:00"/>
    <d v="2025-12-29T00:00:00"/>
    <n v="-32"/>
    <s v="001"/>
    <x v="1"/>
    <x v="7"/>
    <x v="6"/>
    <n v="0"/>
    <n v="0"/>
    <n v="0"/>
    <n v="0"/>
    <n v="0"/>
    <n v="0"/>
  </r>
  <r>
    <s v="GRUPO ELECTROMECANICO INTER COOL SOCIEDAD ANONIMA"/>
    <s v="NC"/>
    <s v="005  "/>
    <s v="AD00002043"/>
    <s v="PRODUCTIVIDAD HUMANA"/>
    <n v="-235.04"/>
    <n v="0"/>
    <n v="0"/>
    <n v="0"/>
    <n v="0"/>
    <n v="-235.04"/>
    <n v="-235.04"/>
    <d v="2023-07-26T00:00:00"/>
    <d v="2023-07-26T00:00:00"/>
    <n v="-919"/>
    <s v="001"/>
    <x v="1"/>
    <x v="4"/>
    <x v="3"/>
    <n v="0"/>
    <n v="0"/>
    <n v="0"/>
    <n v="0"/>
    <n v="0"/>
    <n v="0"/>
  </r>
  <r>
    <s v="GRUPO LEUMI G L SOCIEDAD ANONIMA"/>
    <s v="NC"/>
    <s v="0001 "/>
    <n v="9763"/>
    <s v="PRODUCTIVIDAD HUMANA"/>
    <n v="-2877.61"/>
    <n v="0"/>
    <n v="0"/>
    <n v="0"/>
    <n v="0"/>
    <n v="-2877.61"/>
    <n v="-2877.61"/>
    <d v="2024-04-30T00:00:00"/>
    <d v="2024-04-30T00:00:00"/>
    <n v="-640"/>
    <s v="004-001"/>
    <x v="0"/>
    <x v="4"/>
    <x v="3"/>
    <n v="0"/>
    <n v="0"/>
    <n v="0"/>
    <n v="0"/>
    <n v="0"/>
    <n v="0"/>
  </r>
  <r>
    <s v="H CINCO INDUSTRIAL SOCIEDAD ANONIMA"/>
    <s v="NC"/>
    <s v="111  "/>
    <s v="AD00002126"/>
    <s v="PRODUCTIVIDAD HUMANA"/>
    <n v="-1378.4201660000001"/>
    <n v="0"/>
    <n v="0"/>
    <n v="0"/>
    <n v="0"/>
    <n v="-1378.42"/>
    <n v="-1378.42"/>
    <d v="2024-05-29T00:00:00"/>
    <d v="2024-05-29T00:00:00"/>
    <n v="-611"/>
    <s v="001"/>
    <x v="1"/>
    <x v="7"/>
    <x v="6"/>
    <n v="0"/>
    <n v="0"/>
    <n v="0"/>
    <n v="0"/>
    <n v="0"/>
    <n v="0"/>
  </r>
  <r>
    <s v="I M C INTERAMERICANA MEDIOS DE COMUNICACION SOCIEDAD ANONIMA"/>
    <s v="FA"/>
    <s v="OF111"/>
    <n v="2100027473"/>
    <s v="PRODUCTIVIDAD HUMANA"/>
    <n v="71623.13"/>
    <n v="0"/>
    <n v="0"/>
    <n v="0"/>
    <n v="0"/>
    <n v="71623.13"/>
    <n v="71623.13"/>
    <d v="2025-06-25T00:00:00"/>
    <d v="2025-07-25T00:00:00"/>
    <n v="-189"/>
    <s v="004-001"/>
    <x v="0"/>
    <x v="8"/>
    <x v="7"/>
    <n v="0"/>
    <n v="0"/>
    <n v="0"/>
    <n v="23779.1"/>
    <n v="0"/>
    <n v="0"/>
  </r>
  <r>
    <s v="Importaciones industriales MASACA SA"/>
    <s v="NC"/>
    <s v="000  "/>
    <s v="AD00026268"/>
    <s v="PRODUCTIVIDAD HUMANA"/>
    <n v="-117"/>
    <n v="0"/>
    <n v="0"/>
    <n v="0"/>
    <n v="0"/>
    <n v="-117"/>
    <n v="-117"/>
    <d v="2025-10-21T00:00:00"/>
    <d v="2025-10-21T00:00:00"/>
    <n v="-101"/>
    <s v="004-001"/>
    <x v="0"/>
    <x v="7"/>
    <x v="6"/>
    <n v="0"/>
    <n v="0"/>
    <n v="0"/>
    <n v="0"/>
    <n v="0"/>
    <n v="0"/>
  </r>
  <r>
    <s v="Importadora la meseta imlane SA"/>
    <s v="NC"/>
    <s v="0001 "/>
    <n v="3693"/>
    <s v="PRODUCTIVIDAD HUMANA"/>
    <n v="-199.63"/>
    <n v="0"/>
    <n v="0"/>
    <n v="0"/>
    <n v="0"/>
    <n v="-199.63"/>
    <n v="-199.63"/>
    <d v="2023-09-04T00:00:00"/>
    <d v="2023-09-04T00:00:00"/>
    <n v="-879"/>
    <s v="004-001"/>
    <x v="0"/>
    <x v="4"/>
    <x v="3"/>
    <n v="0"/>
    <n v="0"/>
    <n v="0"/>
    <n v="0"/>
    <n v="0"/>
    <n v="0"/>
  </r>
  <r>
    <s v="IMPROSA CENTRO DE SERVICIOS COMPARTIDOS ICSC S.A"/>
    <s v="FA"/>
    <s v="OF057"/>
    <n v="2100025566"/>
    <s v="PRODUCTIVIDAD HUMANA"/>
    <n v="1130.47"/>
    <n v="0"/>
    <n v="0"/>
    <n v="0"/>
    <n v="0"/>
    <n v="1130.47"/>
    <n v="1130.47"/>
    <d v="2024-09-03T00:00:00"/>
    <d v="2024-10-03T00:00:00"/>
    <n v="-484"/>
    <s v="004-001"/>
    <x v="0"/>
    <x v="6"/>
    <x v="5"/>
    <n v="0"/>
    <n v="0"/>
    <n v="0"/>
    <n v="0"/>
    <n v="0"/>
    <n v="0"/>
  </r>
  <r>
    <s v="IMPROSA SERVICIOS INTERNACIONALES SOCIEDAD ANONIMA"/>
    <s v="FA"/>
    <s v="0001 "/>
    <n v="6886"/>
    <s v="PRODUCTIVIDAD HUMANA"/>
    <n v="82715.7"/>
    <n v="0"/>
    <n v="0"/>
    <n v="0"/>
    <n v="0"/>
    <n v="82715.7"/>
    <n v="82715.7"/>
    <d v="2024-01-31T00:00:00"/>
    <d v="2024-01-31T00:00:00"/>
    <n v="-730"/>
    <s v="004-001"/>
    <x v="0"/>
    <x v="6"/>
    <x v="5"/>
    <n v="0"/>
    <n v="0"/>
    <n v="0"/>
    <n v="0"/>
    <n v="0"/>
    <n v="0"/>
  </r>
  <r>
    <s v="IMS CONSTRUCCIONES SOCIEDAD ANONIMA"/>
    <s v="NC"/>
    <s v="OF111"/>
    <s v="AD00026291"/>
    <s v="PRODUCTIVIDAD HUMANA"/>
    <n v="-4921.26"/>
    <n v="0"/>
    <n v="0"/>
    <n v="0"/>
    <n v="-4921.26"/>
    <n v="0"/>
    <n v="-4921.26"/>
    <d v="2025-11-05T00:00:00"/>
    <d v="2025-11-05T00:00:00"/>
    <n v="-86"/>
    <s v="004-001"/>
    <x v="0"/>
    <x v="7"/>
    <x v="6"/>
    <n v="0"/>
    <n v="0"/>
    <n v="0"/>
    <n v="0"/>
    <n v="0"/>
    <n v="0"/>
  </r>
  <r>
    <s v="IMS CONSTRUCCIONES SOCIEDAD ANONIMA"/>
    <s v="NC"/>
    <s v="OF111"/>
    <s v="AD00026240"/>
    <s v="PRODUCTIVIDAD HUMANA"/>
    <n v="-3944.77"/>
    <n v="0"/>
    <n v="0"/>
    <n v="0"/>
    <n v="0"/>
    <n v="-3944.77"/>
    <n v="-3944.77"/>
    <d v="2025-10-21T00:00:00"/>
    <d v="2025-10-21T00:00:00"/>
    <n v="-101"/>
    <s v="004-001"/>
    <x v="0"/>
    <x v="7"/>
    <x v="6"/>
    <n v="0"/>
    <n v="0"/>
    <n v="0"/>
    <n v="0"/>
    <n v="0"/>
    <n v="0"/>
  </r>
  <r>
    <s v="INDIRA SOLANO VINDAS"/>
    <s v="NC"/>
    <s v="000  "/>
    <s v="AD00024685"/>
    <s v="PRODUCTIVIDAD HUMANA"/>
    <n v="-19.48"/>
    <n v="0"/>
    <n v="0"/>
    <n v="0"/>
    <n v="0"/>
    <n v="-19.48"/>
    <n v="-19.48"/>
    <d v="2024-08-07T00:00:00"/>
    <d v="2024-08-07T00:00:00"/>
    <n v="-541"/>
    <s v="004-001"/>
    <x v="0"/>
    <x v="4"/>
    <x v="3"/>
    <n v="0"/>
    <n v="0"/>
    <n v="0"/>
    <n v="0"/>
    <n v="0"/>
    <n v="0"/>
  </r>
  <r>
    <s v="INDIRA SOLANO VINDAS"/>
    <s v="FA"/>
    <s v="OF030"/>
    <n v="2100026956"/>
    <s v="PRODUCTIVIDAD HUMANA"/>
    <n v="3191.12"/>
    <n v="0"/>
    <n v="0"/>
    <n v="0"/>
    <n v="0"/>
    <n v="3191.12"/>
    <n v="3191.12"/>
    <d v="2025-03-27T00:00:00"/>
    <d v="2025-04-01T00:00:00"/>
    <n v="-304"/>
    <s v="004-001"/>
    <x v="0"/>
    <x v="6"/>
    <x v="5"/>
    <n v="0"/>
    <n v="0"/>
    <n v="0"/>
    <n v="0"/>
    <n v="0"/>
    <n v="0"/>
  </r>
  <r>
    <s v="INDUSTRIAS PANORAMA SOCIEDAD ANONIMA"/>
    <s v="FA"/>
    <s v="0001 "/>
    <n v="1491"/>
    <s v="PRODUCTIVIDAD HUMANA"/>
    <n v="2588.11"/>
    <n v="0"/>
    <n v="0"/>
    <n v="0"/>
    <n v="0"/>
    <n v="2588.11"/>
    <n v="2588.11"/>
    <d v="2021-03-19T00:00:00"/>
    <d v="2021-03-19T00:00:00"/>
    <n v="-1778"/>
    <s v="004-001"/>
    <x v="0"/>
    <x v="6"/>
    <x v="5"/>
    <n v="0"/>
    <n v="0"/>
    <n v="0"/>
    <n v="0"/>
    <n v="0"/>
    <n v="0"/>
  </r>
  <r>
    <s v="INMOBILIARIA ALDEBARAN SOCIEDAD ANONIMA"/>
    <s v="NC"/>
    <s v="111  "/>
    <s v="AD00001924"/>
    <s v="PRODUCTIVIDAD HUMANA"/>
    <n v="-406.8"/>
    <n v="0"/>
    <n v="0"/>
    <n v="0"/>
    <n v="0"/>
    <n v="-406.8"/>
    <n v="-406.8"/>
    <d v="2022-10-18T00:00:00"/>
    <d v="2022-10-18T00:00:00"/>
    <n v="-1200"/>
    <s v="002"/>
    <x v="1"/>
    <x v="4"/>
    <x v="3"/>
    <n v="0"/>
    <n v="0"/>
    <n v="0"/>
    <n v="0"/>
    <n v="0"/>
    <n v="0"/>
  </r>
  <r>
    <s v="INMOBILIARIA PLAZOLETA DEL TIEMPO PDT, S.A                                 "/>
    <s v="NC"/>
    <s v="044  "/>
    <n v="879"/>
    <s v="PRODUCTIVIDAD HUMANA"/>
    <n v="-855.84"/>
    <n v="0"/>
    <n v="0"/>
    <n v="0"/>
    <n v="0"/>
    <n v="-855.84"/>
    <n v="-855.84"/>
    <d v="2016-07-29T00:00:00"/>
    <d v="2016-08-13T00:00:00"/>
    <n v="-3457"/>
    <s v="001"/>
    <x v="1"/>
    <x v="4"/>
    <x v="3"/>
    <n v="0"/>
    <n v="0"/>
    <n v="0"/>
    <n v="0"/>
    <n v="0"/>
    <n v="0"/>
  </r>
  <r>
    <s v="INSTITUTO COSTARRICENSE DE PUERTOS DEL PACIFICO"/>
    <s v="NC"/>
    <s v="OF103"/>
    <n v="56314"/>
    <s v="PRODUCTIVIDAD HUMANA"/>
    <n v="-103.440229"/>
    <n v="0"/>
    <n v="0"/>
    <n v="0"/>
    <n v="0"/>
    <n v="-103.44"/>
    <n v="-103.44"/>
    <d v="2025-09-16T00:00:00"/>
    <d v="2025-09-16T00:00:00"/>
    <n v="-136"/>
    <s v="004-001"/>
    <x v="0"/>
    <x v="4"/>
    <x v="3"/>
    <n v="0"/>
    <n v="0"/>
    <n v="0"/>
    <n v="0"/>
    <n v="0"/>
    <n v="0"/>
  </r>
  <r>
    <s v="INSTITUTO COSTARRICENSE DEL DEPORTE Y LA RECREACIO"/>
    <s v="NC"/>
    <s v="0001 "/>
    <n v="5572"/>
    <s v="PRODUCTIVIDAD HUMANA"/>
    <n v="-110.92"/>
    <n v="0"/>
    <n v="0"/>
    <n v="0"/>
    <n v="0"/>
    <n v="-110.92"/>
    <n v="-110.92"/>
    <d v="2023-12-22T00:00:00"/>
    <d v="2023-12-22T00:00:00"/>
    <n v="-770"/>
    <s v="004-001"/>
    <x v="0"/>
    <x v="4"/>
    <x v="3"/>
    <n v="0"/>
    <n v="0"/>
    <n v="0"/>
    <n v="0"/>
    <n v="0"/>
    <n v="0"/>
  </r>
  <r>
    <s v="INSTITUTO NACIONAL DE SEGUROS"/>
    <s v="NC"/>
    <s v="0001 "/>
    <n v="8768"/>
    <s v="PRODUCTIVIDAD HUMANA"/>
    <n v="-670.64"/>
    <n v="0"/>
    <n v="0"/>
    <n v="0"/>
    <n v="0"/>
    <n v="-670.64"/>
    <n v="-670.64"/>
    <d v="2024-03-19T00:00:00"/>
    <d v="2024-03-19T00:00:00"/>
    <n v="-682"/>
    <s v="004-001"/>
    <x v="0"/>
    <x v="4"/>
    <x v="3"/>
    <n v="0"/>
    <n v="0"/>
    <n v="0"/>
    <n v="0"/>
    <n v="0"/>
    <n v="0"/>
  </r>
  <r>
    <s v="INSTITUTO NACIONAL DE SEGUROS"/>
    <s v="FA"/>
    <s v="OF111"/>
    <n v="2100028371"/>
    <s v="PRODUCTIVIDAD HUMANA"/>
    <n v="101.91"/>
    <n v="0"/>
    <n v="0"/>
    <n v="101.91"/>
    <n v="0"/>
    <n v="0"/>
    <n v="101.91"/>
    <d v="2025-11-06T00:00:00"/>
    <d v="2025-12-06T00:00:00"/>
    <n v="-55"/>
    <s v="004-001"/>
    <x v="0"/>
    <x v="5"/>
    <x v="4"/>
    <n v="0"/>
    <n v="0"/>
    <n v="0"/>
    <n v="0"/>
    <n v="0"/>
    <n v="0"/>
  </r>
  <r>
    <s v="INSTITUTO NACIONAL DE SEGUROS"/>
    <s v="NC"/>
    <s v="000  "/>
    <n v="4912"/>
    <s v="PRODUCTIVIDAD HUMANA"/>
    <n v="-101.91"/>
    <n v="0"/>
    <n v="0"/>
    <n v="-101.91"/>
    <n v="0"/>
    <n v="0"/>
    <n v="-101.91"/>
    <d v="2025-12-04T00:00:00"/>
    <d v="2025-12-04T00:00:00"/>
    <n v="-57"/>
    <s v="004-001"/>
    <x v="0"/>
    <x v="4"/>
    <x v="3"/>
    <n v="0"/>
    <n v="0"/>
    <n v="0"/>
    <n v="0"/>
    <n v="0"/>
    <n v="0"/>
  </r>
  <r>
    <s v="INTERACTIVE LIGHTNING SOCIEDAD ANONIMA"/>
    <s v="FA"/>
    <s v="111  "/>
    <n v="70929"/>
    <s v="PRODUCTIVIDAD HUMANA"/>
    <n v="2299.42"/>
    <n v="0"/>
    <n v="0"/>
    <n v="0"/>
    <n v="0"/>
    <n v="2299.42"/>
    <n v="2299.42"/>
    <d v="2025-05-15T00:00:00"/>
    <d v="2025-05-30T00:00:00"/>
    <n v="-245"/>
    <s v="001"/>
    <x v="1"/>
    <x v="1"/>
    <x v="1"/>
    <n v="0"/>
    <n v="2299.42"/>
    <n v="0"/>
    <n v="0"/>
    <n v="0"/>
    <n v="0"/>
  </r>
  <r>
    <s v="INTERRA SOCIEDAD ANONIMA"/>
    <s v="NC"/>
    <s v="065  "/>
    <s v="AD00001535"/>
    <s v="PRODUCTIVIDAD HUMANA"/>
    <n v="-480.61"/>
    <n v="0"/>
    <n v="0"/>
    <n v="0"/>
    <n v="0"/>
    <n v="-480.61"/>
    <n v="-480.61"/>
    <d v="2019-07-11T00:00:00"/>
    <d v="2019-07-11T00:00:00"/>
    <n v="-2395"/>
    <s v="001"/>
    <x v="1"/>
    <x v="4"/>
    <x v="3"/>
    <n v="0"/>
    <n v="0"/>
    <n v="0"/>
    <n v="0"/>
    <n v="0"/>
    <n v="0"/>
  </r>
  <r>
    <s v="INTERSTUHL LATAM S.A DE C.V"/>
    <s v="NC"/>
    <s v="000  "/>
    <s v="AD00002166"/>
    <s v="PRODUCTIVIDAD HUMANA"/>
    <n v="-477.94"/>
    <n v="0"/>
    <n v="0"/>
    <n v="0"/>
    <n v="0"/>
    <n v="-477.94"/>
    <n v="-477.94"/>
    <d v="2024-09-13T00:00:00"/>
    <d v="2024-09-13T00:00:00"/>
    <n v="-504"/>
    <s v="001"/>
    <x v="1"/>
    <x v="4"/>
    <x v="3"/>
    <n v="0"/>
    <n v="0"/>
    <n v="0"/>
    <n v="0"/>
    <n v="0"/>
    <n v="0"/>
  </r>
  <r>
    <s v="INVERSIONES HOTELERAS CH DE ALAJUELA S.A."/>
    <s v="FA"/>
    <s v="0001 "/>
    <n v="1645"/>
    <s v="PRODUCTIVIDAD HUMANA"/>
    <n v="6860"/>
    <n v="0"/>
    <n v="0"/>
    <n v="0"/>
    <n v="0"/>
    <n v="6860"/>
    <n v="6860"/>
    <d v="2022-07-12T00:00:00"/>
    <d v="2022-07-12T00:00:00"/>
    <n v="-1298"/>
    <s v="004-001"/>
    <x v="0"/>
    <x v="6"/>
    <x v="5"/>
    <n v="0"/>
    <n v="0"/>
    <n v="0"/>
    <n v="0"/>
    <n v="0"/>
    <n v="0"/>
  </r>
  <r>
    <s v="INVERSIONES HOTELERAS CH DE ALAJUELA S.A."/>
    <s v="FA"/>
    <s v="0001 "/>
    <n v="1621"/>
    <s v="PRODUCTIVIDAD HUMANA"/>
    <n v="1373.85"/>
    <n v="0"/>
    <n v="0"/>
    <n v="0"/>
    <n v="0"/>
    <n v="1373.85"/>
    <n v="1373.85"/>
    <d v="2022-03-16T00:00:00"/>
    <d v="2022-03-16T00:00:00"/>
    <n v="-1416"/>
    <s v="004-001"/>
    <x v="0"/>
    <x v="6"/>
    <x v="5"/>
    <n v="0"/>
    <n v="0"/>
    <n v="0"/>
    <n v="0"/>
    <n v="0"/>
    <n v="0"/>
  </r>
  <r>
    <s v="JAVIER EDUARDO ROMERO ARMAS"/>
    <s v="NC"/>
    <s v="85   "/>
    <s v="AD00001968"/>
    <s v="PRODUCTIVIDAD HUMANA"/>
    <n v="-193.23"/>
    <n v="0"/>
    <n v="0"/>
    <n v="0"/>
    <n v="0"/>
    <n v="-193.23"/>
    <n v="-193.23"/>
    <d v="2023-01-12T00:00:00"/>
    <d v="2023-01-12T00:00:00"/>
    <n v="-1114"/>
    <s v="002"/>
    <x v="1"/>
    <x v="4"/>
    <x v="3"/>
    <n v="0"/>
    <n v="0"/>
    <n v="0"/>
    <n v="0"/>
    <n v="0"/>
    <n v="0"/>
  </r>
  <r>
    <s v="JAVIER POLANCO"/>
    <s v="NC"/>
    <s v="005  "/>
    <s v="AD00001946"/>
    <s v="PRODUCTIVIDAD HUMANA"/>
    <n v="-293.8"/>
    <n v="0"/>
    <n v="0"/>
    <n v="0"/>
    <n v="0"/>
    <n v="-293.8"/>
    <n v="-293.8"/>
    <d v="2022-11-25T00:00:00"/>
    <d v="2022-11-25T00:00:00"/>
    <n v="-1162"/>
    <s v="002"/>
    <x v="1"/>
    <x v="4"/>
    <x v="3"/>
    <n v="0"/>
    <n v="0"/>
    <n v="0"/>
    <n v="0"/>
    <n v="0"/>
    <n v="0"/>
  </r>
  <r>
    <s v="JONES LANG LASALLE LIMITADA"/>
    <s v="FA"/>
    <s v="0001 "/>
    <n v="5859"/>
    <s v="PRODUCTIVIDAD HUMANA"/>
    <n v="262.27999999999997"/>
    <n v="0"/>
    <n v="0"/>
    <n v="0"/>
    <n v="0"/>
    <n v="262.27999999999997"/>
    <n v="262.27999999999997"/>
    <d v="2023-12-29T00:00:00"/>
    <d v="2024-01-28T00:00:00"/>
    <n v="-733"/>
    <s v="004-001"/>
    <x v="0"/>
    <x v="6"/>
    <x v="5"/>
    <n v="0"/>
    <n v="0"/>
    <n v="0"/>
    <n v="0"/>
    <n v="0"/>
    <n v="0"/>
  </r>
  <r>
    <s v="JUNTA ADMINISTRATIVA DEL ARCHIVO NACIONAL"/>
    <s v="FA"/>
    <s v="OF111"/>
    <n v="2100028320"/>
    <s v="PRODUCTIVIDAD HUMANA"/>
    <n v="30"/>
    <n v="0"/>
    <n v="0"/>
    <n v="0"/>
    <n v="30"/>
    <n v="0"/>
    <n v="30"/>
    <d v="2025-10-30T00:00:00"/>
    <d v="2025-11-29T00:00:00"/>
    <n v="-62"/>
    <s v="004-001"/>
    <x v="0"/>
    <x v="5"/>
    <x v="4"/>
    <n v="0"/>
    <n v="0"/>
    <n v="0"/>
    <n v="0"/>
    <n v="0"/>
    <n v="0"/>
  </r>
  <r>
    <s v="LATAM LOGISTIC CR OPCO S.R.L"/>
    <s v="NC"/>
    <s v="0001 "/>
    <n v="753"/>
    <s v="PRODUCTIVIDAD HUMANA"/>
    <n v="-120.91"/>
    <n v="0"/>
    <n v="0"/>
    <n v="0"/>
    <n v="0"/>
    <n v="-120.91"/>
    <n v="-120.91"/>
    <d v="2023-08-22T00:00:00"/>
    <d v="2023-08-22T00:00:00"/>
    <n v="-892"/>
    <s v="004-001"/>
    <x v="0"/>
    <x v="4"/>
    <x v="3"/>
    <n v="0"/>
    <n v="0"/>
    <n v="0"/>
    <n v="0"/>
    <n v="0"/>
    <n v="0"/>
  </r>
  <r>
    <s v="LOS ARALLANES S.A."/>
    <s v="NC"/>
    <s v="65   "/>
    <s v="AD00001361"/>
    <s v="PRODUCTIVIDAD HUMANA"/>
    <n v="-475.29"/>
    <n v="0"/>
    <n v="0"/>
    <n v="0"/>
    <n v="0"/>
    <n v="-475.29"/>
    <n v="-475.29"/>
    <d v="2018-07-31T00:00:00"/>
    <d v="2018-07-31T00:00:00"/>
    <n v="-2740"/>
    <s v="001"/>
    <x v="1"/>
    <x v="4"/>
    <x v="3"/>
    <n v="0"/>
    <n v="0"/>
    <n v="0"/>
    <n v="0"/>
    <n v="0"/>
    <n v="0"/>
  </r>
  <r>
    <s v="LOS ARALLANES SOCIEDAD ANONIMA"/>
    <s v="NC"/>
    <s v="0001 "/>
    <n v="447"/>
    <s v="PRODUCTIVIDAD HUMANA"/>
    <n v="-9318.7199999999993"/>
    <n v="0"/>
    <n v="0"/>
    <n v="0"/>
    <n v="0"/>
    <n v="-9318.7199999999993"/>
    <n v="-9318.7199999999993"/>
    <d v="2022-12-13T00:00:00"/>
    <d v="2022-12-13T00:00:00"/>
    <n v="-1144"/>
    <s v="004-001"/>
    <x v="0"/>
    <x v="4"/>
    <x v="3"/>
    <n v="0"/>
    <n v="0"/>
    <n v="0"/>
    <n v="0"/>
    <n v="0"/>
    <n v="0"/>
  </r>
  <r>
    <s v="LUMEN ILUMINACION SOCIEDAD ANONIMA"/>
    <s v="NC"/>
    <s v="0001 "/>
    <n v="714"/>
    <s v="PRODUCTIVIDAD HUMANA"/>
    <n v="-1852.33"/>
    <n v="0"/>
    <n v="0"/>
    <n v="0"/>
    <n v="0"/>
    <n v="-1852.33"/>
    <n v="-1852.33"/>
    <d v="2023-08-08T00:00:00"/>
    <d v="2023-08-08T00:00:00"/>
    <n v="-906"/>
    <s v="004-001"/>
    <x v="0"/>
    <x v="4"/>
    <x v="3"/>
    <n v="0"/>
    <n v="0"/>
    <n v="0"/>
    <n v="0"/>
    <n v="0"/>
    <n v="0"/>
  </r>
  <r>
    <s v="LUMEN ILUMINACION SOCIEDAD ANONIMA"/>
    <s v="NC"/>
    <s v="0001 "/>
    <n v="722"/>
    <s v="PRODUCTIVIDAD HUMANA"/>
    <n v="-1080.52"/>
    <n v="0"/>
    <n v="0"/>
    <n v="0"/>
    <n v="0"/>
    <n v="-1080.52"/>
    <n v="-1080.52"/>
    <d v="2023-08-11T00:00:00"/>
    <d v="2023-08-11T00:00:00"/>
    <n v="-903"/>
    <s v="004-001"/>
    <x v="0"/>
    <x v="4"/>
    <x v="3"/>
    <n v="0"/>
    <n v="0"/>
    <n v="0"/>
    <n v="0"/>
    <n v="0"/>
    <n v="0"/>
  </r>
  <r>
    <s v="LUX SOLUTIONS LIMITADA"/>
    <s v="NC"/>
    <s v="OF057"/>
    <s v="AD00025854"/>
    <s v="PRODUCTIVIDAD HUMANA"/>
    <n v="-265"/>
    <n v="0"/>
    <n v="0"/>
    <n v="0"/>
    <n v="0"/>
    <n v="-265"/>
    <n v="-265"/>
    <d v="2025-07-04T00:00:00"/>
    <d v="2025-07-04T00:00:00"/>
    <n v="-210"/>
    <s v="004-001"/>
    <x v="0"/>
    <x v="4"/>
    <x v="3"/>
    <n v="0"/>
    <n v="0"/>
    <n v="0"/>
    <n v="0"/>
    <n v="0"/>
    <n v="0"/>
  </r>
  <r>
    <s v="LUX SOLUTIONS LIMITADA"/>
    <s v="NC"/>
    <s v="OF057"/>
    <s v="AD00026360"/>
    <s v="PRODUCTIVIDAD HUMANA"/>
    <n v="-427.14"/>
    <n v="0"/>
    <n v="0"/>
    <n v="0"/>
    <n v="-427.14"/>
    <n v="0"/>
    <n v="-427.14"/>
    <d v="2025-11-28T00:00:00"/>
    <d v="2025-11-28T00:00:00"/>
    <n v="-63"/>
    <s v="004-001"/>
    <x v="0"/>
    <x v="7"/>
    <x v="6"/>
    <n v="0"/>
    <n v="0"/>
    <n v="0"/>
    <n v="0"/>
    <n v="0"/>
    <n v="0"/>
  </r>
  <r>
    <s v="MANUEL ANTONIO SERRANO GARCIA"/>
    <s v="NC"/>
    <s v="OF111"/>
    <s v="AD00026073"/>
    <s v="PRODUCTIVIDAD HUMANA"/>
    <n v="-50"/>
    <n v="0"/>
    <n v="0"/>
    <n v="0"/>
    <n v="0"/>
    <n v="-50"/>
    <n v="-50"/>
    <d v="2025-08-29T00:00:00"/>
    <d v="2025-08-29T00:00:00"/>
    <n v="-154"/>
    <s v="004-001"/>
    <x v="0"/>
    <x v="4"/>
    <x v="3"/>
    <n v="0"/>
    <n v="0"/>
    <n v="0"/>
    <n v="0"/>
    <n v="0"/>
    <n v="0"/>
  </r>
  <r>
    <s v="MARCOS PATTERSON ULLOA"/>
    <s v="NC"/>
    <s v="0001 "/>
    <n v="4108"/>
    <s v="PRODUCTIVIDAD HUMANA"/>
    <n v="-399"/>
    <n v="0"/>
    <n v="0"/>
    <n v="0"/>
    <n v="0"/>
    <n v="-399"/>
    <n v="-399"/>
    <d v="2023-10-02T00:00:00"/>
    <d v="2023-10-02T00:00:00"/>
    <n v="-851"/>
    <s v="004-001"/>
    <x v="0"/>
    <x v="4"/>
    <x v="3"/>
    <n v="0"/>
    <n v="0"/>
    <n v="0"/>
    <n v="0"/>
    <n v="0"/>
    <n v="0"/>
  </r>
  <r>
    <s v="MARSH ASPROSE CORREDORA DE SEGUROS SOCIEDAD ANONIMA"/>
    <s v="FA"/>
    <s v="OF030"/>
    <n v="2100028494"/>
    <s v="PRODUCTIVIDAD HUMANA"/>
    <n v="35"/>
    <n v="0"/>
    <n v="35"/>
    <n v="0"/>
    <n v="0"/>
    <n v="0"/>
    <n v="35"/>
    <d v="2025-12-02T00:00:00"/>
    <d v="2026-01-16T00:00:00"/>
    <n v="-14"/>
    <s v="004-001"/>
    <x v="0"/>
    <x v="5"/>
    <x v="4"/>
    <n v="0"/>
    <n v="0"/>
    <n v="0"/>
    <n v="0"/>
    <n v="0"/>
    <n v="0"/>
  </r>
  <r>
    <s v="MARSH ASPROSE CORREDORA DE SEGUROS SOCIEDAD ANONIMA"/>
    <s v="FA"/>
    <s v="OF030"/>
    <n v="2100028244"/>
    <s v="PRODUCTIVIDAD HUMANA"/>
    <n v="35"/>
    <n v="0"/>
    <n v="0"/>
    <n v="0"/>
    <n v="35"/>
    <n v="0"/>
    <n v="35"/>
    <d v="2025-10-14T00:00:00"/>
    <d v="2025-11-13T00:00:00"/>
    <n v="-78"/>
    <s v="004-001"/>
    <x v="0"/>
    <x v="5"/>
    <x v="4"/>
    <n v="0"/>
    <n v="0"/>
    <n v="0"/>
    <n v="0"/>
    <n v="0"/>
    <n v="0"/>
  </r>
  <r>
    <s v="MARSH ASPROSE CORREDORA DE SEGUROS SOCIEDAD ANONIMA"/>
    <s v="FA"/>
    <s v="OF030"/>
    <n v="2100028399"/>
    <s v="PRODUCTIVIDAD HUMANA"/>
    <n v="35"/>
    <n v="0"/>
    <n v="0"/>
    <n v="35"/>
    <n v="0"/>
    <n v="0"/>
    <n v="35"/>
    <d v="2025-11-14T00:00:00"/>
    <d v="2025-12-14T00:00:00"/>
    <n v="-47"/>
    <s v="004-001"/>
    <x v="0"/>
    <x v="5"/>
    <x v="4"/>
    <n v="0"/>
    <n v="0"/>
    <n v="0"/>
    <n v="0"/>
    <n v="0"/>
    <n v="0"/>
  </r>
  <r>
    <s v="MAURICIO AMADOR ALMANZA"/>
    <s v="NC"/>
    <s v="0001 "/>
    <n v="10287"/>
    <s v="PRODUCTIVIDAD HUMANA"/>
    <n v="-74.422639000000004"/>
    <n v="0"/>
    <n v="0"/>
    <n v="0"/>
    <n v="0"/>
    <n v="-74.42"/>
    <n v="-74.42"/>
    <d v="2024-05-14T00:00:00"/>
    <d v="2024-05-14T00:00:00"/>
    <n v="-626"/>
    <s v="004-001"/>
    <x v="0"/>
    <x v="4"/>
    <x v="3"/>
    <n v="0"/>
    <n v="0"/>
    <n v="0"/>
    <n v="0"/>
    <n v="0"/>
    <n v="0"/>
  </r>
  <r>
    <s v="MAURICIO SANCHEZ"/>
    <s v="FA"/>
    <s v="0001 "/>
    <n v="5784"/>
    <s v="PRODUCTIVIDAD HUMANA"/>
    <n v="4972"/>
    <n v="0"/>
    <n v="0"/>
    <n v="0"/>
    <n v="0"/>
    <n v="4972"/>
    <n v="4972"/>
    <d v="2023-12-29T00:00:00"/>
    <d v="2024-01-28T00:00:00"/>
    <n v="-733"/>
    <s v="004-001"/>
    <x v="0"/>
    <x v="6"/>
    <x v="5"/>
    <n v="0"/>
    <n v="0"/>
    <n v="0"/>
    <n v="0"/>
    <n v="0"/>
    <n v="0"/>
  </r>
  <r>
    <s v="Mederi Limitada"/>
    <s v="NC"/>
    <s v="000  "/>
    <s v="AD00025822"/>
    <s v="PRODUCTIVIDAD HUMANA"/>
    <n v="-375"/>
    <n v="0"/>
    <n v="0"/>
    <n v="0"/>
    <n v="0"/>
    <n v="-375"/>
    <n v="-375"/>
    <d v="2025-06-27T00:00:00"/>
    <d v="2025-06-27T00:00:00"/>
    <n v="-217"/>
    <s v="004-001"/>
    <x v="0"/>
    <x v="5"/>
    <x v="4"/>
    <n v="0"/>
    <n v="0"/>
    <n v="0"/>
    <n v="0"/>
    <n v="0"/>
    <n v="0"/>
  </r>
  <r>
    <s v="MICROVENTION COSTA RICA SRL"/>
    <s v="FA"/>
    <s v="0001 "/>
    <n v="6960"/>
    <s v="PRODUCTIVIDAD HUMANA"/>
    <n v="1286.5"/>
    <n v="0"/>
    <n v="0"/>
    <n v="0"/>
    <n v="0"/>
    <n v="1286.5"/>
    <n v="1286.5"/>
    <d v="2024-01-31T00:00:00"/>
    <d v="2024-03-01T00:00:00"/>
    <n v="-700"/>
    <s v="004-001"/>
    <x v="0"/>
    <x v="6"/>
    <x v="5"/>
    <n v="0"/>
    <n v="0"/>
    <n v="0"/>
    <n v="0"/>
    <n v="0"/>
    <n v="0"/>
  </r>
  <r>
    <s v="MICROVENTION COSTA RICA SRL"/>
    <s v="FA"/>
    <s v="0001 "/>
    <n v="6974"/>
    <s v="PRODUCTIVIDAD HUMANA"/>
    <n v="880"/>
    <n v="0"/>
    <n v="0"/>
    <n v="0"/>
    <n v="0"/>
    <n v="880"/>
    <n v="880"/>
    <d v="2024-01-31T00:00:00"/>
    <d v="2024-03-01T00:00:00"/>
    <n v="-700"/>
    <s v="004-001"/>
    <x v="0"/>
    <x v="6"/>
    <x v="5"/>
    <n v="0"/>
    <n v="0"/>
    <n v="0"/>
    <n v="0"/>
    <n v="0"/>
    <n v="0"/>
  </r>
  <r>
    <s v="MICROVENTION COSTA RICA SRL"/>
    <s v="FA"/>
    <s v="0001 "/>
    <n v="6013"/>
    <s v="PRODUCTIVIDAD HUMANA"/>
    <n v="465"/>
    <n v="0"/>
    <n v="0"/>
    <n v="0"/>
    <n v="0"/>
    <n v="465"/>
    <n v="465"/>
    <d v="2024-01-10T00:00:00"/>
    <d v="2024-02-09T00:00:00"/>
    <n v="-721"/>
    <s v="004-001"/>
    <x v="0"/>
    <x v="6"/>
    <x v="5"/>
    <n v="0"/>
    <n v="0"/>
    <n v="0"/>
    <n v="0"/>
    <n v="0"/>
    <n v="0"/>
  </r>
  <r>
    <s v="MICROVENTION COSTA RICA SRL"/>
    <s v="FA"/>
    <s v="0001 "/>
    <n v="1935"/>
    <s v="PRODUCTIVIDAD HUMANA"/>
    <n v="122.64"/>
    <n v="0"/>
    <n v="0"/>
    <n v="0"/>
    <n v="0"/>
    <n v="122.64"/>
    <n v="122.64"/>
    <d v="2023-08-23T00:00:00"/>
    <d v="2023-08-23T00:00:00"/>
    <n v="-891"/>
    <s v="004-001"/>
    <x v="0"/>
    <x v="6"/>
    <x v="5"/>
    <n v="0"/>
    <n v="0"/>
    <n v="0"/>
    <n v="0"/>
    <n v="0"/>
    <n v="0"/>
  </r>
  <r>
    <s v="MINISTERIO DE EDUCACION PUBLICA"/>
    <s v="FA"/>
    <s v="0001 "/>
    <n v="10400"/>
    <s v="PRODUCTIVIDAD HUMANA"/>
    <n v="523.44000000000005"/>
    <n v="0"/>
    <n v="0"/>
    <n v="0"/>
    <n v="0"/>
    <n v="523.44000000000005"/>
    <n v="523.44000000000005"/>
    <d v="2024-05-21T00:00:00"/>
    <d v="2024-06-20T00:00:00"/>
    <n v="-589"/>
    <s v="004-001"/>
    <x v="0"/>
    <x v="6"/>
    <x v="5"/>
    <n v="0"/>
    <n v="0"/>
    <n v="0"/>
    <n v="0"/>
    <n v="0"/>
    <n v="0"/>
  </r>
  <r>
    <s v="MOBI OFFICE SA"/>
    <s v="NC"/>
    <s v="0001 "/>
    <n v="15"/>
    <s v="PRODUCTIVIDAD HUMANA"/>
    <n v="-39.967911000000001"/>
    <n v="0"/>
    <n v="0"/>
    <n v="0"/>
    <n v="0"/>
    <n v="-39.97"/>
    <n v="-39.97"/>
    <d v="2020-08-14T00:00:00"/>
    <d v="2020-08-14T00:00:00"/>
    <n v="-1995"/>
    <s v="004-001"/>
    <x v="0"/>
    <x v="4"/>
    <x v="3"/>
    <n v="0"/>
    <n v="0"/>
    <n v="0"/>
    <n v="0"/>
    <n v="0"/>
    <n v="0"/>
  </r>
  <r>
    <s v="MOTO PARTES RUTA SESENTA Y SEIS S.A"/>
    <s v="NC"/>
    <s v="0001 "/>
    <n v="6020"/>
    <s v="PRODUCTIVIDAD HUMANA"/>
    <n v="-18.13"/>
    <n v="0"/>
    <n v="0"/>
    <n v="0"/>
    <n v="0"/>
    <n v="-18.13"/>
    <n v="-18.13"/>
    <d v="2023-12-01T00:00:00"/>
    <d v="2023-12-01T00:00:00"/>
    <n v="-791"/>
    <s v="004-001"/>
    <x v="0"/>
    <x v="4"/>
    <x v="3"/>
    <n v="0"/>
    <n v="0"/>
    <n v="0"/>
    <n v="0"/>
    <n v="0"/>
    <n v="0"/>
  </r>
  <r>
    <s v="MULTI CLAMP SOCIEDAD ANONIMA"/>
    <s v="FA"/>
    <s v="23   "/>
    <n v="70844"/>
    <s v="PRODUCTIVIDAD HUMANA"/>
    <n v="559.20278399999995"/>
    <n v="0"/>
    <n v="0"/>
    <n v="0"/>
    <n v="0"/>
    <n v="559.20000000000005"/>
    <n v="559.20000000000005"/>
    <d v="2024-12-27T00:00:00"/>
    <d v="2025-01-11T00:00:00"/>
    <n v="-384"/>
    <s v="001"/>
    <x v="1"/>
    <x v="6"/>
    <x v="5"/>
    <n v="0"/>
    <n v="0"/>
    <n v="0"/>
    <n v="0"/>
    <n v="0"/>
    <n v="0"/>
  </r>
  <r>
    <s v="MUNICIPALIDAD DE ALAJUELA"/>
    <s v="NC"/>
    <s v="OF057"/>
    <s v="AD00025448"/>
    <s v="PRODUCTIVIDAD HUMANA"/>
    <n v="-13.86"/>
    <n v="0"/>
    <n v="0"/>
    <n v="0"/>
    <n v="0"/>
    <n v="-13.86"/>
    <n v="-13.86"/>
    <d v="2025-03-25T00:00:00"/>
    <d v="2025-03-25T00:00:00"/>
    <n v="-311"/>
    <s v="004-001"/>
    <x v="0"/>
    <x v="4"/>
    <x v="3"/>
    <n v="0"/>
    <n v="0"/>
    <n v="0"/>
    <n v="0"/>
    <n v="0"/>
    <n v="0"/>
  </r>
  <r>
    <s v="Municipalidad de Montes de Oca"/>
    <s v="FA"/>
    <s v="77   "/>
    <n v="71114"/>
    <s v="PRODUCTIVIDAD HUMANA"/>
    <n v="14839.870446999999"/>
    <n v="0"/>
    <n v="14839.87"/>
    <n v="0"/>
    <n v="0"/>
    <n v="0"/>
    <n v="14839.87"/>
    <d v="2025-12-15T00:00:00"/>
    <d v="2026-01-14T00:00:00"/>
    <n v="-16"/>
    <s v="001"/>
    <x v="1"/>
    <x v="1"/>
    <x v="1"/>
    <n v="0"/>
    <n v="14839.87"/>
    <n v="0"/>
    <n v="0"/>
    <n v="0"/>
    <n v="0"/>
  </r>
  <r>
    <s v="MUNICIPALIDAD DE PALMARES"/>
    <s v="FA"/>
    <s v="OF111"/>
    <n v="2100028572"/>
    <s v="PRODUCTIVIDAD HUMANA"/>
    <n v="13496"/>
    <n v="0"/>
    <n v="13496"/>
    <n v="0"/>
    <n v="0"/>
    <n v="0"/>
    <n v="13496"/>
    <d v="2025-12-19T00:00:00"/>
    <d v="2026-01-18T00:00:00"/>
    <n v="-12"/>
    <s v="004-001"/>
    <x v="0"/>
    <x v="1"/>
    <x v="1"/>
    <n v="0"/>
    <n v="13496"/>
    <n v="0"/>
    <n v="0"/>
    <n v="0"/>
    <n v="0"/>
  </r>
  <r>
    <s v="NELSY LINETH DE LOS ANGELES SANABRIA OROZCO"/>
    <s v="NC"/>
    <s v="89   "/>
    <s v="AD00002153"/>
    <s v="PRODUCTIVIDAD HUMANA"/>
    <n v="-5000"/>
    <n v="0"/>
    <n v="0"/>
    <n v="0"/>
    <n v="0"/>
    <n v="-5000"/>
    <n v="-5000"/>
    <d v="2024-07-30T00:00:00"/>
    <d v="2024-07-30T00:00:00"/>
    <n v="-549"/>
    <s v="001"/>
    <x v="1"/>
    <x v="7"/>
    <x v="6"/>
    <n v="0"/>
    <n v="0"/>
    <n v="0"/>
    <n v="0"/>
    <n v="0"/>
    <n v="0"/>
  </r>
  <r>
    <s v="NELSY LINETH DE LOS ANGELES SANABRIA OROZCO"/>
    <s v="NC"/>
    <s v="89   "/>
    <s v="AD00002161"/>
    <s v="PRODUCTIVIDAD HUMANA"/>
    <n v="-5000"/>
    <n v="0"/>
    <n v="0"/>
    <n v="0"/>
    <n v="0"/>
    <n v="-5000"/>
    <n v="-5000"/>
    <d v="2024-08-27T00:00:00"/>
    <d v="2024-08-27T00:00:00"/>
    <n v="-521"/>
    <s v="001"/>
    <x v="1"/>
    <x v="7"/>
    <x v="6"/>
    <n v="0"/>
    <n v="0"/>
    <n v="0"/>
    <n v="0"/>
    <n v="0"/>
    <n v="0"/>
  </r>
  <r>
    <s v="NELSY LINETH DE LOS ANGELES SANABRIA OROZCO"/>
    <s v="NC"/>
    <s v="89   "/>
    <s v="AD00002120"/>
    <s v="PRODUCTIVIDAD HUMANA"/>
    <n v="-1000"/>
    <n v="0"/>
    <n v="0"/>
    <n v="0"/>
    <n v="0"/>
    <n v="-1000"/>
    <n v="-1000"/>
    <d v="2024-05-10T00:00:00"/>
    <d v="2024-05-10T00:00:00"/>
    <n v="-630"/>
    <s v="001"/>
    <x v="1"/>
    <x v="7"/>
    <x v="6"/>
    <n v="0"/>
    <n v="0"/>
    <n v="0"/>
    <n v="0"/>
    <n v="0"/>
    <n v="0"/>
  </r>
  <r>
    <s v="NITINOL DEVICES &amp; COMPONENTS COSTA RICA SOCIEDAD DE RESPOSABILIDAD LIMITADA"/>
    <s v="NC"/>
    <s v="105  "/>
    <s v="AD00001725"/>
    <s v="PRODUCTIVIDAD HUMANA"/>
    <n v="-296"/>
    <n v="0"/>
    <n v="0"/>
    <n v="0"/>
    <n v="0"/>
    <n v="-296"/>
    <n v="-296"/>
    <d v="2021-02-11T00:00:00"/>
    <d v="2021-02-11T00:00:00"/>
    <n v="-1814"/>
    <s v="001"/>
    <x v="1"/>
    <x v="4"/>
    <x v="3"/>
    <n v="0"/>
    <n v="0"/>
    <n v="0"/>
    <n v="0"/>
    <n v="0"/>
    <n v="0"/>
  </r>
  <r>
    <s v="NORFUND"/>
    <s v="FA"/>
    <s v="0001 "/>
    <n v="1933"/>
    <s v="PRODUCTIVIDAD HUMANA"/>
    <n v="1220.4000000000001"/>
    <n v="0"/>
    <n v="0"/>
    <n v="0"/>
    <n v="0"/>
    <n v="1220.4000000000001"/>
    <n v="1220.4000000000001"/>
    <d v="2023-08-25T00:00:00"/>
    <d v="2023-08-25T00:00:00"/>
    <n v="-889"/>
    <s v="004-001"/>
    <x v="0"/>
    <x v="6"/>
    <x v="5"/>
    <n v="0"/>
    <n v="0"/>
    <n v="0"/>
    <n v="0"/>
    <n v="0"/>
    <n v="0"/>
  </r>
  <r>
    <s v="NOVASHORE OUTSOURCING SOLUTIONS SOCIEDAD ANONIMA"/>
    <s v="FA"/>
    <s v="111  "/>
    <n v="70467"/>
    <s v="PRODUCTIVIDAD HUMANA"/>
    <n v="914.62"/>
    <n v="0"/>
    <n v="0"/>
    <n v="0"/>
    <n v="0"/>
    <n v="914.62"/>
    <n v="914.62"/>
    <d v="2023-08-16T00:00:00"/>
    <d v="2023-08-17T00:00:00"/>
    <n v="-897"/>
    <s v="002"/>
    <x v="1"/>
    <x v="6"/>
    <x v="5"/>
    <n v="0"/>
    <n v="0"/>
    <n v="0"/>
    <n v="0"/>
    <n v="0"/>
    <n v="0"/>
  </r>
  <r>
    <s v="NOVOGAR S.A"/>
    <s v="NC"/>
    <s v="34   "/>
    <n v="1183"/>
    <s v="PRODUCTIVIDAD HUMANA"/>
    <n v="-345.73"/>
    <n v="0"/>
    <n v="0"/>
    <n v="0"/>
    <n v="0"/>
    <n v="-345.73"/>
    <n v="-345.73"/>
    <d v="2019-06-26T00:00:00"/>
    <d v="2019-07-26T00:00:00"/>
    <n v="-2380"/>
    <s v="001"/>
    <x v="1"/>
    <x v="4"/>
    <x v="3"/>
    <n v="0"/>
    <n v="0"/>
    <n v="0"/>
    <n v="0"/>
    <n v="0"/>
    <n v="0"/>
  </r>
  <r>
    <s v="P Y P CONSTRUCCIONES S.A."/>
    <s v="FA"/>
    <s v="0103 "/>
    <n v="70492"/>
    <s v="PRODUCTIVIDAD HUMANA"/>
    <n v="8002.24"/>
    <n v="0"/>
    <n v="0"/>
    <n v="0"/>
    <n v="0"/>
    <n v="8002.24"/>
    <n v="8002.24"/>
    <d v="2023-09-28T00:00:00"/>
    <d v="2023-10-13T00:00:00"/>
    <n v="-840"/>
    <s v="001"/>
    <x v="1"/>
    <x v="6"/>
    <x v="5"/>
    <n v="0"/>
    <n v="0"/>
    <n v="0"/>
    <n v="0"/>
    <n v="0"/>
    <n v="0"/>
  </r>
  <r>
    <s v="P Y P CONSTRUCCIONES S.A."/>
    <s v="FA"/>
    <s v="0103 "/>
    <n v="70568"/>
    <s v="PRODUCTIVIDAD HUMANA"/>
    <n v="2708.12"/>
    <n v="0"/>
    <n v="0"/>
    <n v="0"/>
    <n v="0"/>
    <n v="2708.12"/>
    <n v="2708.12"/>
    <d v="2023-12-13T00:00:00"/>
    <d v="2023-12-28T00:00:00"/>
    <n v="-764"/>
    <s v="001"/>
    <x v="1"/>
    <x v="6"/>
    <x v="5"/>
    <n v="0"/>
    <n v="0"/>
    <n v="0"/>
    <n v="0"/>
    <n v="0"/>
    <n v="0"/>
  </r>
  <r>
    <s v="P Y P CONSTRUCCIONES S.A."/>
    <s v="FA"/>
    <s v="0103 "/>
    <n v="70457"/>
    <s v="PRODUCTIVIDAD HUMANA"/>
    <n v="2071.69"/>
    <n v="0"/>
    <n v="0"/>
    <n v="0"/>
    <n v="0"/>
    <n v="2071.69"/>
    <n v="2071.69"/>
    <d v="2023-07-13T00:00:00"/>
    <d v="2023-07-28T00:00:00"/>
    <n v="-917"/>
    <s v="001"/>
    <x v="1"/>
    <x v="6"/>
    <x v="5"/>
    <n v="0"/>
    <n v="0"/>
    <n v="0"/>
    <n v="0"/>
    <n v="0"/>
    <n v="0"/>
  </r>
  <r>
    <s v="P Y P CONSTRUCCIONES S.A."/>
    <s v="FA"/>
    <s v="065  "/>
    <n v="70578"/>
    <s v="PRODUCTIVIDAD HUMANA"/>
    <n v="188.47"/>
    <n v="0"/>
    <n v="0"/>
    <n v="0"/>
    <n v="0"/>
    <n v="188.47"/>
    <n v="188.47"/>
    <d v="2023-12-18T00:00:00"/>
    <d v="2024-01-02T00:00:00"/>
    <n v="-759"/>
    <s v="001"/>
    <x v="1"/>
    <x v="6"/>
    <x v="5"/>
    <n v="0"/>
    <n v="0"/>
    <n v="0"/>
    <n v="0"/>
    <n v="0"/>
    <n v="0"/>
  </r>
  <r>
    <s v="P Y P CONSTRUCCIONES SOCIEDAD ANONIMA"/>
    <s v="NC"/>
    <s v="OF030"/>
    <s v="AD00026142"/>
    <s v="PRODUCTIVIDAD HUMANA"/>
    <n v="-350"/>
    <n v="0"/>
    <n v="0"/>
    <n v="0"/>
    <n v="0"/>
    <n v="-350"/>
    <n v="-350"/>
    <d v="2025-09-22T00:00:00"/>
    <d v="2025-09-22T00:00:00"/>
    <n v="-130"/>
    <s v="004-001"/>
    <x v="0"/>
    <x v="4"/>
    <x v="3"/>
    <n v="0"/>
    <n v="0"/>
    <n v="0"/>
    <n v="0"/>
    <n v="0"/>
    <n v="0"/>
  </r>
  <r>
    <s v="P Y P CONSTRUCCIONES SOCIEDAD ANONIMA"/>
    <s v="FA"/>
    <s v="O7EX "/>
    <n v="2100027665"/>
    <s v="PRODUCTIVIDAD HUMANA"/>
    <n v="94399.99"/>
    <n v="0"/>
    <n v="0"/>
    <n v="0"/>
    <n v="0"/>
    <n v="94399.99"/>
    <n v="94399.99"/>
    <d v="2025-07-17T00:00:00"/>
    <d v="2025-08-31T00:00:00"/>
    <n v="-152"/>
    <s v="004-001"/>
    <x v="0"/>
    <x v="1"/>
    <x v="1"/>
    <n v="0"/>
    <n v="94399.99"/>
    <n v="0"/>
    <n v="0"/>
    <n v="0"/>
    <n v="0"/>
  </r>
  <r>
    <s v="PANELTECH SOCIEDAD ANONIMA"/>
    <s v="NC"/>
    <s v="111  "/>
    <n v="51127"/>
    <s v="PRODUCTIVIDAD HUMANA"/>
    <n v="-319.07"/>
    <n v="0"/>
    <n v="0"/>
    <n v="0"/>
    <n v="0"/>
    <n v="-319.07"/>
    <n v="-319.07"/>
    <d v="2025-09-05T00:00:00"/>
    <d v="2025-09-05T00:00:00"/>
    <n v="-147"/>
    <s v="001"/>
    <x v="1"/>
    <x v="4"/>
    <x v="3"/>
    <n v="0"/>
    <n v="0"/>
    <n v="0"/>
    <n v="0"/>
    <n v="0"/>
    <n v="0"/>
  </r>
  <r>
    <s v="PARAISO TROPICAL INC SOCIEDAD ANONIMA"/>
    <s v="NC"/>
    <s v="90   "/>
    <s v="AD00001947"/>
    <s v="PRODUCTIVIDAD HUMANA"/>
    <n v="-1330"/>
    <n v="0"/>
    <n v="0"/>
    <n v="0"/>
    <n v="0"/>
    <n v="-1330"/>
    <n v="-1330"/>
    <d v="2022-11-25T00:00:00"/>
    <d v="2022-11-25T00:00:00"/>
    <n v="-1162"/>
    <s v="002"/>
    <x v="1"/>
    <x v="4"/>
    <x v="3"/>
    <n v="0"/>
    <n v="0"/>
    <n v="0"/>
    <n v="0"/>
    <n v="0"/>
    <n v="0"/>
  </r>
  <r>
    <s v="PARQUE CENTRAL SOCIEDAD ANONIMA"/>
    <s v="NC"/>
    <s v="111  "/>
    <n v="51067"/>
    <s v="PRODUCTIVIDAD HUMANA"/>
    <n v="-59.3"/>
    <n v="0"/>
    <n v="0"/>
    <n v="0"/>
    <n v="0"/>
    <n v="-59.3"/>
    <n v="-59.3"/>
    <d v="2024-07-26T00:00:00"/>
    <d v="2024-07-26T00:00:00"/>
    <n v="-553"/>
    <s v="001"/>
    <x v="1"/>
    <x v="4"/>
    <x v="3"/>
    <n v="0"/>
    <n v="0"/>
    <n v="0"/>
    <n v="0"/>
    <n v="0"/>
    <n v="0"/>
  </r>
  <r>
    <s v="PARQUE CENTRAL SOCIEDAD ANONIMA"/>
    <s v="FA"/>
    <s v="111  "/>
    <n v="71038"/>
    <s v="PRODUCTIVIDAD HUMANA"/>
    <n v="296.33999999999997"/>
    <n v="0"/>
    <n v="0"/>
    <n v="0"/>
    <n v="0"/>
    <n v="296.33999999999997"/>
    <n v="296.33999999999997"/>
    <d v="2025-09-24T00:00:00"/>
    <d v="2025-10-02T00:00:00"/>
    <n v="-120"/>
    <s v="001"/>
    <x v="1"/>
    <x v="5"/>
    <x v="4"/>
    <n v="0"/>
    <n v="0"/>
    <n v="0"/>
    <n v="0"/>
    <n v="0"/>
    <n v="0"/>
  </r>
  <r>
    <s v="PARQUE CENTRAL SOCIEDAD ANONIMA"/>
    <s v="NC"/>
    <s v="111  "/>
    <n v="51142"/>
    <s v="PRODUCTIVIDAD HUMANA"/>
    <n v="-6126.02"/>
    <n v="0"/>
    <n v="0"/>
    <n v="0"/>
    <n v="-6126.02"/>
    <n v="0"/>
    <n v="-6126.02"/>
    <d v="2025-11-25T00:00:00"/>
    <d v="2025-11-25T00:00:00"/>
    <n v="-66"/>
    <s v="001"/>
    <x v="1"/>
    <x v="7"/>
    <x v="6"/>
    <n v="0"/>
    <n v="0"/>
    <n v="0"/>
    <n v="0"/>
    <n v="0"/>
    <n v="0"/>
  </r>
  <r>
    <s v="PARQUE CENTRAL SOCIEDAD ANONIMA"/>
    <s v="NC"/>
    <s v="0103 "/>
    <s v="AD00002234"/>
    <s v="PRODUCTIVIDAD HUMANA"/>
    <n v="-1067.8499999999999"/>
    <n v="0"/>
    <n v="0"/>
    <n v="0"/>
    <n v="0"/>
    <n v="-1067.8499999999999"/>
    <n v="-1067.8499999999999"/>
    <d v="2025-07-18T00:00:00"/>
    <d v="2025-07-18T00:00:00"/>
    <n v="-196"/>
    <s v="001"/>
    <x v="1"/>
    <x v="7"/>
    <x v="6"/>
    <n v="0"/>
    <n v="0"/>
    <n v="0"/>
    <n v="0"/>
    <n v="0"/>
    <n v="0"/>
  </r>
  <r>
    <s v="PARQUE CENTRAL SOCIEDAD ANONIMA"/>
    <s v="NC"/>
    <s v="0103 "/>
    <s v="AD00002237"/>
    <s v="PRODUCTIVIDAD HUMANA"/>
    <n v="-484.27"/>
    <n v="0"/>
    <n v="0"/>
    <n v="0"/>
    <n v="0"/>
    <n v="-484.27"/>
    <n v="-484.27"/>
    <d v="2025-07-18T00:00:00"/>
    <d v="2025-07-18T00:00:00"/>
    <n v="-196"/>
    <s v="001"/>
    <x v="1"/>
    <x v="7"/>
    <x v="6"/>
    <n v="0"/>
    <n v="0"/>
    <n v="0"/>
    <n v="0"/>
    <n v="0"/>
    <n v="0"/>
  </r>
  <r>
    <s v="PARQUE CENTRAL SOCIEDAD ANONIMA"/>
    <s v="NC"/>
    <s v="0103 "/>
    <s v="AD00002235"/>
    <s v="PRODUCTIVIDAD HUMANA"/>
    <n v="-440.34"/>
    <n v="0"/>
    <n v="0"/>
    <n v="0"/>
    <n v="0"/>
    <n v="-440.34"/>
    <n v="-440.34"/>
    <d v="2025-07-18T00:00:00"/>
    <d v="2025-07-18T00:00:00"/>
    <n v="-196"/>
    <s v="001"/>
    <x v="1"/>
    <x v="7"/>
    <x v="6"/>
    <n v="0"/>
    <n v="0"/>
    <n v="0"/>
    <n v="0"/>
    <n v="0"/>
    <n v="0"/>
  </r>
  <r>
    <s v="PARQUE CENTRAL SOCIEDAD ANONIMA"/>
    <s v="NC"/>
    <s v="0103 "/>
    <s v="AD00002236"/>
    <s v="PRODUCTIVIDAD HUMANA"/>
    <n v="-316.18"/>
    <n v="0"/>
    <n v="0"/>
    <n v="0"/>
    <n v="0"/>
    <n v="-316.18"/>
    <n v="-316.18"/>
    <d v="2025-07-18T00:00:00"/>
    <d v="2025-07-18T00:00:00"/>
    <n v="-196"/>
    <s v="001"/>
    <x v="1"/>
    <x v="7"/>
    <x v="6"/>
    <n v="0"/>
    <n v="0"/>
    <n v="0"/>
    <n v="0"/>
    <n v="0"/>
    <n v="0"/>
  </r>
  <r>
    <s v="PARQUE CENTRAL SOCIEDAD ANONIMA"/>
    <s v="NC"/>
    <s v="0103 "/>
    <s v="AD00002238"/>
    <s v="PRODUCTIVIDAD HUMANA"/>
    <n v="-242.98"/>
    <n v="0"/>
    <n v="0"/>
    <n v="0"/>
    <n v="0"/>
    <n v="-242.98"/>
    <n v="-242.98"/>
    <d v="2025-07-18T00:00:00"/>
    <d v="2025-07-18T00:00:00"/>
    <n v="-196"/>
    <s v="001"/>
    <x v="1"/>
    <x v="7"/>
    <x v="6"/>
    <n v="0"/>
    <n v="0"/>
    <n v="0"/>
    <n v="0"/>
    <n v="0"/>
    <n v="0"/>
  </r>
  <r>
    <s v="PARQUE CENTRAL SOCIEDAD ANONIMA"/>
    <s v="FA"/>
    <s v="111  "/>
    <n v="71104"/>
    <s v="PRODUCTIVIDAD HUMANA"/>
    <n v="9264.2800000000007"/>
    <n v="0"/>
    <n v="0"/>
    <n v="9264.2800000000007"/>
    <n v="0"/>
    <n v="0"/>
    <n v="9264.2800000000007"/>
    <d v="2025-12-11T00:00:00"/>
    <d v="2025-12-19T00:00:00"/>
    <n v="-42"/>
    <s v="001"/>
    <x v="1"/>
    <x v="1"/>
    <x v="1"/>
    <n v="0"/>
    <n v="9264.2800000000007"/>
    <n v="0"/>
    <n v="0"/>
    <n v="0"/>
    <n v="0"/>
  </r>
  <r>
    <s v="PARTES ELECTROMECANICAS GULISA SOCIEDAD ANONIMA"/>
    <s v="NC"/>
    <s v="000  "/>
    <s v="AD00002264"/>
    <s v="PRODUCTIVIDAD HUMANA"/>
    <n v="-4899.83"/>
    <n v="0"/>
    <n v="0"/>
    <n v="0"/>
    <n v="-4899.83"/>
    <n v="0"/>
    <n v="-4899.83"/>
    <d v="2025-11-06T00:00:00"/>
    <d v="2025-11-06T00:00:00"/>
    <n v="-85"/>
    <s v="001"/>
    <x v="1"/>
    <x v="7"/>
    <x v="6"/>
    <n v="0"/>
    <n v="0"/>
    <n v="0"/>
    <n v="0"/>
    <n v="0"/>
    <n v="0"/>
  </r>
  <r>
    <s v="PFIZER ZONA FRANCA SOCIEDAD ANONIMA"/>
    <s v="NC"/>
    <s v="103  "/>
    <s v="AD00001546"/>
    <s v="PRODUCTIVIDAD HUMANA"/>
    <n v="-284.29000000000002"/>
    <n v="0"/>
    <n v="0"/>
    <n v="0"/>
    <n v="0"/>
    <n v="-284.29000000000002"/>
    <n v="-284.29000000000002"/>
    <d v="2019-08-09T00:00:00"/>
    <d v="2019-08-09T00:00:00"/>
    <n v="-2366"/>
    <s v="001"/>
    <x v="1"/>
    <x v="4"/>
    <x v="3"/>
    <n v="0"/>
    <n v="0"/>
    <n v="0"/>
    <n v="0"/>
    <n v="0"/>
    <n v="0"/>
  </r>
  <r>
    <s v="PFIZER ZONA FRANCA SOCIEDAD ANONIMA"/>
    <s v="FA"/>
    <s v="O7EX "/>
    <n v="2100026366"/>
    <s v="PRODUCTIVIDAD HUMANA"/>
    <n v="111.97"/>
    <n v="0"/>
    <n v="0"/>
    <n v="0"/>
    <n v="0"/>
    <n v="111.97"/>
    <n v="111.97"/>
    <d v="2024-12-05T00:00:00"/>
    <d v="2025-01-04T00:00:00"/>
    <n v="-391"/>
    <s v="004-001"/>
    <x v="0"/>
    <x v="6"/>
    <x v="5"/>
    <n v="0"/>
    <n v="0"/>
    <n v="0"/>
    <n v="0"/>
    <n v="0"/>
    <n v="0"/>
  </r>
  <r>
    <s v="PLAZA RIVIERA SOCIEDAD ANONIMA"/>
    <s v="FA"/>
    <s v="O7EX "/>
    <n v="2100027950"/>
    <s v="PRODUCTIVIDAD HUMANA"/>
    <n v="3860.87"/>
    <n v="0"/>
    <n v="0"/>
    <n v="0"/>
    <n v="0"/>
    <n v="3860.87"/>
    <n v="3860.87"/>
    <d v="2025-09-05T00:00:00"/>
    <d v="2025-10-05T00:00:00"/>
    <n v="-117"/>
    <s v="004-001"/>
    <x v="0"/>
    <x v="5"/>
    <x v="4"/>
    <n v="0"/>
    <n v="0"/>
    <n v="0"/>
    <n v="0"/>
    <n v="0"/>
    <n v="0"/>
  </r>
  <r>
    <s v="PLAZA RIVIERA SOCIEDAD ANONIMA"/>
    <s v="NC"/>
    <s v="OF030"/>
    <n v="4817"/>
    <s v="PRODUCTIVIDAD HUMANA"/>
    <n v="-3217.43"/>
    <n v="0"/>
    <n v="0"/>
    <n v="0"/>
    <n v="0"/>
    <n v="-3217.43"/>
    <n v="-3217.43"/>
    <d v="2025-07-28T00:00:00"/>
    <d v="2025-08-27T00:00:00"/>
    <n v="-156"/>
    <s v="004-001"/>
    <x v="0"/>
    <x v="5"/>
    <x v="4"/>
    <n v="0"/>
    <n v="0"/>
    <n v="0"/>
    <n v="0"/>
    <n v="0"/>
    <n v="0"/>
  </r>
  <r>
    <s v="PROLEPSIS"/>
    <s v="NC"/>
    <s v="0001 "/>
    <n v="3726"/>
    <s v="PRODUCTIVIDAD HUMANA"/>
    <n v="-739"/>
    <n v="0"/>
    <n v="0"/>
    <n v="0"/>
    <n v="0"/>
    <n v="-739"/>
    <n v="-739"/>
    <d v="2023-09-07T00:00:00"/>
    <d v="2023-09-07T00:00:00"/>
    <n v="-876"/>
    <s v="004-001"/>
    <x v="0"/>
    <x v="4"/>
    <x v="3"/>
    <n v="0"/>
    <n v="0"/>
    <n v="0"/>
    <n v="0"/>
    <n v="0"/>
    <n v="0"/>
  </r>
  <r>
    <s v="PROQUINAL COSTA RICA SOCIEDAD ANONIMA"/>
    <s v="NC"/>
    <s v="34   "/>
    <s v="AD00001943"/>
    <s v="PRODUCTIVIDAD HUMANA"/>
    <n v="-2736"/>
    <n v="0"/>
    <n v="0"/>
    <n v="0"/>
    <n v="0"/>
    <n v="-2736"/>
    <n v="-2736"/>
    <d v="2022-11-24T00:00:00"/>
    <d v="2022-11-24T00:00:00"/>
    <n v="-1163"/>
    <s v="002"/>
    <x v="1"/>
    <x v="4"/>
    <x v="3"/>
    <n v="0"/>
    <n v="0"/>
    <n v="0"/>
    <n v="0"/>
    <n v="0"/>
    <n v="0"/>
  </r>
  <r>
    <s v="PROYECTA MPM MIL"/>
    <s v="NC"/>
    <s v="0001 "/>
    <n v="6485"/>
    <s v="PRODUCTIVIDAD HUMANA"/>
    <n v="-54.58"/>
    <n v="0"/>
    <n v="0"/>
    <n v="0"/>
    <n v="0"/>
    <n v="-54.58"/>
    <n v="-54.58"/>
    <d v="2024-01-29T00:00:00"/>
    <d v="2024-01-29T00:00:00"/>
    <n v="-732"/>
    <s v="004-001"/>
    <x v="0"/>
    <x v="4"/>
    <x v="3"/>
    <n v="0"/>
    <n v="0"/>
    <n v="0"/>
    <n v="0"/>
    <n v="0"/>
    <n v="0"/>
  </r>
  <r>
    <s v="PROYECTA MPM MIL"/>
    <s v="FA"/>
    <s v="0001 "/>
    <n v="3969"/>
    <s v="PRODUCTIVIDAD HUMANA"/>
    <n v="2569.79"/>
    <n v="0"/>
    <n v="0"/>
    <n v="0"/>
    <n v="0"/>
    <n v="2569.79"/>
    <n v="2569.79"/>
    <d v="2023-10-30T00:00:00"/>
    <d v="2023-10-31T00:00:00"/>
    <n v="-822"/>
    <s v="004-001"/>
    <x v="0"/>
    <x v="6"/>
    <x v="5"/>
    <n v="0"/>
    <n v="0"/>
    <n v="0"/>
    <n v="0"/>
    <n v="0"/>
    <n v="0"/>
  </r>
  <r>
    <s v="PROYECTOS DE ACCESO PROA S.A"/>
    <s v="FA"/>
    <s v="0001 "/>
    <n v="4803"/>
    <s v="PRODUCTIVIDAD HUMANA"/>
    <n v="42477.83"/>
    <n v="0"/>
    <n v="0"/>
    <n v="0"/>
    <n v="0"/>
    <n v="42477.83"/>
    <n v="42477.83"/>
    <d v="2023-11-28T00:00:00"/>
    <d v="2023-11-28T00:00:00"/>
    <n v="-794"/>
    <s v="004-001"/>
    <x v="0"/>
    <x v="6"/>
    <x v="5"/>
    <n v="0"/>
    <n v="0"/>
    <n v="0"/>
    <n v="0"/>
    <n v="0"/>
    <n v="0"/>
  </r>
  <r>
    <s v="PROYECTOS DE ACCESO PROA S.A"/>
    <s v="FA"/>
    <s v="0001 "/>
    <n v="3881"/>
    <s v="PRODUCTIVIDAD HUMANA"/>
    <n v="23636.48"/>
    <n v="0"/>
    <n v="0"/>
    <n v="0"/>
    <n v="0"/>
    <n v="23636.48"/>
    <n v="23636.48"/>
    <d v="2023-10-24T00:00:00"/>
    <d v="2023-10-24T00:00:00"/>
    <n v="-829"/>
    <s v="004-001"/>
    <x v="0"/>
    <x v="6"/>
    <x v="5"/>
    <n v="0"/>
    <n v="0"/>
    <n v="0"/>
    <n v="0"/>
    <n v="0"/>
    <n v="0"/>
  </r>
  <r>
    <s v="PROYECTOS TURBINA S.A"/>
    <s v="NC"/>
    <s v="0001 "/>
    <n v="602"/>
    <s v="PRODUCTIVIDAD HUMANA"/>
    <n v="-1044.1199999999999"/>
    <n v="0"/>
    <n v="0"/>
    <n v="0"/>
    <n v="0"/>
    <n v="-1044.1199999999999"/>
    <n v="-1044.1199999999999"/>
    <d v="2023-06-19T00:00:00"/>
    <d v="2023-06-19T00:00:00"/>
    <n v="-956"/>
    <s v="004-001"/>
    <x v="0"/>
    <x v="4"/>
    <x v="3"/>
    <n v="0"/>
    <n v="0"/>
    <n v="0"/>
    <n v="0"/>
    <n v="0"/>
    <n v="0"/>
  </r>
  <r>
    <s v="Proyekta Ingenieria y Construccion S.A."/>
    <s v="NC"/>
    <s v="005  "/>
    <s v="AD00001923"/>
    <s v="PRODUCTIVIDAD HUMANA"/>
    <n v="-1000"/>
    <n v="0"/>
    <n v="0"/>
    <n v="0"/>
    <n v="0"/>
    <n v="-1000"/>
    <n v="-1000"/>
    <d v="2022-10-18T00:00:00"/>
    <d v="2022-10-18T00:00:00"/>
    <n v="-1200"/>
    <s v="002"/>
    <x v="1"/>
    <x v="4"/>
    <x v="3"/>
    <n v="0"/>
    <n v="0"/>
    <n v="0"/>
    <n v="0"/>
    <n v="0"/>
    <n v="0"/>
  </r>
  <r>
    <s v="RAINIER TRADING FOOD SA"/>
    <s v="NC"/>
    <s v="0001 "/>
    <n v="3368"/>
    <s v="PRODUCTIVIDAD HUMANA"/>
    <n v="-449.51"/>
    <n v="0"/>
    <n v="0"/>
    <n v="0"/>
    <n v="0"/>
    <n v="-449.51"/>
    <n v="-449.51"/>
    <d v="2023-09-27T00:00:00"/>
    <d v="2023-09-27T00:00:00"/>
    <n v="-856"/>
    <s v="004-001"/>
    <x v="0"/>
    <x v="4"/>
    <x v="3"/>
    <n v="0"/>
    <n v="0"/>
    <n v="0"/>
    <n v="0"/>
    <n v="0"/>
    <n v="0"/>
  </r>
  <r>
    <s v="REBECA HERRERA BOGARIN"/>
    <s v="FA"/>
    <s v="OF030"/>
    <n v="2100025599"/>
    <s v="PRODUCTIVIDAD HUMANA"/>
    <n v="203.4"/>
    <n v="0"/>
    <n v="0"/>
    <n v="0"/>
    <n v="0"/>
    <n v="203.4"/>
    <n v="203.4"/>
    <d v="2024-09-11T00:00:00"/>
    <d v="2024-09-12T00:00:00"/>
    <n v="-505"/>
    <s v="004-001"/>
    <x v="0"/>
    <x v="6"/>
    <x v="5"/>
    <n v="0"/>
    <n v="0"/>
    <n v="0"/>
    <n v="0"/>
    <n v="0"/>
    <n v="0"/>
  </r>
  <r>
    <s v="REFINADORA COSTARRICENSE DE PETROLEO"/>
    <s v="FA"/>
    <s v="1354 "/>
    <n v="71113"/>
    <s v="PRODUCTIVIDAD HUMANA"/>
    <n v="2804"/>
    <n v="0"/>
    <n v="2804"/>
    <n v="0"/>
    <n v="0"/>
    <n v="0"/>
    <n v="2804"/>
    <d v="2025-12-15T00:00:00"/>
    <d v="2026-01-29T00:00:00"/>
    <n v="-1"/>
    <s v="001"/>
    <x v="1"/>
    <x v="5"/>
    <x v="4"/>
    <n v="0"/>
    <n v="0"/>
    <n v="0"/>
    <n v="0"/>
    <n v="0"/>
    <n v="0"/>
  </r>
  <r>
    <s v="REFINADORA COSTARRICENSE DE PETROLEO"/>
    <s v="NC"/>
    <s v="005  "/>
    <s v="AD00002284"/>
    <s v="PRODUCTIVIDAD HUMANA"/>
    <n v="-2754.37"/>
    <n v="0"/>
    <n v="0"/>
    <n v="-2754.37"/>
    <n v="0"/>
    <n v="0"/>
    <n v="-2754.37"/>
    <d v="2025-12-29T00:00:00"/>
    <d v="2025-12-29T00:00:00"/>
    <n v="-32"/>
    <s v="001"/>
    <x v="1"/>
    <x v="5"/>
    <x v="4"/>
    <n v="0"/>
    <n v="0"/>
    <n v="0"/>
    <n v="0"/>
    <n v="0"/>
    <n v="0"/>
  </r>
  <r>
    <s v="ROBERSI ESTUARD GARCIA AGUINAGA"/>
    <s v="NC"/>
    <s v="0103 "/>
    <s v="AD00001892"/>
    <s v="PRODUCTIVIDAD HUMANA"/>
    <n v="-108.505464"/>
    <n v="0"/>
    <n v="0"/>
    <n v="0"/>
    <n v="0"/>
    <n v="-108.51"/>
    <n v="-108.51"/>
    <d v="2022-08-04T00:00:00"/>
    <d v="2022-08-04T00:00:00"/>
    <n v="-1275"/>
    <s v="001"/>
    <x v="1"/>
    <x v="4"/>
    <x v="3"/>
    <n v="0"/>
    <n v="0"/>
    <n v="0"/>
    <n v="0"/>
    <n v="0"/>
    <n v="0"/>
  </r>
  <r>
    <s v="ROMA PRINCE SOCIEDAD ANONIMA"/>
    <s v="NC"/>
    <s v="0001 "/>
    <n v="2777"/>
    <s v="PRODUCTIVIDAD HUMANA"/>
    <n v="-1176.8"/>
    <n v="0"/>
    <n v="0"/>
    <n v="0"/>
    <n v="0"/>
    <n v="-1176.8"/>
    <n v="-1176.8"/>
    <d v="2023-09-11T00:00:00"/>
    <d v="2023-09-11T00:00:00"/>
    <n v="-872"/>
    <s v="004-001"/>
    <x v="0"/>
    <x v="4"/>
    <x v="3"/>
    <n v="0"/>
    <n v="0"/>
    <n v="0"/>
    <n v="0"/>
    <n v="0"/>
    <n v="0"/>
  </r>
  <r>
    <s v="RONNY SALAZAR MORALES"/>
    <s v="NC"/>
    <s v="OF116"/>
    <s v="AD00025960"/>
    <s v="PRODUCTIVIDAD HUMANA"/>
    <n v="-869.13"/>
    <n v="0"/>
    <n v="0"/>
    <n v="0"/>
    <n v="0"/>
    <n v="-869.13"/>
    <n v="-869.13"/>
    <d v="2025-07-31T00:00:00"/>
    <d v="2025-07-31T00:00:00"/>
    <n v="-183"/>
    <s v="004-001"/>
    <x v="0"/>
    <x v="7"/>
    <x v="6"/>
    <n v="0"/>
    <n v="0"/>
    <n v="0"/>
    <n v="0"/>
    <n v="0"/>
    <n v="0"/>
  </r>
  <r>
    <s v="Roofing Solutions Limited Liability Company"/>
    <s v="NC"/>
    <s v="OF057"/>
    <s v="AD00025034"/>
    <s v="PRODUCTIVIDAD HUMANA"/>
    <n v="-420.81"/>
    <n v="0"/>
    <n v="0"/>
    <n v="0"/>
    <n v="0"/>
    <n v="-420.81"/>
    <n v="-420.81"/>
    <d v="2024-11-25T00:00:00"/>
    <d v="2024-11-25T00:00:00"/>
    <n v="-431"/>
    <s v="004-001"/>
    <x v="0"/>
    <x v="4"/>
    <x v="3"/>
    <n v="0"/>
    <n v="0"/>
    <n v="0"/>
    <n v="0"/>
    <n v="0"/>
    <n v="0"/>
  </r>
  <r>
    <s v="SAGA INGENIERIA SOCIEDAD ANONIMA"/>
    <s v="FA"/>
    <s v="OF030"/>
    <n v="2100028457"/>
    <s v="PRODUCTIVIDAD HUMANA"/>
    <n v="2378.89"/>
    <n v="0"/>
    <n v="0"/>
    <n v="2378.89"/>
    <n v="0"/>
    <n v="0"/>
    <n v="2378.89"/>
    <d v="2025-11-28T00:00:00"/>
    <d v="2025-12-28T00:00:00"/>
    <n v="-33"/>
    <s v="004-001"/>
    <x v="0"/>
    <x v="2"/>
    <x v="1"/>
    <n v="0"/>
    <n v="2378.89"/>
    <n v="0"/>
    <n v="0"/>
    <n v="0"/>
    <n v="0"/>
  </r>
  <r>
    <s v="SAGA INGENIERIA SOCIEDAD ANONIMA"/>
    <s v="FA"/>
    <s v="OF030"/>
    <n v="2100028458"/>
    <s v="PRODUCTIVIDAD HUMANA"/>
    <n v="1277.22"/>
    <n v="0"/>
    <n v="0"/>
    <n v="1277.22"/>
    <n v="0"/>
    <n v="0"/>
    <n v="1277.22"/>
    <d v="2025-11-28T00:00:00"/>
    <d v="2025-12-28T00:00:00"/>
    <n v="-33"/>
    <s v="004-001"/>
    <x v="0"/>
    <x v="2"/>
    <x v="1"/>
    <n v="0"/>
    <n v="1277.22"/>
    <n v="0"/>
    <n v="0"/>
    <n v="0"/>
    <n v="0"/>
  </r>
  <r>
    <s v="SAMTEC INTERCONNECT ASSEMBLY SIA COSTA RICA S.R.L"/>
    <s v="FA"/>
    <s v="0001 "/>
    <n v="9129"/>
    <s v="PRODUCTIVIDAD HUMANA"/>
    <n v="845.82"/>
    <n v="0"/>
    <n v="0"/>
    <n v="0"/>
    <n v="0"/>
    <n v="845.82"/>
    <n v="845.82"/>
    <d v="2024-04-12T00:00:00"/>
    <d v="2024-04-12T00:00:00"/>
    <n v="-658"/>
    <s v="004-001"/>
    <x v="0"/>
    <x v="6"/>
    <x v="5"/>
    <n v="0"/>
    <n v="0"/>
    <n v="0"/>
    <n v="0"/>
    <n v="0"/>
    <n v="0"/>
  </r>
  <r>
    <s v="SAMTEC INTERCONNECT ASSEMBLY SIA COSTA RICA S.R.L"/>
    <s v="FA"/>
    <s v="115  "/>
    <n v="71014"/>
    <s v="PRODUCTIVIDAD HUMANA"/>
    <n v="921.2"/>
    <n v="0"/>
    <n v="0"/>
    <n v="0"/>
    <n v="0"/>
    <n v="921.2"/>
    <n v="921.2"/>
    <d v="2025-08-19T00:00:00"/>
    <d v="2025-09-03T00:00:00"/>
    <n v="-149"/>
    <s v="001"/>
    <x v="1"/>
    <x v="1"/>
    <x v="1"/>
    <n v="0"/>
    <n v="921.2"/>
    <n v="0"/>
    <n v="0"/>
    <n v="0"/>
    <n v="0"/>
  </r>
  <r>
    <s v="SEAR INGENIERIA DISEÑO Y CONSTRUCCION SOCIEDAD ANONIMA"/>
    <s v="NC"/>
    <s v="34   "/>
    <s v="AD00002059"/>
    <s v="PRODUCTIVIDAD HUMANA"/>
    <n v="-8697.9699999999993"/>
    <n v="0"/>
    <n v="0"/>
    <n v="0"/>
    <n v="0"/>
    <n v="-8697.9699999999993"/>
    <n v="-8697.9699999999993"/>
    <d v="2023-09-11T00:00:00"/>
    <d v="2023-09-11T00:00:00"/>
    <n v="-872"/>
    <s v="001"/>
    <x v="1"/>
    <x v="4"/>
    <x v="3"/>
    <n v="0"/>
    <n v="0"/>
    <n v="0"/>
    <n v="0"/>
    <n v="0"/>
    <n v="0"/>
  </r>
  <r>
    <s v="SEGNINI EXPORTACIONES SOCIEDAD ANONIMA"/>
    <s v="NC"/>
    <s v="065  "/>
    <s v="AD00001842"/>
    <s v="PRODUCTIVIDAD HUMANA"/>
    <n v="-3896.96"/>
    <n v="0"/>
    <n v="0"/>
    <n v="0"/>
    <n v="0"/>
    <n v="-3896.96"/>
    <n v="-3896.96"/>
    <d v="2022-03-09T00:00:00"/>
    <d v="2022-03-09T00:00:00"/>
    <n v="-1423"/>
    <s v="001"/>
    <x v="1"/>
    <x v="4"/>
    <x v="3"/>
    <n v="0"/>
    <n v="0"/>
    <n v="0"/>
    <n v="0"/>
    <n v="0"/>
    <n v="0"/>
  </r>
  <r>
    <s v="SEGNINI EXPORTACIONES SOCIEDAD ANONIMA"/>
    <s v="NC"/>
    <s v="065  "/>
    <s v="AD00002177"/>
    <s v="PRODUCTIVIDAD HUMANA"/>
    <n v="-675"/>
    <n v="0"/>
    <n v="0"/>
    <n v="0"/>
    <n v="0"/>
    <n v="-675"/>
    <n v="-675"/>
    <d v="2024-11-06T00:00:00"/>
    <d v="2024-11-06T00:00:00"/>
    <n v="-450"/>
    <s v="001"/>
    <x v="1"/>
    <x v="7"/>
    <x v="6"/>
    <n v="0"/>
    <n v="0"/>
    <n v="0"/>
    <n v="0"/>
    <n v="0"/>
    <n v="0"/>
  </r>
  <r>
    <s v="Seguritronic Security Center SA"/>
    <s v="NC"/>
    <s v="0001 "/>
    <n v="8751"/>
    <s v="PRODUCTIVIDAD HUMANA"/>
    <n v="-400"/>
    <n v="0"/>
    <n v="0"/>
    <n v="0"/>
    <n v="0"/>
    <n v="-400"/>
    <n v="-400"/>
    <d v="2024-03-16T00:00:00"/>
    <d v="2024-03-16T00:00:00"/>
    <n v="-685"/>
    <s v="004-001"/>
    <x v="0"/>
    <x v="4"/>
    <x v="3"/>
    <n v="0"/>
    <n v="0"/>
    <n v="0"/>
    <n v="0"/>
    <n v="0"/>
    <n v="0"/>
  </r>
  <r>
    <s v="SERVICIOS CASA DE AQUI SOCIEDAD ANONIMA"/>
    <s v="FA"/>
    <s v="0001 "/>
    <n v="1714"/>
    <s v="PRODUCTIVIDAD HUMANA"/>
    <n v="691.08"/>
    <n v="0"/>
    <n v="0"/>
    <n v="0"/>
    <n v="0"/>
    <n v="691.08"/>
    <n v="691.08"/>
    <d v="2023-02-28T00:00:00"/>
    <d v="2023-02-28T00:00:00"/>
    <n v="-1067"/>
    <s v="004-001"/>
    <x v="0"/>
    <x v="6"/>
    <x v="5"/>
    <n v="0"/>
    <n v="0"/>
    <n v="0"/>
    <n v="0"/>
    <n v="0"/>
    <n v="0"/>
  </r>
  <r>
    <s v="SERVICIOS COMPUTACIONALES NOVA COMP SOCIEDAD ANONIMA"/>
    <s v="FA"/>
    <s v="111  "/>
    <n v="70466"/>
    <s v="PRODUCTIVIDAD HUMANA"/>
    <n v="1657.64"/>
    <n v="0"/>
    <n v="0"/>
    <n v="0"/>
    <n v="0"/>
    <n v="1657.64"/>
    <n v="1657.64"/>
    <d v="2023-08-16T00:00:00"/>
    <d v="2023-08-24T00:00:00"/>
    <n v="-890"/>
    <s v="001"/>
    <x v="1"/>
    <x v="6"/>
    <x v="5"/>
    <n v="0"/>
    <n v="0"/>
    <n v="0"/>
    <n v="0"/>
    <n v="0"/>
    <n v="0"/>
  </r>
  <r>
    <s v="SERVICIOS CORPORATIVOS GBA SOCIEDAD ANONIMA"/>
    <s v="NC"/>
    <s v="67   "/>
    <s v="AD00001259"/>
    <s v="PRODUCTIVIDAD HUMANA"/>
    <n v="-550.65"/>
    <n v="0"/>
    <n v="0"/>
    <n v="0"/>
    <n v="0"/>
    <n v="-550.65"/>
    <n v="-550.65"/>
    <d v="2018-03-06T00:00:00"/>
    <d v="2018-03-06T00:00:00"/>
    <n v="-2887"/>
    <s v="001"/>
    <x v="1"/>
    <x v="4"/>
    <x v="3"/>
    <n v="0"/>
    <n v="0"/>
    <n v="0"/>
    <n v="0"/>
    <n v="0"/>
    <n v="0"/>
  </r>
  <r>
    <s v="SERVICIOS CORPORATIVOS GBA SOCIEDAD ANONIMA"/>
    <s v="NC"/>
    <s v="67   "/>
    <s v="AD00001260"/>
    <s v="PRODUCTIVIDAD HUMANA"/>
    <n v="-226.34"/>
    <n v="0"/>
    <n v="0"/>
    <n v="0"/>
    <n v="0"/>
    <n v="-226.34"/>
    <n v="-226.34"/>
    <d v="2018-03-06T00:00:00"/>
    <d v="2018-03-06T00:00:00"/>
    <n v="-2887"/>
    <s v="001"/>
    <x v="1"/>
    <x v="4"/>
    <x v="3"/>
    <n v="0"/>
    <n v="0"/>
    <n v="0"/>
    <n v="0"/>
    <n v="0"/>
    <n v="0"/>
  </r>
  <r>
    <s v="SERVICIOS NUTRESA COSTA RICA SOCIEDAD ANONIMA"/>
    <s v="NC"/>
    <s v="0001 "/>
    <n v="8206"/>
    <s v="PRODUCTIVIDAD HUMANA"/>
    <n v="-288.52"/>
    <n v="0"/>
    <n v="0"/>
    <n v="0"/>
    <n v="0"/>
    <n v="-288.52"/>
    <n v="-288.52"/>
    <d v="2024-03-01T00:00:00"/>
    <d v="2024-03-01T00:00:00"/>
    <n v="-700"/>
    <s v="004-001"/>
    <x v="0"/>
    <x v="4"/>
    <x v="3"/>
    <n v="0"/>
    <n v="0"/>
    <n v="0"/>
    <n v="0"/>
    <n v="0"/>
    <n v="0"/>
  </r>
  <r>
    <s v="SUMINISTROS INDUSTRIALES SOTO ESPINOZA S.A."/>
    <s v="FA"/>
    <s v="OF030"/>
    <n v="2100028644"/>
    <s v="PRODUCTIVIDAD HUMANA"/>
    <n v="79875.179999999993"/>
    <n v="0"/>
    <n v="79875.179999999993"/>
    <n v="0"/>
    <n v="0"/>
    <n v="0"/>
    <n v="79875.179999999993"/>
    <d v="2025-12-29T00:00:00"/>
    <d v="2026-01-28T00:00:00"/>
    <n v="-2"/>
    <s v="004-001"/>
    <x v="0"/>
    <x v="5"/>
    <x v="4"/>
    <n v="0"/>
    <n v="0"/>
    <n v="0"/>
    <n v="0"/>
    <n v="0"/>
    <n v="0"/>
  </r>
  <r>
    <s v="SUMINISTROS INDUSTRIALES SOTO ESPINOZA S.A."/>
    <s v="FA"/>
    <s v="000  "/>
    <n v="2100028455"/>
    <s v="PRODUCTIVIDAD HUMANA"/>
    <n v="6933.05"/>
    <n v="0"/>
    <n v="0"/>
    <n v="6933.05"/>
    <n v="0"/>
    <n v="0"/>
    <n v="6933.05"/>
    <d v="2025-11-28T00:00:00"/>
    <d v="2025-12-28T00:00:00"/>
    <n v="-33"/>
    <s v="004-001"/>
    <x v="0"/>
    <x v="1"/>
    <x v="1"/>
    <n v="0"/>
    <n v="6933.05"/>
    <n v="0"/>
    <n v="0"/>
    <n v="0"/>
    <n v="0"/>
  </r>
  <r>
    <s v="SWAROVSKI GLOBAL BUSINESS SERVICES AMERICAS SOCIEDAD DE RESPONSABILIDAD LIM"/>
    <s v="NC"/>
    <s v="34   "/>
    <n v="1116"/>
    <s v="PRODUCTIVIDAD HUMANA"/>
    <n v="-94.88"/>
    <n v="0"/>
    <n v="0"/>
    <n v="0"/>
    <n v="0"/>
    <n v="-94.88"/>
    <n v="-94.88"/>
    <d v="2018-11-13T00:00:00"/>
    <d v="2018-11-28T00:00:00"/>
    <n v="-2620"/>
    <s v="001"/>
    <x v="1"/>
    <x v="4"/>
    <x v="3"/>
    <n v="0"/>
    <n v="0"/>
    <n v="0"/>
    <n v="0"/>
    <n v="0"/>
    <n v="0"/>
  </r>
  <r>
    <s v="TELEDOLAR SOCIEDAD ANONIMA"/>
    <s v="FA"/>
    <s v="OF111"/>
    <n v="2100026889"/>
    <s v="PRODUCTIVIDAD HUMANA"/>
    <n v="456.89194600000002"/>
    <n v="0"/>
    <n v="0"/>
    <n v="0"/>
    <n v="0"/>
    <n v="456.89"/>
    <n v="456.89"/>
    <d v="2025-03-13T00:00:00"/>
    <d v="2025-03-14T00:00:00"/>
    <n v="-322"/>
    <s v="004-001"/>
    <x v="0"/>
    <x v="6"/>
    <x v="5"/>
    <n v="0"/>
    <n v="0"/>
    <n v="0"/>
    <n v="0"/>
    <n v="0"/>
    <n v="0"/>
  </r>
  <r>
    <s v="TORRECILLA CINCUENTA Y UNO SOCIEDAD DE RESPONSABILIDAD LIMITADA"/>
    <s v="NC"/>
    <s v="118  "/>
    <s v="AD00002140"/>
    <s v="PRODUCTIVIDAD HUMANA"/>
    <n v="-1000"/>
    <n v="0"/>
    <n v="0"/>
    <n v="0"/>
    <n v="0"/>
    <n v="-1000"/>
    <n v="-1000"/>
    <d v="2024-07-01T00:00:00"/>
    <d v="2024-07-01T00:00:00"/>
    <n v="-578"/>
    <s v="001"/>
    <x v="1"/>
    <x v="7"/>
    <x v="6"/>
    <n v="0"/>
    <n v="0"/>
    <n v="0"/>
    <n v="0"/>
    <n v="0"/>
    <n v="0"/>
  </r>
  <r>
    <s v="Transportes silver"/>
    <s v="NC"/>
    <s v="0001 "/>
    <n v="7547"/>
    <s v="PRODUCTIVIDAD HUMANA"/>
    <n v="-426.30130400000002"/>
    <n v="0"/>
    <n v="0"/>
    <n v="0"/>
    <n v="0"/>
    <n v="-426.3"/>
    <n v="-426.3"/>
    <d v="2024-02-12T00:00:00"/>
    <d v="2024-02-12T00:00:00"/>
    <n v="-718"/>
    <s v="004-001"/>
    <x v="0"/>
    <x v="4"/>
    <x v="3"/>
    <n v="0"/>
    <n v="0"/>
    <n v="0"/>
    <n v="0"/>
    <n v="0"/>
    <n v="0"/>
  </r>
  <r>
    <s v="Transportes silver"/>
    <s v="NC"/>
    <s v="0001 "/>
    <n v="10745"/>
    <s v="PRODUCTIVIDAD HUMANA"/>
    <n v="-702.70431900000005"/>
    <n v="0"/>
    <n v="0"/>
    <n v="0"/>
    <n v="0"/>
    <n v="-702.7"/>
    <n v="-702.7"/>
    <d v="2024-05-31T00:00:00"/>
    <d v="2024-05-31T00:00:00"/>
    <n v="-609"/>
    <s v="004-001"/>
    <x v="0"/>
    <x v="4"/>
    <x v="3"/>
    <n v="0"/>
    <n v="0"/>
    <n v="0"/>
    <n v="0"/>
    <n v="0"/>
    <n v="0"/>
  </r>
  <r>
    <s v="TRIBUNAL SUPREMO DE ELECCIONES"/>
    <s v="FA"/>
    <s v="OF111"/>
    <n v="2100027324"/>
    <s v="PRODUCTIVIDAD HUMANA"/>
    <n v="0.01"/>
    <n v="0"/>
    <n v="0"/>
    <n v="0"/>
    <n v="0"/>
    <n v="0.01"/>
    <n v="0.01"/>
    <d v="2025-05-28T00:00:00"/>
    <d v="2025-06-27T00:00:00"/>
    <n v="-217"/>
    <s v="004-001"/>
    <x v="0"/>
    <x v="5"/>
    <x v="4"/>
    <n v="0"/>
    <n v="0"/>
    <n v="0"/>
    <n v="0"/>
    <n v="0"/>
    <n v="0"/>
  </r>
  <r>
    <s v="TRON AB COSTA RICA SOCIEDAD ANONIMA"/>
    <s v="FA"/>
    <s v="0001 "/>
    <n v="1735"/>
    <s v="PRODUCTIVIDAD HUMANA"/>
    <n v="594.13"/>
    <n v="0"/>
    <n v="0"/>
    <n v="0"/>
    <n v="0"/>
    <n v="594.13"/>
    <n v="594.13"/>
    <d v="2023-04-13T00:00:00"/>
    <d v="2023-04-13T00:00:00"/>
    <n v="-1023"/>
    <s v="004-001"/>
    <x v="0"/>
    <x v="6"/>
    <x v="5"/>
    <n v="0"/>
    <n v="0"/>
    <n v="0"/>
    <n v="0"/>
    <n v="0"/>
    <n v="0"/>
  </r>
  <r>
    <s v="TTA PROJECT MANAGEMENT SOCIEDAD DE RESPONSABILIDAD LIMITADA"/>
    <s v="NC"/>
    <s v="000  "/>
    <s v="AD00002282"/>
    <s v="PRODUCTIVIDAD HUMANA"/>
    <n v="-61.5"/>
    <n v="0"/>
    <n v="0"/>
    <n v="-61.5"/>
    <n v="0"/>
    <n v="0"/>
    <n v="-61.5"/>
    <d v="2025-12-29T00:00:00"/>
    <d v="2025-12-29T00:00:00"/>
    <n v="-32"/>
    <s v="001"/>
    <x v="1"/>
    <x v="4"/>
    <x v="3"/>
    <n v="0"/>
    <n v="0"/>
    <n v="0"/>
    <n v="0"/>
    <n v="0"/>
    <n v="0"/>
  </r>
  <r>
    <s v="ULTRAPARK DOS SOCIEDAD ANONIMA"/>
    <s v="NC"/>
    <s v="34   "/>
    <s v="AD00002267"/>
    <s v="PRODUCTIVIDAD HUMANA"/>
    <n v="-8947.2000000000007"/>
    <n v="0"/>
    <n v="0"/>
    <n v="0"/>
    <n v="-8947.2000000000007"/>
    <n v="0"/>
    <n v="-8947.2000000000007"/>
    <d v="2025-11-13T00:00:00"/>
    <d v="2025-11-13T00:00:00"/>
    <n v="-78"/>
    <s v="001"/>
    <x v="1"/>
    <x v="7"/>
    <x v="6"/>
    <n v="0"/>
    <n v="0"/>
    <n v="0"/>
    <n v="0"/>
    <n v="0"/>
    <n v="0"/>
  </r>
  <r>
    <s v="UNIGROUP WORLDWIDE COSTA RICA SRL"/>
    <s v="NC"/>
    <s v="23   "/>
    <s v="AD00001477"/>
    <s v="PRODUCTIVIDAD HUMANA"/>
    <n v="-469.97"/>
    <n v="0"/>
    <n v="0"/>
    <n v="0"/>
    <n v="0"/>
    <n v="-469.97"/>
    <n v="-469.97"/>
    <d v="2019-03-21T00:00:00"/>
    <d v="2019-03-21T00:00:00"/>
    <n v="-2507"/>
    <s v="001"/>
    <x v="1"/>
    <x v="4"/>
    <x v="3"/>
    <n v="0"/>
    <n v="0"/>
    <n v="0"/>
    <n v="0"/>
    <n v="0"/>
    <n v="0"/>
  </r>
  <r>
    <s v="UNION DEL OESTE DE COSTA RICA S.R.L                                        "/>
    <s v="NC"/>
    <s v="34   "/>
    <s v="AD00001315"/>
    <s v="PRODUCTIVIDAD HUMANA"/>
    <n v="-372.4"/>
    <n v="0"/>
    <n v="0"/>
    <n v="0"/>
    <n v="0"/>
    <n v="-372.4"/>
    <n v="-372.4"/>
    <d v="2018-06-07T00:00:00"/>
    <d v="2018-06-07T00:00:00"/>
    <n v="-2794"/>
    <s v="001"/>
    <x v="1"/>
    <x v="4"/>
    <x v="3"/>
    <n v="0"/>
    <n v="0"/>
    <n v="0"/>
    <n v="0"/>
    <n v="0"/>
    <n v="0"/>
  </r>
  <r>
    <s v="Universidad de Costa Rica"/>
    <s v="FA"/>
    <s v="1354 "/>
    <n v="71031"/>
    <s v="PRODUCTIVIDAD HUMANA"/>
    <n v="72.83"/>
    <n v="0"/>
    <n v="0"/>
    <n v="0"/>
    <n v="0"/>
    <n v="72.83"/>
    <n v="72.83"/>
    <d v="2025-09-17T00:00:00"/>
    <d v="2025-10-17T00:00:00"/>
    <n v="-105"/>
    <s v="001"/>
    <x v="1"/>
    <x v="5"/>
    <x v="4"/>
    <n v="0"/>
    <n v="0"/>
    <n v="0"/>
    <n v="0"/>
    <n v="0"/>
    <n v="0"/>
  </r>
  <r>
    <s v="Universidad de Costa Rica"/>
    <s v="FA"/>
    <s v="1354 "/>
    <n v="71106"/>
    <s v="PRODUCTIVIDAD HUMANA"/>
    <n v="14.42"/>
    <n v="0"/>
    <n v="14.42"/>
    <n v="0"/>
    <n v="0"/>
    <n v="0"/>
    <n v="14.42"/>
    <d v="2025-12-11T00:00:00"/>
    <d v="2026-01-10T00:00:00"/>
    <n v="-20"/>
    <s v="001"/>
    <x v="1"/>
    <x v="5"/>
    <x v="4"/>
    <n v="0"/>
    <n v="0"/>
    <n v="0"/>
    <n v="0"/>
    <n v="0"/>
    <n v="0"/>
  </r>
  <r>
    <s v="UNIVERSIDAD DE COSTA RICA"/>
    <s v="FA"/>
    <s v="OF111"/>
    <n v="2100028444"/>
    <s v="PRODUCTIVIDAD HUMANA"/>
    <n v="7.41"/>
    <n v="0"/>
    <n v="0"/>
    <n v="7.41"/>
    <n v="0"/>
    <n v="0"/>
    <n v="7.41"/>
    <d v="2025-11-27T00:00:00"/>
    <d v="2025-12-27T00:00:00"/>
    <n v="-34"/>
    <s v="004-001"/>
    <x v="0"/>
    <x v="5"/>
    <x v="4"/>
    <n v="0"/>
    <n v="0"/>
    <n v="0"/>
    <n v="0"/>
    <n v="0"/>
    <n v="0"/>
  </r>
  <r>
    <s v="Universidad de Costa Rica"/>
    <s v="FA"/>
    <s v="1354 "/>
    <n v="71050"/>
    <s v="PRODUCTIVIDAD HUMANA"/>
    <n v="3.95"/>
    <n v="0"/>
    <n v="0"/>
    <n v="0"/>
    <n v="3.95"/>
    <n v="0"/>
    <n v="3.95"/>
    <d v="2025-10-15T00:00:00"/>
    <d v="2025-11-14T00:00:00"/>
    <n v="-77"/>
    <s v="001"/>
    <x v="1"/>
    <x v="5"/>
    <x v="4"/>
    <n v="0"/>
    <n v="0"/>
    <n v="0"/>
    <n v="0"/>
    <n v="0"/>
    <n v="0"/>
  </r>
  <r>
    <s v="Universidad de Costa Rica"/>
    <s v="NC"/>
    <s v="23   "/>
    <s v="AD00002256"/>
    <s v="PRODUCTIVIDAD HUMANA"/>
    <n v="-7.7770000000000001E-3"/>
    <n v="0"/>
    <n v="0"/>
    <n v="0"/>
    <n v="0"/>
    <n v="-0.01"/>
    <n v="-0.01"/>
    <d v="2025-10-07T00:00:00"/>
    <d v="2025-10-07T00:00:00"/>
    <n v="-115"/>
    <s v="001"/>
    <x v="1"/>
    <x v="5"/>
    <x v="4"/>
    <n v="0"/>
    <n v="0"/>
    <n v="0"/>
    <n v="0"/>
    <n v="0"/>
    <n v="0"/>
  </r>
  <r>
    <s v="Universidad de Costa Rica"/>
    <s v="NC"/>
    <s v="23   "/>
    <s v="AD00002273"/>
    <s v="PRODUCTIVIDAD HUMANA"/>
    <n v="-1.99"/>
    <n v="0"/>
    <n v="0"/>
    <n v="0"/>
    <n v="-1.99"/>
    <n v="0"/>
    <n v="-1.99"/>
    <d v="2025-11-27T00:00:00"/>
    <d v="2025-11-27T00:00:00"/>
    <n v="-64"/>
    <s v="001"/>
    <x v="1"/>
    <x v="5"/>
    <x v="4"/>
    <n v="0"/>
    <n v="0"/>
    <n v="0"/>
    <n v="0"/>
    <n v="0"/>
    <n v="0"/>
  </r>
  <r>
    <s v="UNIVERSIDAD ESTATAL A DISTANCIA"/>
    <s v="FA"/>
    <s v="0001 "/>
    <n v="10624"/>
    <s v="PRODUCTIVIDAD HUMANA"/>
    <n v="6693.44"/>
    <n v="0"/>
    <n v="0"/>
    <n v="0"/>
    <n v="0"/>
    <n v="6693.44"/>
    <n v="6693.44"/>
    <d v="2024-05-28T00:00:00"/>
    <d v="2024-05-28T00:00:00"/>
    <n v="-612"/>
    <s v="004-001"/>
    <x v="0"/>
    <x v="6"/>
    <x v="5"/>
    <n v="0"/>
    <n v="0"/>
    <n v="0"/>
    <n v="0"/>
    <n v="0"/>
    <n v="0"/>
  </r>
  <r>
    <s v="UNIVERSIDAD ESTATAL A DISTANCIA"/>
    <s v="FA"/>
    <s v="OF030"/>
    <n v="2100025072"/>
    <s v="PRODUCTIVIDAD HUMANA"/>
    <n v="1652.87"/>
    <n v="0"/>
    <n v="0"/>
    <n v="0"/>
    <n v="0"/>
    <n v="1652.87"/>
    <n v="1652.87"/>
    <d v="2024-06-25T00:00:00"/>
    <d v="2024-07-25T00:00:00"/>
    <n v="-554"/>
    <s v="004-001"/>
    <x v="0"/>
    <x v="6"/>
    <x v="5"/>
    <n v="0"/>
    <n v="0"/>
    <n v="0"/>
    <n v="0"/>
    <n v="0"/>
    <n v="0"/>
  </r>
  <r>
    <s v="UNIVERSIDAD ESTATAL A DISTANCIA"/>
    <s v="FA"/>
    <s v="OF030"/>
    <n v="2100026159"/>
    <s v="PRODUCTIVIDAD HUMANA"/>
    <n v="1102.72"/>
    <n v="0"/>
    <n v="0"/>
    <n v="0"/>
    <n v="0"/>
    <n v="1102.72"/>
    <n v="1102.72"/>
    <d v="2024-11-14T00:00:00"/>
    <d v="2024-12-14T00:00:00"/>
    <n v="-412"/>
    <s v="004-001"/>
    <x v="0"/>
    <x v="6"/>
    <x v="5"/>
    <n v="0"/>
    <n v="0"/>
    <n v="0"/>
    <n v="0"/>
    <n v="0"/>
    <n v="0"/>
  </r>
  <r>
    <s v="UNIVERSIDAD ESTATAL A DISTANCIA"/>
    <s v="FA"/>
    <s v="OF030"/>
    <n v="2100025071"/>
    <s v="PRODUCTIVIDAD HUMANA"/>
    <n v="406.15"/>
    <n v="0"/>
    <n v="0"/>
    <n v="0"/>
    <n v="0"/>
    <n v="406.15"/>
    <n v="406.15"/>
    <d v="2024-06-25T00:00:00"/>
    <d v="2024-07-25T00:00:00"/>
    <n v="-554"/>
    <s v="004-001"/>
    <x v="0"/>
    <x v="6"/>
    <x v="5"/>
    <n v="0"/>
    <n v="0"/>
    <n v="0"/>
    <n v="0"/>
    <n v="0"/>
    <n v="0"/>
  </r>
  <r>
    <s v="Universidad U Latina S.R.L"/>
    <s v="NC"/>
    <s v="53   "/>
    <n v="929"/>
    <s v="PRODUCTIVIDAD HUMANA"/>
    <n v="-100"/>
    <n v="0"/>
    <n v="0"/>
    <n v="0"/>
    <n v="0"/>
    <n v="-100"/>
    <n v="-100"/>
    <d v="2017-01-26T00:00:00"/>
    <d v="2017-02-25T00:00:00"/>
    <n v="-3261"/>
    <s v="001"/>
    <x v="1"/>
    <x v="4"/>
    <x v="3"/>
    <n v="0"/>
    <n v="0"/>
    <n v="0"/>
    <n v="0"/>
    <n v="0"/>
    <n v="0"/>
  </r>
  <r>
    <s v="UNOPETROL COSTA RICA SOCIEDAD DE RESPONSABILIDAD LIMITADA"/>
    <s v="NC"/>
    <s v="OF313"/>
    <s v="AD00026407"/>
    <s v="PRODUCTIVIDAD HUMANA"/>
    <n v="-3011.838737"/>
    <n v="0"/>
    <n v="0"/>
    <n v="-3011.84"/>
    <n v="0"/>
    <n v="0"/>
    <n v="-3011.84"/>
    <d v="2025-12-17T00:00:00"/>
    <d v="2025-12-17T00:00:00"/>
    <n v="-44"/>
    <s v="004-001"/>
    <x v="0"/>
    <x v="5"/>
    <x v="4"/>
    <n v="0"/>
    <n v="0"/>
    <n v="0"/>
    <n v="0"/>
    <n v="0"/>
    <n v="0"/>
  </r>
  <r>
    <s v="VETRASA SA"/>
    <s v="NC"/>
    <s v="000  "/>
    <s v="AD00025622"/>
    <s v="PRODUCTIVIDAD HUMANA"/>
    <n v="-148.23315700000001"/>
    <n v="0"/>
    <n v="0"/>
    <n v="0"/>
    <n v="0"/>
    <n v="-148.22999999999999"/>
    <n v="-148.22999999999999"/>
    <d v="2025-05-02T00:00:00"/>
    <d v="2025-05-02T00:00:00"/>
    <n v="-273"/>
    <s v="004-001"/>
    <x v="0"/>
    <x v="5"/>
    <x v="4"/>
    <n v="0"/>
    <n v="0"/>
    <n v="0"/>
    <n v="0"/>
    <n v="0"/>
    <n v="0"/>
  </r>
  <r>
    <s v="Wright Medical Costa Rica, S.A."/>
    <s v="NC"/>
    <s v="005  "/>
    <s v="AD00001087"/>
    <s v="PRODUCTIVIDAD HUMANA"/>
    <n v="-540"/>
    <n v="0"/>
    <n v="0"/>
    <n v="0"/>
    <n v="0"/>
    <n v="-540"/>
    <n v="-540"/>
    <d v="2017-05-30T00:00:00"/>
    <d v="2017-05-30T00:00:00"/>
    <n v="-3167"/>
    <s v="001"/>
    <x v="1"/>
    <x v="4"/>
    <x v="3"/>
    <n v="0"/>
    <n v="0"/>
    <n v="0"/>
    <n v="0"/>
    <n v="0"/>
    <n v="0"/>
  </r>
  <r>
    <s v="Zona Franca Coyol S.A. NO USAR"/>
    <s v="NC"/>
    <s v="34   "/>
    <s v="AD00001159"/>
    <s v="PRODUCTIVIDAD HUMANA"/>
    <n v="-132.44"/>
    <n v="0"/>
    <n v="0"/>
    <n v="0"/>
    <n v="0"/>
    <n v="-132.44"/>
    <n v="-132.44"/>
    <d v="2017-09-21T00:00:00"/>
    <d v="2017-09-21T00:00:00"/>
    <n v="-3053"/>
    <s v="001"/>
    <x v="1"/>
    <x v="4"/>
    <x v="3"/>
    <n v="0"/>
    <n v="0"/>
    <n v="0"/>
    <n v="0"/>
    <n v="0"/>
    <n v="0"/>
  </r>
  <r>
    <s v="CONTRACT WORKPLACES COSTA RICA SOCIEDAD ANONIMA"/>
    <s v="FA"/>
    <s v="1354 "/>
    <n v="71144"/>
    <s v="PRODUCTIVIDAD HUMANA"/>
    <n v="20753.21"/>
    <n v="20753.21"/>
    <n v="0"/>
    <n v="0"/>
    <n v="0"/>
    <n v="0"/>
    <n v="20753.21"/>
    <d v="2026-01-23T00:00:00"/>
    <d v="2026-02-22T00:00:00"/>
    <n v="23"/>
    <s v="001"/>
    <x v="1"/>
    <x v="0"/>
    <x v="1"/>
    <n v="0"/>
    <n v="20753.21"/>
    <m/>
    <m/>
    <m/>
    <m/>
  </r>
  <r>
    <s v="CONTRACT WORKPLACES COSTA RICA SOCIEDAD ANONIMA"/>
    <s v="FA"/>
    <s v="1354 "/>
    <n v="71143"/>
    <s v="PRODUCTIVIDAD HUMANA"/>
    <n v="14152.09"/>
    <n v="14152.09"/>
    <n v="0"/>
    <n v="0"/>
    <n v="0"/>
    <n v="0"/>
    <n v="14152.09"/>
    <d v="2026-01-23T00:00:00"/>
    <d v="2026-02-22T00:00:00"/>
    <n v="23"/>
    <s v="001"/>
    <x v="1"/>
    <x v="0"/>
    <x v="1"/>
    <n v="0"/>
    <n v="14152.09"/>
    <m/>
    <m/>
    <m/>
    <m/>
  </r>
  <r>
    <s v="CRHOY SOCIEDAD ANONIMA"/>
    <s v="FA"/>
    <s v="111  "/>
    <n v="71148"/>
    <s v="PRODUCTIVIDAD HUMANA"/>
    <n v="51302.98"/>
    <n v="51302.98"/>
    <n v="0"/>
    <n v="0"/>
    <n v="0"/>
    <n v="0"/>
    <n v="51302.98"/>
    <d v="2026-01-23T00:00:00"/>
    <d v="2026-03-09T00:00:00"/>
    <n v="38"/>
    <s v="001"/>
    <x v="1"/>
    <x v="0"/>
    <x v="1"/>
    <n v="0"/>
    <n v="51302.98"/>
    <m/>
    <m/>
    <m/>
    <m/>
  </r>
  <r>
    <s v="PUBLIEFECTO SOCIEDAD ANONIMA"/>
    <s v="FA"/>
    <s v="1354 "/>
    <n v="71149"/>
    <s v="PRODUCTIVIDAD HUMANA"/>
    <n v="421.15"/>
    <n v="0"/>
    <n v="421.15"/>
    <n v="0"/>
    <n v="0"/>
    <n v="0"/>
    <n v="421.15"/>
    <d v="2026-01-28T00:00:00"/>
    <d v="2026-01-29T00:00:00"/>
    <n v="-1"/>
    <s v="001"/>
    <x v="1"/>
    <x v="5"/>
    <x v="4"/>
    <n v="0"/>
    <m/>
    <m/>
    <m/>
    <m/>
    <m/>
  </r>
  <r>
    <s v="Universidad de Costa Rica"/>
    <s v="FA"/>
    <s v="77   "/>
    <n v="71138"/>
    <s v="PRODUCTIVIDAD HUMANA"/>
    <n v="1734"/>
    <n v="1734"/>
    <n v="0"/>
    <n v="0"/>
    <n v="0"/>
    <n v="0"/>
    <n v="1734"/>
    <d v="2026-01-16T00:00:00"/>
    <d v="2026-03-02T00:00:00"/>
    <n v="31"/>
    <s v="001"/>
    <x v="1"/>
    <x v="0"/>
    <x v="1"/>
    <n v="0"/>
    <n v="1734"/>
    <m/>
    <m/>
    <m/>
    <m/>
  </r>
  <r>
    <s v="VALLE DORADO MONTESSORI SOCIEDAD ANONIMA"/>
    <s v="FA"/>
    <s v="OF116"/>
    <n v="2100028700"/>
    <s v="PRODUCTIVIDAD HUMANA"/>
    <n v="2976.45"/>
    <n v="0"/>
    <n v="2976.45"/>
    <n v="0"/>
    <n v="0"/>
    <n v="0"/>
    <n v="2976.45"/>
    <d v="2026-01-15T00:00:00"/>
    <d v="2026-01-16T00:00:00"/>
    <n v="-14"/>
    <s v="004-001"/>
    <x v="0"/>
    <x v="5"/>
    <x v="4"/>
    <n v="0"/>
    <m/>
    <m/>
    <m/>
    <m/>
    <m/>
  </r>
  <r>
    <s v="ZONA FRANCA LA LIMA, SOCIEDAD DE RESPONSABILIDAD LIMITADA"/>
    <s v="FA"/>
    <s v="1354 "/>
    <n v="71153"/>
    <s v="PRODUCTIVIDAD HUMANA"/>
    <n v="7098.69"/>
    <n v="7098.69"/>
    <n v="0"/>
    <n v="0"/>
    <n v="0"/>
    <n v="0"/>
    <n v="7098.69"/>
    <d v="2026-01-30T00:00:00"/>
    <d v="2026-03-01T00:00:00"/>
    <n v="30"/>
    <s v="002"/>
    <x v="1"/>
    <x v="0"/>
    <x v="1"/>
    <n v="0"/>
    <n v="7098.69"/>
    <m/>
    <m/>
    <m/>
    <m/>
  </r>
  <r>
    <s v="ZONA FRANCA LA LIMA, SOCIEDAD DE RESPONSABILIDAD LIMITADA"/>
    <s v="FA"/>
    <s v="1354 "/>
    <n v="71152"/>
    <s v="PRODUCTIVIDAD HUMANA"/>
    <n v="4383.6899999999996"/>
    <n v="4383.6899999999996"/>
    <n v="0"/>
    <n v="0"/>
    <n v="0"/>
    <n v="0"/>
    <n v="4383.6899999999996"/>
    <d v="2026-01-30T00:00:00"/>
    <d v="2026-03-01T00:00:00"/>
    <n v="30"/>
    <s v="002"/>
    <x v="1"/>
    <x v="0"/>
    <x v="1"/>
    <n v="0"/>
    <n v="4383.6899999999996"/>
    <m/>
    <m/>
    <m/>
    <m/>
  </r>
  <r>
    <s v="ASOCIACION CENTRO DE INVESTIGACION Y ADIESTRAMIENTO POLITICO ADMINISTRATIVO"/>
    <s v="NC"/>
    <s v="OF312"/>
    <s v="AD00026442"/>
    <s v="PRODUCTIVIDAD HUMANA"/>
    <n v="-4323"/>
    <n v="0"/>
    <n v="-4323"/>
    <n v="0"/>
    <n v="0"/>
    <n v="0"/>
    <n v="-4323"/>
    <d v="2026-01-07T00:00:00"/>
    <d v="2026-01-07T00:00:00"/>
    <n v="-23"/>
    <s v="004-001"/>
    <x v="0"/>
    <x v="7"/>
    <x v="6"/>
    <m/>
    <m/>
    <m/>
    <m/>
    <m/>
    <m/>
  </r>
  <r>
    <s v="BD CONSULTORES COSTA RICA, SOCIEDAD ANONIMA"/>
    <s v="NC"/>
    <s v="1354 "/>
    <s v="AD00002286"/>
    <s v="PRODUCTIVIDAD HUMANA"/>
    <n v="-0.1"/>
    <n v="0"/>
    <n v="-0.1"/>
    <n v="0"/>
    <n v="0"/>
    <n v="0"/>
    <n v="-0.1"/>
    <d v="2026-01-12T00:00:00"/>
    <d v="2026-01-12T00:00:00"/>
    <n v="-18"/>
    <s v="001"/>
    <x v="1"/>
    <x v="5"/>
    <x v="4"/>
    <m/>
    <m/>
    <m/>
    <m/>
    <m/>
    <m/>
  </r>
  <r>
    <s v="CARIARI PREMIUM OUTLETS SOCIEDAD ANONIMA"/>
    <s v="NC"/>
    <s v="111  "/>
    <s v="AD00002285"/>
    <s v="PRODUCTIVIDAD HUMANA"/>
    <n v="-10965.07"/>
    <n v="0"/>
    <n v="-10965.07"/>
    <n v="0"/>
    <n v="0"/>
    <n v="0"/>
    <n v="-10965.07"/>
    <d v="2026-01-05T00:00:00"/>
    <d v="2026-01-05T00:00:00"/>
    <n v="-25"/>
    <s v="001"/>
    <x v="1"/>
    <x v="7"/>
    <x v="6"/>
    <m/>
    <m/>
    <m/>
    <m/>
    <m/>
    <m/>
  </r>
  <r>
    <s v="CONSTRUCTORA ENRIQUE MUÑOZ S.A."/>
    <s v="NC"/>
    <s v="005  "/>
    <s v="AD00002290"/>
    <s v="PRODUCTIVIDAD HUMANA"/>
    <n v="-26694"/>
    <n v="0"/>
    <n v="-26694"/>
    <n v="0"/>
    <n v="0"/>
    <n v="0"/>
    <n v="-26694"/>
    <d v="2026-01-27T00:00:00"/>
    <d v="2026-01-27T00:00:00"/>
    <n v="-3"/>
    <s v="001"/>
    <x v="1"/>
    <x v="7"/>
    <x v="6"/>
    <m/>
    <m/>
    <m/>
    <m/>
    <m/>
    <m/>
  </r>
  <r>
    <s v="CONSTRUCTORA GONZALO DELGADO SOCIEDAD ANONIMA"/>
    <s v="NC"/>
    <s v="0181 "/>
    <s v="AD00026476"/>
    <s v="PRODUCTIVIDAD HUMANA"/>
    <n v="-84330.57"/>
    <n v="0"/>
    <n v="-84330.57"/>
    <n v="0"/>
    <n v="0"/>
    <n v="0"/>
    <n v="-84330.57"/>
    <d v="2026-01-19T00:00:00"/>
    <d v="2026-01-19T00:00:00"/>
    <n v="-11"/>
    <s v="004-001"/>
    <x v="0"/>
    <x v="5"/>
    <x v="4"/>
    <m/>
    <m/>
    <m/>
    <m/>
    <m/>
    <m/>
  </r>
  <r>
    <s v="EDIFICAR S.A"/>
    <s v="NC"/>
    <s v="OF030"/>
    <s v="AD00026470"/>
    <s v="PRODUCTIVIDAD HUMANA"/>
    <n v="-1500"/>
    <n v="0"/>
    <n v="-1500"/>
    <n v="0"/>
    <n v="0"/>
    <n v="0"/>
    <n v="-1500"/>
    <d v="2026-01-14T00:00:00"/>
    <d v="2026-01-14T00:00:00"/>
    <n v="-16"/>
    <s v="004-001"/>
    <x v="0"/>
    <x v="7"/>
    <x v="6"/>
    <m/>
    <m/>
    <m/>
    <m/>
    <m/>
    <m/>
  </r>
  <r>
    <s v="EVOLUTION FREE ZONE SOCIEDAD ANONIMA"/>
    <s v="NC"/>
    <s v="OF030"/>
    <s v="AD00026498"/>
    <s v="PRODUCTIVIDAD HUMANA"/>
    <n v="-201436.02"/>
    <n v="0"/>
    <n v="-201436.02"/>
    <n v="0"/>
    <n v="0"/>
    <n v="0"/>
    <n v="-201436.02"/>
    <d v="2026-01-26T00:00:00"/>
    <d v="2026-01-26T00:00:00"/>
    <n v="-4"/>
    <s v="004-001"/>
    <x v="0"/>
    <x v="7"/>
    <x v="6"/>
    <m/>
    <m/>
    <m/>
    <m/>
    <m/>
    <m/>
  </r>
  <r>
    <s v="GRUPO DESARROLLADOR DE PARQUES INDUSTRIALES SOCIEDAD ANONIMA"/>
    <s v="NC"/>
    <s v="000  "/>
    <s v="AD00002289"/>
    <s v="PRODUCTIVIDAD HUMANA"/>
    <n v="-4562.1000000000004"/>
    <n v="0"/>
    <n v="-4562.1000000000004"/>
    <n v="0"/>
    <n v="0"/>
    <n v="0"/>
    <n v="-4562.1000000000004"/>
    <d v="2026-01-27T00:00:00"/>
    <d v="2026-01-27T00:00:00"/>
    <n v="-3"/>
    <s v="001"/>
    <x v="1"/>
    <x v="7"/>
    <x v="6"/>
    <m/>
    <m/>
    <m/>
    <m/>
    <m/>
    <m/>
  </r>
  <r>
    <s v="HOSPEDAJE AEROPUERTO S M SOCIEDAD ANONIMA"/>
    <s v="NC"/>
    <s v="111  "/>
    <s v="AD00002287"/>
    <s v="PRODUCTIVIDAD HUMANA"/>
    <n v="-31156.74"/>
    <n v="0"/>
    <n v="-31156.74"/>
    <n v="0"/>
    <n v="0"/>
    <n v="0"/>
    <n v="-31156.74"/>
    <d v="2026-01-13T00:00:00"/>
    <d v="2026-01-13T00:00:00"/>
    <n v="-17"/>
    <s v="001"/>
    <x v="1"/>
    <x v="7"/>
    <x v="6"/>
    <m/>
    <m/>
    <m/>
    <m/>
    <m/>
    <m/>
  </r>
  <r>
    <s v="INDIRA SOLANO VINDAS"/>
    <s v="FA"/>
    <s v="OF030"/>
    <n v="2100028681"/>
    <s v="PRODUCTIVIDAD HUMANA"/>
    <n v="378.55"/>
    <n v="0"/>
    <n v="378.55"/>
    <n v="0"/>
    <n v="0"/>
    <n v="0"/>
    <n v="378.55"/>
    <d v="2026-01-09T00:00:00"/>
    <d v="2026-01-14T00:00:00"/>
    <n v="-16"/>
    <s v="004-001"/>
    <x v="0"/>
    <x v="6"/>
    <x v="5"/>
    <m/>
    <m/>
    <m/>
    <m/>
    <m/>
    <m/>
  </r>
  <r>
    <s v="INSTITUTO NACIONAL DE SEGUROS"/>
    <s v="NC"/>
    <s v="000  "/>
    <n v="4931"/>
    <s v="PRODUCTIVIDAD HUMANA"/>
    <n v="-101.91"/>
    <n v="0"/>
    <n v="-101.91"/>
    <n v="0"/>
    <n v="0"/>
    <n v="0"/>
    <n v="-101.91"/>
    <d v="2026-01-15T00:00:00"/>
    <d v="2026-01-15T00:00:00"/>
    <n v="-15"/>
    <s v="004-001"/>
    <x v="0"/>
    <x v="5"/>
    <x v="4"/>
    <m/>
    <m/>
    <m/>
    <m/>
    <m/>
    <m/>
  </r>
  <r>
    <s v="LITOGRAFIA SAN RAFAEL SOCIEDAD ANONIMA"/>
    <s v="FA"/>
    <s v="OF116"/>
    <n v="2100028675"/>
    <s v="PRODUCTIVIDAD HUMANA"/>
    <n v="1"/>
    <n v="0"/>
    <n v="1"/>
    <n v="0"/>
    <n v="0"/>
    <n v="0"/>
    <n v="1"/>
    <d v="2026-01-08T00:00:00"/>
    <d v="2026-01-09T00:00:00"/>
    <n v="-21"/>
    <s v="004-001"/>
    <x v="0"/>
    <x v="5"/>
    <x v="4"/>
    <m/>
    <m/>
    <m/>
    <m/>
    <m/>
    <m/>
  </r>
  <r>
    <s v="LUMEN ILUMINACION SOCIEDAD ANONIMA"/>
    <s v="NC"/>
    <s v="000  "/>
    <s v="AD00026499"/>
    <s v="PRODUCTIVIDAD HUMANA"/>
    <n v="-892.7"/>
    <n v="0"/>
    <n v="-892.7"/>
    <n v="0"/>
    <n v="0"/>
    <n v="0"/>
    <n v="-892.7"/>
    <d v="2026-01-27T00:00:00"/>
    <d v="2026-01-27T00:00:00"/>
    <n v="-3"/>
    <s v="004-001"/>
    <x v="0"/>
    <x v="7"/>
    <x v="6"/>
    <m/>
    <m/>
    <m/>
    <m/>
    <m/>
    <m/>
  </r>
  <r>
    <s v="MUNICIPALIDAD DE ALAJUELA"/>
    <s v="NC"/>
    <s v="1354 "/>
    <s v="AD00002288"/>
    <s v="PRODUCTIVIDAD HUMANA"/>
    <n v="-0.15"/>
    <n v="0"/>
    <n v="-0.15"/>
    <n v="0"/>
    <n v="0"/>
    <n v="0"/>
    <n v="-0.15"/>
    <d v="2026-01-21T00:00:00"/>
    <d v="2026-01-21T00:00:00"/>
    <n v="-9"/>
    <s v="001"/>
    <x v="1"/>
    <x v="5"/>
    <x v="4"/>
    <m/>
    <m/>
    <m/>
    <m/>
    <m/>
    <m/>
  </r>
  <r>
    <s v="NITINOL DEVICES &amp; COMPONENTS COSTA RICA SRL"/>
    <s v="NC"/>
    <s v="OF313"/>
    <n v="56489"/>
    <s v="PRODUCTIVIDAD HUMANA"/>
    <n v="-405.96"/>
    <n v="0"/>
    <n v="-405.96"/>
    <n v="0"/>
    <n v="0"/>
    <n v="0"/>
    <n v="-405.96"/>
    <d v="2026-01-15T00:00:00"/>
    <d v="2026-01-15T00:00:00"/>
    <n v="-15"/>
    <s v="004-001"/>
    <x v="0"/>
    <x v="5"/>
    <x v="4"/>
    <m/>
    <m/>
    <m/>
    <m/>
    <m/>
    <m/>
  </r>
  <r>
    <s v="PUBLIEFECTO SOCIEDAD ANONIMA"/>
    <s v="NC"/>
    <s v="1354 "/>
    <n v="51151"/>
    <s v="PRODUCTIVIDAD HUMANA"/>
    <n v="-421.15"/>
    <n v="0"/>
    <n v="-421.15"/>
    <n v="0"/>
    <n v="0"/>
    <n v="0"/>
    <n v="-421.15"/>
    <d v="2026-01-28T00:00:00"/>
    <d v="2026-01-28T00:00:00"/>
    <n v="-2"/>
    <s v="001"/>
    <x v="1"/>
    <x v="5"/>
    <x v="4"/>
    <m/>
    <m/>
    <m/>
    <m/>
    <m/>
    <m/>
  </r>
  <r>
    <s v="STEWART TITLE GUARANTY COMPANY"/>
    <s v="FA"/>
    <s v="OF312"/>
    <n v="2100028763"/>
    <s v="PRODUCTIVIDAD HUMANA"/>
    <n v="14563"/>
    <n v="0"/>
    <n v="14563"/>
    <n v="0"/>
    <n v="0"/>
    <n v="0"/>
    <n v="14563"/>
    <d v="2026-01-26T00:00:00"/>
    <d v="2026-01-27T00:00:00"/>
    <n v="-3"/>
    <s v="004-001"/>
    <x v="0"/>
    <x v="5"/>
    <x v="4"/>
    <m/>
    <m/>
    <m/>
    <m/>
    <m/>
    <m/>
  </r>
  <r>
    <s v="STEWART TITLE GUARANTY COMPANY"/>
    <s v="NC"/>
    <s v="OF312"/>
    <n v="56511"/>
    <s v="PRODUCTIVIDAD HUMANA"/>
    <n v="-14563"/>
    <n v="0"/>
    <n v="-14563"/>
    <n v="0"/>
    <n v="0"/>
    <n v="0"/>
    <n v="-14563"/>
    <d v="2026-01-26T00:00:00"/>
    <d v="2026-01-26T00:00:00"/>
    <n v="-4"/>
    <s v="004-001"/>
    <x v="0"/>
    <x v="5"/>
    <x v="4"/>
    <m/>
    <m/>
    <m/>
    <m/>
    <m/>
    <m/>
  </r>
  <r>
    <s v="SUMINISTROS INDUSTRIALES SOTO ESPINOZA S.A."/>
    <s v="NC"/>
    <s v="000  "/>
    <s v="AD00026474"/>
    <s v="PRODUCTIVIDAD HUMANA"/>
    <n v="-80000"/>
    <n v="0"/>
    <n v="-80000"/>
    <n v="0"/>
    <n v="0"/>
    <n v="0"/>
    <n v="-80000"/>
    <d v="2026-01-16T00:00:00"/>
    <d v="2026-01-16T00:00:00"/>
    <n v="-14"/>
    <s v="004-001"/>
    <x v="0"/>
    <x v="5"/>
    <x v="4"/>
    <m/>
    <m/>
    <m/>
    <m/>
    <m/>
    <m/>
  </r>
  <r>
    <s v="TECNOMED QUINIENTOS SEIS SOCIEDAD ANONIMA"/>
    <s v="NC"/>
    <s v="OF312"/>
    <s v="AD00026472"/>
    <s v="PRODUCTIVIDAD HUMANA"/>
    <n v="-9603.07"/>
    <n v="0"/>
    <n v="-9603.07"/>
    <n v="0"/>
    <n v="0"/>
    <n v="0"/>
    <n v="-9603.07"/>
    <d v="2026-01-15T00:00:00"/>
    <d v="2026-01-15T00:00:00"/>
    <n v="-15"/>
    <s v="004-001"/>
    <x v="0"/>
    <x v="7"/>
    <x v="6"/>
    <m/>
    <m/>
    <m/>
    <m/>
    <m/>
    <m/>
  </r>
  <r>
    <s v="TECNOMED QUINIENTOS SEIS SOCIEDAD ANONIMA"/>
    <s v="NC"/>
    <s v="OF312"/>
    <s v="AD00026473"/>
    <s v="PRODUCTIVIDAD HUMANA"/>
    <n v="-2012.8"/>
    <n v="0"/>
    <n v="-2012.8"/>
    <n v="0"/>
    <n v="0"/>
    <n v="0"/>
    <n v="-2012.8"/>
    <d v="2026-01-15T00:00:00"/>
    <d v="2026-01-15T00:00:00"/>
    <n v="-15"/>
    <s v="004-001"/>
    <x v="0"/>
    <x v="7"/>
    <x v="6"/>
    <m/>
    <m/>
    <m/>
    <m/>
    <m/>
    <m/>
  </r>
  <r>
    <s v="VALLE DORADO MONTESSORI SOCIEDAD ANONIMA"/>
    <s v="NC"/>
    <s v="OF116"/>
    <s v="AD00026471"/>
    <s v="PRODUCTIVIDAD HUMANA"/>
    <n v="-2976.45"/>
    <n v="0"/>
    <n v="-2976.45"/>
    <n v="0"/>
    <n v="0"/>
    <n v="0"/>
    <n v="-2976.45"/>
    <d v="2026-01-14T00:00:00"/>
    <d v="2026-01-14T00:00:00"/>
    <n v="-16"/>
    <s v="004-001"/>
    <x v="0"/>
    <x v="5"/>
    <x v="4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2">
  <r>
    <s v="CONCENTRIX COSTA RICA SOCIEDAD ANONIMA"/>
    <s v="FA"/>
    <s v="OF111"/>
    <n v="2100028762"/>
    <s v="PRODUCTIVIDAD HUMANA"/>
    <n v="54548.5"/>
    <n v="54548.5"/>
    <n v="0"/>
    <n v="0"/>
    <n v="0"/>
    <n v="0"/>
    <n v="54548.5"/>
    <d v="2026-01-26T00:00:00"/>
    <d v="2026-02-25T00:00:00"/>
    <n v="26"/>
    <s v="004-001"/>
    <s v="Euromobilia"/>
    <x v="0"/>
    <d v="2026-02-01T00:00:00"/>
    <n v="54548.5"/>
    <m/>
    <m/>
    <m/>
    <m/>
    <m/>
  </r>
  <r>
    <s v="EDIFISA CONSTRUCTORA SOCIEDAD ANONIMA"/>
    <s v="FA"/>
    <s v="115  "/>
    <n v="71142"/>
    <s v="PRODUCTIVIDAD HUMANA"/>
    <n v="54011.92"/>
    <n v="54011.92"/>
    <n v="0"/>
    <n v="0"/>
    <n v="0"/>
    <n v="0"/>
    <n v="54011.92"/>
    <d v="2026-01-22T00:00:00"/>
    <d v="2026-02-06T00:00:00"/>
    <n v="7"/>
    <s v="001"/>
    <s v="Paneltec"/>
    <x v="0"/>
    <d v="2026-02-01T00:00:00"/>
    <n v="54011.92"/>
    <m/>
    <m/>
    <m/>
    <m/>
    <m/>
  </r>
  <r>
    <s v="Compania Nacional de Fuerza y Luz S.A."/>
    <s v="FA"/>
    <s v="1354 "/>
    <n v="71118"/>
    <s v="PRODUCTIVIDAD HUMANA"/>
    <n v="37894.370000000003"/>
    <n v="0"/>
    <n v="37894.370000000003"/>
    <n v="0"/>
    <n v="0"/>
    <n v="0"/>
    <n v="37894.370000000003"/>
    <d v="2025-12-19T00:00:00"/>
    <d v="2026-01-18T00:00:00"/>
    <n v="-12"/>
    <s v="001"/>
    <s v="Paneltec"/>
    <x v="1"/>
    <d v="2026-02-01T00:00:00"/>
    <n v="37894.370000000003"/>
    <n v="0"/>
    <n v="0"/>
    <n v="0"/>
    <n v="0"/>
    <n v="0"/>
  </r>
  <r>
    <s v="RAE INGENIEROS SOCIEDAD ANONIMA"/>
    <s v="FA"/>
    <s v="OF030"/>
    <n v="2100028505"/>
    <s v="PRODUCTIVIDAD HUMANA"/>
    <n v="36955.56"/>
    <n v="0"/>
    <n v="0"/>
    <n v="36955.56"/>
    <n v="0"/>
    <n v="0"/>
    <n v="36955.56"/>
    <d v="2025-12-04T00:00:00"/>
    <d v="2025-12-05T00:00:00"/>
    <n v="-56"/>
    <s v="004-001"/>
    <s v="Euromobilia"/>
    <x v="1"/>
    <d v="2026-02-01T00:00:00"/>
    <n v="36955.56"/>
    <n v="0"/>
    <n v="0"/>
    <n v="0"/>
    <n v="0"/>
    <n v="0"/>
  </r>
  <r>
    <s v="UNIVERSIDAD DE COSTA RICA"/>
    <s v="FA"/>
    <s v="1156 "/>
    <n v="2100028541"/>
    <s v="PRODUCTIVIDAD HUMANA"/>
    <n v="29553.48"/>
    <n v="0"/>
    <n v="29553.48"/>
    <n v="0"/>
    <n v="0"/>
    <n v="0"/>
    <n v="29553.48"/>
    <d v="2025-12-15T00:00:00"/>
    <d v="2026-01-14T00:00:00"/>
    <n v="-16"/>
    <s v="004-001"/>
    <s v="Euromobilia"/>
    <x v="1"/>
    <d v="2026-02-01T00:00:00"/>
    <n v="29553.48"/>
    <m/>
    <m/>
    <m/>
    <m/>
    <m/>
  </r>
  <r>
    <s v="BILCO COSTA RICA S.A."/>
    <s v="FA"/>
    <s v="OF030"/>
    <n v="2100028306"/>
    <s v="PRODUCTIVIDAD HUMANA"/>
    <n v="24118.97"/>
    <n v="0"/>
    <n v="0"/>
    <n v="0"/>
    <n v="24118.97"/>
    <n v="0"/>
    <n v="24118.97"/>
    <d v="2025-10-29T00:00:00"/>
    <d v="2025-11-28T00:00:00"/>
    <n v="-63"/>
    <s v="004-001"/>
    <s v="Euromobilia"/>
    <x v="1"/>
    <d v="2026-02-01T00:00:00"/>
    <n v="24118.97"/>
    <n v="0"/>
    <n v="0"/>
    <n v="0"/>
    <n v="0"/>
    <n v="0"/>
  </r>
  <r>
    <s v="AJIP INGENIERIA LIMITADA"/>
    <s v="FA"/>
    <s v="OF312"/>
    <n v="2100028058"/>
    <s v="PRODUCTIVIDAD HUMANA"/>
    <n v="20899.349999999999"/>
    <n v="0"/>
    <n v="0"/>
    <n v="0"/>
    <n v="0"/>
    <n v="20899.349999999999"/>
    <n v="20899.349999999999"/>
    <d v="2025-09-19T00:00:00"/>
    <d v="2025-09-20T00:00:00"/>
    <n v="-132"/>
    <s v="004-001"/>
    <s v="Euromobilia"/>
    <x v="1"/>
    <d v="2026-02-01T00:00:00"/>
    <n v="20899.349999999999"/>
    <n v="0"/>
    <n v="0"/>
    <n v="0"/>
    <n v="0"/>
    <n v="0"/>
  </r>
  <r>
    <s v="ASOCIACIÓN DE SERVICIOS MEDICOS COSTARRICENSES"/>
    <s v="FA"/>
    <s v="OF111"/>
    <n v="2100028631"/>
    <s v="PRODUCTIVIDAD HUMANA"/>
    <n v="18520.7"/>
    <n v="0"/>
    <n v="18520.7"/>
    <n v="0"/>
    <n v="0"/>
    <n v="0"/>
    <n v="18520.7"/>
    <d v="2025-12-29T00:00:00"/>
    <d v="2026-01-28T00:00:00"/>
    <n v="-2"/>
    <s v="004-001"/>
    <s v="Euromobilia"/>
    <x v="0"/>
    <d v="2026-02-01T00:00:00"/>
    <n v="18520.7"/>
    <n v="0"/>
    <n v="0"/>
    <n v="0"/>
    <n v="0"/>
    <n v="0"/>
  </r>
  <r>
    <s v="TTA PROJECT MANAGEMENT SOCIEDAD DE RESPONSABILIDAD LIMITADA"/>
    <s v="FA"/>
    <s v="115  "/>
    <n v="71145"/>
    <s v="PRODUCTIVIDAD HUMANA"/>
    <n v="17260.060000000001"/>
    <n v="0"/>
    <n v="17260.060000000001"/>
    <n v="0"/>
    <n v="0"/>
    <n v="0"/>
    <n v="17260.060000000001"/>
    <d v="2026-01-23T00:00:00"/>
    <d v="2026-01-28T00:00:00"/>
    <n v="-2"/>
    <s v="001"/>
    <s v="Paneltec"/>
    <x v="1"/>
    <d v="2026-02-01T00:00:00"/>
    <n v="17260.060000000001"/>
    <m/>
    <m/>
    <m/>
    <m/>
    <m/>
  </r>
  <r>
    <s v="RAE INGENIEROS SOCIEDAD ANONIMA"/>
    <s v="FA"/>
    <s v="OF030"/>
    <n v="2100028769"/>
    <s v="PRODUCTIVIDAD HUMANA"/>
    <n v="16798.22"/>
    <n v="0"/>
    <n v="16798.22"/>
    <n v="0"/>
    <n v="0"/>
    <n v="0"/>
    <n v="16798.22"/>
    <d v="2026-01-28T00:00:00"/>
    <d v="2026-01-29T00:00:00"/>
    <n v="-1"/>
    <s v="004-001"/>
    <s v="Euromobilia"/>
    <x v="1"/>
    <d v="2026-02-01T00:00:00"/>
    <n v="16798.22"/>
    <m/>
    <m/>
    <m/>
    <m/>
    <m/>
  </r>
  <r>
    <s v="CAJA COSTARRICENSE DE SEGURO SOCIAL"/>
    <s v="FA"/>
    <s v="OF111"/>
    <n v="2100028516"/>
    <s v="PRODUCTIVIDAD HUMANA"/>
    <n v="16497.86"/>
    <n v="0"/>
    <n v="16497.86"/>
    <n v="0"/>
    <n v="0"/>
    <n v="0"/>
    <n v="16497.86"/>
    <d v="2025-12-08T00:00:00"/>
    <d v="2026-01-07T00:00:00"/>
    <n v="-23"/>
    <s v="004-001"/>
    <s v="Euromobilia"/>
    <x v="1"/>
    <d v="2026-02-01T00:00:00"/>
    <n v="16497.86"/>
    <n v="0"/>
    <n v="0"/>
    <n v="0"/>
    <n v="0"/>
    <n v="0"/>
  </r>
  <r>
    <s v="EVOLUTION FREE ZONE SOCIEDAD ANONIMA"/>
    <s v="FA"/>
    <s v="OF030"/>
    <n v="2100028669"/>
    <s v="PRODUCTIVIDAD HUMANA"/>
    <n v="16082.59"/>
    <n v="16082.59"/>
    <n v="0"/>
    <n v="0"/>
    <n v="0"/>
    <n v="0"/>
    <n v="16082.59"/>
    <d v="2026-01-08T00:00:00"/>
    <d v="2026-02-07T00:00:00"/>
    <n v="8"/>
    <s v="004-001"/>
    <s v="Euromobilia"/>
    <x v="0"/>
    <d v="2026-02-01T00:00:00"/>
    <n v="16082.59"/>
    <m/>
    <m/>
    <m/>
    <m/>
    <m/>
  </r>
  <r>
    <s v="AJIP INGENIERIA LIMITADA"/>
    <s v="FA"/>
    <s v="OF116"/>
    <n v="2100028144"/>
    <s v="PRODUCTIVIDAD HUMANA"/>
    <n v="13475.25"/>
    <n v="0"/>
    <n v="0"/>
    <n v="0"/>
    <n v="0"/>
    <n v="13475.25"/>
    <n v="13475.25"/>
    <d v="2025-09-30T00:00:00"/>
    <d v="2025-10-01T00:00:00"/>
    <n v="-121"/>
    <s v="004-001"/>
    <s v="Euromobilia"/>
    <x v="1"/>
    <d v="2026-02-01T00:00:00"/>
    <n v="13475.25"/>
    <n v="0"/>
    <n v="0"/>
    <n v="0"/>
    <n v="0"/>
    <n v="0"/>
  </r>
  <r>
    <s v="EVOLUTION FREE ZONE SOCIEDAD ANONIMA"/>
    <s v="FA"/>
    <s v="OF030"/>
    <n v="2100028714"/>
    <s v="PRODUCTIVIDAD HUMANA"/>
    <n v="8627.9"/>
    <n v="8627.9"/>
    <n v="0"/>
    <n v="0"/>
    <n v="0"/>
    <n v="0"/>
    <n v="8627.9"/>
    <d v="2026-01-16T00:00:00"/>
    <d v="2026-02-15T00:00:00"/>
    <n v="16"/>
    <s v="004-001"/>
    <s v="Euromobilia"/>
    <x v="0"/>
    <d v="2026-02-01T00:00:00"/>
    <n v="8627.9"/>
    <m/>
    <m/>
    <m/>
    <m/>
    <m/>
  </r>
  <r>
    <s v="MUNICIPALIDAD DE ALAJUELA"/>
    <s v="FA"/>
    <s v="OF111"/>
    <n v="2100028515"/>
    <s v="PRODUCTIVIDAD HUMANA"/>
    <n v="8321.5300000000007"/>
    <n v="0"/>
    <n v="8321.5300000000007"/>
    <n v="0"/>
    <n v="0"/>
    <n v="0"/>
    <n v="8321.5300000000007"/>
    <d v="2025-12-08T00:00:00"/>
    <d v="2026-01-07T00:00:00"/>
    <n v="-23"/>
    <s v="004-001"/>
    <s v="Euromobilia"/>
    <x v="0"/>
    <d v="2026-02-01T00:00:00"/>
    <n v="8321.5300000000007"/>
    <n v="0"/>
    <n v="0"/>
    <n v="0"/>
    <n v="0"/>
    <n v="0"/>
  </r>
  <r>
    <s v="CSI LEASING DE CENTROAMERICA SOCIEDAD DE RESPONSAB"/>
    <s v="FA"/>
    <s v="OF086"/>
    <n v="2100028456"/>
    <s v="PRODUCTIVIDAD HUMANA"/>
    <n v="7789.94"/>
    <n v="0"/>
    <n v="0"/>
    <n v="7789.94"/>
    <n v="0"/>
    <n v="0"/>
    <n v="7789.94"/>
    <d v="2025-11-28T00:00:00"/>
    <d v="2025-12-28T00:00:00"/>
    <n v="-33"/>
    <s v="004-001"/>
    <s v="Euromobilia"/>
    <x v="1"/>
    <d v="2026-02-01T00:00:00"/>
    <n v="7789.94"/>
    <n v="0"/>
    <n v="0"/>
    <n v="0"/>
    <n v="0"/>
    <n v="0"/>
  </r>
  <r>
    <s v="CONSTRUCTORA TOTEM SOCIEDAD ANONIMA"/>
    <s v="FA"/>
    <s v="OF111"/>
    <n v="2100028452"/>
    <s v="PRODUCTIVIDAD HUMANA"/>
    <n v="7711.28"/>
    <n v="0"/>
    <n v="0"/>
    <n v="0"/>
    <n v="7711.28"/>
    <n v="0"/>
    <n v="7711.28"/>
    <d v="2025-11-28T00:00:00"/>
    <d v="2025-11-29T00:00:00"/>
    <n v="-62"/>
    <s v="004-001"/>
    <s v="Euromobilia"/>
    <x v="1"/>
    <d v="2026-02-01T00:00:00"/>
    <n v="7711.28"/>
    <n v="0"/>
    <n v="0"/>
    <n v="0"/>
    <n v="0"/>
    <n v="0"/>
  </r>
  <r>
    <s v="COMPAÑIA DE GALLETAS POZUELO DCR SOCIEDAD ANONIMA"/>
    <s v="FA"/>
    <s v="OF116"/>
    <n v="2100028433"/>
    <s v="PRODUCTIVIDAD HUMANA"/>
    <n v="5780.06"/>
    <n v="0"/>
    <n v="5780.06"/>
    <n v="0"/>
    <n v="0"/>
    <n v="0"/>
    <n v="5780.06"/>
    <d v="2025-11-24T00:00:00"/>
    <d v="2026-01-23T00:00:00"/>
    <n v="-7"/>
    <s v="004-003"/>
    <s v="Euromobilia"/>
    <x v="0"/>
    <d v="2026-02-01T00:00:00"/>
    <n v="5780.06"/>
    <n v="0"/>
    <n v="0"/>
    <n v="0"/>
    <n v="0"/>
    <n v="0"/>
  </r>
  <r>
    <s v="ROBERT BOSCH SERVICE SOLUTIONS COSTA RICA SOCIEDAD ANONIMA"/>
    <s v="FA"/>
    <s v="115  "/>
    <n v="71062"/>
    <s v="PRODUCTIVIDAD HUMANA"/>
    <n v="5451.45"/>
    <n v="0"/>
    <n v="0"/>
    <n v="5451.45"/>
    <n v="0"/>
    <n v="0"/>
    <n v="5451.45"/>
    <d v="2025-10-29T00:00:00"/>
    <d v="2025-12-28T00:00:00"/>
    <n v="-33"/>
    <s v="002"/>
    <s v="Paneltec"/>
    <x v="1"/>
    <d v="2026-02-01T00:00:00"/>
    <n v="5451.45"/>
    <n v="0"/>
    <n v="0"/>
    <n v="0"/>
    <n v="0"/>
    <n v="0"/>
  </r>
  <r>
    <s v="DISTRIBUIDORA LA FLORIDA S.A."/>
    <s v="FA"/>
    <s v="88   "/>
    <n v="71107"/>
    <s v="PRODUCTIVIDAD HUMANA"/>
    <n v="5421.32"/>
    <n v="5421.32"/>
    <n v="0"/>
    <n v="0"/>
    <n v="0"/>
    <n v="0"/>
    <n v="5421.32"/>
    <d v="2025-12-11T00:00:00"/>
    <d v="2026-02-09T00:00:00"/>
    <n v="10"/>
    <s v="001"/>
    <s v="Paneltec"/>
    <x v="0"/>
    <d v="2026-02-01T00:00:00"/>
    <n v="5421.32"/>
    <n v="0"/>
    <n v="0"/>
    <n v="0"/>
    <n v="0"/>
    <n v="0"/>
  </r>
  <r>
    <s v="BOSTON SCIENTIFIC DE COSTA RICA S.R.L"/>
    <s v="FA"/>
    <s v="OF111"/>
    <n v="2100028571"/>
    <s v="PRODUCTIVIDAD HUMANA"/>
    <n v="4460"/>
    <n v="4460"/>
    <n v="0"/>
    <n v="0"/>
    <n v="0"/>
    <n v="0"/>
    <n v="4460"/>
    <d v="2025-12-19T00:00:00"/>
    <d v="2026-02-17T00:00:00"/>
    <n v="18"/>
    <s v="004-001"/>
    <s v="Euromobilia"/>
    <x v="0"/>
    <d v="2026-02-01T00:00:00"/>
    <n v="4460"/>
    <n v="0"/>
    <n v="0"/>
    <n v="0"/>
    <n v="0"/>
    <n v="0"/>
  </r>
  <r>
    <s v="CONICO, CONSULTORIA INTEGRAL DE LA CONSTRUCCION, SOCIEDAD ANONIMA"/>
    <s v="FA"/>
    <s v="115  "/>
    <n v="71039"/>
    <s v="PRODUCTIVIDAD HUMANA"/>
    <n v="4153.4399999999996"/>
    <n v="0"/>
    <n v="0"/>
    <n v="0"/>
    <n v="0"/>
    <n v="4153.4399999999996"/>
    <n v="4153.4399999999996"/>
    <d v="2025-09-26T00:00:00"/>
    <d v="2025-10-26T00:00:00"/>
    <n v="-96"/>
    <s v="001"/>
    <s v="Paneltec"/>
    <x v="1"/>
    <d v="2026-02-01T00:00:00"/>
    <n v="4153.4399999999996"/>
    <n v="0"/>
    <n v="0"/>
    <n v="0"/>
    <n v="0"/>
    <n v="0"/>
  </r>
  <r>
    <s v="CONSTRIAL SOCIEDAD ANONIMA"/>
    <s v="FA"/>
    <s v="OF111"/>
    <n v="2100027594"/>
    <s v="PRODUCTIVIDAD HUMANA"/>
    <n v="4082.49"/>
    <n v="0"/>
    <n v="0"/>
    <n v="0"/>
    <n v="0"/>
    <n v="4082.49"/>
    <n v="4082.49"/>
    <d v="2025-07-07T00:00:00"/>
    <d v="2025-08-06T00:00:00"/>
    <n v="-177"/>
    <s v="004-001"/>
    <s v="Euromobilia"/>
    <x v="1"/>
    <d v="2026-02-01T00:00:00"/>
    <n v="4082.49"/>
    <n v="0"/>
    <n v="0"/>
    <n v="0"/>
    <n v="0"/>
    <n v="0"/>
  </r>
  <r>
    <s v="CONICO, CONSULTORIA INTEGRAL DE LA CONSTRUCCION, SOCIEDAD ANONIMA"/>
    <s v="FA"/>
    <s v="005  "/>
    <n v="71007"/>
    <s v="PRODUCTIVIDAD HUMANA"/>
    <n v="4074.02"/>
    <n v="0"/>
    <n v="0"/>
    <n v="0"/>
    <n v="0"/>
    <n v="4074.02"/>
    <n v="4074.02"/>
    <d v="2025-07-28T00:00:00"/>
    <d v="2025-08-27T00:00:00"/>
    <n v="-156"/>
    <s v="001"/>
    <s v="Paneltec"/>
    <x v="1"/>
    <d v="2026-02-01T00:00:00"/>
    <n v="4074.02"/>
    <n v="0"/>
    <n v="0"/>
    <n v="0"/>
    <n v="0"/>
    <n v="0"/>
  </r>
  <r>
    <s v="TTA PROJECT MANAGEMENT SOCIEDAD DE RESPONSABILIDAD LIMITADA"/>
    <s v="FA"/>
    <s v="115  "/>
    <n v="71146"/>
    <s v="PRODUCTIVIDAD HUMANA"/>
    <n v="3922.94"/>
    <n v="0"/>
    <n v="3922.94"/>
    <n v="0"/>
    <n v="0"/>
    <n v="0"/>
    <n v="3922.94"/>
    <d v="2026-01-23T00:00:00"/>
    <d v="2026-01-28T00:00:00"/>
    <n v="-2"/>
    <s v="001"/>
    <s v="Paneltec"/>
    <x v="1"/>
    <d v="2026-02-01T00:00:00"/>
    <n v="3922.94"/>
    <m/>
    <m/>
    <m/>
    <m/>
    <m/>
  </r>
  <r>
    <s v="UNIVERSIDAD DE COSTA RICA"/>
    <s v="FA"/>
    <s v="77   "/>
    <n v="71136"/>
    <s v="PRODUCTIVIDAD HUMANA"/>
    <n v="3876.79"/>
    <n v="3876.79"/>
    <n v="0"/>
    <n v="0"/>
    <n v="0"/>
    <n v="0"/>
    <n v="3876.79"/>
    <d v="2026-01-08T00:00:00"/>
    <d v="2026-02-07T00:00:00"/>
    <n v="8"/>
    <s v="001"/>
    <s v="Paneltec"/>
    <x v="0"/>
    <d v="2026-02-01T00:00:00"/>
    <n v="3876.79"/>
    <m/>
    <m/>
    <m/>
    <m/>
    <m/>
  </r>
  <r>
    <s v="UNIVERSIDAD DE COSTA RICA"/>
    <s v="FA"/>
    <s v="1354 "/>
    <n v="71075"/>
    <s v="PRODUCTIVIDAD HUMANA"/>
    <n v="3576.97"/>
    <n v="0"/>
    <n v="0"/>
    <n v="3576.97"/>
    <n v="0"/>
    <n v="0"/>
    <n v="3576.97"/>
    <d v="2025-11-21T00:00:00"/>
    <d v="2025-12-21T00:00:00"/>
    <n v="-40"/>
    <s v="001"/>
    <s v="Paneltec"/>
    <x v="1"/>
    <d v="2026-02-01T00:00:00"/>
    <n v="3576.97"/>
    <n v="0"/>
    <n v="0"/>
    <n v="0"/>
    <n v="0"/>
    <n v="0"/>
  </r>
  <r>
    <s v="CONTRATO DE FIDEICOMISO NO OCHO SIETE DOS MINISTERIO DE SALUD"/>
    <s v="FA"/>
    <s v="OF111"/>
    <n v="2100028492"/>
    <s v="PRODUCTIVIDAD HUMANA"/>
    <n v="3140.63"/>
    <n v="0"/>
    <n v="3140.63"/>
    <n v="0"/>
    <n v="0"/>
    <n v="0"/>
    <n v="3140.63"/>
    <d v="2025-12-02T00:00:00"/>
    <d v="2026-01-01T00:00:00"/>
    <n v="-29"/>
    <s v="004-001"/>
    <s v="Euromobilia"/>
    <x v="1"/>
    <d v="2026-02-01T00:00:00"/>
    <n v="3140.63"/>
    <n v="0"/>
    <n v="0"/>
    <n v="0"/>
    <n v="0"/>
    <n v="0"/>
  </r>
  <r>
    <s v="UNIVERSIDAD DE COSTA RICA"/>
    <s v="FA"/>
    <s v="OF111"/>
    <n v="2100028403"/>
    <s v="PRODUCTIVIDAD HUMANA"/>
    <n v="3096.56"/>
    <n v="0"/>
    <n v="0"/>
    <n v="3096.56"/>
    <n v="0"/>
    <n v="0"/>
    <n v="3096.56"/>
    <d v="2025-11-17T00:00:00"/>
    <d v="2025-12-17T00:00:00"/>
    <n v="-44"/>
    <s v="004-001"/>
    <s v="Euromobilia"/>
    <x v="1"/>
    <d v="2026-02-01T00:00:00"/>
    <n v="3096.56"/>
    <n v="0"/>
    <n v="0"/>
    <n v="0"/>
    <n v="0"/>
    <n v="0"/>
  </r>
  <r>
    <s v="ZONA FRANCA LA LIMA, SOCIEDAD DE RESPONSABILIDAD LIMITADA"/>
    <s v="FA"/>
    <s v="1354 "/>
    <n v="71135"/>
    <s v="PRODUCTIVIDAD HUMANA"/>
    <n v="2900.24"/>
    <n v="0"/>
    <n v="2900.24"/>
    <n v="0"/>
    <n v="0"/>
    <n v="0"/>
    <n v="2900.24"/>
    <d v="2025-12-30T00:00:00"/>
    <d v="2026-01-07T00:00:00"/>
    <n v="-23"/>
    <s v="001"/>
    <s v="Paneltec"/>
    <x v="1"/>
    <d v="2026-02-01T00:00:00"/>
    <n v="2900.24"/>
    <n v="0"/>
    <n v="0"/>
    <n v="0"/>
    <n v="0"/>
    <n v="0"/>
  </r>
  <r>
    <s v="UNIVERSIDAD DE COSTA RICA"/>
    <s v="FA"/>
    <s v="OF111"/>
    <n v="2100028443"/>
    <s v="PRODUCTIVIDAD HUMANA"/>
    <n v="2418.1"/>
    <n v="0"/>
    <n v="0"/>
    <n v="2418.1"/>
    <n v="0"/>
    <n v="0"/>
    <n v="2418.1"/>
    <d v="2025-11-27T00:00:00"/>
    <d v="2025-12-27T00:00:00"/>
    <n v="-34"/>
    <s v="004-001"/>
    <s v="Euromobilia"/>
    <x v="1"/>
    <d v="2026-02-01T00:00:00"/>
    <n v="2418.1"/>
    <n v="0"/>
    <n v="0"/>
    <n v="0"/>
    <n v="0"/>
    <n v="0"/>
  </r>
  <r>
    <s v="CONTRACT WORKPLACES COSTA RICA SOCIEDAD ANONIMA"/>
    <s v="FA"/>
    <s v="1354 "/>
    <n v="71130"/>
    <s v="PRODUCTIVIDAD HUMANA"/>
    <n v="2370.8200000000002"/>
    <n v="0"/>
    <n v="2370.8200000000002"/>
    <n v="0"/>
    <n v="0"/>
    <n v="0"/>
    <n v="2370.8200000000002"/>
    <d v="2025-12-30T00:00:00"/>
    <d v="2026-01-29T00:00:00"/>
    <n v="-1"/>
    <s v="001"/>
    <s v="Paneltec"/>
    <x v="1"/>
    <d v="2026-02-01T00:00:00"/>
    <n v="2370.83"/>
    <n v="0"/>
    <n v="0"/>
    <n v="0"/>
    <n v="0"/>
    <n v="0"/>
  </r>
  <r>
    <s v="CORPORACION COSTARRICENSE DE MERCADEO INTER"/>
    <s v="FA"/>
    <s v="OF116"/>
    <n v="2100028628"/>
    <s v="PRODUCTIVIDAD HUMANA"/>
    <n v="1931.17"/>
    <n v="0"/>
    <n v="1931.17"/>
    <n v="0"/>
    <n v="0"/>
    <n v="0"/>
    <n v="1931.17"/>
    <d v="2025-12-29T00:00:00"/>
    <d v="2026-01-28T00:00:00"/>
    <n v="-2"/>
    <s v="004-001"/>
    <s v="Euromobilia"/>
    <x v="1"/>
    <d v="2026-02-01T00:00:00"/>
    <n v="1931.17"/>
    <n v="0"/>
    <n v="0"/>
    <n v="0"/>
    <n v="0"/>
    <n v="0"/>
  </r>
  <r>
    <s v="UNIVERSIDAD DE COSTA RICA"/>
    <s v="FA"/>
    <s v="OF111"/>
    <n v="2100028564"/>
    <s v="PRODUCTIVIDAD HUMANA"/>
    <n v="1880.75"/>
    <n v="0"/>
    <n v="1880.75"/>
    <n v="0"/>
    <n v="0"/>
    <n v="0"/>
    <n v="1880.75"/>
    <d v="2025-12-16T00:00:00"/>
    <d v="2026-01-15T00:00:00"/>
    <n v="-15"/>
    <s v="004-001"/>
    <s v="Euromobilia"/>
    <x v="1"/>
    <d v="2026-02-01T00:00:00"/>
    <n v="1880.75"/>
    <n v="0"/>
    <n v="0"/>
    <n v="0"/>
    <n v="0"/>
    <n v="0"/>
  </r>
  <r>
    <s v="CONTRATO DE FIDEICOMISO NO OCHO SIETE DOS MINISTERIO DE SALUD"/>
    <s v="FA"/>
    <s v="OF111"/>
    <n v="2100028010"/>
    <s v="PRODUCTIVIDAD HUMANA"/>
    <n v="1832.04"/>
    <n v="0"/>
    <n v="0"/>
    <n v="0"/>
    <n v="0"/>
    <n v="1832.04"/>
    <n v="1832.04"/>
    <d v="2025-09-12T00:00:00"/>
    <d v="2025-10-12T00:00:00"/>
    <n v="-110"/>
    <s v="004-001"/>
    <s v="Euromobilia"/>
    <x v="1"/>
    <d v="2026-02-01T00:00:00"/>
    <n v="1832.04"/>
    <n v="0"/>
    <n v="0"/>
    <n v="0"/>
    <n v="0"/>
    <n v="0"/>
  </r>
  <r>
    <s v="UNIVERSIDAD DE COSTA RICA"/>
    <s v="FA"/>
    <s v="OF111"/>
    <n v="2100028038"/>
    <s v="PRODUCTIVIDAD HUMANA"/>
    <n v="1822.9"/>
    <n v="0"/>
    <n v="0"/>
    <n v="0"/>
    <n v="0"/>
    <n v="1822.9"/>
    <n v="1822.9"/>
    <d v="2025-09-17T00:00:00"/>
    <d v="2025-10-17T00:00:00"/>
    <n v="-105"/>
    <s v="004-001"/>
    <s v="Euromobilia"/>
    <x v="1"/>
    <d v="2026-02-01T00:00:00"/>
    <n v="1822.9"/>
    <n v="0"/>
    <n v="0"/>
    <n v="0"/>
    <n v="0"/>
    <n v="0"/>
  </r>
  <r>
    <s v="PARQUE CENTRAL SOCIEDAD ANONIMA"/>
    <s v="FA"/>
    <s v="111  "/>
    <n v="70965"/>
    <s v="PRODUCTIVIDAD HUMANA"/>
    <n v="1669.71"/>
    <n v="0"/>
    <n v="0"/>
    <n v="0"/>
    <n v="0"/>
    <n v="1669.71"/>
    <n v="1669.71"/>
    <d v="2025-06-17T00:00:00"/>
    <d v="2025-06-25T00:00:00"/>
    <n v="-219"/>
    <s v="001"/>
    <s v="Paneltec"/>
    <x v="2"/>
    <d v="2026-02-01T00:00:00"/>
    <n v="1669.71"/>
    <n v="0"/>
    <n v="0"/>
    <n v="0"/>
    <n v="0"/>
    <n v="0"/>
  </r>
  <r>
    <s v="DISTRIBUIDORA LA FLORIDA S.A."/>
    <s v="FA"/>
    <s v="88   "/>
    <n v="71108"/>
    <s v="PRODUCTIVIDAD HUMANA"/>
    <n v="1659.97"/>
    <n v="1659.97"/>
    <n v="0"/>
    <n v="0"/>
    <n v="0"/>
    <n v="0"/>
    <n v="1659.97"/>
    <d v="2025-12-11T00:00:00"/>
    <d v="2026-02-09T00:00:00"/>
    <n v="10"/>
    <s v="001"/>
    <s v="Paneltec"/>
    <x v="0"/>
    <d v="2026-02-01T00:00:00"/>
    <n v="1659.97"/>
    <n v="0"/>
    <n v="0"/>
    <n v="0"/>
    <n v="0"/>
    <n v="0"/>
  </r>
  <r>
    <s v="MICROVENTION COSTA RICA SRL"/>
    <s v="FA"/>
    <s v="OF111"/>
    <n v="2100028641"/>
    <s v="PRODUCTIVIDAD HUMANA"/>
    <n v="1634.3"/>
    <n v="0"/>
    <n v="1634.3"/>
    <n v="0"/>
    <n v="0"/>
    <n v="0"/>
    <n v="1634.3"/>
    <d v="2025-12-29T00:00:00"/>
    <d v="2026-01-28T00:00:00"/>
    <n v="-2"/>
    <s v="004-001"/>
    <s v="Euromobilia"/>
    <x v="1"/>
    <d v="2026-02-01T00:00:00"/>
    <n v="1634.3"/>
    <n v="0"/>
    <n v="0"/>
    <n v="0"/>
    <n v="0"/>
    <n v="0"/>
  </r>
  <r>
    <s v="INVERSIONES EL AGUALOTE URUCA S.A."/>
    <s v="FA"/>
    <s v="2029 "/>
    <n v="2100028310"/>
    <s v="PRODUCTIVIDAD HUMANA"/>
    <n v="1593.03"/>
    <n v="0"/>
    <n v="0"/>
    <n v="0"/>
    <n v="1593.03"/>
    <n v="0"/>
    <n v="1593.03"/>
    <d v="2025-10-29T00:00:00"/>
    <d v="2025-11-28T00:00:00"/>
    <n v="-63"/>
    <s v="004-001"/>
    <s v="Euromobilia"/>
    <x v="1"/>
    <d v="2026-02-01T00:00:00"/>
    <n v="1593.03"/>
    <n v="0"/>
    <n v="0"/>
    <n v="0"/>
    <n v="0"/>
    <n v="0"/>
  </r>
  <r>
    <s v="KPMG DELIVERY NETWORK COSTA RICA  T&amp;L SOCIEDAD ANONIMA"/>
    <s v="FA"/>
    <s v="OF116"/>
    <n v="2100027944"/>
    <s v="PRODUCTIVIDAD HUMANA"/>
    <n v="1500"/>
    <n v="0"/>
    <n v="0"/>
    <n v="0"/>
    <n v="0"/>
    <n v="1500"/>
    <n v="1500"/>
    <d v="2025-09-03T00:00:00"/>
    <d v="2025-09-18T00:00:00"/>
    <n v="-134"/>
    <s v="004-001"/>
    <s v="Euromobilia"/>
    <x v="1"/>
    <d v="2026-02-01T00:00:00"/>
    <n v="1500"/>
    <n v="0"/>
    <n v="0"/>
    <n v="0"/>
    <n v="0"/>
    <n v="0"/>
  </r>
  <r>
    <s v="EUROCENTER INMOBILIARIA DE COSTA RICA ECR SOCIEDAD ANONIMA"/>
    <s v="FA"/>
    <s v="OF312"/>
    <n v="2100028312"/>
    <s v="PRODUCTIVIDAD HUMANA"/>
    <n v="1011.32"/>
    <n v="0"/>
    <n v="0"/>
    <n v="0"/>
    <n v="1011.32"/>
    <n v="0"/>
    <n v="1011.32"/>
    <d v="2025-10-29T00:00:00"/>
    <d v="2025-11-28T00:00:00"/>
    <n v="-63"/>
    <s v="004-001"/>
    <s v="Euromobilia"/>
    <x v="1"/>
    <d v="2026-02-01T00:00:00"/>
    <n v="1011.32"/>
    <n v="0"/>
    <n v="0"/>
    <n v="0"/>
    <n v="0"/>
    <n v="0"/>
  </r>
  <r>
    <s v="LOS ARALLANES SOCIEDAD ANONIMA"/>
    <s v="FA"/>
    <s v="OF111"/>
    <n v="2100028738"/>
    <s v="PRODUCTIVIDAD HUMANA"/>
    <n v="941.48"/>
    <n v="941.48"/>
    <n v="0"/>
    <n v="0"/>
    <n v="0"/>
    <n v="0"/>
    <n v="941.48"/>
    <d v="2026-01-21T00:00:00"/>
    <d v="2026-02-20T00:00:00"/>
    <n v="21"/>
    <s v="004-001"/>
    <s v="Euromobilia"/>
    <x v="0"/>
    <d v="2026-02-01T00:00:00"/>
    <n v="941.48"/>
    <m/>
    <m/>
    <m/>
    <m/>
    <m/>
  </r>
  <r>
    <s v="DHL CUSTOMS (COSTA RICA) SOCIEDAD ANONIMA"/>
    <s v="FA"/>
    <s v="77   "/>
    <n v="71150"/>
    <s v="PRODUCTIVIDAD HUMANA"/>
    <n v="888.18"/>
    <n v="888.18"/>
    <n v="0"/>
    <n v="0"/>
    <n v="0"/>
    <n v="0"/>
    <n v="888.18"/>
    <d v="2026-01-28T00:00:00"/>
    <d v="2026-02-27T00:00:00"/>
    <n v="28"/>
    <s v="001"/>
    <s v="Paneltec"/>
    <x v="0"/>
    <d v="2026-02-01T00:00:00"/>
    <n v="888.18"/>
    <m/>
    <m/>
    <m/>
    <m/>
    <m/>
  </r>
  <r>
    <s v="LOS ARALLANES SOCIEDAD ANONIMA"/>
    <s v="FA"/>
    <s v="OF111"/>
    <n v="2100028313"/>
    <s v="PRODUCTIVIDAD HUMANA"/>
    <n v="750"/>
    <n v="0"/>
    <n v="0"/>
    <n v="0"/>
    <n v="750"/>
    <n v="0"/>
    <n v="750"/>
    <d v="2025-10-29T00:00:00"/>
    <d v="2025-11-28T00:00:00"/>
    <n v="-63"/>
    <s v="004-001"/>
    <s v="Euromobilia"/>
    <x v="1"/>
    <d v="2026-02-01T00:00:00"/>
    <n v="750"/>
    <n v="0"/>
    <n v="0"/>
    <n v="0"/>
    <n v="0"/>
    <n v="0"/>
  </r>
  <r>
    <s v="SAMTEC INTERCONNECT ASSEMBLY SIA COSTA RICA S.R.L"/>
    <s v="FA"/>
    <s v="OF111"/>
    <n v="2100028661"/>
    <s v="PRODUCTIVIDAD HUMANA"/>
    <n v="743.2"/>
    <n v="0"/>
    <n v="743.2"/>
    <n v="0"/>
    <n v="0"/>
    <n v="0"/>
    <n v="743.2"/>
    <d v="2026-01-06T00:00:00"/>
    <d v="2026-01-21T00:00:00"/>
    <n v="-9"/>
    <s v="004-001"/>
    <s v="Euromobilia"/>
    <x v="1"/>
    <d v="2026-02-01T00:00:00"/>
    <n v="743.2"/>
    <m/>
    <m/>
    <m/>
    <m/>
    <m/>
  </r>
  <r>
    <s v="PARQUE CENTRAL SOCIEDAD ANONIMA"/>
    <s v="FA"/>
    <s v="111  "/>
    <n v="70795"/>
    <s v="PRODUCTIVIDAD HUMANA"/>
    <n v="727.26"/>
    <n v="0"/>
    <n v="0"/>
    <n v="0"/>
    <n v="0"/>
    <n v="727.26"/>
    <n v="727.26"/>
    <d v="2024-10-18T00:00:00"/>
    <d v="2024-10-26T00:00:00"/>
    <n v="-461"/>
    <s v="001"/>
    <s v="Paneltec"/>
    <x v="2"/>
    <d v="2026-02-01T00:00:00"/>
    <n v="727.26"/>
    <n v="0"/>
    <n v="0"/>
    <n v="0"/>
    <n v="0"/>
    <n v="0"/>
  </r>
  <r>
    <s v="CHIQUITA BRANDS COSTA RICA SRL"/>
    <s v="FA"/>
    <s v="115  "/>
    <n v="71141"/>
    <s v="PRODUCTIVIDAD HUMANA"/>
    <n v="610.20000000000005"/>
    <n v="610.20000000000005"/>
    <n v="0"/>
    <n v="0"/>
    <n v="0"/>
    <n v="0"/>
    <n v="610.20000000000005"/>
    <d v="2026-01-22T00:00:00"/>
    <d v="2026-02-21T00:00:00"/>
    <n v="22"/>
    <s v="001"/>
    <s v="Paneltec"/>
    <x v="0"/>
    <d v="2026-02-01T00:00:00"/>
    <n v="610.20000000000005"/>
    <m/>
    <m/>
    <m/>
    <m/>
    <m/>
  </r>
  <r>
    <s v="EMBAJADA DE LOS ESTADOS UNIDOS DE AMERICA"/>
    <s v="FA"/>
    <s v="OF116"/>
    <n v="2100028390"/>
    <s v="PRODUCTIVIDAD HUMANA"/>
    <n v="581"/>
    <n v="0"/>
    <n v="0"/>
    <n v="581"/>
    <n v="0"/>
    <n v="0"/>
    <n v="581"/>
    <d v="2025-11-12T00:00:00"/>
    <d v="2025-12-12T00:00:00"/>
    <n v="-49"/>
    <s v="004-001"/>
    <s v="Euromobilia"/>
    <x v="1"/>
    <d v="2026-02-01T00:00:00"/>
    <n v="581"/>
    <n v="0"/>
    <n v="0"/>
    <n v="0"/>
    <n v="0"/>
    <n v="0"/>
  </r>
  <r>
    <s v="INVERSIONES FUTURA ANDINO S.A."/>
    <s v="FA"/>
    <s v="2124 "/>
    <n v="2100028496"/>
    <s v="PRODUCTIVIDAD HUMANA"/>
    <n v="553.70000000000005"/>
    <n v="0"/>
    <n v="553.70000000000005"/>
    <n v="0"/>
    <n v="0"/>
    <n v="0"/>
    <n v="553.70000000000005"/>
    <d v="2025-12-04T00:00:00"/>
    <d v="2026-01-03T00:00:00"/>
    <n v="-27"/>
    <s v="004-001"/>
    <s v="Euromobilia"/>
    <x v="1"/>
    <d v="2026-02-01T00:00:00"/>
    <n v="553.70000000000005"/>
    <n v="0"/>
    <n v="0"/>
    <n v="0"/>
    <n v="0"/>
    <n v="0"/>
  </r>
  <r>
    <s v="PURDY MOTOR SOCIEDAD ANONIMA"/>
    <s v="FA"/>
    <s v="OF103"/>
    <n v="2100028692"/>
    <s v="PRODUCTIVIDAD HUMANA"/>
    <n v="542.4"/>
    <n v="542.4"/>
    <n v="0"/>
    <n v="0"/>
    <n v="0"/>
    <n v="0"/>
    <n v="542.4"/>
    <d v="2026-01-13T00:00:00"/>
    <d v="2026-02-12T00:00:00"/>
    <n v="13"/>
    <s v="004-001"/>
    <s v="Euromobilia"/>
    <x v="0"/>
    <d v="2026-02-01T00:00:00"/>
    <n v="542.4"/>
    <m/>
    <m/>
    <m/>
    <m/>
    <m/>
  </r>
  <r>
    <s v="ATRES ARQUITECTOS SOCIEDAD DE RESPONSABILIDAD LIMITADA"/>
    <s v="FA"/>
    <s v="OF030"/>
    <n v="2100028630"/>
    <s v="PRODUCTIVIDAD HUMANA"/>
    <n v="978.31"/>
    <n v="0"/>
    <n v="978.31"/>
    <n v="0"/>
    <n v="0"/>
    <n v="0"/>
    <n v="978.31"/>
    <d v="2025-12-29T00:00:00"/>
    <d v="2026-01-28T00:00:00"/>
    <n v="-2"/>
    <s v="004-001"/>
    <s v="Euromobilia"/>
    <x v="1"/>
    <d v="2026-02-01T00:00:00"/>
    <n v="507.5"/>
    <n v="0"/>
    <n v="0"/>
    <n v="0"/>
    <n v="0"/>
    <n v="0"/>
  </r>
  <r>
    <s v="LUX SOLUTIONS LIMITADA"/>
    <s v="FA"/>
    <s v="OF116"/>
    <n v="2100028646"/>
    <s v="PRODUCTIVIDAD HUMANA"/>
    <n v="427.14"/>
    <n v="0"/>
    <n v="427.14"/>
    <n v="0"/>
    <n v="0"/>
    <n v="0"/>
    <n v="427.14"/>
    <d v="2025-12-30T00:00:00"/>
    <d v="2025-12-31T00:00:00"/>
    <n v="-30"/>
    <s v="004-001"/>
    <s v="Euromobilia"/>
    <x v="1"/>
    <d v="2026-02-01T00:00:00"/>
    <n v="427.14"/>
    <n v="0"/>
    <n v="0"/>
    <n v="0"/>
    <n v="0"/>
    <n v="0"/>
  </r>
  <r>
    <s v="NITINOL DEVICES &amp; COMPONENTS COSTA RICA SRL"/>
    <s v="FA"/>
    <s v="OF313"/>
    <n v="2100028709"/>
    <s v="PRODUCTIVIDAD HUMANA"/>
    <n v="405.96"/>
    <n v="405.96"/>
    <n v="0"/>
    <n v="0"/>
    <n v="0"/>
    <n v="0"/>
    <n v="405.96"/>
    <d v="2026-01-15T00:00:00"/>
    <d v="2026-02-14T00:00:00"/>
    <n v="15"/>
    <s v="004-001"/>
    <s v="Euromobilia"/>
    <x v="0"/>
    <d v="2026-02-01T00:00:00"/>
    <n v="405.96"/>
    <m/>
    <m/>
    <m/>
    <m/>
    <m/>
  </r>
  <r>
    <s v="CONTRACT WORKPLACES COSTA RICA SOCIEDAD ANONIMA"/>
    <s v="FA"/>
    <s v="1354 "/>
    <n v="71134"/>
    <s v="PRODUCTIVIDAD HUMANA"/>
    <n v="390.4"/>
    <n v="0"/>
    <n v="390.4"/>
    <n v="0"/>
    <n v="0"/>
    <n v="0"/>
    <n v="390.4"/>
    <d v="2025-12-30T00:00:00"/>
    <d v="2026-01-29T00:00:00"/>
    <n v="-1"/>
    <s v="001"/>
    <s v="Paneltec"/>
    <x v="1"/>
    <d v="2026-02-01T00:00:00"/>
    <n v="390.4"/>
    <n v="0"/>
    <n v="0"/>
    <n v="0"/>
    <n v="0"/>
    <n v="0"/>
  </r>
  <r>
    <s v="PURDY MOTOR SOCIEDAD ANONIMA"/>
    <s v="FA"/>
    <s v="OF103"/>
    <n v="2100028366"/>
    <s v="PRODUCTIVIDAD HUMANA"/>
    <n v="339"/>
    <n v="0"/>
    <n v="0"/>
    <n v="339"/>
    <n v="0"/>
    <n v="0"/>
    <n v="339"/>
    <d v="2025-11-06T00:00:00"/>
    <d v="2025-12-06T00:00:00"/>
    <n v="-55"/>
    <s v="004-001"/>
    <s v="Euromobilia"/>
    <x v="1"/>
    <d v="2026-02-01T00:00:00"/>
    <n v="339"/>
    <n v="0"/>
    <n v="0"/>
    <n v="0"/>
    <n v="0"/>
    <n v="0"/>
  </r>
  <r>
    <s v="PURDY MOTOR SOCIEDAD ANONIMA"/>
    <s v="FA"/>
    <s v="OF103"/>
    <n v="2100028693"/>
    <s v="PRODUCTIVIDAD HUMANA"/>
    <n v="339"/>
    <n v="339"/>
    <n v="0"/>
    <n v="0"/>
    <n v="0"/>
    <n v="0"/>
    <n v="339"/>
    <d v="2026-01-13T00:00:00"/>
    <d v="2026-02-12T00:00:00"/>
    <n v="13"/>
    <s v="004-001"/>
    <s v="Euromobilia"/>
    <x v="0"/>
    <d v="2026-02-01T00:00:00"/>
    <n v="339"/>
    <m/>
    <m/>
    <m/>
    <m/>
    <m/>
  </r>
  <r>
    <s v="CAJA COSTARRICENSE DE SEGURO SOCIAL"/>
    <s v="FA"/>
    <s v="OF111"/>
    <n v="2100028321"/>
    <s v="PRODUCTIVIDAD HUMANA"/>
    <n v="231.61"/>
    <n v="0"/>
    <n v="0"/>
    <n v="0"/>
    <n v="231.61"/>
    <n v="0"/>
    <n v="231.61"/>
    <d v="2025-10-30T00:00:00"/>
    <d v="2025-11-29T00:00:00"/>
    <n v="-62"/>
    <s v="004-001"/>
    <s v="Euromobilia"/>
    <x v="1"/>
    <d v="2026-02-01T00:00:00"/>
    <n v="231.61"/>
    <n v="0"/>
    <n v="0"/>
    <n v="0"/>
    <n v="0"/>
    <n v="0"/>
  </r>
  <r>
    <s v="ELECTRONICA CENTROAMERICANA SOCIEDAD ANONIMA"/>
    <s v="FA"/>
    <s v="77   "/>
    <n v="71139"/>
    <s v="PRODUCTIVIDAD HUMANA"/>
    <n v="216.59"/>
    <n v="0"/>
    <n v="216.59"/>
    <n v="0"/>
    <n v="0"/>
    <n v="0"/>
    <n v="216.59"/>
    <d v="2026-01-22T00:00:00"/>
    <d v="2026-01-23T00:00:00"/>
    <n v="-7"/>
    <s v="001"/>
    <s v="Paneltec"/>
    <x v="1"/>
    <d v="2026-02-01T00:00:00"/>
    <n v="216.59"/>
    <m/>
    <m/>
    <m/>
    <m/>
    <m/>
  </r>
  <r>
    <s v="LITOGRAFIA SAN RAFAEL SOCIEDAD ANONIMA"/>
    <s v="FA"/>
    <s v="OF116"/>
    <n v="2100028766"/>
    <s v="PRODUCTIVIDAD HUMANA"/>
    <n v="67.8"/>
    <n v="0"/>
    <n v="67.8"/>
    <n v="0"/>
    <n v="0"/>
    <n v="0"/>
    <n v="67.8"/>
    <d v="2026-01-27T00:00:00"/>
    <d v="2026-01-28T00:00:00"/>
    <n v="-2"/>
    <s v="004-001"/>
    <s v="Euromobilia"/>
    <x v="1"/>
    <d v="2026-02-01T00:00:00"/>
    <n v="67.8"/>
    <m/>
    <m/>
    <m/>
    <m/>
    <m/>
  </r>
  <r>
    <s v="EMBAJADA DE LOS ESTADOS UNIDOS DE AMERICA"/>
    <s v="FA"/>
    <s v="OF116"/>
    <n v="2100028389"/>
    <s v="PRODUCTIVIDAD HUMANA"/>
    <n v="35"/>
    <n v="0"/>
    <n v="0"/>
    <n v="35"/>
    <n v="0"/>
    <n v="0"/>
    <n v="35"/>
    <d v="2025-11-12T00:00:00"/>
    <d v="2025-12-12T00:00:00"/>
    <n v="-49"/>
    <s v="004-001"/>
    <s v="Euromobilia"/>
    <x v="1"/>
    <d v="2026-02-01T00:00:00"/>
    <n v="35"/>
    <n v="0"/>
    <n v="0"/>
    <n v="0"/>
    <n v="0"/>
    <n v="0"/>
  </r>
  <r>
    <s v="PLAZA RIVIERA SOCIEDAD ANONIMA"/>
    <s v="FA"/>
    <s v="O7EX "/>
    <n v="2100028226"/>
    <s v="PRODUCTIVIDAD HUMANA"/>
    <n v="28.53"/>
    <n v="0"/>
    <n v="0"/>
    <n v="0"/>
    <n v="28.53"/>
    <n v="0"/>
    <n v="28.53"/>
    <d v="2025-10-10T00:00:00"/>
    <d v="2025-11-09T00:00:00"/>
    <n v="-82"/>
    <s v="004-001"/>
    <s v="Euromobilia"/>
    <x v="2"/>
    <d v="2026-02-01T00:00:00"/>
    <n v="28.53"/>
    <n v="0"/>
    <n v="0"/>
    <n v="0"/>
    <n v="0"/>
    <n v="0"/>
  </r>
  <r>
    <s v="SUMINISTROS INDUSTRIALES SOTO ESPINOZA S.A."/>
    <s v="FA"/>
    <s v="OF030"/>
    <n v="2100028643"/>
    <s v="PRODUCTIVIDAD HUMANA"/>
    <n v="51873.94"/>
    <n v="0"/>
    <n v="51873.94"/>
    <n v="0"/>
    <n v="0"/>
    <n v="0"/>
    <n v="51873.94"/>
    <d v="2025-12-29T00:00:00"/>
    <d v="2026-01-28T00:00:00"/>
    <n v="-2"/>
    <s v="004-001"/>
    <s v="Euromobilia"/>
    <x v="0"/>
    <d v="2026-03-01T00:00:00"/>
    <n v="0"/>
    <n v="51873.94"/>
    <n v="0"/>
    <n v="0"/>
    <n v="0"/>
    <n v="0"/>
  </r>
  <r>
    <s v="CONSTRUCTORA GONZALO DELGADO SOCIEDAD ANONIMA"/>
    <s v="FA"/>
    <s v="O7EX "/>
    <n v="2100027667"/>
    <s v="PRODUCTIVIDAD HUMANA"/>
    <n v="125000"/>
    <n v="0"/>
    <n v="0"/>
    <n v="0"/>
    <n v="0"/>
    <n v="125000"/>
    <n v="125000"/>
    <d v="2025-07-17T00:00:00"/>
    <d v="2025-09-15T00:00:00"/>
    <n v="-137"/>
    <s v="004-001"/>
    <s v="Euromobilia"/>
    <x v="2"/>
    <d v="2026-04-01T00:00:00"/>
    <n v="0"/>
    <n v="0"/>
    <n v="40669"/>
    <n v="0"/>
    <n v="0"/>
    <n v="0"/>
  </r>
  <r>
    <s v="CONTRACT WORKPLACES COSTA RICA SOCIEDAD ANONIMA"/>
    <s v="FA"/>
    <s v="0F105"/>
    <n v="2100027472"/>
    <s v="PRODUCTIVIDAD HUMANA"/>
    <n v="14410"/>
    <n v="0"/>
    <n v="0"/>
    <n v="0"/>
    <n v="0"/>
    <n v="14410"/>
    <n v="14410"/>
    <d v="2025-06-25T00:00:00"/>
    <d v="2025-07-25T00:00:00"/>
    <n v="-189"/>
    <s v="004-001"/>
    <s v="Euromobilia"/>
    <x v="2"/>
    <d v="2026-04-01T00:00:00"/>
    <n v="0"/>
    <n v="0"/>
    <n v="14410"/>
    <n v="0"/>
    <n v="0"/>
    <n v="0"/>
  </r>
  <r>
    <s v="CONSTRUCTORA GONZALO DELGADO SOCIEDAD ANONIMA"/>
    <s v="FA"/>
    <s v="OF030"/>
    <n v="2100027235"/>
    <s v="PRODUCTIVIDAD HUMANA"/>
    <n v="13560.23"/>
    <n v="0"/>
    <n v="0"/>
    <n v="0"/>
    <n v="0"/>
    <n v="13560.23"/>
    <n v="13560.23"/>
    <d v="2025-05-12T00:00:00"/>
    <d v="2025-06-11T00:00:00"/>
    <n v="-233"/>
    <s v="004-001"/>
    <s v="Euromobilia"/>
    <x v="2"/>
    <d v="2026-04-01T00:00:00"/>
    <n v="0"/>
    <n v="0"/>
    <n v="13560.23"/>
    <n v="0"/>
    <n v="0"/>
    <n v="0"/>
  </r>
  <r>
    <s v="CONSTRUCTORA GONZALO DELGADO SOCIEDAD ANONIMA"/>
    <s v="FA"/>
    <s v="OF030"/>
    <n v="2100027705"/>
    <s v="PRODUCTIVIDAD HUMANA"/>
    <n v="12203.8"/>
    <n v="0"/>
    <n v="0"/>
    <n v="0"/>
    <n v="0"/>
    <n v="12203.8"/>
    <n v="12203.8"/>
    <d v="2025-07-28T00:00:00"/>
    <d v="2025-09-26T00:00:00"/>
    <n v="-126"/>
    <s v="004-001"/>
    <s v="Euromobilia"/>
    <x v="2"/>
    <d v="2026-04-01T00:00:00"/>
    <n v="0"/>
    <n v="0"/>
    <n v="12203.8"/>
    <n v="0"/>
    <n v="0"/>
    <n v="0"/>
  </r>
  <r>
    <s v="CONSTRUCTORA GONZALO DELGADO SOCIEDAD ANONIMA"/>
    <s v="FA"/>
    <s v="OF030"/>
    <n v="2100027706"/>
    <s v="PRODUCTIVIDAD HUMANA"/>
    <n v="7766.22"/>
    <n v="0"/>
    <n v="0"/>
    <n v="0"/>
    <n v="0"/>
    <n v="7766.22"/>
    <n v="7766.22"/>
    <d v="2025-07-28T00:00:00"/>
    <d v="2025-09-26T00:00:00"/>
    <n v="-126"/>
    <s v="004-001"/>
    <s v="Euromobilia"/>
    <x v="2"/>
    <d v="2026-04-01T00:00:00"/>
    <n v="0"/>
    <n v="0"/>
    <n v="7766.22"/>
    <n v="0"/>
    <n v="0"/>
    <n v="0"/>
  </r>
  <r>
    <s v="CONSTRUCTORA GONZALO DELGADO SOCIEDAD ANONIMA"/>
    <s v="FA"/>
    <s v="O7EX "/>
    <n v="2100027167"/>
    <s v="PRODUCTIVIDAD HUMANA"/>
    <n v="6250"/>
    <n v="0"/>
    <n v="0"/>
    <n v="0"/>
    <n v="0"/>
    <n v="6250"/>
    <n v="6250"/>
    <d v="2025-04-30T00:00:00"/>
    <d v="2025-05-30T00:00:00"/>
    <n v="-245"/>
    <s v="004-001"/>
    <s v="Euromobilia"/>
    <x v="2"/>
    <d v="2026-04-01T00:00:00"/>
    <n v="0"/>
    <n v="0"/>
    <n v="6250"/>
    <n v="0"/>
    <n v="0"/>
    <n v="0"/>
  </r>
  <r>
    <s v="PLAZA RIVIERA SOCIEDAD ANONIMA"/>
    <s v="FA"/>
    <s v="O7EX "/>
    <n v="2100027666"/>
    <s v="PRODUCTIVIDAD HUMANA"/>
    <n v="5791.36"/>
    <n v="0"/>
    <n v="0"/>
    <n v="0"/>
    <n v="0"/>
    <n v="5791.36"/>
    <n v="5791.36"/>
    <d v="2025-07-17T00:00:00"/>
    <d v="2025-08-16T00:00:00"/>
    <n v="-167"/>
    <s v="004-001"/>
    <s v="Euromobilia"/>
    <x v="2"/>
    <d v="2026-04-01T00:00:00"/>
    <n v="0"/>
    <n v="0"/>
    <n v="5791.36"/>
    <n v="0"/>
    <n v="0"/>
    <n v="0"/>
  </r>
  <r>
    <s v="CONSTRUCTORA GONZALO DELGADO SOCIEDAD ANONIMA"/>
    <s v="FA"/>
    <s v="OF030"/>
    <n v="2100027704"/>
    <s v="PRODUCTIVIDAD HUMANA"/>
    <n v="5732.05"/>
    <n v="0"/>
    <n v="0"/>
    <n v="0"/>
    <n v="0"/>
    <n v="5732.05"/>
    <n v="5732.05"/>
    <d v="2025-07-28T00:00:00"/>
    <d v="2025-09-26T00:00:00"/>
    <n v="-126"/>
    <s v="004-001"/>
    <s v="Euromobilia"/>
    <x v="2"/>
    <d v="2026-04-01T00:00:00"/>
    <n v="0"/>
    <n v="0"/>
    <n v="5732.05"/>
    <n v="0"/>
    <n v="0"/>
    <n v="0"/>
  </r>
  <r>
    <s v="CONSTRUCTORA GONZALO DELGADO SOCIEDAD ANONIMA"/>
    <s v="FA"/>
    <s v="OF030"/>
    <n v="2100025592"/>
    <s v="PRODUCTIVIDAD HUMANA"/>
    <n v="2227.42"/>
    <n v="0"/>
    <n v="0"/>
    <n v="0"/>
    <n v="0"/>
    <n v="2227.42"/>
    <n v="2227.42"/>
    <d v="2024-09-10T00:00:00"/>
    <d v="2024-10-10T00:00:00"/>
    <n v="-477"/>
    <s v="004-001"/>
    <s v="Euromobilia"/>
    <x v="2"/>
    <d v="2026-04-01T00:00:00"/>
    <n v="0"/>
    <n v="0"/>
    <n v="2227.42"/>
    <n v="0"/>
    <n v="0"/>
    <n v="0"/>
  </r>
  <r>
    <s v="EDIFICADORA CENTROAMERICANA RAPIPAREDES S.A."/>
    <s v="FA"/>
    <s v="OF113"/>
    <n v="2100028158"/>
    <s v="PRODUCTIVIDAD HUMANA"/>
    <n v="2207.2600000000002"/>
    <n v="0"/>
    <n v="0"/>
    <n v="0"/>
    <n v="2207.2600000000002"/>
    <n v="0"/>
    <n v="2207.2600000000002"/>
    <d v="2025-10-02T00:00:00"/>
    <d v="2025-11-01T00:00:00"/>
    <n v="-90"/>
    <s v="004-001"/>
    <s v="Euromobilia"/>
    <x v="2"/>
    <d v="2026-04-01T00:00:00"/>
    <n v="0"/>
    <n v="0"/>
    <n v="2207.2600000000002"/>
    <n v="0"/>
    <n v="0"/>
    <n v="0"/>
  </r>
  <r>
    <s v="BILCO COSTA RICA S.A."/>
    <s v="FA"/>
    <s v="OF030"/>
    <n v="2100028309"/>
    <s v="PRODUCTIVIDAD HUMANA"/>
    <n v="2094.62"/>
    <n v="0"/>
    <n v="0"/>
    <n v="0"/>
    <n v="2094.62"/>
    <n v="0"/>
    <n v="2094.62"/>
    <d v="2025-10-29T00:00:00"/>
    <d v="2025-11-28T00:00:00"/>
    <n v="-63"/>
    <s v="004-001"/>
    <s v="Euromobilia"/>
    <x v="2"/>
    <d v="2026-04-01T00:00:00"/>
    <n v="0"/>
    <n v="0"/>
    <n v="2094.62"/>
    <n v="0"/>
    <n v="0"/>
    <n v="0"/>
  </r>
  <r>
    <s v="FREUDENBERG MEDICAL SOCIEDAD DE RESPONSABILIDAD LIMITADA"/>
    <s v="FA"/>
    <s v="111  "/>
    <n v="71151"/>
    <s v="PRODUCTIVIDAD HUMANA"/>
    <n v="2056"/>
    <n v="2056"/>
    <n v="0"/>
    <n v="0"/>
    <n v="0"/>
    <n v="0"/>
    <n v="2056"/>
    <d v="2026-01-28T00:00:00"/>
    <d v="2026-03-29T00:00:00"/>
    <n v="58"/>
    <s v="001"/>
    <s v="Paneltec"/>
    <x v="0"/>
    <d v="2026-04-01T00:00:00"/>
    <n v="0"/>
    <n v="0"/>
    <n v="2056"/>
    <m/>
    <m/>
    <m/>
  </r>
  <r>
    <s v="BILCO COSTA RICA S.A."/>
    <s v="FA"/>
    <s v="OF030"/>
    <n v="2100028114"/>
    <s v="PRODUCTIVIDAD HUMANA"/>
    <n v="2009.91"/>
    <n v="0"/>
    <n v="0"/>
    <n v="0"/>
    <n v="0"/>
    <n v="2009.91"/>
    <n v="2009.91"/>
    <d v="2025-09-26T00:00:00"/>
    <d v="2025-10-26T00:00:00"/>
    <n v="-96"/>
    <s v="004-001"/>
    <s v="Euromobilia"/>
    <x v="2"/>
    <d v="2026-04-01T00:00:00"/>
    <n v="0"/>
    <n v="0"/>
    <n v="2009.91"/>
    <n v="0"/>
    <n v="0"/>
    <n v="0"/>
  </r>
  <r>
    <s v="CONSTRUCTORA GONZALO DELGADO SOCIEDAD ANONIMA"/>
    <s v="FA"/>
    <s v="OF030"/>
    <n v="2100027707"/>
    <s v="PRODUCTIVIDAD HUMANA"/>
    <n v="1216.43"/>
    <n v="0"/>
    <n v="0"/>
    <n v="0"/>
    <n v="0"/>
    <n v="1216.43"/>
    <n v="1216.43"/>
    <d v="2025-07-28T00:00:00"/>
    <d v="2025-09-26T00:00:00"/>
    <n v="-126"/>
    <s v="004-001"/>
    <s v="Euromobilia"/>
    <x v="2"/>
    <d v="2026-04-01T00:00:00"/>
    <n v="0"/>
    <n v="0"/>
    <n v="1216.43"/>
    <n v="0"/>
    <n v="0"/>
    <n v="0"/>
  </r>
  <r>
    <s v="EDIFICAR S.A"/>
    <s v="FA"/>
    <s v="0001 "/>
    <n v="10056"/>
    <s v="PRODUCTIVIDAD HUMANA"/>
    <n v="675.74"/>
    <n v="0"/>
    <n v="0"/>
    <n v="0"/>
    <n v="0"/>
    <n v="675.74"/>
    <n v="675.74"/>
    <d v="2024-05-14T00:00:00"/>
    <d v="2024-05-14T00:00:00"/>
    <n v="-626"/>
    <s v="004-001"/>
    <s v="Euromobilia"/>
    <x v="3"/>
    <d v="2026-04-01T00:00:00"/>
    <n v="0"/>
    <n v="0"/>
    <n v="675.74"/>
    <n v="0"/>
    <n v="0"/>
    <n v="0"/>
  </r>
  <r>
    <s v="MAYCA DISTRIBUIDORES, S.A"/>
    <s v="FA"/>
    <s v="OF116"/>
    <n v="2100028772"/>
    <s v="PRODUCTIVIDAD HUMANA"/>
    <n v="345.53"/>
    <n v="345.53"/>
    <n v="0"/>
    <n v="0"/>
    <n v="0"/>
    <n v="0"/>
    <n v="345.53"/>
    <d v="2026-01-28T00:00:00"/>
    <d v="2026-03-29T00:00:00"/>
    <n v="58"/>
    <s v="004-001"/>
    <s v="Euromobilia"/>
    <x v="0"/>
    <d v="2026-04-01T00:00:00"/>
    <n v="0"/>
    <n v="0"/>
    <n v="345.53"/>
    <m/>
    <m/>
    <m/>
  </r>
  <r>
    <s v="3-101-742029 SOCIEDAD ANONIMA"/>
    <s v="NC"/>
    <s v="0001 "/>
    <n v="412"/>
    <s v="PRODUCTIVIDAD HUMANA"/>
    <n v="-4385.71"/>
    <n v="0"/>
    <n v="0"/>
    <n v="0"/>
    <n v="0"/>
    <n v="-4385.71"/>
    <n v="-4385.71"/>
    <d v="2022-10-12T00:00:00"/>
    <d v="2022-10-12T00:00:00"/>
    <n v="-1206"/>
    <s v="004-001"/>
    <s v="Euromobilia"/>
    <x v="4"/>
    <s v="NC"/>
    <n v="0"/>
    <n v="0"/>
    <n v="0"/>
    <n v="0"/>
    <n v="0"/>
    <n v="0"/>
  </r>
  <r>
    <s v="ACTIVE CAMPAIGN COSTA RICA SOCIEDAD DE RESPONSABIL"/>
    <s v="NC"/>
    <s v="0001 "/>
    <n v="7682"/>
    <s v="PRODUCTIVIDAD HUMANA"/>
    <n v="-596.59"/>
    <n v="0"/>
    <n v="0"/>
    <n v="0"/>
    <n v="0"/>
    <n v="-596.59"/>
    <n v="-596.59"/>
    <d v="2024-02-22T00:00:00"/>
    <d v="2024-02-22T00:00:00"/>
    <n v="-708"/>
    <s v="004-001"/>
    <s v="Euromobilia"/>
    <x v="4"/>
    <s v="NC"/>
    <n v="0"/>
    <n v="0"/>
    <n v="0"/>
    <n v="0"/>
    <n v="0"/>
    <n v="0"/>
  </r>
  <r>
    <s v="ADMEDES SOCIEDAD ANONIMA"/>
    <s v="NC"/>
    <s v="OF313"/>
    <s v="AD00026427"/>
    <s v="PRODUCTIVIDAD HUMANA"/>
    <n v="-56"/>
    <n v="0"/>
    <n v="0"/>
    <n v="-56"/>
    <n v="0"/>
    <n v="0"/>
    <n v="-56"/>
    <d v="2025-12-22T00:00:00"/>
    <d v="2025-12-22T00:00:00"/>
    <n v="-39"/>
    <s v="004-001"/>
    <s v="Euromobilia"/>
    <x v="5"/>
    <s v="Aplicar"/>
    <n v="0"/>
    <n v="0"/>
    <n v="0"/>
    <n v="0"/>
    <n v="0"/>
    <n v="0"/>
  </r>
  <r>
    <s v="ADMEDES SOCIEDAD ANONIMA"/>
    <s v="NC"/>
    <s v="OF313"/>
    <s v="AD00026428"/>
    <s v="PRODUCTIVIDAD HUMANA"/>
    <n v="-56"/>
    <n v="0"/>
    <n v="0"/>
    <n v="-56"/>
    <n v="0"/>
    <n v="0"/>
    <n v="-56"/>
    <d v="2025-12-22T00:00:00"/>
    <d v="2025-12-22T00:00:00"/>
    <n v="-39"/>
    <s v="004-001"/>
    <s v="Euromobilia"/>
    <x v="5"/>
    <s v="Aplicar"/>
    <n v="0"/>
    <n v="0"/>
    <n v="0"/>
    <n v="0"/>
    <n v="0"/>
    <n v="0"/>
  </r>
  <r>
    <s v="ALLERGAN COSTA RICA SOCIENDAD RESPONSABILIDAD LIMITADA"/>
    <s v="NC"/>
    <s v="115  "/>
    <n v="51133"/>
    <s v="PRODUCTIVIDAD HUMANA"/>
    <n v="-625"/>
    <n v="0"/>
    <n v="0"/>
    <n v="0"/>
    <n v="0"/>
    <n v="-625"/>
    <n v="-625"/>
    <d v="2025-10-02T00:00:00"/>
    <d v="2025-10-02T00:00:00"/>
    <n v="-120"/>
    <s v="002"/>
    <s v="Paneltec"/>
    <x v="5"/>
    <s v="Aplicar"/>
    <n v="0"/>
    <n v="0"/>
    <n v="0"/>
    <n v="0"/>
    <n v="0"/>
    <n v="0"/>
  </r>
  <r>
    <s v="ALLERGAN COSTA RICA SOCIENDAD RESPONSABILIDAD LIMITADA"/>
    <s v="FA"/>
    <s v="115  "/>
    <n v="71112"/>
    <s v="PRODUCTIVIDAD HUMANA"/>
    <n v="1120"/>
    <n v="1120"/>
    <n v="0"/>
    <n v="0"/>
    <n v="0"/>
    <n v="0"/>
    <n v="1120"/>
    <d v="2025-12-12T00:00:00"/>
    <d v="2026-03-12T00:00:00"/>
    <n v="41"/>
    <s v="001"/>
    <s v="Paneltec"/>
    <x v="0"/>
    <d v="2026-03-01T00:00:00"/>
    <n v="0"/>
    <n v="495"/>
    <n v="0"/>
    <n v="0"/>
    <n v="0"/>
    <n v="0"/>
  </r>
  <r>
    <s v="ALTEA G Y E SOCIEDAD ANONIMA"/>
    <s v="FA"/>
    <s v="OF103"/>
    <n v="1200016040"/>
    <s v="PRODUCTIVIDAD HUMANA"/>
    <n v="11948.77"/>
    <n v="0"/>
    <n v="0"/>
    <n v="0"/>
    <n v="0"/>
    <n v="11948.77"/>
    <n v="11948.77"/>
    <d v="2025-08-04T00:00:00"/>
    <d v="2025-09-03T00:00:00"/>
    <n v="-149"/>
    <s v="004-033"/>
    <s v="Euromobilia"/>
    <x v="6"/>
    <s v="Caso especial"/>
    <n v="0"/>
    <n v="0"/>
    <n v="0"/>
    <n v="0"/>
    <n v="0"/>
    <n v="0"/>
  </r>
  <r>
    <s v="ANC CAR SOCIEDAD ANONIMA"/>
    <s v="FA"/>
    <s v="0001 "/>
    <n v="4713"/>
    <s v="PRODUCTIVIDAD HUMANA"/>
    <n v="2821.72"/>
    <n v="0"/>
    <n v="0"/>
    <n v="0"/>
    <n v="0"/>
    <n v="2821.72"/>
    <n v="2821.72"/>
    <d v="2023-11-23T00:00:00"/>
    <d v="2023-11-23T00:00:00"/>
    <n v="-799"/>
    <s v="004-001"/>
    <s v="Euromobilia"/>
    <x v="6"/>
    <s v="Caso especial"/>
    <n v="0"/>
    <n v="0"/>
    <n v="0"/>
    <n v="0"/>
    <n v="0"/>
    <n v="0"/>
  </r>
  <r>
    <s v="ASEMECO"/>
    <s v="NC"/>
    <s v="005  "/>
    <s v="AD00001716"/>
    <s v="PRODUCTIVIDAD HUMANA"/>
    <n v="-1026.1600000000001"/>
    <n v="0"/>
    <n v="0"/>
    <n v="0"/>
    <n v="0"/>
    <n v="-1026.1600000000001"/>
    <n v="-1026.1600000000001"/>
    <d v="2020-12-28T00:00:00"/>
    <d v="2020-12-28T00:00:00"/>
    <n v="-1859"/>
    <s v="001"/>
    <s v="Paneltec"/>
    <x v="4"/>
    <s v="NC"/>
    <n v="0"/>
    <n v="0"/>
    <n v="0"/>
    <n v="0"/>
    <n v="0"/>
    <n v="0"/>
  </r>
  <r>
    <s v="ASOCIACION SOLIDARISTA EMPLEADOS CAJA"/>
    <s v="NC"/>
    <s v="000  "/>
    <s v="AD00024847"/>
    <s v="PRODUCTIVIDAD HUMANA"/>
    <n v="-88.84"/>
    <n v="0"/>
    <n v="0"/>
    <n v="0"/>
    <n v="0"/>
    <n v="-88.84"/>
    <n v="-88.84"/>
    <d v="2024-09-27T00:00:00"/>
    <d v="2024-09-27T00:00:00"/>
    <n v="-490"/>
    <s v="004-001"/>
    <s v="Euromobilia"/>
    <x v="4"/>
    <s v="NC"/>
    <n v="0"/>
    <n v="0"/>
    <n v="0"/>
    <n v="0"/>
    <n v="0"/>
    <n v="0"/>
  </r>
  <r>
    <s v="ASOCIACION SOLIDARISTA EMPLEADOS CAJA COSTARRICENSE SEGURO SOCIAL"/>
    <s v="NC"/>
    <s v="OF030"/>
    <s v="AD00025890"/>
    <s v="PRODUCTIVIDAD HUMANA"/>
    <n v="-19.329999999999998"/>
    <n v="0"/>
    <n v="0"/>
    <n v="0"/>
    <n v="0"/>
    <n v="-19.329999999999998"/>
    <n v="-19.329999999999998"/>
    <d v="2025-07-16T00:00:00"/>
    <d v="2025-07-16T00:00:00"/>
    <n v="-198"/>
    <s v="004-001"/>
    <s v="Euromobilia"/>
    <x v="4"/>
    <s v="NC"/>
    <n v="0"/>
    <n v="0"/>
    <n v="0"/>
    <n v="0"/>
    <n v="0"/>
    <n v="0"/>
  </r>
  <r>
    <s v="ATRES ARQUITECTOS SOCIEDAD DE RESPONSABILIDAD LIMITADA"/>
    <s v="NC"/>
    <s v="OF030"/>
    <s v="AD00025512"/>
    <s v="PRODUCTIVIDAD HUMANA"/>
    <n v="-61.2"/>
    <n v="0"/>
    <n v="0"/>
    <n v="0"/>
    <n v="0"/>
    <n v="-61.2"/>
    <n v="-61.2"/>
    <d v="2025-03-31T00:00:00"/>
    <d v="2025-03-31T00:00:00"/>
    <n v="-305"/>
    <s v="004-001"/>
    <s v="Euromobilia"/>
    <x v="5"/>
    <s v="Aplicar"/>
    <n v="0"/>
    <n v="0"/>
    <n v="0"/>
    <n v="0"/>
    <n v="0"/>
    <n v="0"/>
  </r>
  <r>
    <s v="ATRES ARQUITECTOS SOCIEDAD DE RESPONSABILIDAD LIMITADA"/>
    <s v="NC"/>
    <s v="OF030"/>
    <s v="AD00026286"/>
    <s v="PRODUCTIVIDAD HUMANA"/>
    <n v="-409.57"/>
    <n v="0"/>
    <n v="0"/>
    <n v="0"/>
    <n v="0"/>
    <n v="-409.57"/>
    <n v="-409.57"/>
    <d v="2025-10-30T00:00:00"/>
    <d v="2025-10-30T00:00:00"/>
    <n v="-92"/>
    <s v="004-001"/>
    <s v="Euromobilia"/>
    <x v="5"/>
    <s v="Aplicar"/>
    <n v="0"/>
    <n v="0"/>
    <n v="0"/>
    <n v="0"/>
    <n v="0"/>
    <n v="0"/>
  </r>
  <r>
    <s v="BANCO DAVIVIENDA (COSTA RICA) SOCIEDAD ANONIMA"/>
    <s v="NC"/>
    <s v="37   "/>
    <s v="AD00001343"/>
    <s v="PRODUCTIVIDAD HUMANA"/>
    <n v="-55.24"/>
    <n v="0"/>
    <n v="0"/>
    <n v="0"/>
    <n v="0"/>
    <n v="-55.24"/>
    <n v="-55.24"/>
    <d v="2018-07-13T00:00:00"/>
    <d v="2018-07-13T00:00:00"/>
    <n v="-2758"/>
    <s v="001"/>
    <s v="Paneltec"/>
    <x v="4"/>
    <s v="NC"/>
    <n v="0"/>
    <n v="0"/>
    <n v="0"/>
    <n v="0"/>
    <n v="0"/>
    <n v="0"/>
  </r>
  <r>
    <s v="BILCO COSTA RICA S.A."/>
    <s v="FA"/>
    <s v="0001 "/>
    <n v="8442"/>
    <s v="PRODUCTIVIDAD HUMANA"/>
    <n v="2002.14"/>
    <n v="0"/>
    <n v="0"/>
    <n v="0"/>
    <n v="0"/>
    <n v="2002.14"/>
    <n v="2002.14"/>
    <d v="2024-03-15T00:00:00"/>
    <d v="2024-03-15T00:00:00"/>
    <n v="-686"/>
    <s v="004-001"/>
    <s v="Euromobilia"/>
    <x v="6"/>
    <s v="Caso especial"/>
    <n v="0"/>
    <n v="0"/>
    <n v="0"/>
    <n v="0"/>
    <n v="0"/>
    <n v="0"/>
  </r>
  <r>
    <s v="BILCO COSTA RICA SOCIEDAD ANONIMA"/>
    <s v="NC"/>
    <s v="065  "/>
    <s v="AD00002265"/>
    <s v="PRODUCTIVIDAD HUMANA"/>
    <n v="-39394.44"/>
    <n v="0"/>
    <n v="0"/>
    <n v="0"/>
    <n v="-39394.44"/>
    <n v="0"/>
    <n v="-39394.44"/>
    <d v="2025-11-10T00:00:00"/>
    <d v="2025-11-10T00:00:00"/>
    <n v="-81"/>
    <s v="001"/>
    <s v="Paneltec"/>
    <x v="7"/>
    <s v="Anticipo por facturar"/>
    <n v="0"/>
    <n v="0"/>
    <n v="0"/>
    <n v="0"/>
    <n v="0"/>
    <n v="0"/>
  </r>
  <r>
    <s v="BLOCK CONSTRUCTORA SOCIEDAD ANONIMA"/>
    <s v="NC"/>
    <s v="23   "/>
    <s v="AD00002258"/>
    <s v="PRODUCTIVIDAD HUMANA"/>
    <n v="-17858.25"/>
    <n v="0"/>
    <n v="0"/>
    <n v="0"/>
    <n v="0"/>
    <n v="-17858.25"/>
    <n v="-17858.25"/>
    <d v="2025-10-09T00:00:00"/>
    <d v="2025-10-09T00:00:00"/>
    <n v="-113"/>
    <s v="001"/>
    <s v="Paneltec"/>
    <x v="7"/>
    <s v="Anticipo por facturar"/>
    <n v="0"/>
    <n v="0"/>
    <n v="0"/>
    <n v="0"/>
    <n v="0"/>
    <n v="0"/>
  </r>
  <r>
    <s v="BLOCK CONSTRUCTORA SOCIEDAD ANONIMA"/>
    <s v="NC"/>
    <s v="23   "/>
    <s v="AD00002278"/>
    <s v="PRODUCTIVIDAD HUMANA"/>
    <n v="-7182.74"/>
    <n v="0"/>
    <n v="0"/>
    <n v="-7182.74"/>
    <n v="0"/>
    <n v="0"/>
    <n v="-7182.74"/>
    <d v="2025-12-17T00:00:00"/>
    <d v="2025-12-17T00:00:00"/>
    <n v="-44"/>
    <s v="001"/>
    <s v="Paneltec"/>
    <x v="7"/>
    <s v="Anticipo por facturar"/>
    <n v="0"/>
    <n v="0"/>
    <n v="0"/>
    <n v="0"/>
    <n v="0"/>
    <n v="0"/>
  </r>
  <r>
    <s v="Btsu S.A"/>
    <s v="NC"/>
    <s v="000  "/>
    <s v="AD00025925"/>
    <s v="PRODUCTIVIDAD HUMANA"/>
    <n v="-1614.604403"/>
    <n v="0"/>
    <n v="0"/>
    <n v="0"/>
    <n v="0"/>
    <n v="-1614.6"/>
    <n v="-1614.6"/>
    <d v="2025-07-28T00:00:00"/>
    <d v="2025-07-28T00:00:00"/>
    <n v="-186"/>
    <s v="004-001"/>
    <s v="Euromobilia"/>
    <x v="7"/>
    <s v="Anticipo por facturar"/>
    <n v="0"/>
    <n v="0"/>
    <n v="0"/>
    <n v="0"/>
    <n v="0"/>
    <n v="0"/>
  </r>
  <r>
    <s v="CAFETAL DOS DE BELEN S.A"/>
    <s v="FA"/>
    <s v="0001 "/>
    <n v="4323"/>
    <s v="PRODUCTIVIDAD HUMANA"/>
    <n v="2546.66"/>
    <n v="0"/>
    <n v="0"/>
    <n v="0"/>
    <n v="0"/>
    <n v="2546.66"/>
    <n v="2546.66"/>
    <d v="2023-11-07T00:00:00"/>
    <d v="2023-12-07T00:00:00"/>
    <n v="-785"/>
    <s v="004-001"/>
    <s v="Euromobilia"/>
    <x v="2"/>
    <d v="2026-03-01T00:00:00"/>
    <n v="0"/>
    <n v="2546.66"/>
    <n v="0"/>
    <n v="0"/>
    <n v="0"/>
    <n v="0"/>
  </r>
  <r>
    <s v="CAJA COSTARRICENSE DE SEGURO SOCIAL"/>
    <s v="FA"/>
    <s v="OF030"/>
    <n v="2100028497"/>
    <s v="PRODUCTIVIDAD HUMANA"/>
    <n v="184.24"/>
    <n v="0"/>
    <n v="184.24"/>
    <n v="0"/>
    <n v="0"/>
    <n v="0"/>
    <n v="184.24"/>
    <d v="2025-12-04T00:00:00"/>
    <d v="2026-01-03T00:00:00"/>
    <n v="-27"/>
    <s v="004-001"/>
    <s v="Euromobilia"/>
    <x v="5"/>
    <s v="Aplicar"/>
    <n v="0"/>
    <n v="0"/>
    <n v="0"/>
    <n v="0"/>
    <n v="0"/>
    <n v="0"/>
  </r>
  <r>
    <s v="CARLOS FEDERSPIEL &amp; COMPAÑIA, S.A                                          "/>
    <s v="NC"/>
    <s v="044  "/>
    <s v="AD00001301"/>
    <s v="PRODUCTIVIDAD HUMANA"/>
    <n v="-384.2"/>
    <n v="0"/>
    <n v="0"/>
    <n v="0"/>
    <n v="0"/>
    <n v="-384.2"/>
    <n v="-384.2"/>
    <d v="2018-05-17T00:00:00"/>
    <d v="2018-05-17T00:00:00"/>
    <n v="-2815"/>
    <s v="001"/>
    <s v="Paneltec"/>
    <x v="4"/>
    <s v="NC"/>
    <n v="0"/>
    <n v="0"/>
    <n v="0"/>
    <n v="0"/>
    <n v="0"/>
    <n v="0"/>
  </r>
  <r>
    <s v="CENTRO COMERCIAL MULTIPLAZA SOCIEDAD ANONIMA"/>
    <s v="FA"/>
    <s v="111  "/>
    <n v="70838"/>
    <s v="PRODUCTIVIDAD HUMANA"/>
    <n v="1372.89"/>
    <n v="0"/>
    <n v="0"/>
    <n v="0"/>
    <n v="0"/>
    <n v="1372.89"/>
    <n v="1372.89"/>
    <d v="2024-12-18T00:00:00"/>
    <d v="2024-12-26T00:00:00"/>
    <n v="-400"/>
    <s v="001"/>
    <s v="Paneltec"/>
    <x v="2"/>
    <d v="2026-03-01T00:00:00"/>
    <n v="0"/>
    <n v="1372.89"/>
    <n v="0"/>
    <n v="0"/>
    <n v="0"/>
    <n v="0"/>
  </r>
  <r>
    <s v="CENTRO COMERCIAL MULTIPLAZA SOCIEDAD ANONIMA"/>
    <s v="FA"/>
    <s v="111  "/>
    <n v="70992"/>
    <s v="PRODUCTIVIDAD HUMANA"/>
    <n v="710.42"/>
    <n v="0"/>
    <n v="0"/>
    <n v="0"/>
    <n v="0"/>
    <n v="710.42"/>
    <n v="710.42"/>
    <d v="2025-07-01T00:00:00"/>
    <d v="2025-07-09T00:00:00"/>
    <n v="-205"/>
    <s v="001"/>
    <s v="Paneltec"/>
    <x v="2"/>
    <d v="2026-03-01T00:00:00"/>
    <n v="0"/>
    <n v="710.42"/>
    <n v="0"/>
    <n v="0"/>
    <n v="0"/>
    <n v="0"/>
  </r>
  <r>
    <s v="CHACON ARQUITECTOS SOCIEDAD ANONIMA"/>
    <s v="FA"/>
    <s v="005  "/>
    <n v="23254"/>
    <s v="PRODUCTIVIDAD HUMANA"/>
    <n v="6173.74"/>
    <n v="0"/>
    <n v="0"/>
    <n v="0"/>
    <n v="0"/>
    <n v="6173.74"/>
    <n v="6173.74"/>
    <d v="2022-06-22T00:00:00"/>
    <d v="2022-06-30T00:00:00"/>
    <n v="-1310"/>
    <s v="001"/>
    <s v="Paneltec"/>
    <x v="6"/>
    <s v="Caso especial"/>
    <n v="0"/>
    <n v="0"/>
    <n v="0"/>
    <n v="0"/>
    <n v="0"/>
    <n v="0"/>
  </r>
  <r>
    <s v="CLAI PAYMENTS COSTA RICA S.A."/>
    <s v="NC"/>
    <s v="0001 "/>
    <n v="7499"/>
    <s v="PRODUCTIVIDAD HUMANA"/>
    <n v="-174.92"/>
    <n v="0"/>
    <n v="0"/>
    <n v="0"/>
    <n v="0"/>
    <n v="-174.92"/>
    <n v="-174.92"/>
    <d v="2024-02-02T00:00:00"/>
    <d v="2024-02-02T00:00:00"/>
    <n v="-728"/>
    <s v="004-001"/>
    <s v="Euromobilia"/>
    <x v="4"/>
    <s v="NC"/>
    <n v="0"/>
    <n v="0"/>
    <n v="0"/>
    <n v="0"/>
    <n v="0"/>
    <n v="0"/>
  </r>
  <r>
    <s v="CLEAN CONSTRUCTION LIMITADA"/>
    <s v="NC"/>
    <s v="044  "/>
    <s v="AD00000959"/>
    <s v="PRODUCTIVIDAD HUMANA"/>
    <n v="-637.5"/>
    <n v="0"/>
    <n v="0"/>
    <n v="0"/>
    <n v="0"/>
    <n v="-637.5"/>
    <n v="-637.5"/>
    <d v="2016-11-09T00:00:00"/>
    <d v="2016-11-09T00:00:00"/>
    <n v="-3369"/>
    <s v="001"/>
    <s v="Paneltec"/>
    <x v="4"/>
    <s v="NC"/>
    <n v="0"/>
    <n v="0"/>
    <n v="0"/>
    <n v="0"/>
    <n v="0"/>
    <n v="0"/>
  </r>
  <r>
    <s v="CLIENTE FACTURACION PRESTAMOS"/>
    <s v="FA"/>
    <s v="0001 "/>
    <n v="1658"/>
    <s v="PRODUCTIVIDAD HUMANA"/>
    <n v="7964.42"/>
    <n v="0"/>
    <n v="0"/>
    <n v="0"/>
    <n v="0"/>
    <n v="7964.42"/>
    <n v="7964.42"/>
    <d v="2022-08-23T00:00:00"/>
    <d v="2022-08-23T00:00:00"/>
    <n v="-1256"/>
    <s v="004-001"/>
    <s v="Euromobilia"/>
    <x v="6"/>
    <s v="Caso especial"/>
    <n v="0"/>
    <n v="0"/>
    <n v="0"/>
    <n v="0"/>
    <n v="0"/>
    <n v="0"/>
  </r>
  <r>
    <s v="CLIENTE FACTURACION PRESTAMOS"/>
    <s v="FA"/>
    <s v="0001 "/>
    <n v="1907"/>
    <s v="PRODUCTIVIDAD HUMANA"/>
    <n v="1802.35"/>
    <n v="0"/>
    <n v="0"/>
    <n v="0"/>
    <n v="0"/>
    <n v="1802.35"/>
    <n v="1802.35"/>
    <d v="2023-08-24T00:00:00"/>
    <d v="2023-08-24T00:00:00"/>
    <n v="-890"/>
    <s v="004-001"/>
    <s v="Euromobilia"/>
    <x v="6"/>
    <s v="Caso especial"/>
    <n v="0"/>
    <n v="0"/>
    <n v="0"/>
    <n v="0"/>
    <n v="0"/>
    <n v="0"/>
  </r>
  <r>
    <s v="CLIENTE FACTURACION PRESTAMOS"/>
    <s v="FA"/>
    <s v="0001 "/>
    <n v="55"/>
    <s v="PRODUCTIVIDAD HUMANA"/>
    <n v="1278.3876780000001"/>
    <n v="0"/>
    <n v="0"/>
    <n v="0"/>
    <n v="0"/>
    <n v="1278.3900000000001"/>
    <n v="1278.3900000000001"/>
    <d v="2018-04-06T00:00:00"/>
    <d v="2018-04-06T00:00:00"/>
    <n v="-2856"/>
    <s v="004-001"/>
    <s v="Euromobilia"/>
    <x v="6"/>
    <s v="Caso especial"/>
    <n v="0"/>
    <n v="0"/>
    <n v="0"/>
    <n v="0"/>
    <n v="0"/>
    <n v="0"/>
  </r>
  <r>
    <s v="Cliente Facturacion Prestamos"/>
    <s v="FA"/>
    <s v="111  "/>
    <n v="70750"/>
    <s v="PRODUCTIVIDAD HUMANA"/>
    <n v="203.4"/>
    <n v="0"/>
    <n v="0"/>
    <n v="0"/>
    <n v="0"/>
    <n v="203.4"/>
    <n v="203.4"/>
    <d v="2024-08-13T00:00:00"/>
    <d v="2024-08-21T00:00:00"/>
    <n v="-527"/>
    <s v="001"/>
    <s v="Paneltec"/>
    <x v="6"/>
    <s v="Caso especial"/>
    <n v="0"/>
    <n v="0"/>
    <n v="0"/>
    <n v="0"/>
    <n v="0"/>
    <n v="0"/>
  </r>
  <r>
    <s v="Colegio Profesional de Orientación"/>
    <s v="NC"/>
    <s v="75   "/>
    <s v="AD00001658"/>
    <s v="PRODUCTIVIDAD HUMANA"/>
    <n v="-291.10000000000002"/>
    <n v="0"/>
    <n v="0"/>
    <n v="0"/>
    <n v="0"/>
    <n v="-291.10000000000002"/>
    <n v="-291.10000000000002"/>
    <d v="2020-05-13T00:00:00"/>
    <d v="2020-05-13T00:00:00"/>
    <n v="-2088"/>
    <s v="001"/>
    <s v="Paneltec"/>
    <x v="4"/>
    <s v="NC"/>
    <n v="0"/>
    <n v="0"/>
    <n v="0"/>
    <n v="0"/>
    <n v="0"/>
    <n v="0"/>
  </r>
  <r>
    <s v="COMPANIA CONSTRUCTORA VAN DER LAAT Y JIMENEZ S.A."/>
    <s v="FA"/>
    <s v="0001 "/>
    <n v="1781"/>
    <s v="PRODUCTIVIDAD HUMANA"/>
    <n v="341650.6"/>
    <n v="0"/>
    <n v="0"/>
    <n v="0"/>
    <n v="0"/>
    <n v="341650.6"/>
    <n v="341650.6"/>
    <d v="2023-05-31T00:00:00"/>
    <d v="2023-05-31T00:00:00"/>
    <n v="-975"/>
    <s v="004-001"/>
    <s v="Euromobilia"/>
    <x v="6"/>
    <s v="Caso especial"/>
    <n v="0"/>
    <n v="0"/>
    <n v="0"/>
    <n v="0"/>
    <n v="0"/>
    <n v="0"/>
  </r>
  <r>
    <s v="COMPANIA CONSTRUCTORA VAN DER LAAT Y JIMENEZ S.A."/>
    <s v="FA"/>
    <s v="O7EX "/>
    <n v="2100025749"/>
    <s v="PRODUCTIVIDAD HUMANA"/>
    <n v="60000"/>
    <n v="0"/>
    <n v="0"/>
    <n v="0"/>
    <n v="0"/>
    <n v="60000"/>
    <n v="60000"/>
    <d v="2024-09-30T00:00:00"/>
    <d v="2024-10-30T00:00:00"/>
    <n v="-457"/>
    <s v="004-001"/>
    <s v="Euromobilia"/>
    <x v="6"/>
    <s v="Caso especial"/>
    <n v="0"/>
    <n v="0"/>
    <n v="0"/>
    <n v="0"/>
    <n v="0"/>
    <n v="0"/>
  </r>
  <r>
    <s v="COMPANIA CONSTRUCTORA VAN DER LAAT Y JIMENEZ S.A."/>
    <s v="FA"/>
    <s v="0001 "/>
    <n v="4513"/>
    <s v="PRODUCTIVIDAD HUMANA"/>
    <n v="45486.76"/>
    <n v="0"/>
    <n v="0"/>
    <n v="0"/>
    <n v="0"/>
    <n v="45486.76"/>
    <n v="45486.76"/>
    <d v="2023-11-16T00:00:00"/>
    <d v="2023-12-16T00:00:00"/>
    <n v="-776"/>
    <s v="004-001"/>
    <s v="Euromobilia"/>
    <x v="6"/>
    <s v="Caso especial"/>
    <n v="0"/>
    <n v="0"/>
    <n v="0"/>
    <n v="0"/>
    <n v="0"/>
    <n v="0"/>
  </r>
  <r>
    <s v="COMPANIA CONSTRUCTORA VAN DER LAAT Y JIMENEZ S.A."/>
    <s v="NC"/>
    <s v="OF030"/>
    <n v="55637"/>
    <s v="PRODUCTIVIDAD HUMANA"/>
    <n v="-65.52"/>
    <n v="0"/>
    <n v="0"/>
    <n v="0"/>
    <n v="0"/>
    <n v="-65.52"/>
    <n v="-65.52"/>
    <d v="2024-07-12T00:00:00"/>
    <d v="2024-07-12T00:00:00"/>
    <n v="-567"/>
    <s v="004-001"/>
    <s v="Euromobilia"/>
    <x v="4"/>
    <s v="NC"/>
    <n v="0"/>
    <n v="0"/>
    <n v="0"/>
    <n v="0"/>
    <n v="0"/>
    <n v="0"/>
  </r>
  <r>
    <s v="COMPANIA DE GALLETAS POZUELO DCR SOCIEDAD ANONIMA"/>
    <s v="NC"/>
    <s v="0001 "/>
    <n v="8692"/>
    <s v="PRODUCTIVIDAD HUMANA"/>
    <n v="-72.150000000000006"/>
    <n v="0"/>
    <n v="0"/>
    <n v="0"/>
    <n v="0"/>
    <n v="-72.150000000000006"/>
    <n v="-72.150000000000006"/>
    <d v="2024-03-22T00:00:00"/>
    <d v="2024-05-21T00:00:00"/>
    <n v="-619"/>
    <s v="004-001"/>
    <s v="Euromobilia"/>
    <x v="4"/>
    <s v="NC"/>
    <n v="0"/>
    <n v="0"/>
    <n v="0"/>
    <n v="0"/>
    <n v="0"/>
    <n v="0"/>
  </r>
  <r>
    <s v="COMPAÑIA DE GALLETAS POZUELO DCR SOCIEDAD ANONIMA"/>
    <s v="NC"/>
    <s v="0001 "/>
    <n v="107"/>
    <s v="PRODUCTIVIDAD HUMANA"/>
    <n v="-244.08"/>
    <n v="0"/>
    <n v="0"/>
    <n v="0"/>
    <n v="0"/>
    <n v="-244.08"/>
    <n v="-244.08"/>
    <d v="2023-04-05T00:00:00"/>
    <d v="2023-04-05T00:00:00"/>
    <n v="-1031"/>
    <s v="004-001"/>
    <s v="Euromobilia"/>
    <x v="4"/>
    <s v="NC"/>
    <n v="0"/>
    <n v="0"/>
    <n v="0"/>
    <n v="0"/>
    <n v="0"/>
    <n v="0"/>
  </r>
  <r>
    <s v="CONCRETERA NACIONAL SOCIEDAD ANONIMA"/>
    <s v="NC"/>
    <s v="67   "/>
    <s v="AD00001140"/>
    <s v="PRODUCTIVIDAD HUMANA"/>
    <n v="-600"/>
    <n v="0"/>
    <n v="0"/>
    <n v="0"/>
    <n v="0"/>
    <n v="-600"/>
    <n v="-600"/>
    <d v="2017-08-18T00:00:00"/>
    <d v="2017-08-18T00:00:00"/>
    <n v="-3087"/>
    <s v="001"/>
    <s v="Paneltec"/>
    <x v="4"/>
    <s v="NC"/>
    <n v="0"/>
    <n v="0"/>
    <n v="0"/>
    <n v="0"/>
    <n v="0"/>
    <n v="0"/>
  </r>
  <r>
    <s v="CONDOMINIO INMOBILIARIO JEROY SOCIEDAD ANONIMA"/>
    <s v="NC"/>
    <s v="1354 "/>
    <s v="AD00002257"/>
    <s v="PRODUCTIVIDAD HUMANA"/>
    <n v="-8.91"/>
    <n v="0"/>
    <n v="0"/>
    <n v="0"/>
    <n v="0"/>
    <n v="-8.91"/>
    <n v="-8.91"/>
    <d v="2025-10-09T00:00:00"/>
    <d v="2025-10-09T00:00:00"/>
    <n v="-113"/>
    <s v="001"/>
    <s v="Paneltec"/>
    <x v="5"/>
    <s v="Aplicar"/>
    <n v="0"/>
    <n v="0"/>
    <n v="0"/>
    <n v="0"/>
    <n v="0"/>
    <n v="0"/>
  </r>
  <r>
    <s v="CONICO, CONSULTORIA INTEGRAL DE LA CONSTRUCCION, SOCIEDAD ANONIMA"/>
    <s v="FA"/>
    <s v="005  "/>
    <n v="70630"/>
    <s v="PRODUCTIVIDAD HUMANA"/>
    <n v="646.33000000000004"/>
    <n v="0"/>
    <n v="0"/>
    <n v="0"/>
    <n v="0"/>
    <n v="646.33000000000004"/>
    <n v="646.33000000000004"/>
    <d v="2024-02-28T00:00:00"/>
    <d v="2024-05-28T00:00:00"/>
    <n v="-612"/>
    <s v="001"/>
    <s v="Paneltec"/>
    <x v="5"/>
    <s v="Aplicar"/>
    <n v="0"/>
    <n v="0"/>
    <n v="0"/>
    <n v="0"/>
    <n v="0"/>
    <n v="0"/>
  </r>
  <r>
    <s v="CONICO, CONSULTORIA INTEGRAL DE LA CONSTRUCCION, SOCIEDAD ANONIMA"/>
    <s v="FA"/>
    <s v="005  "/>
    <n v="71006"/>
    <s v="PRODUCTIVIDAD HUMANA"/>
    <n v="61.61"/>
    <n v="0"/>
    <n v="0"/>
    <n v="0"/>
    <n v="0"/>
    <n v="61.61"/>
    <n v="61.61"/>
    <d v="2025-07-28T00:00:00"/>
    <d v="2025-08-27T00:00:00"/>
    <n v="-156"/>
    <s v="001"/>
    <s v="Paneltec"/>
    <x v="5"/>
    <s v="Aplicar"/>
    <n v="0"/>
    <n v="0"/>
    <n v="0"/>
    <n v="0"/>
    <n v="0"/>
    <n v="0"/>
  </r>
  <r>
    <s v="CONNECT ASSISTANCE CR SOCIEDAD ANONIMA"/>
    <s v="NC"/>
    <s v="OF312"/>
    <s v="AD00026080"/>
    <s v="PRODUCTIVIDAD HUMANA"/>
    <n v="-12197.51"/>
    <n v="0"/>
    <n v="0"/>
    <n v="0"/>
    <n v="0"/>
    <n v="-12197.51"/>
    <n v="-12197.51"/>
    <d v="2025-08-31T00:00:00"/>
    <d v="2025-08-31T00:00:00"/>
    <n v="-152"/>
    <s v="004-001"/>
    <s v="Euromobilia"/>
    <x v="7"/>
    <s v="Anticipo por facturar"/>
    <n v="0"/>
    <n v="0"/>
    <n v="0"/>
    <n v="0"/>
    <n v="0"/>
    <n v="0"/>
  </r>
  <r>
    <s v="CONSTRUCTORA ELISEO VARGAS &amp; ASOCIADOS S.A."/>
    <s v="FA"/>
    <s v="0001 "/>
    <n v="8623"/>
    <s v="PRODUCTIVIDAD HUMANA"/>
    <n v="23610"/>
    <n v="0"/>
    <n v="0"/>
    <n v="0"/>
    <n v="0"/>
    <n v="23610"/>
    <n v="23610"/>
    <d v="2024-03-21T00:00:00"/>
    <d v="2024-03-21T00:00:00"/>
    <n v="-680"/>
    <s v="004-001"/>
    <s v="Euromobilia"/>
    <x v="6"/>
    <s v="Caso especial"/>
    <n v="0"/>
    <n v="0"/>
    <n v="0"/>
    <n v="0"/>
    <n v="0"/>
    <n v="0"/>
  </r>
  <r>
    <s v="CONSTRUCTORA GADA L.R.G. SOCIEDAD DE RESPONSABILID"/>
    <s v="FA"/>
    <s v="0001 "/>
    <n v="3953"/>
    <s v="PRODUCTIVIDAD HUMANA"/>
    <n v="1334.94"/>
    <n v="0"/>
    <n v="0"/>
    <n v="0"/>
    <n v="0"/>
    <n v="1334.94"/>
    <n v="1334.94"/>
    <d v="2023-10-30T00:00:00"/>
    <d v="2023-11-29T00:00:00"/>
    <n v="-793"/>
    <s v="004-001"/>
    <s v="Euromobilia"/>
    <x v="6"/>
    <s v="Caso especial"/>
    <n v="0"/>
    <n v="0"/>
    <n v="0"/>
    <n v="0"/>
    <n v="0"/>
    <n v="0"/>
  </r>
  <r>
    <s v="CONSTRUCTORA GONZALO DELGADO SOCIEDAD ANONIMA"/>
    <s v="FA"/>
    <s v="O7EX "/>
    <n v="2100028108"/>
    <s v="PRODUCTIVIDAD HUMANA"/>
    <n v="80370.240000000005"/>
    <n v="0"/>
    <n v="0"/>
    <n v="0"/>
    <n v="80370.240000000005"/>
    <n v="0"/>
    <n v="80370.240000000005"/>
    <d v="2025-09-26T00:00:00"/>
    <d v="2025-11-25T00:00:00"/>
    <n v="-66"/>
    <s v="004-001"/>
    <s v="Euromobilia"/>
    <x v="5"/>
    <s v="Aplicar"/>
    <n v="0"/>
    <n v="0"/>
    <n v="0"/>
    <n v="0"/>
    <n v="0"/>
    <n v="0"/>
  </r>
  <r>
    <s v="CONSTRUCTORA GONZALO DELGADO SOCIEDAD ANONIMA"/>
    <s v="NC"/>
    <s v="0001 "/>
    <n v="3397"/>
    <s v="PRODUCTIVIDAD HUMANA"/>
    <n v="-1145.3699999999999"/>
    <n v="0"/>
    <n v="0"/>
    <n v="0"/>
    <n v="0"/>
    <n v="-1145.3699999999999"/>
    <n v="-1145.3699999999999"/>
    <d v="2023-09-29T00:00:00"/>
    <d v="2023-09-29T00:00:00"/>
    <n v="-854"/>
    <s v="004-001"/>
    <s v="Euromobilia"/>
    <x v="4"/>
    <s v="NC"/>
    <n v="0"/>
    <n v="0"/>
    <n v="0"/>
    <n v="0"/>
    <n v="0"/>
    <n v="0"/>
  </r>
  <r>
    <s v="CONSTRUCTORA GONZALO DELGADO SOCIEDAD ANONIMA"/>
    <s v="ND"/>
    <s v="HO96 "/>
    <n v="15"/>
    <s v="PRODUCTIVIDAD HUMANA"/>
    <n v="38351.72"/>
    <n v="0"/>
    <n v="0"/>
    <n v="0"/>
    <n v="0"/>
    <n v="38351.72"/>
    <n v="38351.72"/>
    <d v="2024-07-12T00:00:00"/>
    <d v="2024-09-10T00:00:00"/>
    <n v="-507"/>
    <s v="004-003"/>
    <s v="Euromobilia"/>
    <x v="6"/>
    <s v="Caso especial"/>
    <n v="0"/>
    <n v="0"/>
    <n v="0"/>
    <n v="0"/>
    <n v="0"/>
    <n v="0"/>
  </r>
  <r>
    <s v="CONSTRUCTORA GONZALO DELGADO SOCIEDAD ANONIMA"/>
    <s v="FA"/>
    <s v="0001 "/>
    <n v="9493"/>
    <s v="PRODUCTIVIDAD HUMANA"/>
    <n v="15889.16"/>
    <n v="0"/>
    <n v="0"/>
    <n v="0"/>
    <n v="0"/>
    <n v="15889.16"/>
    <n v="15889.16"/>
    <d v="2024-04-26T00:00:00"/>
    <d v="2024-05-26T00:00:00"/>
    <n v="-614"/>
    <s v="004-001"/>
    <s v="Euromobilia"/>
    <x v="6"/>
    <s v="Caso especial"/>
    <n v="0"/>
    <n v="0"/>
    <n v="0"/>
    <n v="0"/>
    <n v="0"/>
    <n v="0"/>
  </r>
  <r>
    <s v="CONSTRUCTORA GONZALO DELGADO SOCIEDAD ANONIMA"/>
    <s v="NC"/>
    <s v="0181 "/>
    <s v="AD00026401"/>
    <s v="PRODUCTIVIDAD HUMANA"/>
    <n v="-6182.34"/>
    <n v="0"/>
    <n v="0"/>
    <n v="-6182.34"/>
    <n v="0"/>
    <n v="0"/>
    <n v="-6182.34"/>
    <d v="2025-12-12T00:00:00"/>
    <d v="2025-12-12T00:00:00"/>
    <n v="-49"/>
    <s v="004-001"/>
    <s v="Euromobilia"/>
    <x v="7"/>
    <s v="Anticipo por facturar"/>
    <n v="0"/>
    <n v="0"/>
    <n v="0"/>
    <n v="0"/>
    <n v="0"/>
    <n v="0"/>
  </r>
  <r>
    <s v="CONSTRUCTORA GONZALO DELGADO SOCIEDAD ANONIMA"/>
    <s v="NC"/>
    <s v="000  "/>
    <s v="AD00026099"/>
    <s v="PRODUCTIVIDAD HUMANA"/>
    <n v="-74187.899999999994"/>
    <n v="0"/>
    <n v="0"/>
    <n v="0"/>
    <n v="0"/>
    <n v="-74187.899999999994"/>
    <n v="-74187.899999999994"/>
    <d v="2025-09-09T00:00:00"/>
    <d v="2025-09-09T00:00:00"/>
    <n v="-143"/>
    <s v="004-001"/>
    <s v="Euromobilia"/>
    <x v="5"/>
    <s v="Aplicar"/>
    <n v="0"/>
    <n v="0"/>
    <n v="0"/>
    <n v="0"/>
    <n v="0"/>
    <n v="0"/>
  </r>
  <r>
    <s v="CONSTRUCTORA NAVARRO Y AVILES SOCIEDAD ANONIMA"/>
    <s v="FA"/>
    <s v="0001 "/>
    <n v="1675"/>
    <s v="PRODUCTIVIDAD HUMANA"/>
    <n v="7181.09"/>
    <n v="0"/>
    <n v="0"/>
    <n v="0"/>
    <n v="0"/>
    <n v="7181.09"/>
    <n v="7181.09"/>
    <d v="2022-10-12T00:00:00"/>
    <d v="2022-10-12T00:00:00"/>
    <n v="-1206"/>
    <s v="004-001"/>
    <s v="Euromobilia"/>
    <x v="6"/>
    <s v="Caso especial"/>
    <n v="0"/>
    <n v="0"/>
    <n v="0"/>
    <n v="0"/>
    <n v="0"/>
    <n v="0"/>
  </r>
  <r>
    <s v="CONSTRUCTORA NAVARRO Y AVILES SOCIEDAD ANONIMA"/>
    <s v="FA"/>
    <s v="OF030"/>
    <n v="2100026995"/>
    <s v="PRODUCTIVIDAD HUMANA"/>
    <n v="4953.6400000000003"/>
    <n v="0"/>
    <n v="0"/>
    <n v="0"/>
    <n v="0"/>
    <n v="4953.6400000000003"/>
    <n v="4953.6400000000003"/>
    <d v="2025-03-31T00:00:00"/>
    <d v="2025-04-30T00:00:00"/>
    <n v="-275"/>
    <s v="004-001"/>
    <s v="Euromobilia"/>
    <x v="6"/>
    <s v="Caso especial"/>
    <n v="0"/>
    <n v="0"/>
    <n v="0"/>
    <n v="0"/>
    <n v="0"/>
    <n v="0"/>
  </r>
  <r>
    <s v="CONSTRUCTORA NAVARRO Y AVILES SOCIEDAD ANONIMA"/>
    <s v="FA"/>
    <s v="0001 "/>
    <n v="1777"/>
    <s v="PRODUCTIVIDAD HUMANA"/>
    <n v="1556.01"/>
    <n v="0"/>
    <n v="0"/>
    <n v="0"/>
    <n v="0"/>
    <n v="1556.01"/>
    <n v="1556.01"/>
    <d v="2023-05-30T00:00:00"/>
    <d v="2023-05-30T00:00:00"/>
    <n v="-976"/>
    <s v="004-001"/>
    <s v="Euromobilia"/>
    <x v="6"/>
    <s v="Caso especial"/>
    <n v="0"/>
    <n v="0"/>
    <n v="0"/>
    <n v="0"/>
    <n v="0"/>
    <n v="0"/>
  </r>
  <r>
    <s v="CONSTRUCTORA NAVARRO Y AVILES SOCIEDAD ANONIMA"/>
    <s v="FA"/>
    <s v="0001 "/>
    <n v="5867"/>
    <s v="PRODUCTIVIDAD HUMANA"/>
    <n v="765.25"/>
    <n v="0"/>
    <n v="0"/>
    <n v="0"/>
    <n v="0"/>
    <n v="765.25"/>
    <n v="765.25"/>
    <d v="2023-12-29T00:00:00"/>
    <d v="2024-01-13T00:00:00"/>
    <n v="-748"/>
    <s v="004-001"/>
    <s v="Euromobilia"/>
    <x v="6"/>
    <s v="Caso especial"/>
    <n v="0"/>
    <n v="0"/>
    <n v="0"/>
    <n v="0"/>
    <n v="0"/>
    <n v="0"/>
  </r>
  <r>
    <s v="CONSTRUCTORA NAVARRO Y AVILES SOCIEDAD ANONIMA"/>
    <s v="NC"/>
    <s v="OF030"/>
    <s v="AD00026332"/>
    <s v="PRODUCTIVIDAD HUMANA"/>
    <n v="-8760.6200000000008"/>
    <n v="0"/>
    <n v="0"/>
    <n v="0"/>
    <n v="-8760.6200000000008"/>
    <n v="0"/>
    <n v="-8760.6200000000008"/>
    <d v="2025-11-21T00:00:00"/>
    <d v="2025-11-21T00:00:00"/>
    <n v="-70"/>
    <s v="004-001"/>
    <s v="Euromobilia"/>
    <x v="5"/>
    <s v="Aplicar"/>
    <n v="0"/>
    <n v="0"/>
    <n v="0"/>
    <n v="0"/>
    <n v="0"/>
    <n v="0"/>
  </r>
  <r>
    <s v="CONSTRUCTORA NAVARRO Y AVILES SOCIEDAD ANONIMA"/>
    <s v="NC"/>
    <s v="OF030"/>
    <s v="AD00026333"/>
    <s v="PRODUCTIVIDAD HUMANA"/>
    <n v="-8760.6200000000008"/>
    <n v="0"/>
    <n v="0"/>
    <n v="0"/>
    <n v="-8760.6200000000008"/>
    <n v="0"/>
    <n v="-8760.6200000000008"/>
    <d v="2025-11-21T00:00:00"/>
    <d v="2025-11-21T00:00:00"/>
    <n v="-70"/>
    <s v="004-001"/>
    <s v="Euromobilia"/>
    <x v="5"/>
    <s v="Aplicar"/>
    <n v="0"/>
    <n v="0"/>
    <n v="0"/>
    <n v="0"/>
    <n v="0"/>
    <n v="0"/>
  </r>
  <r>
    <s v="CONSTRUCTORA PIACO SOCIEDAD ANONIMA"/>
    <s v="NC"/>
    <s v="005  "/>
    <s v="AD00001864"/>
    <s v="PRODUCTIVIDAD HUMANA"/>
    <n v="-1566.18"/>
    <n v="0"/>
    <n v="0"/>
    <n v="0"/>
    <n v="0"/>
    <n v="-1566.18"/>
    <n v="-1566.18"/>
    <d v="2022-06-23T00:00:00"/>
    <d v="2022-06-23T00:00:00"/>
    <n v="-1317"/>
    <s v="001"/>
    <s v="Paneltec"/>
    <x v="4"/>
    <s v="NC"/>
    <n v="0"/>
    <n v="0"/>
    <n v="0"/>
    <n v="0"/>
    <n v="0"/>
    <n v="0"/>
  </r>
  <r>
    <s v="CONSTRUCTORA PIACO SOCIEDAD ANONIMA"/>
    <s v="NC"/>
    <s v="89   "/>
    <s v="AD00001982"/>
    <s v="PRODUCTIVIDAD HUMANA"/>
    <n v="-135.6"/>
    <n v="0"/>
    <n v="0"/>
    <n v="0"/>
    <n v="0"/>
    <n v="-135.6"/>
    <n v="-135.6"/>
    <d v="2023-02-22T00:00:00"/>
    <d v="2023-02-22T00:00:00"/>
    <n v="-1073"/>
    <s v="002"/>
    <s v="Paneltec"/>
    <x v="4"/>
    <s v="NC"/>
    <n v="0"/>
    <n v="0"/>
    <n v="0"/>
    <n v="0"/>
    <n v="0"/>
    <n v="0"/>
  </r>
  <r>
    <s v="CONTRACT WORKPLACES COSTA RICA SOCIEDAD ANONIMA"/>
    <s v="FA"/>
    <s v="0001 "/>
    <n v="4924"/>
    <s v="PRODUCTIVIDAD HUMANA"/>
    <n v="99.99"/>
    <n v="0"/>
    <n v="0"/>
    <n v="0"/>
    <n v="0"/>
    <n v="99.99"/>
    <n v="99.99"/>
    <d v="2023-11-30T00:00:00"/>
    <d v="2023-12-08T00:00:00"/>
    <n v="-784"/>
    <s v="004-001"/>
    <s v="Euromobilia"/>
    <x v="6"/>
    <s v="Caso especial"/>
    <n v="0"/>
    <n v="0"/>
    <n v="0"/>
    <n v="0"/>
    <n v="0"/>
    <n v="0"/>
  </r>
  <r>
    <s v="CONTRACT WORKPLACES COSTA RICA SOCIEDAD ANONIMA"/>
    <s v="NC"/>
    <s v="000  "/>
    <s v="AD00025375"/>
    <s v="PRODUCTIVIDAD HUMANA"/>
    <n v="-1237.08"/>
    <n v="0"/>
    <n v="0"/>
    <n v="0"/>
    <n v="0"/>
    <n v="-1237.08"/>
    <n v="-1237.08"/>
    <d v="2025-03-06T00:00:00"/>
    <d v="2025-03-06T00:00:00"/>
    <n v="-330"/>
    <s v="004-001"/>
    <s v="Euromobilia"/>
    <x v="5"/>
    <s v="Aplicar"/>
    <n v="0"/>
    <n v="0"/>
    <n v="0"/>
    <n v="0"/>
    <n v="0"/>
    <n v="0"/>
  </r>
  <r>
    <s v="COOPERATIVA DE AHORRO Y CREDITO ANDE NUMERO 1 RL"/>
    <s v="NC"/>
    <s v="005  "/>
    <s v="AD00000943"/>
    <s v="PRODUCTIVIDAD HUMANA"/>
    <n v="-33.93"/>
    <n v="0"/>
    <n v="0"/>
    <n v="0"/>
    <n v="0"/>
    <n v="-33.93"/>
    <n v="-33.93"/>
    <d v="2016-10-07T00:00:00"/>
    <d v="2016-10-07T00:00:00"/>
    <n v="-3402"/>
    <s v="001"/>
    <s v="Paneltec"/>
    <x v="4"/>
    <s v="NC"/>
    <n v="0"/>
    <n v="0"/>
    <n v="0"/>
    <n v="0"/>
    <n v="0"/>
    <n v="0"/>
  </r>
  <r>
    <s v="COOPERATIVA DE AHORRO Y CREDITO ANDE NUMERO 1 RL"/>
    <s v="NC"/>
    <s v="005  "/>
    <n v="1490"/>
    <s v="PRODUCTIVIDAD HUMANA"/>
    <n v="-19585.164871000001"/>
    <n v="0"/>
    <n v="0"/>
    <n v="0"/>
    <n v="0"/>
    <n v="-19585.16"/>
    <n v="-19585.16"/>
    <d v="2024-05-13T00:00:00"/>
    <d v="2024-06-12T00:00:00"/>
    <n v="-597"/>
    <s v="001"/>
    <s v="Paneltec"/>
    <x v="4"/>
    <s v="NC"/>
    <n v="0"/>
    <n v="0"/>
    <n v="0"/>
    <n v="0"/>
    <n v="0"/>
    <n v="0"/>
  </r>
  <r>
    <s v="CORE DESARROLLADORA SRL."/>
    <s v="FA"/>
    <s v="OF086"/>
    <n v="2100028316"/>
    <s v="PRODUCTIVIDAD HUMANA"/>
    <n v="444.09"/>
    <n v="0"/>
    <n v="0"/>
    <n v="0"/>
    <n v="444.09"/>
    <n v="0"/>
    <n v="444.09"/>
    <d v="2025-10-29T00:00:00"/>
    <d v="2025-11-28T00:00:00"/>
    <n v="-63"/>
    <s v="004-001"/>
    <s v="Euromobilia"/>
    <x v="1"/>
    <d v="2026-03-01T00:00:00"/>
    <n v="0"/>
    <n v="444.09"/>
    <n v="0"/>
    <n v="0"/>
    <n v="0"/>
    <n v="0"/>
  </r>
  <r>
    <s v="CORE DESARROLLADORA SRL."/>
    <s v="FA"/>
    <s v="OF086"/>
    <n v="2100028317"/>
    <s v="PRODUCTIVIDAD HUMANA"/>
    <n v="444.09"/>
    <n v="0"/>
    <n v="0"/>
    <n v="0"/>
    <n v="444.09"/>
    <n v="0"/>
    <n v="444.09"/>
    <d v="2025-10-29T00:00:00"/>
    <d v="2025-11-28T00:00:00"/>
    <n v="-63"/>
    <s v="004-001"/>
    <s v="Euromobilia"/>
    <x v="1"/>
    <d v="2026-03-01T00:00:00"/>
    <n v="0"/>
    <n v="444.09"/>
    <n v="0"/>
    <n v="0"/>
    <n v="0"/>
    <n v="0"/>
  </r>
  <r>
    <s v="CORPORACION AGROPECUARIA CORPECO SOCIEDAD ANONIMA"/>
    <s v="NC"/>
    <s v="90   "/>
    <s v="AD00001998"/>
    <s v="PRODUCTIVIDAD HUMANA"/>
    <n v="-2181.9"/>
    <n v="0"/>
    <n v="0"/>
    <n v="0"/>
    <n v="0"/>
    <n v="-2181.9"/>
    <n v="-2181.9"/>
    <d v="2023-03-13T00:00:00"/>
    <d v="2023-03-13T00:00:00"/>
    <n v="-1054"/>
    <s v="002"/>
    <s v="Paneltec"/>
    <x v="4"/>
    <s v="NC"/>
    <n v="0"/>
    <n v="0"/>
    <n v="0"/>
    <n v="0"/>
    <n v="0"/>
    <n v="0"/>
  </r>
  <r>
    <s v="Corporacion de Supermercados Unidos SRL"/>
    <s v="FA"/>
    <s v="OF030"/>
    <n v="2100026930"/>
    <s v="PRODUCTIVIDAD HUMANA"/>
    <n v="1098.71"/>
    <n v="0"/>
    <n v="0"/>
    <n v="0"/>
    <n v="0"/>
    <n v="1098.71"/>
    <n v="1098.71"/>
    <d v="2025-03-24T00:00:00"/>
    <d v="2025-03-25T00:00:00"/>
    <n v="-311"/>
    <s v="004-001"/>
    <s v="Euromobilia"/>
    <x v="6"/>
    <s v="Caso especial"/>
    <n v="0"/>
    <n v="0"/>
    <n v="0"/>
    <n v="0"/>
    <n v="0"/>
    <n v="0"/>
  </r>
  <r>
    <s v="CORTE SUPREMA DE JUSTICIA PODER JUDICIAL"/>
    <s v="NC"/>
    <s v="005  "/>
    <s v="AD00001751"/>
    <s v="PRODUCTIVIDAD HUMANA"/>
    <n v="-103.68435599999999"/>
    <n v="0"/>
    <n v="0"/>
    <n v="0"/>
    <n v="0"/>
    <n v="-103.68"/>
    <n v="-103.68"/>
    <d v="2021-05-21T00:00:00"/>
    <d v="2021-05-21T00:00:00"/>
    <n v="-1715"/>
    <s v="001"/>
    <s v="Paneltec"/>
    <x v="4"/>
    <s v="NC"/>
    <n v="0"/>
    <n v="0"/>
    <n v="0"/>
    <n v="0"/>
    <n v="0"/>
    <n v="0"/>
  </r>
  <r>
    <s v="Costa Rica Container SA"/>
    <s v="NC"/>
    <s v="0001 "/>
    <n v="4187"/>
    <s v="PRODUCTIVIDAD HUMANA"/>
    <n v="-699"/>
    <n v="0"/>
    <n v="0"/>
    <n v="0"/>
    <n v="0"/>
    <n v="-699"/>
    <n v="-699"/>
    <d v="2023-10-30T00:00:00"/>
    <d v="2023-10-30T00:00:00"/>
    <n v="-823"/>
    <s v="004-001"/>
    <s v="Euromobilia"/>
    <x v="4"/>
    <s v="NC"/>
    <n v="0"/>
    <n v="0"/>
    <n v="0"/>
    <n v="0"/>
    <n v="0"/>
    <n v="0"/>
  </r>
  <r>
    <s v="CSS SECURITAS INTERNACIONAL DE COSTA RICA S.A"/>
    <s v="NC"/>
    <s v="005  "/>
    <s v="AD00001153"/>
    <s v="PRODUCTIVIDAD HUMANA"/>
    <n v="-377.31"/>
    <n v="0"/>
    <n v="0"/>
    <n v="0"/>
    <n v="0"/>
    <n v="-377.31"/>
    <n v="-377.31"/>
    <d v="2017-09-14T00:00:00"/>
    <d v="2017-09-14T00:00:00"/>
    <n v="-3060"/>
    <s v="001"/>
    <s v="Paneltec"/>
    <x v="4"/>
    <s v="NC"/>
    <n v="0"/>
    <n v="0"/>
    <n v="0"/>
    <n v="0"/>
    <n v="0"/>
    <n v="0"/>
  </r>
  <r>
    <s v="DEL ESTE BIENES RAICES DEBR SOCIEDAD ANONIMA"/>
    <s v="NC"/>
    <s v="0001 "/>
    <n v="5140"/>
    <s v="PRODUCTIVIDAD HUMANA"/>
    <n v="-203.4"/>
    <n v="0"/>
    <n v="0"/>
    <n v="0"/>
    <n v="0"/>
    <n v="-203.4"/>
    <n v="-203.4"/>
    <d v="2023-11-20T00:00:00"/>
    <d v="2023-11-20T00:00:00"/>
    <n v="-802"/>
    <s v="004-001"/>
    <s v="Euromobilia"/>
    <x v="4"/>
    <s v="NC"/>
    <n v="0"/>
    <n v="0"/>
    <n v="0"/>
    <n v="0"/>
    <n v="0"/>
    <n v="0"/>
  </r>
  <r>
    <s v="DEL PARQUE ARDILLA S.A"/>
    <s v="NC"/>
    <s v="000  "/>
    <s v="AD00025271"/>
    <s v="PRODUCTIVIDAD HUMANA"/>
    <n v="-3902.14"/>
    <n v="0"/>
    <n v="0"/>
    <n v="0"/>
    <n v="0"/>
    <n v="-3902.14"/>
    <n v="-3902.14"/>
    <d v="2025-02-06T00:00:00"/>
    <d v="2025-02-06T00:00:00"/>
    <n v="-358"/>
    <s v="004-003"/>
    <s v="Euromobilia"/>
    <x v="7"/>
    <s v="Anticipo por facturar"/>
    <n v="0"/>
    <n v="0"/>
    <n v="0"/>
    <n v="0"/>
    <n v="0"/>
    <n v="0"/>
  </r>
  <r>
    <s v="DESARROLLOS URBANISTICOS MODERNOS LIMITADA"/>
    <s v="NC"/>
    <s v="34   "/>
    <s v="AD00002010"/>
    <s v="PRODUCTIVIDAD HUMANA"/>
    <n v="-15499.37"/>
    <n v="0"/>
    <n v="0"/>
    <n v="0"/>
    <n v="0"/>
    <n v="-15499.37"/>
    <n v="-15499.37"/>
    <d v="2023-04-21T00:00:00"/>
    <d v="2023-04-21T00:00:00"/>
    <n v="-1015"/>
    <s v="002"/>
    <s v="Paneltec"/>
    <x v="4"/>
    <s v="NC"/>
    <n v="0"/>
    <n v="0"/>
    <n v="0"/>
    <n v="0"/>
    <n v="0"/>
    <n v="0"/>
  </r>
  <r>
    <s v="DIEGO BALDIZON VARGAS"/>
    <s v="FA"/>
    <s v="OF113"/>
    <n v="2100027639"/>
    <s v="PRODUCTIVIDAD HUMANA"/>
    <n v="5717.8"/>
    <n v="0"/>
    <n v="0"/>
    <n v="0"/>
    <n v="0"/>
    <n v="5717.8"/>
    <n v="5717.8"/>
    <d v="2025-07-14T00:00:00"/>
    <d v="2025-07-15T00:00:00"/>
    <n v="-199"/>
    <s v="004-001"/>
    <s v="Euromobilia"/>
    <x v="6"/>
    <s v="Caso especial"/>
    <n v="0"/>
    <n v="0"/>
    <n v="0"/>
    <n v="0"/>
    <n v="0"/>
    <n v="0"/>
  </r>
  <r>
    <s v="DISTRIBUIDORA LA FLORIDA S.A."/>
    <s v="FA"/>
    <s v="111  "/>
    <n v="71005"/>
    <s v="PRODUCTIVIDAD HUMANA"/>
    <n v="0.02"/>
    <n v="0"/>
    <n v="0"/>
    <n v="0"/>
    <n v="0"/>
    <n v="0.02"/>
    <n v="0.02"/>
    <d v="2025-07-28T00:00:00"/>
    <d v="2025-09-26T00:00:00"/>
    <n v="-126"/>
    <s v="001"/>
    <s v="Paneltec"/>
    <x v="5"/>
    <s v="Aplicar"/>
    <n v="0"/>
    <n v="0"/>
    <n v="0"/>
    <n v="0"/>
    <n v="0"/>
    <n v="0"/>
  </r>
  <r>
    <s v="DISTRIBUIDORA LA FLORIDA S.A."/>
    <s v="NC"/>
    <s v="005  "/>
    <s v="AD00002260"/>
    <s v="PRODUCTIVIDAD HUMANA"/>
    <n v="-0.04"/>
    <n v="0"/>
    <n v="0"/>
    <n v="0"/>
    <n v="0"/>
    <n v="-0.04"/>
    <n v="-0.04"/>
    <d v="2025-10-27T00:00:00"/>
    <d v="2025-10-27T00:00:00"/>
    <n v="-95"/>
    <s v="001"/>
    <s v="Paneltec"/>
    <x v="5"/>
    <s v="Aplicar"/>
    <n v="0"/>
    <n v="0"/>
    <n v="0"/>
    <n v="0"/>
    <n v="0"/>
    <n v="0"/>
  </r>
  <r>
    <s v="DISTRIBUIDORA LA FLORIDA S.A."/>
    <s v="NC"/>
    <s v="005  "/>
    <s v="AD00002277"/>
    <s v="PRODUCTIVIDAD HUMANA"/>
    <n v="-37.18"/>
    <n v="0"/>
    <n v="0"/>
    <n v="-37.18"/>
    <n v="0"/>
    <n v="0"/>
    <n v="-37.18"/>
    <d v="2025-12-17T00:00:00"/>
    <d v="2025-12-17T00:00:00"/>
    <n v="-44"/>
    <s v="001"/>
    <s v="Paneltec"/>
    <x v="4"/>
    <s v="NC"/>
    <n v="0"/>
    <n v="0"/>
    <n v="0"/>
    <n v="0"/>
    <n v="0"/>
    <n v="0"/>
  </r>
  <r>
    <s v="DOUGLAS EDUARDO MENESES ALFARO"/>
    <s v="FA"/>
    <s v="OF117"/>
    <n v="2100026861"/>
    <s v="PRODUCTIVIDAD HUMANA"/>
    <n v="2629.16"/>
    <n v="0"/>
    <n v="0"/>
    <n v="0"/>
    <n v="0"/>
    <n v="2629.16"/>
    <n v="2629.16"/>
    <d v="2025-03-04T00:00:00"/>
    <d v="2025-03-05T00:00:00"/>
    <n v="-331"/>
    <s v="004-001"/>
    <s v="Euromobilia"/>
    <x v="6"/>
    <s v="Caso especial"/>
    <n v="0"/>
    <n v="0"/>
    <n v="0"/>
    <n v="0"/>
    <n v="0"/>
    <n v="0"/>
  </r>
  <r>
    <s v="DOUGLAS EDUARDO MENESES ALFARO"/>
    <s v="FA"/>
    <s v="OF117"/>
    <n v="2100026829"/>
    <s v="PRODUCTIVIDAD HUMANA"/>
    <n v="1582"/>
    <n v="0"/>
    <n v="0"/>
    <n v="0"/>
    <n v="0"/>
    <n v="1582"/>
    <n v="1582"/>
    <d v="2025-02-27T00:00:00"/>
    <d v="2025-02-28T00:00:00"/>
    <n v="-336"/>
    <s v="004-001"/>
    <s v="Euromobilia"/>
    <x v="6"/>
    <s v="Caso especial"/>
    <n v="0"/>
    <n v="0"/>
    <n v="0"/>
    <n v="0"/>
    <n v="0"/>
    <n v="0"/>
  </r>
  <r>
    <s v="DOUGLAS EDUARDO MENESES ALFARO"/>
    <s v="FA"/>
    <s v="OF117"/>
    <n v="2100026873"/>
    <s v="PRODUCTIVIDAD HUMANA"/>
    <n v="362.74"/>
    <n v="0"/>
    <n v="0"/>
    <n v="0"/>
    <n v="0"/>
    <n v="362.74"/>
    <n v="362.74"/>
    <d v="2025-03-06T00:00:00"/>
    <d v="2025-03-07T00:00:00"/>
    <n v="-329"/>
    <s v="004-001"/>
    <s v="Euromobilia"/>
    <x v="6"/>
    <s v="Caso especial"/>
    <n v="0"/>
    <n v="0"/>
    <n v="0"/>
    <n v="0"/>
    <n v="0"/>
    <n v="0"/>
  </r>
  <r>
    <s v="DUWEST CAFESA SOCIEDAD ANONIMA"/>
    <s v="NC"/>
    <s v="34   "/>
    <s v="AD00001233"/>
    <s v="PRODUCTIVIDAD HUMANA"/>
    <n v="-641.72"/>
    <n v="0"/>
    <n v="0"/>
    <n v="0"/>
    <n v="0"/>
    <n v="-641.72"/>
    <n v="-641.72"/>
    <d v="2018-01-08T00:00:00"/>
    <d v="2018-01-08T00:00:00"/>
    <n v="-2944"/>
    <s v="001"/>
    <s v="Paneltec"/>
    <x v="4"/>
    <s v="NC"/>
    <n v="0"/>
    <n v="0"/>
    <n v="0"/>
    <n v="0"/>
    <n v="0"/>
    <n v="0"/>
  </r>
  <r>
    <s v="EDICA LIMITADA"/>
    <s v="NC"/>
    <s v="34   "/>
    <s v="AD00001076"/>
    <s v="PRODUCTIVIDAD HUMANA"/>
    <n v="-22.86"/>
    <n v="0"/>
    <n v="0"/>
    <n v="0"/>
    <n v="0"/>
    <n v="-22.86"/>
    <n v="-22.86"/>
    <d v="2017-05-12T00:00:00"/>
    <d v="2017-05-12T00:00:00"/>
    <n v="-3185"/>
    <s v="001"/>
    <s v="Paneltec"/>
    <x v="4"/>
    <s v="NC"/>
    <n v="0"/>
    <n v="0"/>
    <n v="0"/>
    <n v="0"/>
    <n v="0"/>
    <n v="0"/>
  </r>
  <r>
    <s v="EDICA LIMITADA"/>
    <s v="NC"/>
    <s v="34   "/>
    <s v="AD00001595"/>
    <s v="PRODUCTIVIDAD HUMANA"/>
    <n v="-1744.4"/>
    <n v="0"/>
    <n v="0"/>
    <n v="0"/>
    <n v="0"/>
    <n v="-1744.4"/>
    <n v="-1744.4"/>
    <d v="2019-12-04T00:00:00"/>
    <d v="2019-12-04T00:00:00"/>
    <n v="-2249"/>
    <s v="001"/>
    <s v="Paneltec"/>
    <x v="4"/>
    <s v="NC"/>
    <n v="0"/>
    <n v="0"/>
    <n v="0"/>
    <n v="0"/>
    <n v="0"/>
    <n v="0"/>
  </r>
  <r>
    <s v="EDICA LIMITADA"/>
    <s v="NC"/>
    <s v="34   "/>
    <s v="AD00001709"/>
    <s v="PRODUCTIVIDAD HUMANA"/>
    <n v="-1017.77"/>
    <n v="0"/>
    <n v="0"/>
    <n v="0"/>
    <n v="0"/>
    <n v="-1017.77"/>
    <n v="-1017.77"/>
    <d v="2020-11-27T00:00:00"/>
    <d v="2020-11-27T00:00:00"/>
    <n v="-1890"/>
    <s v="001"/>
    <s v="Paneltec"/>
    <x v="4"/>
    <s v="NC"/>
    <n v="0"/>
    <n v="0"/>
    <n v="0"/>
    <n v="0"/>
    <n v="0"/>
    <n v="0"/>
  </r>
  <r>
    <s v="EDICA LIMITADA"/>
    <s v="FA"/>
    <s v="OF103"/>
    <n v="2100028334"/>
    <s v="PRODUCTIVIDAD HUMANA"/>
    <n v="621.5"/>
    <n v="0"/>
    <n v="0"/>
    <n v="0"/>
    <n v="621.5"/>
    <n v="0"/>
    <n v="621.5"/>
    <d v="2025-10-30T00:00:00"/>
    <d v="2025-11-29T00:00:00"/>
    <n v="-62"/>
    <s v="004-001"/>
    <s v="Euromobilia"/>
    <x v="5"/>
    <s v="Aplicar"/>
    <n v="0"/>
    <n v="0"/>
    <n v="0"/>
    <n v="0"/>
    <n v="0"/>
    <n v="0"/>
  </r>
  <r>
    <s v="EDIFICADORA CENTROAMERICANA RAPIPAREDES S.A."/>
    <s v="FA"/>
    <s v="0001 "/>
    <n v="5640"/>
    <s v="PRODUCTIVIDAD HUMANA"/>
    <n v="41553.236347999999"/>
    <n v="0"/>
    <n v="0"/>
    <n v="0"/>
    <n v="0"/>
    <n v="41553.24"/>
    <n v="41553.24"/>
    <d v="2023-12-27T00:00:00"/>
    <d v="2024-01-26T00:00:00"/>
    <n v="-735"/>
    <s v="004-001"/>
    <s v="Euromobilia"/>
    <x v="6"/>
    <s v="Caso especial"/>
    <n v="0"/>
    <n v="0"/>
    <n v="0"/>
    <n v="0"/>
    <n v="0"/>
    <n v="0"/>
  </r>
  <r>
    <s v="EDIFICADORA CENTROAMERICANA RAPIPAREDES S.A."/>
    <s v="FA"/>
    <s v="OF113"/>
    <n v="2100025441"/>
    <s v="PRODUCTIVIDAD HUMANA"/>
    <n v="24520.39"/>
    <n v="0"/>
    <n v="0"/>
    <n v="0"/>
    <n v="0"/>
    <n v="24520.39"/>
    <n v="24520.39"/>
    <d v="2024-08-19T00:00:00"/>
    <d v="2024-09-18T00:00:00"/>
    <n v="-499"/>
    <s v="004-001"/>
    <s v="Euromobilia"/>
    <x v="6"/>
    <s v="Caso especial"/>
    <n v="0"/>
    <n v="0"/>
    <n v="0"/>
    <n v="0"/>
    <n v="0"/>
    <n v="0"/>
  </r>
  <r>
    <s v="EDIFICADORA CENTROAMERICANA RAPIPAREDES S.A."/>
    <s v="FA"/>
    <s v="0001 "/>
    <n v="61"/>
    <s v="PRODUCTIVIDAD HUMANA"/>
    <n v="7402.2453230000001"/>
    <n v="0"/>
    <n v="0"/>
    <n v="0"/>
    <n v="0"/>
    <n v="7402.25"/>
    <n v="7402.25"/>
    <d v="2023-02-01T00:00:00"/>
    <d v="2023-02-01T00:00:00"/>
    <n v="-1094"/>
    <s v="004-001"/>
    <s v="Euromobilia"/>
    <x v="6"/>
    <s v="Caso especial"/>
    <n v="0"/>
    <n v="0"/>
    <n v="0"/>
    <n v="0"/>
    <n v="0"/>
    <n v="0"/>
  </r>
  <r>
    <s v="EDIFICADORA CENTROAMERICANA RAPIPAREDES S.A."/>
    <s v="NC"/>
    <s v="PR042"/>
    <s v="AD00025623"/>
    <s v="PRODUCTIVIDAD HUMANA"/>
    <n v="-6544.9075620000003"/>
    <n v="0"/>
    <n v="0"/>
    <n v="0"/>
    <n v="0"/>
    <n v="-6544.91"/>
    <n v="-6544.91"/>
    <d v="2025-04-30T00:00:00"/>
    <d v="2025-04-30T00:00:00"/>
    <n v="-275"/>
    <s v="004-001"/>
    <s v="Euromobilia"/>
    <x v="5"/>
    <s v="Aplicar"/>
    <n v="0"/>
    <n v="0"/>
    <n v="0"/>
    <n v="0"/>
    <n v="0"/>
    <n v="0"/>
  </r>
  <r>
    <s v="ELECTRONICA CENTROAMERICANA SOCIEDAD ANONIMA"/>
    <s v="NC"/>
    <s v="89   "/>
    <n v="1520"/>
    <s v="PRODUCTIVIDAD HUMANA"/>
    <n v="-683.65"/>
    <n v="0"/>
    <n v="0"/>
    <n v="0"/>
    <n v="0"/>
    <n v="-683.65"/>
    <n v="-683.65"/>
    <d v="2024-09-24T00:00:00"/>
    <d v="2024-09-25T00:00:00"/>
    <n v="-492"/>
    <s v="001"/>
    <s v="Paneltec"/>
    <x v="4"/>
    <s v="NC"/>
    <n v="0"/>
    <n v="0"/>
    <n v="0"/>
    <n v="0"/>
    <n v="0"/>
    <n v="0"/>
  </r>
  <r>
    <s v="ESTABLISHMENT LABS SOCIEDAD ANONIMA"/>
    <s v="NC"/>
    <s v="0103 "/>
    <s v="AD00002001"/>
    <s v="PRODUCTIVIDAD HUMANA"/>
    <n v="-709.16"/>
    <n v="0"/>
    <n v="0"/>
    <n v="0"/>
    <n v="0"/>
    <n v="-709.16"/>
    <n v="-709.16"/>
    <d v="2023-03-17T00:00:00"/>
    <d v="2023-03-17T00:00:00"/>
    <n v="-1050"/>
    <s v="002"/>
    <s v="Paneltec"/>
    <x v="4"/>
    <s v="NC"/>
    <n v="0"/>
    <n v="0"/>
    <n v="0"/>
    <n v="0"/>
    <n v="0"/>
    <n v="0"/>
  </r>
  <r>
    <s v="ESTRUCTURAS SOCIEDAD ANONIMA"/>
    <s v="NC"/>
    <s v="23   "/>
    <n v="1424"/>
    <s v="PRODUCTIVIDAD HUMANA"/>
    <n v="-306.66429299999999"/>
    <n v="0"/>
    <n v="0"/>
    <n v="0"/>
    <n v="0"/>
    <n v="-306.66000000000003"/>
    <n v="-306.66000000000003"/>
    <d v="2023-01-19T00:00:00"/>
    <d v="2023-01-19T00:00:00"/>
    <n v="-1107"/>
    <s v="002"/>
    <s v="Paneltec"/>
    <x v="4"/>
    <s v="NC"/>
    <n v="0"/>
    <n v="0"/>
    <n v="0"/>
    <n v="0"/>
    <n v="0"/>
    <n v="0"/>
  </r>
  <r>
    <s v="EUROCENTER INMOBILIARIA DE COSTA RICA ECR SOCIEDAD ANONIMA"/>
    <s v="FA"/>
    <s v="OF312"/>
    <n v="2100028311"/>
    <s v="PRODUCTIVIDAD HUMANA"/>
    <n v="4045.27"/>
    <n v="0"/>
    <n v="0"/>
    <n v="0"/>
    <n v="4045.27"/>
    <n v="0"/>
    <n v="4045.27"/>
    <d v="2025-10-29T00:00:00"/>
    <d v="2025-11-28T00:00:00"/>
    <n v="-63"/>
    <s v="004-001"/>
    <s v="Euromobilia"/>
    <x v="5"/>
    <s v="Aplicar"/>
    <n v="0"/>
    <n v="0"/>
    <n v="0"/>
    <n v="0"/>
    <n v="0"/>
    <n v="0"/>
  </r>
  <r>
    <s v="EUROCENTER INMOBILIARIA DE COSTA RICA ECR SOCIEDAD ANONIMA"/>
    <s v="NC"/>
    <s v="OF312"/>
    <n v="56394"/>
    <s v="PRODUCTIVIDAD HUMANA"/>
    <n v="-4045.27"/>
    <n v="0"/>
    <n v="0"/>
    <n v="0"/>
    <n v="0"/>
    <n v="-4045.27"/>
    <n v="-4045.27"/>
    <d v="2025-10-29T00:00:00"/>
    <d v="2025-10-29T00:00:00"/>
    <n v="-93"/>
    <s v="004-001"/>
    <s v="Euromobilia"/>
    <x v="5"/>
    <s v="Aplicar"/>
    <n v="0"/>
    <n v="0"/>
    <n v="0"/>
    <n v="0"/>
    <n v="0"/>
    <n v="0"/>
  </r>
  <r>
    <s v="EUROMOBILIA SOCIEDAD ANONIMA"/>
    <s v="FA"/>
    <s v="89   "/>
    <n v="70938"/>
    <s v="PRODUCTIVIDAD HUMANA"/>
    <n v="593.85"/>
    <n v="0"/>
    <n v="0"/>
    <n v="0"/>
    <n v="0"/>
    <n v="593.85"/>
    <n v="593.85"/>
    <d v="2025-05-22T00:00:00"/>
    <d v="2025-06-21T00:00:00"/>
    <n v="-223"/>
    <s v="001"/>
    <s v="Paneltec"/>
    <x v="6"/>
    <s v="Caso especial"/>
    <n v="0"/>
    <n v="0"/>
    <n v="0"/>
    <n v="0"/>
    <n v="0"/>
    <n v="0"/>
  </r>
  <r>
    <s v="EUROMOBILIA SOCIEDAD ANONIMA"/>
    <s v="FA"/>
    <s v="111  "/>
    <n v="70924"/>
    <s v="PRODUCTIVIDAD HUMANA"/>
    <n v="149.16"/>
    <n v="0"/>
    <n v="0"/>
    <n v="0"/>
    <n v="0"/>
    <n v="149.16"/>
    <n v="149.16"/>
    <d v="2025-05-12T00:00:00"/>
    <d v="2025-06-11T00:00:00"/>
    <n v="-233"/>
    <s v="001"/>
    <s v="Paneltec"/>
    <x v="6"/>
    <s v="Caso especial"/>
    <n v="0"/>
    <n v="0"/>
    <n v="0"/>
    <n v="0"/>
    <n v="0"/>
    <n v="0"/>
  </r>
  <r>
    <s v="EURORAMSTACK C.R SOCIEDAD ANONIMA"/>
    <s v="FA"/>
    <s v="OF116"/>
    <n v="2100028533"/>
    <s v="PRODUCTIVIDAD HUMANA"/>
    <n v="13161.07"/>
    <n v="0"/>
    <n v="0"/>
    <n v="13161.07"/>
    <n v="0"/>
    <n v="0"/>
    <n v="13161.07"/>
    <d v="2025-12-11T00:00:00"/>
    <d v="2025-12-12T00:00:00"/>
    <n v="-49"/>
    <s v="004-003"/>
    <s v="Euromobilia"/>
    <x v="1"/>
    <d v="2026-03-01T00:00:00"/>
    <n v="0"/>
    <n v="13161.07"/>
    <n v="0"/>
    <n v="0"/>
    <n v="0"/>
    <n v="0"/>
  </r>
  <r>
    <s v="EVOLUTION FREE ZONE SOCIEDAD ANONIMA"/>
    <s v="FA"/>
    <s v="111  "/>
    <n v="71085"/>
    <s v="PRODUCTIVIDAD HUMANA"/>
    <n v="26673.1"/>
    <n v="0"/>
    <n v="0"/>
    <n v="26673.1"/>
    <n v="0"/>
    <n v="0"/>
    <n v="26673.1"/>
    <d v="2025-11-27T00:00:00"/>
    <d v="2025-12-12T00:00:00"/>
    <n v="-49"/>
    <s v="002"/>
    <s v="Paneltec"/>
    <x v="5"/>
    <s v="Aplicar"/>
    <n v="0"/>
    <n v="0"/>
    <n v="0"/>
    <n v="0"/>
    <n v="0"/>
    <n v="0"/>
  </r>
  <r>
    <s v="EVOLUTION FREE ZONE SOCIEDAD ANONIMA"/>
    <s v="FA"/>
    <s v="111  "/>
    <n v="71084"/>
    <s v="PRODUCTIVIDAD HUMANA"/>
    <n v="21996.11"/>
    <n v="0"/>
    <n v="0"/>
    <n v="21996.11"/>
    <n v="0"/>
    <n v="0"/>
    <n v="21996.11"/>
    <d v="2025-11-27T00:00:00"/>
    <d v="2025-12-12T00:00:00"/>
    <n v="-49"/>
    <s v="002"/>
    <s v="Paneltec"/>
    <x v="5"/>
    <s v="Aplicar"/>
    <n v="0"/>
    <n v="0"/>
    <n v="0"/>
    <n v="0"/>
    <n v="0"/>
    <n v="0"/>
  </r>
  <r>
    <s v="EVOLUTION FREE ZONE SOCIEDAD ANONIMA"/>
    <s v="NC"/>
    <s v="111  "/>
    <n v="1604"/>
    <s v="PRODUCTIVIDAD HUMANA"/>
    <n v="-25775.21"/>
    <n v="0"/>
    <n v="0"/>
    <n v="0"/>
    <n v="0"/>
    <n v="-25775.21"/>
    <n v="-25775.21"/>
    <d v="2025-08-31T00:00:00"/>
    <d v="2025-09-15T00:00:00"/>
    <n v="-137"/>
    <s v="001"/>
    <s v="Paneltec"/>
    <x v="7"/>
    <s v="Anticipo por facturar"/>
    <n v="0"/>
    <n v="0"/>
    <n v="0"/>
    <n v="0"/>
    <n v="0"/>
    <n v="0"/>
  </r>
  <r>
    <s v="EVOLUTION FREE ZONE SOCIEDAD ANONIMA"/>
    <s v="NC"/>
    <s v="111  "/>
    <s v="AD00002248"/>
    <s v="PRODUCTIVIDAD HUMANA"/>
    <n v="-24140"/>
    <n v="0"/>
    <n v="0"/>
    <n v="0"/>
    <n v="0"/>
    <n v="-24140"/>
    <n v="-24140"/>
    <d v="2025-09-05T00:00:00"/>
    <d v="2025-09-05T00:00:00"/>
    <n v="-147"/>
    <s v="001"/>
    <s v="Paneltec"/>
    <x v="7"/>
    <s v="Anticipo por facturar"/>
    <n v="0"/>
    <n v="0"/>
    <n v="0"/>
    <n v="0"/>
    <n v="0"/>
    <n v="0"/>
  </r>
  <r>
    <s v="EVOLUTION FREE ZONE SOCIEDAD ANONIMA"/>
    <s v="NC"/>
    <s v="OF030"/>
    <s v="AD00025734"/>
    <s v="PRODUCTIVIDAD HUMANA"/>
    <n v="-20103.22"/>
    <n v="0"/>
    <n v="0"/>
    <n v="0"/>
    <n v="0"/>
    <n v="-20103.22"/>
    <n v="-20103.22"/>
    <d v="2025-06-02T00:00:00"/>
    <d v="2025-06-02T00:00:00"/>
    <n v="-242"/>
    <s v="004-001"/>
    <s v="Euromobilia"/>
    <x v="7"/>
    <s v="Anticipo por facturar"/>
    <n v="0"/>
    <n v="0"/>
    <n v="0"/>
    <n v="0"/>
    <n v="0"/>
    <n v="0"/>
  </r>
  <r>
    <s v="EVOLUTION FREE ZONE SOCIEDAD ANONIMA"/>
    <s v="NC"/>
    <s v="111  "/>
    <n v="1607"/>
    <s v="PRODUCTIVIDAD HUMANA"/>
    <n v="-4800.6000000000004"/>
    <n v="0"/>
    <n v="0"/>
    <n v="0"/>
    <n v="0"/>
    <n v="-4800.6000000000004"/>
    <n v="-4800.6000000000004"/>
    <d v="2025-10-01T00:00:00"/>
    <d v="2025-10-16T00:00:00"/>
    <n v="-106"/>
    <s v="001"/>
    <s v="Paneltec"/>
    <x v="7"/>
    <s v="Anticipo por facturar"/>
    <n v="0"/>
    <n v="0"/>
    <n v="0"/>
    <n v="0"/>
    <n v="0"/>
    <n v="0"/>
  </r>
  <r>
    <s v="EVOLUTION FREE ZONE SOCIEDAD ANONIMA"/>
    <s v="NC"/>
    <s v="OF030"/>
    <s v="AD00026378"/>
    <s v="PRODUCTIVIDAD HUMANA"/>
    <n v="-4798.8"/>
    <n v="0"/>
    <n v="0"/>
    <n v="-4798.8"/>
    <n v="0"/>
    <n v="0"/>
    <n v="-4798.8"/>
    <d v="2025-12-08T00:00:00"/>
    <d v="2025-12-08T00:00:00"/>
    <n v="-53"/>
    <s v="004-001"/>
    <s v="Euromobilia"/>
    <x v="7"/>
    <s v="Anticipo por facturar"/>
    <n v="0"/>
    <n v="0"/>
    <n v="0"/>
    <n v="0"/>
    <n v="0"/>
    <n v="0"/>
  </r>
  <r>
    <s v="EVOLUTION FREE ZONE SOCIEDAD ANONIMA"/>
    <s v="NC"/>
    <s v="OF030"/>
    <s v="AD00026321"/>
    <s v="PRODUCTIVIDAD HUMANA"/>
    <n v="-3368.11"/>
    <n v="0"/>
    <n v="0"/>
    <n v="0"/>
    <n v="-3368.11"/>
    <n v="0"/>
    <n v="-3368.11"/>
    <d v="2025-11-17T00:00:00"/>
    <d v="2025-11-17T00:00:00"/>
    <n v="-74"/>
    <s v="004-001"/>
    <s v="Euromobilia"/>
    <x v="7"/>
    <s v="Anticipo por facturar"/>
    <n v="0"/>
    <n v="0"/>
    <n v="0"/>
    <n v="0"/>
    <n v="0"/>
    <n v="0"/>
  </r>
  <r>
    <s v="FDO INV. DESARROLLO PROYECTOS MULTIFONDOS SECRT ESCALANTE"/>
    <s v="NC"/>
    <s v="000  "/>
    <n v="4770"/>
    <s v="PRODUCTIVIDAD HUMANA"/>
    <n v="-63133.03"/>
    <n v="0"/>
    <n v="0"/>
    <n v="0"/>
    <n v="0"/>
    <n v="-63133.03"/>
    <n v="-63133.03"/>
    <d v="2025-05-28T00:00:00"/>
    <d v="2025-05-28T00:00:00"/>
    <n v="-247"/>
    <s v="004-001"/>
    <s v="Euromobilia"/>
    <x v="7"/>
    <s v="Anticipo por facturar"/>
    <n v="0"/>
    <n v="0"/>
    <n v="0"/>
    <n v="0"/>
    <n v="0"/>
    <n v="0"/>
  </r>
  <r>
    <s v="FDO INV. DESARROLLO PROYECTOS MULTIFONDOS SECRT ESCALANTE"/>
    <s v="FA"/>
    <s v="OF313"/>
    <n v="2100028123"/>
    <s v="PRODUCTIVIDAD HUMANA"/>
    <n v="3985"/>
    <n v="0"/>
    <n v="0"/>
    <n v="0"/>
    <n v="0"/>
    <n v="3985"/>
    <n v="3985"/>
    <d v="2025-09-26T00:00:00"/>
    <d v="2025-10-04T00:00:00"/>
    <n v="-118"/>
    <s v="004-003"/>
    <s v="Euromobilia"/>
    <x v="1"/>
    <d v="2026-03-01T00:00:00"/>
    <n v="0"/>
    <n v="3985"/>
    <n v="0"/>
    <n v="0"/>
    <n v="0"/>
    <n v="0"/>
  </r>
  <r>
    <s v="FEDERACION COSTARRICENSE DE FUTBOL"/>
    <s v="FA"/>
    <s v="0001 "/>
    <n v="1667"/>
    <s v="PRODUCTIVIDAD HUMANA"/>
    <n v="95208.5"/>
    <n v="0"/>
    <n v="0"/>
    <n v="0"/>
    <n v="0"/>
    <n v="95208.5"/>
    <n v="95208.5"/>
    <d v="2022-09-13T00:00:00"/>
    <d v="2022-09-13T00:00:00"/>
    <n v="-1235"/>
    <s v="004-001"/>
    <s v="Euromobilia"/>
    <x v="8"/>
    <s v="Arreglo de pago"/>
    <n v="0"/>
    <n v="0"/>
    <n v="0"/>
    <n v="21879"/>
    <n v="0"/>
    <n v="0"/>
  </r>
  <r>
    <s v="FERRETERIA EPA, SOCIEDAD ANONIMA"/>
    <s v="NC"/>
    <s v="89   "/>
    <s v="AD00002274"/>
    <s v="PRODUCTIVIDAD HUMANA"/>
    <n v="-5716.82"/>
    <n v="0"/>
    <n v="0"/>
    <n v="0"/>
    <n v="-5716.82"/>
    <n v="0"/>
    <n v="-5716.82"/>
    <d v="2025-11-28T00:00:00"/>
    <d v="2025-11-28T00:00:00"/>
    <n v="-63"/>
    <s v="001"/>
    <s v="Paneltec"/>
    <x v="7"/>
    <s v="Anticipo por facturar"/>
    <n v="0"/>
    <n v="0"/>
    <n v="0"/>
    <n v="0"/>
    <n v="0"/>
    <n v="0"/>
  </r>
  <r>
    <s v="FERRETERIA EPA, SOCIEDAD ANONIMA"/>
    <s v="NC"/>
    <s v="89   "/>
    <s v="AD00002223"/>
    <s v="PRODUCTIVIDAD HUMANA"/>
    <n v="-1813.05"/>
    <n v="0"/>
    <n v="0"/>
    <n v="0"/>
    <n v="0"/>
    <n v="-1813.05"/>
    <n v="-1813.05"/>
    <d v="2025-04-30T00:00:00"/>
    <d v="2025-04-30T00:00:00"/>
    <n v="-275"/>
    <s v="001"/>
    <s v="Paneltec"/>
    <x v="7"/>
    <s v="Anticipo por facturar"/>
    <n v="0"/>
    <n v="0"/>
    <n v="0"/>
    <n v="0"/>
    <n v="0"/>
    <n v="0"/>
  </r>
  <r>
    <s v="FERRETERIA EPA, SOCIEDAD ANONIMA"/>
    <s v="NC"/>
    <s v="89   "/>
    <s v="AD00002275"/>
    <s v="PRODUCTIVIDAD HUMANA"/>
    <n v="-1091.18"/>
    <n v="0"/>
    <n v="0"/>
    <n v="0"/>
    <n v="-1091.18"/>
    <n v="0"/>
    <n v="-1091.18"/>
    <d v="2025-11-28T00:00:00"/>
    <d v="2025-11-28T00:00:00"/>
    <n v="-63"/>
    <s v="001"/>
    <s v="Paneltec"/>
    <x v="7"/>
    <s v="Anticipo por facturar"/>
    <n v="0"/>
    <n v="0"/>
    <n v="0"/>
    <n v="0"/>
    <n v="0"/>
    <n v="0"/>
  </r>
  <r>
    <s v="FISHER SCIENTIFIC COSTA RICA SOCIEDAD DE RESPONSABILIDAD LIMITADA"/>
    <s v="NC"/>
    <s v="34   "/>
    <s v="AD00001488"/>
    <s v="PRODUCTIVIDAD HUMANA"/>
    <n v="-1150"/>
    <n v="0"/>
    <n v="0"/>
    <n v="0"/>
    <n v="0"/>
    <n v="-1150"/>
    <n v="-1150"/>
    <d v="2019-04-25T00:00:00"/>
    <d v="2019-04-25T00:00:00"/>
    <n v="-2472"/>
    <s v="001"/>
    <s v="Paneltec"/>
    <x v="4"/>
    <s v="NC"/>
    <n v="0"/>
    <n v="0"/>
    <n v="0"/>
    <n v="0"/>
    <n v="0"/>
    <n v="0"/>
  </r>
  <r>
    <s v="FRUTA INTERNACIONAL SOCIEDAD ANONIMA"/>
    <s v="NC"/>
    <s v="0001 "/>
    <n v="4524"/>
    <s v="PRODUCTIVIDAD HUMANA"/>
    <n v="-584.21"/>
    <n v="0"/>
    <n v="0"/>
    <n v="0"/>
    <n v="0"/>
    <n v="-584.21"/>
    <n v="-584.21"/>
    <d v="2023-11-03T00:00:00"/>
    <d v="2023-11-03T00:00:00"/>
    <n v="-819"/>
    <s v="004-001"/>
    <s v="Euromobilia"/>
    <x v="4"/>
    <s v="NC"/>
    <n v="0"/>
    <n v="0"/>
    <n v="0"/>
    <n v="0"/>
    <n v="0"/>
    <n v="0"/>
  </r>
  <r>
    <s v="FUNERARIA MANANTIAL DE VIDA"/>
    <s v="NC"/>
    <s v="0001 "/>
    <n v="4251"/>
    <s v="PRODUCTIVIDAD HUMANA"/>
    <n v="-430.77659399999999"/>
    <n v="0"/>
    <n v="0"/>
    <n v="0"/>
    <n v="0"/>
    <n v="-430.78"/>
    <n v="-430.78"/>
    <d v="2023-10-28T00:00:00"/>
    <d v="2023-10-28T00:00:00"/>
    <n v="-825"/>
    <s v="004-001"/>
    <s v="Euromobilia"/>
    <x v="4"/>
    <s v="NC"/>
    <n v="0"/>
    <n v="0"/>
    <n v="0"/>
    <n v="0"/>
    <n v="0"/>
    <n v="0"/>
  </r>
  <r>
    <s v="GAS TOMZA DE COSTA RICA SOCIEDAD ANONIMA"/>
    <s v="FA"/>
    <s v="OF111"/>
    <n v="2100028297"/>
    <s v="PRODUCTIVIDAD HUMANA"/>
    <n v="898.81"/>
    <n v="0"/>
    <n v="0"/>
    <n v="0"/>
    <n v="0"/>
    <n v="898.81"/>
    <n v="898.81"/>
    <d v="2025-10-28T00:00:00"/>
    <d v="2025-10-29T00:00:00"/>
    <n v="-93"/>
    <s v="004-001"/>
    <s v="Euromobilia"/>
    <x v="5"/>
    <s v="Aplicar"/>
    <n v="0"/>
    <n v="0"/>
    <n v="0"/>
    <n v="0"/>
    <n v="0"/>
    <n v="0"/>
  </r>
  <r>
    <s v="GAS TOMZA DE COSTA RICA SOCIEDAD ANONIMA"/>
    <s v="NC"/>
    <s v="OF111"/>
    <s v="AD00025445"/>
    <s v="PRODUCTIVIDAD HUMANA"/>
    <n v="-898.42"/>
    <n v="0"/>
    <n v="0"/>
    <n v="0"/>
    <n v="0"/>
    <n v="-898.42"/>
    <n v="-898.42"/>
    <d v="2025-03-21T00:00:00"/>
    <d v="2025-03-21T00:00:00"/>
    <n v="-315"/>
    <s v="004-001"/>
    <s v="Euromobilia"/>
    <x v="5"/>
    <s v="Aplicar"/>
    <n v="0"/>
    <n v="0"/>
    <n v="0"/>
    <n v="0"/>
    <n v="0"/>
    <n v="0"/>
  </r>
  <r>
    <s v="GFI PHARMA LOGISTIC S.A"/>
    <s v="NC"/>
    <s v="85   "/>
    <n v="50985"/>
    <s v="PRODUCTIVIDAD HUMANA"/>
    <n v="-2545.79"/>
    <n v="0"/>
    <n v="0"/>
    <n v="0"/>
    <n v="0"/>
    <n v="-2545.79"/>
    <n v="-2545.79"/>
    <d v="2023-02-20T00:00:00"/>
    <d v="2023-02-20T00:00:00"/>
    <n v="-1075"/>
    <s v="002"/>
    <s v="Paneltec"/>
    <x v="4"/>
    <s v="NC"/>
    <n v="0"/>
    <n v="0"/>
    <n v="0"/>
    <n v="0"/>
    <n v="0"/>
    <n v="0"/>
  </r>
  <r>
    <s v="GFI PHARMA LOGISTIC S.A"/>
    <s v="NC"/>
    <s v="90   "/>
    <s v="AD00002028"/>
    <s v="PRODUCTIVIDAD HUMANA"/>
    <n v="-3155.04"/>
    <n v="0"/>
    <n v="0"/>
    <n v="0"/>
    <n v="0"/>
    <n v="-3155.04"/>
    <n v="-3155.04"/>
    <d v="2023-06-19T00:00:00"/>
    <d v="2023-06-19T00:00:00"/>
    <n v="-956"/>
    <s v="001"/>
    <s v="Paneltec"/>
    <x v="4"/>
    <s v="NC"/>
    <n v="0"/>
    <n v="0"/>
    <n v="0"/>
    <n v="0"/>
    <n v="0"/>
    <n v="0"/>
  </r>
  <r>
    <s v="GISELLE ALFARO SOTO"/>
    <s v="FA"/>
    <s v="OF111"/>
    <n v="2100026119"/>
    <s v="PRODUCTIVIDAD HUMANA"/>
    <n v="271.2"/>
    <n v="0"/>
    <n v="0"/>
    <n v="0"/>
    <n v="0"/>
    <n v="271.2"/>
    <n v="271.2"/>
    <d v="2024-11-08T00:00:00"/>
    <d v="2024-11-16T00:00:00"/>
    <n v="-440"/>
    <s v="004-001"/>
    <s v="Euromobilia"/>
    <x v="6"/>
    <s v="Caso especial"/>
    <n v="0"/>
    <n v="0"/>
    <n v="0"/>
    <n v="0"/>
    <n v="0"/>
    <n v="0"/>
  </r>
  <r>
    <s v="Global Supply Sociedad Anonima"/>
    <s v="FA"/>
    <s v="OF030"/>
    <n v="2100025303"/>
    <s v="PRODUCTIVIDAD HUMANA"/>
    <n v="1879.72"/>
    <n v="0"/>
    <n v="0"/>
    <n v="0"/>
    <n v="0"/>
    <n v="1879.72"/>
    <n v="1879.72"/>
    <d v="2024-07-26T00:00:00"/>
    <d v="2024-08-25T00:00:00"/>
    <n v="-523"/>
    <s v="004-001"/>
    <s v="Euromobilia"/>
    <x v="6"/>
    <s v="Caso especial"/>
    <n v="0"/>
    <n v="0"/>
    <n v="0"/>
    <n v="0"/>
    <n v="0"/>
    <n v="0"/>
  </r>
  <r>
    <s v="GOLDTECH DE COSTA RICA S.AA"/>
    <s v="NC"/>
    <s v="0001 "/>
    <n v="3716"/>
    <s v="PRODUCTIVIDAD HUMANA"/>
    <n v="-79.989999999999995"/>
    <n v="0"/>
    <n v="0"/>
    <n v="0"/>
    <n v="0"/>
    <n v="-79.989999999999995"/>
    <n v="-79.989999999999995"/>
    <d v="2023-09-16T00:00:00"/>
    <d v="2023-09-16T00:00:00"/>
    <n v="-867"/>
    <s v="004-001"/>
    <s v="Euromobilia"/>
    <x v="4"/>
    <s v="NC"/>
    <n v="0"/>
    <n v="0"/>
    <n v="0"/>
    <n v="0"/>
    <n v="0"/>
    <n v="0"/>
  </r>
  <r>
    <s v="GOSOCKET SHARED SERVICES S.A"/>
    <s v="NC"/>
    <s v="111  "/>
    <s v="AD00002194"/>
    <s v="PRODUCTIVIDAD HUMANA"/>
    <n v="-56.71"/>
    <n v="0"/>
    <n v="0"/>
    <n v="0"/>
    <n v="0"/>
    <n v="-56.71"/>
    <n v="-56.71"/>
    <d v="2024-12-17T00:00:00"/>
    <d v="2024-12-17T00:00:00"/>
    <n v="-409"/>
    <s v="001"/>
    <s v="Paneltec"/>
    <x v="4"/>
    <s v="NC"/>
    <n v="0"/>
    <n v="0"/>
    <n v="0"/>
    <n v="0"/>
    <n v="0"/>
    <n v="0"/>
  </r>
  <r>
    <s v="GOSOCKET SHARED SERVICES S.A"/>
    <s v="NC"/>
    <s v="111  "/>
    <n v="1602"/>
    <s v="PRODUCTIVIDAD HUMANA"/>
    <n v="-2500"/>
    <n v="0"/>
    <n v="0"/>
    <n v="0"/>
    <n v="0"/>
    <n v="-2500"/>
    <n v="-2500"/>
    <d v="2025-08-29T00:00:00"/>
    <d v="2025-08-29T00:00:00"/>
    <n v="-154"/>
    <s v="002"/>
    <s v="Paneltec"/>
    <x v="4"/>
    <s v="NC"/>
    <n v="0"/>
    <n v="0"/>
    <n v="0"/>
    <n v="0"/>
    <n v="0"/>
    <n v="0"/>
  </r>
  <r>
    <s v="GOSOCKET SHARED SERVICES S.A"/>
    <s v="FA"/>
    <s v="111  "/>
    <n v="70697"/>
    <s v="PRODUCTIVIDAD HUMANA"/>
    <n v="2556.71"/>
    <n v="0"/>
    <n v="0"/>
    <n v="0"/>
    <n v="0"/>
    <n v="2556.71"/>
    <n v="2556.71"/>
    <d v="2024-05-31T00:00:00"/>
    <d v="2024-06-30T00:00:00"/>
    <n v="-579"/>
    <s v="001"/>
    <s v="Paneltec"/>
    <x v="6"/>
    <s v="Caso especial"/>
    <n v="0"/>
    <n v="0"/>
    <n v="0"/>
    <n v="0"/>
    <n v="0"/>
    <n v="0"/>
  </r>
  <r>
    <s v="GRUPO CONDECO VAC SOCIEDAD ANONIMA"/>
    <s v="NC"/>
    <s v="065  "/>
    <s v="AD00002019"/>
    <s v="PRODUCTIVIDAD HUMANA"/>
    <n v="-250"/>
    <n v="0"/>
    <n v="0"/>
    <n v="0"/>
    <n v="0"/>
    <n v="-250"/>
    <n v="-250"/>
    <d v="2023-05-27T00:00:00"/>
    <d v="2023-05-27T00:00:00"/>
    <n v="-979"/>
    <s v="001"/>
    <s v="Paneltec"/>
    <x v="4"/>
    <s v="NC"/>
    <n v="0"/>
    <n v="0"/>
    <n v="0"/>
    <n v="0"/>
    <n v="0"/>
    <n v="0"/>
  </r>
  <r>
    <s v="GRUPO CORPORATIVO AR PUNTO COM S.R.L"/>
    <s v="FA"/>
    <s v="0001 "/>
    <n v="788"/>
    <s v="PRODUCTIVIDAD HUMANA"/>
    <n v="5386.21"/>
    <n v="0"/>
    <n v="0"/>
    <n v="0"/>
    <n v="0"/>
    <n v="5386.21"/>
    <n v="5386.21"/>
    <d v="2017-12-20T00:00:00"/>
    <d v="2017-12-20T00:00:00"/>
    <n v="-2963"/>
    <s v="004-001"/>
    <s v="Euromobilia"/>
    <x v="6"/>
    <s v="Caso especial"/>
    <n v="0"/>
    <n v="0"/>
    <n v="0"/>
    <n v="0"/>
    <n v="0"/>
    <n v="0"/>
  </r>
  <r>
    <s v="GRUPO DESARROLLADOR DE PARQUES INDUSTRIALES SOCIEDAD ANONIMA"/>
    <s v="NC"/>
    <s v="000  "/>
    <s v="AD00002268"/>
    <s v="PRODUCTIVIDAD HUMANA"/>
    <n v="-10611.71"/>
    <n v="0"/>
    <n v="0"/>
    <n v="0"/>
    <n v="-10611.71"/>
    <n v="0"/>
    <n v="-10611.71"/>
    <d v="2025-11-19T00:00:00"/>
    <d v="2025-11-19T00:00:00"/>
    <n v="-72"/>
    <s v="001"/>
    <s v="Paneltec"/>
    <x v="7"/>
    <s v="Anticipo por facturar"/>
    <n v="0"/>
    <n v="0"/>
    <n v="0"/>
    <n v="0"/>
    <n v="0"/>
    <n v="0"/>
  </r>
  <r>
    <s v="GRUPO DESARROLLADOR DE PARQUES INDUSTRIALES SOCIEDAD ANONIMA"/>
    <s v="NC"/>
    <s v="000  "/>
    <s v="AD00002262"/>
    <s v="PRODUCTIVIDAD HUMANA"/>
    <n v="-9865.66"/>
    <n v="0"/>
    <n v="0"/>
    <n v="0"/>
    <n v="0"/>
    <n v="-9865.66"/>
    <n v="-9865.66"/>
    <d v="2025-10-27T00:00:00"/>
    <d v="2025-10-27T00:00:00"/>
    <n v="-95"/>
    <s v="001"/>
    <s v="Paneltec"/>
    <x v="7"/>
    <s v="Anticipo por facturar"/>
    <n v="0"/>
    <n v="0"/>
    <n v="0"/>
    <n v="0"/>
    <n v="0"/>
    <n v="0"/>
  </r>
  <r>
    <s v="GRUPO DESARROLLADOR DE PARQUES INDUSTRIALES SOCIEDAD ANONIMA"/>
    <s v="NC"/>
    <s v="000  "/>
    <s v="AD00002261"/>
    <s v="PRODUCTIVIDAD HUMANA"/>
    <n v="-4897.43"/>
    <n v="0"/>
    <n v="0"/>
    <n v="0"/>
    <n v="0"/>
    <n v="-4897.43"/>
    <n v="-4897.43"/>
    <d v="2025-10-27T00:00:00"/>
    <d v="2025-10-27T00:00:00"/>
    <n v="-95"/>
    <s v="001"/>
    <s v="Paneltec"/>
    <x v="7"/>
    <s v="Anticipo por facturar"/>
    <n v="0"/>
    <n v="0"/>
    <n v="0"/>
    <n v="0"/>
    <n v="0"/>
    <n v="0"/>
  </r>
  <r>
    <s v="GRUPO DESARROLLADOR DE PARQUES INDUSTRIALES SOCIEDAD ANONIMA"/>
    <s v="NC"/>
    <s v="000  "/>
    <s v="AD00002263"/>
    <s v="PRODUCTIVIDAD HUMANA"/>
    <n v="-4897.43"/>
    <n v="0"/>
    <n v="0"/>
    <n v="0"/>
    <n v="-4897.43"/>
    <n v="0"/>
    <n v="-4897.43"/>
    <d v="2025-11-05T00:00:00"/>
    <d v="2025-11-05T00:00:00"/>
    <n v="-86"/>
    <s v="001"/>
    <s v="Paneltec"/>
    <x v="7"/>
    <s v="Anticipo por facturar"/>
    <n v="0"/>
    <n v="0"/>
    <n v="0"/>
    <n v="0"/>
    <n v="0"/>
    <n v="0"/>
  </r>
  <r>
    <s v="GRUPO DESARROLLADOR DE PARQUES INDUSTRIALES SOCIEDAD ANONIMA"/>
    <s v="NC"/>
    <s v="000  "/>
    <s v="AD00002279"/>
    <s v="PRODUCTIVIDAD HUMANA"/>
    <n v="-4435.96"/>
    <n v="0"/>
    <n v="0"/>
    <n v="-4435.96"/>
    <n v="0"/>
    <n v="0"/>
    <n v="-4435.96"/>
    <d v="2025-12-17T00:00:00"/>
    <d v="2025-12-17T00:00:00"/>
    <n v="-44"/>
    <s v="001"/>
    <s v="Paneltec"/>
    <x v="7"/>
    <s v="Anticipo por facturar"/>
    <n v="0"/>
    <n v="0"/>
    <n v="0"/>
    <n v="0"/>
    <n v="0"/>
    <n v="0"/>
  </r>
  <r>
    <s v="GRUPO DESARROLLADOR DE PARQUES INDUSTRIALES SOCIEDAD ANONIMA"/>
    <s v="NC"/>
    <s v="000  "/>
    <s v="AD00002281"/>
    <s v="PRODUCTIVIDAD HUMANA"/>
    <n v="-4435.96"/>
    <n v="0"/>
    <n v="0"/>
    <n v="-4435.96"/>
    <n v="0"/>
    <n v="0"/>
    <n v="-4435.96"/>
    <d v="2025-12-29T00:00:00"/>
    <d v="2025-12-29T00:00:00"/>
    <n v="-32"/>
    <s v="001"/>
    <s v="Paneltec"/>
    <x v="7"/>
    <s v="Anticipo por facturar"/>
    <n v="0"/>
    <n v="0"/>
    <n v="0"/>
    <n v="0"/>
    <n v="0"/>
    <n v="0"/>
  </r>
  <r>
    <s v="GRUPO ELECTROMECANICO INTER COOL SOCIEDAD ANONIMA"/>
    <s v="NC"/>
    <s v="005  "/>
    <s v="AD00002043"/>
    <s v="PRODUCTIVIDAD HUMANA"/>
    <n v="-235.04"/>
    <n v="0"/>
    <n v="0"/>
    <n v="0"/>
    <n v="0"/>
    <n v="-235.04"/>
    <n v="-235.04"/>
    <d v="2023-07-26T00:00:00"/>
    <d v="2023-07-26T00:00:00"/>
    <n v="-919"/>
    <s v="001"/>
    <s v="Paneltec"/>
    <x v="4"/>
    <s v="NC"/>
    <n v="0"/>
    <n v="0"/>
    <n v="0"/>
    <n v="0"/>
    <n v="0"/>
    <n v="0"/>
  </r>
  <r>
    <s v="GRUPO LEUMI G L SOCIEDAD ANONIMA"/>
    <s v="NC"/>
    <s v="0001 "/>
    <n v="9763"/>
    <s v="PRODUCTIVIDAD HUMANA"/>
    <n v="-2877.61"/>
    <n v="0"/>
    <n v="0"/>
    <n v="0"/>
    <n v="0"/>
    <n v="-2877.61"/>
    <n v="-2877.61"/>
    <d v="2024-04-30T00:00:00"/>
    <d v="2024-04-30T00:00:00"/>
    <n v="-640"/>
    <s v="004-001"/>
    <s v="Euromobilia"/>
    <x v="4"/>
    <s v="NC"/>
    <n v="0"/>
    <n v="0"/>
    <n v="0"/>
    <n v="0"/>
    <n v="0"/>
    <n v="0"/>
  </r>
  <r>
    <s v="H CINCO INDUSTRIAL SOCIEDAD ANONIMA"/>
    <s v="NC"/>
    <s v="111  "/>
    <s v="AD00002126"/>
    <s v="PRODUCTIVIDAD HUMANA"/>
    <n v="-1378.4201660000001"/>
    <n v="0"/>
    <n v="0"/>
    <n v="0"/>
    <n v="0"/>
    <n v="-1378.42"/>
    <n v="-1378.42"/>
    <d v="2024-05-29T00:00:00"/>
    <d v="2024-05-29T00:00:00"/>
    <n v="-611"/>
    <s v="001"/>
    <s v="Paneltec"/>
    <x v="7"/>
    <s v="Anticipo por facturar"/>
    <n v="0"/>
    <n v="0"/>
    <n v="0"/>
    <n v="0"/>
    <n v="0"/>
    <n v="0"/>
  </r>
  <r>
    <s v="I M C INTERAMERICANA MEDIOS DE COMUNICACION SOCIEDAD ANONIMA"/>
    <s v="FA"/>
    <s v="OF111"/>
    <n v="2100027473"/>
    <s v="PRODUCTIVIDAD HUMANA"/>
    <n v="71623.13"/>
    <n v="0"/>
    <n v="0"/>
    <n v="0"/>
    <n v="0"/>
    <n v="71623.13"/>
    <n v="71623.13"/>
    <d v="2025-06-25T00:00:00"/>
    <d v="2025-07-25T00:00:00"/>
    <n v="-189"/>
    <s v="004-001"/>
    <s v="Euromobilia"/>
    <x v="8"/>
    <s v="Arreglo de pago"/>
    <n v="0"/>
    <n v="0"/>
    <n v="0"/>
    <n v="23779.1"/>
    <n v="0"/>
    <n v="0"/>
  </r>
  <r>
    <s v="Importaciones industriales MASACA SA"/>
    <s v="NC"/>
    <s v="000  "/>
    <s v="AD00026268"/>
    <s v="PRODUCTIVIDAD HUMANA"/>
    <n v="-117"/>
    <n v="0"/>
    <n v="0"/>
    <n v="0"/>
    <n v="0"/>
    <n v="-117"/>
    <n v="-117"/>
    <d v="2025-10-21T00:00:00"/>
    <d v="2025-10-21T00:00:00"/>
    <n v="-101"/>
    <s v="004-001"/>
    <s v="Euromobilia"/>
    <x v="7"/>
    <s v="Anticipo por facturar"/>
    <n v="0"/>
    <n v="0"/>
    <n v="0"/>
    <n v="0"/>
    <n v="0"/>
    <n v="0"/>
  </r>
  <r>
    <s v="Importadora la meseta imlane SA"/>
    <s v="NC"/>
    <s v="0001 "/>
    <n v="3693"/>
    <s v="PRODUCTIVIDAD HUMANA"/>
    <n v="-199.63"/>
    <n v="0"/>
    <n v="0"/>
    <n v="0"/>
    <n v="0"/>
    <n v="-199.63"/>
    <n v="-199.63"/>
    <d v="2023-09-04T00:00:00"/>
    <d v="2023-09-04T00:00:00"/>
    <n v="-879"/>
    <s v="004-001"/>
    <s v="Euromobilia"/>
    <x v="4"/>
    <s v="NC"/>
    <n v="0"/>
    <n v="0"/>
    <n v="0"/>
    <n v="0"/>
    <n v="0"/>
    <n v="0"/>
  </r>
  <r>
    <s v="IMPROSA CENTRO DE SERVICIOS COMPARTIDOS ICSC S.A"/>
    <s v="FA"/>
    <s v="OF057"/>
    <n v="2100025566"/>
    <s v="PRODUCTIVIDAD HUMANA"/>
    <n v="1130.47"/>
    <n v="0"/>
    <n v="0"/>
    <n v="0"/>
    <n v="0"/>
    <n v="1130.47"/>
    <n v="1130.47"/>
    <d v="2024-09-03T00:00:00"/>
    <d v="2024-10-03T00:00:00"/>
    <n v="-484"/>
    <s v="004-001"/>
    <s v="Euromobilia"/>
    <x v="6"/>
    <s v="Caso especial"/>
    <n v="0"/>
    <n v="0"/>
    <n v="0"/>
    <n v="0"/>
    <n v="0"/>
    <n v="0"/>
  </r>
  <r>
    <s v="IMPROSA SERVICIOS INTERNACIONALES SOCIEDAD ANONIMA"/>
    <s v="FA"/>
    <s v="0001 "/>
    <n v="6886"/>
    <s v="PRODUCTIVIDAD HUMANA"/>
    <n v="82715.7"/>
    <n v="0"/>
    <n v="0"/>
    <n v="0"/>
    <n v="0"/>
    <n v="82715.7"/>
    <n v="82715.7"/>
    <d v="2024-01-31T00:00:00"/>
    <d v="2024-01-31T00:00:00"/>
    <n v="-730"/>
    <s v="004-001"/>
    <s v="Euromobilia"/>
    <x v="6"/>
    <s v="Caso especial"/>
    <n v="0"/>
    <n v="0"/>
    <n v="0"/>
    <n v="0"/>
    <n v="0"/>
    <n v="0"/>
  </r>
  <r>
    <s v="IMS CONSTRUCCIONES SOCIEDAD ANONIMA"/>
    <s v="NC"/>
    <s v="OF111"/>
    <s v="AD00026291"/>
    <s v="PRODUCTIVIDAD HUMANA"/>
    <n v="-4921.26"/>
    <n v="0"/>
    <n v="0"/>
    <n v="0"/>
    <n v="-4921.26"/>
    <n v="0"/>
    <n v="-4921.26"/>
    <d v="2025-11-05T00:00:00"/>
    <d v="2025-11-05T00:00:00"/>
    <n v="-86"/>
    <s v="004-001"/>
    <s v="Euromobilia"/>
    <x v="7"/>
    <s v="Anticipo por facturar"/>
    <n v="0"/>
    <n v="0"/>
    <n v="0"/>
    <n v="0"/>
    <n v="0"/>
    <n v="0"/>
  </r>
  <r>
    <s v="IMS CONSTRUCCIONES SOCIEDAD ANONIMA"/>
    <s v="NC"/>
    <s v="OF111"/>
    <s v="AD00026240"/>
    <s v="PRODUCTIVIDAD HUMANA"/>
    <n v="-3944.77"/>
    <n v="0"/>
    <n v="0"/>
    <n v="0"/>
    <n v="0"/>
    <n v="-3944.77"/>
    <n v="-3944.77"/>
    <d v="2025-10-21T00:00:00"/>
    <d v="2025-10-21T00:00:00"/>
    <n v="-101"/>
    <s v="004-001"/>
    <s v="Euromobilia"/>
    <x v="7"/>
    <s v="Anticipo por facturar"/>
    <n v="0"/>
    <n v="0"/>
    <n v="0"/>
    <n v="0"/>
    <n v="0"/>
    <n v="0"/>
  </r>
  <r>
    <s v="INDIRA SOLANO VINDAS"/>
    <s v="NC"/>
    <s v="000  "/>
    <s v="AD00024685"/>
    <s v="PRODUCTIVIDAD HUMANA"/>
    <n v="-19.48"/>
    <n v="0"/>
    <n v="0"/>
    <n v="0"/>
    <n v="0"/>
    <n v="-19.48"/>
    <n v="-19.48"/>
    <d v="2024-08-07T00:00:00"/>
    <d v="2024-08-07T00:00:00"/>
    <n v="-541"/>
    <s v="004-001"/>
    <s v="Euromobilia"/>
    <x v="4"/>
    <s v="NC"/>
    <n v="0"/>
    <n v="0"/>
    <n v="0"/>
    <n v="0"/>
    <n v="0"/>
    <n v="0"/>
  </r>
  <r>
    <s v="INDIRA SOLANO VINDAS"/>
    <s v="FA"/>
    <s v="OF030"/>
    <n v="2100026956"/>
    <s v="PRODUCTIVIDAD HUMANA"/>
    <n v="3191.12"/>
    <n v="0"/>
    <n v="0"/>
    <n v="0"/>
    <n v="0"/>
    <n v="3191.12"/>
    <n v="3191.12"/>
    <d v="2025-03-27T00:00:00"/>
    <d v="2025-04-01T00:00:00"/>
    <n v="-304"/>
    <s v="004-001"/>
    <s v="Euromobilia"/>
    <x v="6"/>
    <s v="Caso especial"/>
    <n v="0"/>
    <n v="0"/>
    <n v="0"/>
    <n v="0"/>
    <n v="0"/>
    <n v="0"/>
  </r>
  <r>
    <s v="INDUSTRIAS PANORAMA SOCIEDAD ANONIMA"/>
    <s v="FA"/>
    <s v="0001 "/>
    <n v="1491"/>
    <s v="PRODUCTIVIDAD HUMANA"/>
    <n v="2588.11"/>
    <n v="0"/>
    <n v="0"/>
    <n v="0"/>
    <n v="0"/>
    <n v="2588.11"/>
    <n v="2588.11"/>
    <d v="2021-03-19T00:00:00"/>
    <d v="2021-03-19T00:00:00"/>
    <n v="-1778"/>
    <s v="004-001"/>
    <s v="Euromobilia"/>
    <x v="6"/>
    <s v="Caso especial"/>
    <n v="0"/>
    <n v="0"/>
    <n v="0"/>
    <n v="0"/>
    <n v="0"/>
    <n v="0"/>
  </r>
  <r>
    <s v="INMOBILIARIA ALDEBARAN SOCIEDAD ANONIMA"/>
    <s v="NC"/>
    <s v="111  "/>
    <s v="AD00001924"/>
    <s v="PRODUCTIVIDAD HUMANA"/>
    <n v="-406.8"/>
    <n v="0"/>
    <n v="0"/>
    <n v="0"/>
    <n v="0"/>
    <n v="-406.8"/>
    <n v="-406.8"/>
    <d v="2022-10-18T00:00:00"/>
    <d v="2022-10-18T00:00:00"/>
    <n v="-1200"/>
    <s v="002"/>
    <s v="Paneltec"/>
    <x v="4"/>
    <s v="NC"/>
    <n v="0"/>
    <n v="0"/>
    <n v="0"/>
    <n v="0"/>
    <n v="0"/>
    <n v="0"/>
  </r>
  <r>
    <s v="INMOBILIARIA PLAZOLETA DEL TIEMPO PDT, S.A                                 "/>
    <s v="NC"/>
    <s v="044  "/>
    <n v="879"/>
    <s v="PRODUCTIVIDAD HUMANA"/>
    <n v="-855.84"/>
    <n v="0"/>
    <n v="0"/>
    <n v="0"/>
    <n v="0"/>
    <n v="-855.84"/>
    <n v="-855.84"/>
    <d v="2016-07-29T00:00:00"/>
    <d v="2016-08-13T00:00:00"/>
    <n v="-3457"/>
    <s v="001"/>
    <s v="Paneltec"/>
    <x v="4"/>
    <s v="NC"/>
    <n v="0"/>
    <n v="0"/>
    <n v="0"/>
    <n v="0"/>
    <n v="0"/>
    <n v="0"/>
  </r>
  <r>
    <s v="INSTITUTO COSTARRICENSE DE PUERTOS DEL PACIFICO"/>
    <s v="NC"/>
    <s v="OF103"/>
    <n v="56314"/>
    <s v="PRODUCTIVIDAD HUMANA"/>
    <n v="-103.440229"/>
    <n v="0"/>
    <n v="0"/>
    <n v="0"/>
    <n v="0"/>
    <n v="-103.44"/>
    <n v="-103.44"/>
    <d v="2025-09-16T00:00:00"/>
    <d v="2025-09-16T00:00:00"/>
    <n v="-136"/>
    <s v="004-001"/>
    <s v="Euromobilia"/>
    <x v="4"/>
    <s v="NC"/>
    <n v="0"/>
    <n v="0"/>
    <n v="0"/>
    <n v="0"/>
    <n v="0"/>
    <n v="0"/>
  </r>
  <r>
    <s v="INSTITUTO COSTARRICENSE DEL DEPORTE Y LA RECREACIO"/>
    <s v="NC"/>
    <s v="0001 "/>
    <n v="5572"/>
    <s v="PRODUCTIVIDAD HUMANA"/>
    <n v="-110.92"/>
    <n v="0"/>
    <n v="0"/>
    <n v="0"/>
    <n v="0"/>
    <n v="-110.92"/>
    <n v="-110.92"/>
    <d v="2023-12-22T00:00:00"/>
    <d v="2023-12-22T00:00:00"/>
    <n v="-770"/>
    <s v="004-001"/>
    <s v="Euromobilia"/>
    <x v="4"/>
    <s v="NC"/>
    <n v="0"/>
    <n v="0"/>
    <n v="0"/>
    <n v="0"/>
    <n v="0"/>
    <n v="0"/>
  </r>
  <r>
    <s v="INSTITUTO NACIONAL DE SEGUROS"/>
    <s v="NC"/>
    <s v="0001 "/>
    <n v="8768"/>
    <s v="PRODUCTIVIDAD HUMANA"/>
    <n v="-670.64"/>
    <n v="0"/>
    <n v="0"/>
    <n v="0"/>
    <n v="0"/>
    <n v="-670.64"/>
    <n v="-670.64"/>
    <d v="2024-03-19T00:00:00"/>
    <d v="2024-03-19T00:00:00"/>
    <n v="-682"/>
    <s v="004-001"/>
    <s v="Euromobilia"/>
    <x v="4"/>
    <s v="NC"/>
    <n v="0"/>
    <n v="0"/>
    <n v="0"/>
    <n v="0"/>
    <n v="0"/>
    <n v="0"/>
  </r>
  <r>
    <s v="INSTITUTO NACIONAL DE SEGUROS"/>
    <s v="FA"/>
    <s v="OF111"/>
    <n v="2100028371"/>
    <s v="PRODUCTIVIDAD HUMANA"/>
    <n v="101.91"/>
    <n v="0"/>
    <n v="0"/>
    <n v="101.91"/>
    <n v="0"/>
    <n v="0"/>
    <n v="101.91"/>
    <d v="2025-11-06T00:00:00"/>
    <d v="2025-12-06T00:00:00"/>
    <n v="-55"/>
    <s v="004-001"/>
    <s v="Euromobilia"/>
    <x v="5"/>
    <s v="Aplicar"/>
    <n v="0"/>
    <n v="0"/>
    <n v="0"/>
    <n v="0"/>
    <n v="0"/>
    <n v="0"/>
  </r>
  <r>
    <s v="INSTITUTO NACIONAL DE SEGUROS"/>
    <s v="NC"/>
    <s v="000  "/>
    <n v="4912"/>
    <s v="PRODUCTIVIDAD HUMANA"/>
    <n v="-101.91"/>
    <n v="0"/>
    <n v="0"/>
    <n v="-101.91"/>
    <n v="0"/>
    <n v="0"/>
    <n v="-101.91"/>
    <d v="2025-12-04T00:00:00"/>
    <d v="2025-12-04T00:00:00"/>
    <n v="-57"/>
    <s v="004-001"/>
    <s v="Euromobilia"/>
    <x v="4"/>
    <s v="NC"/>
    <n v="0"/>
    <n v="0"/>
    <n v="0"/>
    <n v="0"/>
    <n v="0"/>
    <n v="0"/>
  </r>
  <r>
    <s v="INTERACTIVE LIGHTNING SOCIEDAD ANONIMA"/>
    <s v="FA"/>
    <s v="111  "/>
    <n v="70929"/>
    <s v="PRODUCTIVIDAD HUMANA"/>
    <n v="2299.42"/>
    <n v="0"/>
    <n v="0"/>
    <n v="0"/>
    <n v="0"/>
    <n v="2299.42"/>
    <n v="2299.42"/>
    <d v="2025-05-15T00:00:00"/>
    <d v="2025-05-30T00:00:00"/>
    <n v="-245"/>
    <s v="001"/>
    <s v="Paneltec"/>
    <x v="1"/>
    <d v="2026-03-01T00:00:00"/>
    <n v="0"/>
    <n v="2299.42"/>
    <n v="0"/>
    <n v="0"/>
    <n v="0"/>
    <n v="0"/>
  </r>
  <r>
    <s v="INTERRA SOCIEDAD ANONIMA"/>
    <s v="NC"/>
    <s v="065  "/>
    <s v="AD00001535"/>
    <s v="PRODUCTIVIDAD HUMANA"/>
    <n v="-480.61"/>
    <n v="0"/>
    <n v="0"/>
    <n v="0"/>
    <n v="0"/>
    <n v="-480.61"/>
    <n v="-480.61"/>
    <d v="2019-07-11T00:00:00"/>
    <d v="2019-07-11T00:00:00"/>
    <n v="-2395"/>
    <s v="001"/>
    <s v="Paneltec"/>
    <x v="4"/>
    <s v="NC"/>
    <n v="0"/>
    <n v="0"/>
    <n v="0"/>
    <n v="0"/>
    <n v="0"/>
    <n v="0"/>
  </r>
  <r>
    <s v="INTERSTUHL LATAM S.A DE C.V"/>
    <s v="NC"/>
    <s v="000  "/>
    <s v="AD00002166"/>
    <s v="PRODUCTIVIDAD HUMANA"/>
    <n v="-477.94"/>
    <n v="0"/>
    <n v="0"/>
    <n v="0"/>
    <n v="0"/>
    <n v="-477.94"/>
    <n v="-477.94"/>
    <d v="2024-09-13T00:00:00"/>
    <d v="2024-09-13T00:00:00"/>
    <n v="-504"/>
    <s v="001"/>
    <s v="Paneltec"/>
    <x v="4"/>
    <s v="NC"/>
    <n v="0"/>
    <n v="0"/>
    <n v="0"/>
    <n v="0"/>
    <n v="0"/>
    <n v="0"/>
  </r>
  <r>
    <s v="INVERSIONES HOTELERAS CH DE ALAJUELA S.A."/>
    <s v="FA"/>
    <s v="0001 "/>
    <n v="1645"/>
    <s v="PRODUCTIVIDAD HUMANA"/>
    <n v="6860"/>
    <n v="0"/>
    <n v="0"/>
    <n v="0"/>
    <n v="0"/>
    <n v="6860"/>
    <n v="6860"/>
    <d v="2022-07-12T00:00:00"/>
    <d v="2022-07-12T00:00:00"/>
    <n v="-1298"/>
    <s v="004-001"/>
    <s v="Euromobilia"/>
    <x v="6"/>
    <s v="Caso especial"/>
    <n v="0"/>
    <n v="0"/>
    <n v="0"/>
    <n v="0"/>
    <n v="0"/>
    <n v="0"/>
  </r>
  <r>
    <s v="INVERSIONES HOTELERAS CH DE ALAJUELA S.A."/>
    <s v="FA"/>
    <s v="0001 "/>
    <n v="1621"/>
    <s v="PRODUCTIVIDAD HUMANA"/>
    <n v="1373.85"/>
    <n v="0"/>
    <n v="0"/>
    <n v="0"/>
    <n v="0"/>
    <n v="1373.85"/>
    <n v="1373.85"/>
    <d v="2022-03-16T00:00:00"/>
    <d v="2022-03-16T00:00:00"/>
    <n v="-1416"/>
    <s v="004-001"/>
    <s v="Euromobilia"/>
    <x v="6"/>
    <s v="Caso especial"/>
    <n v="0"/>
    <n v="0"/>
    <n v="0"/>
    <n v="0"/>
    <n v="0"/>
    <n v="0"/>
  </r>
  <r>
    <s v="JAVIER EDUARDO ROMERO ARMAS"/>
    <s v="NC"/>
    <s v="85   "/>
    <s v="AD00001968"/>
    <s v="PRODUCTIVIDAD HUMANA"/>
    <n v="-193.23"/>
    <n v="0"/>
    <n v="0"/>
    <n v="0"/>
    <n v="0"/>
    <n v="-193.23"/>
    <n v="-193.23"/>
    <d v="2023-01-12T00:00:00"/>
    <d v="2023-01-12T00:00:00"/>
    <n v="-1114"/>
    <s v="002"/>
    <s v="Paneltec"/>
    <x v="4"/>
    <s v="NC"/>
    <n v="0"/>
    <n v="0"/>
    <n v="0"/>
    <n v="0"/>
    <n v="0"/>
    <n v="0"/>
  </r>
  <r>
    <s v="JAVIER POLANCO"/>
    <s v="NC"/>
    <s v="005  "/>
    <s v="AD00001946"/>
    <s v="PRODUCTIVIDAD HUMANA"/>
    <n v="-293.8"/>
    <n v="0"/>
    <n v="0"/>
    <n v="0"/>
    <n v="0"/>
    <n v="-293.8"/>
    <n v="-293.8"/>
    <d v="2022-11-25T00:00:00"/>
    <d v="2022-11-25T00:00:00"/>
    <n v="-1162"/>
    <s v="002"/>
    <s v="Paneltec"/>
    <x v="4"/>
    <s v="NC"/>
    <n v="0"/>
    <n v="0"/>
    <n v="0"/>
    <n v="0"/>
    <n v="0"/>
    <n v="0"/>
  </r>
  <r>
    <s v="JONES LANG LASALLE LIMITADA"/>
    <s v="FA"/>
    <s v="0001 "/>
    <n v="5859"/>
    <s v="PRODUCTIVIDAD HUMANA"/>
    <n v="262.27999999999997"/>
    <n v="0"/>
    <n v="0"/>
    <n v="0"/>
    <n v="0"/>
    <n v="262.27999999999997"/>
    <n v="262.27999999999997"/>
    <d v="2023-12-29T00:00:00"/>
    <d v="2024-01-28T00:00:00"/>
    <n v="-733"/>
    <s v="004-001"/>
    <s v="Euromobilia"/>
    <x v="6"/>
    <s v="Caso especial"/>
    <n v="0"/>
    <n v="0"/>
    <n v="0"/>
    <n v="0"/>
    <n v="0"/>
    <n v="0"/>
  </r>
  <r>
    <s v="JUNTA ADMINISTRATIVA DEL ARCHIVO NACIONAL"/>
    <s v="FA"/>
    <s v="OF111"/>
    <n v="2100028320"/>
    <s v="PRODUCTIVIDAD HUMANA"/>
    <n v="30"/>
    <n v="0"/>
    <n v="0"/>
    <n v="0"/>
    <n v="30"/>
    <n v="0"/>
    <n v="30"/>
    <d v="2025-10-30T00:00:00"/>
    <d v="2025-11-29T00:00:00"/>
    <n v="-62"/>
    <s v="004-001"/>
    <s v="Euromobilia"/>
    <x v="5"/>
    <s v="Aplicar"/>
    <n v="0"/>
    <n v="0"/>
    <n v="0"/>
    <n v="0"/>
    <n v="0"/>
    <n v="0"/>
  </r>
  <r>
    <s v="LATAM LOGISTIC CR OPCO S.R.L"/>
    <s v="NC"/>
    <s v="0001 "/>
    <n v="753"/>
    <s v="PRODUCTIVIDAD HUMANA"/>
    <n v="-120.91"/>
    <n v="0"/>
    <n v="0"/>
    <n v="0"/>
    <n v="0"/>
    <n v="-120.91"/>
    <n v="-120.91"/>
    <d v="2023-08-22T00:00:00"/>
    <d v="2023-08-22T00:00:00"/>
    <n v="-892"/>
    <s v="004-001"/>
    <s v="Euromobilia"/>
    <x v="4"/>
    <s v="NC"/>
    <n v="0"/>
    <n v="0"/>
    <n v="0"/>
    <n v="0"/>
    <n v="0"/>
    <n v="0"/>
  </r>
  <r>
    <s v="LOS ARALLANES S.A."/>
    <s v="NC"/>
    <s v="65   "/>
    <s v="AD00001361"/>
    <s v="PRODUCTIVIDAD HUMANA"/>
    <n v="-475.29"/>
    <n v="0"/>
    <n v="0"/>
    <n v="0"/>
    <n v="0"/>
    <n v="-475.29"/>
    <n v="-475.29"/>
    <d v="2018-07-31T00:00:00"/>
    <d v="2018-07-31T00:00:00"/>
    <n v="-2740"/>
    <s v="001"/>
    <s v="Paneltec"/>
    <x v="4"/>
    <s v="NC"/>
    <n v="0"/>
    <n v="0"/>
    <n v="0"/>
    <n v="0"/>
    <n v="0"/>
    <n v="0"/>
  </r>
  <r>
    <s v="LOS ARALLANES SOCIEDAD ANONIMA"/>
    <s v="NC"/>
    <s v="0001 "/>
    <n v="447"/>
    <s v="PRODUCTIVIDAD HUMANA"/>
    <n v="-9318.7199999999993"/>
    <n v="0"/>
    <n v="0"/>
    <n v="0"/>
    <n v="0"/>
    <n v="-9318.7199999999993"/>
    <n v="-9318.7199999999993"/>
    <d v="2022-12-13T00:00:00"/>
    <d v="2022-12-13T00:00:00"/>
    <n v="-1144"/>
    <s v="004-001"/>
    <s v="Euromobilia"/>
    <x v="4"/>
    <s v="NC"/>
    <n v="0"/>
    <n v="0"/>
    <n v="0"/>
    <n v="0"/>
    <n v="0"/>
    <n v="0"/>
  </r>
  <r>
    <s v="LUMEN ILUMINACION SOCIEDAD ANONIMA"/>
    <s v="NC"/>
    <s v="0001 "/>
    <n v="714"/>
    <s v="PRODUCTIVIDAD HUMANA"/>
    <n v="-1852.33"/>
    <n v="0"/>
    <n v="0"/>
    <n v="0"/>
    <n v="0"/>
    <n v="-1852.33"/>
    <n v="-1852.33"/>
    <d v="2023-08-08T00:00:00"/>
    <d v="2023-08-08T00:00:00"/>
    <n v="-906"/>
    <s v="004-001"/>
    <s v="Euromobilia"/>
    <x v="4"/>
    <s v="NC"/>
    <n v="0"/>
    <n v="0"/>
    <n v="0"/>
    <n v="0"/>
    <n v="0"/>
    <n v="0"/>
  </r>
  <r>
    <s v="LUMEN ILUMINACION SOCIEDAD ANONIMA"/>
    <s v="NC"/>
    <s v="0001 "/>
    <n v="722"/>
    <s v="PRODUCTIVIDAD HUMANA"/>
    <n v="-1080.52"/>
    <n v="0"/>
    <n v="0"/>
    <n v="0"/>
    <n v="0"/>
    <n v="-1080.52"/>
    <n v="-1080.52"/>
    <d v="2023-08-11T00:00:00"/>
    <d v="2023-08-11T00:00:00"/>
    <n v="-903"/>
    <s v="004-001"/>
    <s v="Euromobilia"/>
    <x v="4"/>
    <s v="NC"/>
    <n v="0"/>
    <n v="0"/>
    <n v="0"/>
    <n v="0"/>
    <n v="0"/>
    <n v="0"/>
  </r>
  <r>
    <s v="LUX SOLUTIONS LIMITADA"/>
    <s v="NC"/>
    <s v="OF057"/>
    <s v="AD00025854"/>
    <s v="PRODUCTIVIDAD HUMANA"/>
    <n v="-265"/>
    <n v="0"/>
    <n v="0"/>
    <n v="0"/>
    <n v="0"/>
    <n v="-265"/>
    <n v="-265"/>
    <d v="2025-07-04T00:00:00"/>
    <d v="2025-07-04T00:00:00"/>
    <n v="-210"/>
    <s v="004-001"/>
    <s v="Euromobilia"/>
    <x v="4"/>
    <s v="NC"/>
    <n v="0"/>
    <n v="0"/>
    <n v="0"/>
    <n v="0"/>
    <n v="0"/>
    <n v="0"/>
  </r>
  <r>
    <s v="LUX SOLUTIONS LIMITADA"/>
    <s v="NC"/>
    <s v="OF057"/>
    <s v="AD00026360"/>
    <s v="PRODUCTIVIDAD HUMANA"/>
    <n v="-427.14"/>
    <n v="0"/>
    <n v="0"/>
    <n v="0"/>
    <n v="-427.14"/>
    <n v="0"/>
    <n v="-427.14"/>
    <d v="2025-11-28T00:00:00"/>
    <d v="2025-11-28T00:00:00"/>
    <n v="-63"/>
    <s v="004-001"/>
    <s v="Euromobilia"/>
    <x v="7"/>
    <s v="Anticipo por facturar"/>
    <n v="0"/>
    <n v="0"/>
    <n v="0"/>
    <n v="0"/>
    <n v="0"/>
    <n v="0"/>
  </r>
  <r>
    <s v="MANUEL ANTONIO SERRANO GARCIA"/>
    <s v="NC"/>
    <s v="OF111"/>
    <s v="AD00026073"/>
    <s v="PRODUCTIVIDAD HUMANA"/>
    <n v="-50"/>
    <n v="0"/>
    <n v="0"/>
    <n v="0"/>
    <n v="0"/>
    <n v="-50"/>
    <n v="-50"/>
    <d v="2025-08-29T00:00:00"/>
    <d v="2025-08-29T00:00:00"/>
    <n v="-154"/>
    <s v="004-001"/>
    <s v="Euromobilia"/>
    <x v="4"/>
    <s v="NC"/>
    <n v="0"/>
    <n v="0"/>
    <n v="0"/>
    <n v="0"/>
    <n v="0"/>
    <n v="0"/>
  </r>
  <r>
    <s v="MARCOS PATTERSON ULLOA"/>
    <s v="NC"/>
    <s v="0001 "/>
    <n v="4108"/>
    <s v="PRODUCTIVIDAD HUMANA"/>
    <n v="-399"/>
    <n v="0"/>
    <n v="0"/>
    <n v="0"/>
    <n v="0"/>
    <n v="-399"/>
    <n v="-399"/>
    <d v="2023-10-02T00:00:00"/>
    <d v="2023-10-02T00:00:00"/>
    <n v="-851"/>
    <s v="004-001"/>
    <s v="Euromobilia"/>
    <x v="4"/>
    <s v="NC"/>
    <n v="0"/>
    <n v="0"/>
    <n v="0"/>
    <n v="0"/>
    <n v="0"/>
    <n v="0"/>
  </r>
  <r>
    <s v="MARSH ASPROSE CORREDORA DE SEGUROS SOCIEDAD ANONIMA"/>
    <s v="FA"/>
    <s v="OF030"/>
    <n v="2100028494"/>
    <s v="PRODUCTIVIDAD HUMANA"/>
    <n v="35"/>
    <n v="0"/>
    <n v="35"/>
    <n v="0"/>
    <n v="0"/>
    <n v="0"/>
    <n v="35"/>
    <d v="2025-12-02T00:00:00"/>
    <d v="2026-01-16T00:00:00"/>
    <n v="-14"/>
    <s v="004-001"/>
    <s v="Euromobilia"/>
    <x v="5"/>
    <s v="Aplicar"/>
    <n v="0"/>
    <n v="0"/>
    <n v="0"/>
    <n v="0"/>
    <n v="0"/>
    <n v="0"/>
  </r>
  <r>
    <s v="MARSH ASPROSE CORREDORA DE SEGUROS SOCIEDAD ANONIMA"/>
    <s v="FA"/>
    <s v="OF030"/>
    <n v="2100028244"/>
    <s v="PRODUCTIVIDAD HUMANA"/>
    <n v="35"/>
    <n v="0"/>
    <n v="0"/>
    <n v="0"/>
    <n v="35"/>
    <n v="0"/>
    <n v="35"/>
    <d v="2025-10-14T00:00:00"/>
    <d v="2025-11-13T00:00:00"/>
    <n v="-78"/>
    <s v="004-001"/>
    <s v="Euromobilia"/>
    <x v="5"/>
    <s v="Aplicar"/>
    <n v="0"/>
    <n v="0"/>
    <n v="0"/>
    <n v="0"/>
    <n v="0"/>
    <n v="0"/>
  </r>
  <r>
    <s v="MARSH ASPROSE CORREDORA DE SEGUROS SOCIEDAD ANONIMA"/>
    <s v="FA"/>
    <s v="OF030"/>
    <n v="2100028399"/>
    <s v="PRODUCTIVIDAD HUMANA"/>
    <n v="35"/>
    <n v="0"/>
    <n v="0"/>
    <n v="35"/>
    <n v="0"/>
    <n v="0"/>
    <n v="35"/>
    <d v="2025-11-14T00:00:00"/>
    <d v="2025-12-14T00:00:00"/>
    <n v="-47"/>
    <s v="004-001"/>
    <s v="Euromobilia"/>
    <x v="5"/>
    <s v="Aplicar"/>
    <n v="0"/>
    <n v="0"/>
    <n v="0"/>
    <n v="0"/>
    <n v="0"/>
    <n v="0"/>
  </r>
  <r>
    <s v="MAURICIO AMADOR ALMANZA"/>
    <s v="NC"/>
    <s v="0001 "/>
    <n v="10287"/>
    <s v="PRODUCTIVIDAD HUMANA"/>
    <n v="-74.422639000000004"/>
    <n v="0"/>
    <n v="0"/>
    <n v="0"/>
    <n v="0"/>
    <n v="-74.42"/>
    <n v="-74.42"/>
    <d v="2024-05-14T00:00:00"/>
    <d v="2024-05-14T00:00:00"/>
    <n v="-626"/>
    <s v="004-001"/>
    <s v="Euromobilia"/>
    <x v="4"/>
    <s v="NC"/>
    <n v="0"/>
    <n v="0"/>
    <n v="0"/>
    <n v="0"/>
    <n v="0"/>
    <n v="0"/>
  </r>
  <r>
    <s v="MAURICIO SANCHEZ"/>
    <s v="FA"/>
    <s v="0001 "/>
    <n v="5784"/>
    <s v="PRODUCTIVIDAD HUMANA"/>
    <n v="4972"/>
    <n v="0"/>
    <n v="0"/>
    <n v="0"/>
    <n v="0"/>
    <n v="4972"/>
    <n v="4972"/>
    <d v="2023-12-29T00:00:00"/>
    <d v="2024-01-28T00:00:00"/>
    <n v="-733"/>
    <s v="004-001"/>
    <s v="Euromobilia"/>
    <x v="6"/>
    <s v="Caso especial"/>
    <n v="0"/>
    <n v="0"/>
    <n v="0"/>
    <n v="0"/>
    <n v="0"/>
    <n v="0"/>
  </r>
  <r>
    <s v="Mederi Limitada"/>
    <s v="NC"/>
    <s v="000  "/>
    <s v="AD00025822"/>
    <s v="PRODUCTIVIDAD HUMANA"/>
    <n v="-375"/>
    <n v="0"/>
    <n v="0"/>
    <n v="0"/>
    <n v="0"/>
    <n v="-375"/>
    <n v="-375"/>
    <d v="2025-06-27T00:00:00"/>
    <d v="2025-06-27T00:00:00"/>
    <n v="-217"/>
    <s v="004-001"/>
    <s v="Euromobilia"/>
    <x v="5"/>
    <s v="Aplicar"/>
    <n v="0"/>
    <n v="0"/>
    <n v="0"/>
    <n v="0"/>
    <n v="0"/>
    <n v="0"/>
  </r>
  <r>
    <s v="MICROVENTION COSTA RICA SRL"/>
    <s v="FA"/>
    <s v="0001 "/>
    <n v="6960"/>
    <s v="PRODUCTIVIDAD HUMANA"/>
    <n v="1286.5"/>
    <n v="0"/>
    <n v="0"/>
    <n v="0"/>
    <n v="0"/>
    <n v="1286.5"/>
    <n v="1286.5"/>
    <d v="2024-01-31T00:00:00"/>
    <d v="2024-03-01T00:00:00"/>
    <n v="-700"/>
    <s v="004-001"/>
    <s v="Euromobilia"/>
    <x v="6"/>
    <s v="Caso especial"/>
    <n v="0"/>
    <n v="0"/>
    <n v="0"/>
    <n v="0"/>
    <n v="0"/>
    <n v="0"/>
  </r>
  <r>
    <s v="MICROVENTION COSTA RICA SRL"/>
    <s v="FA"/>
    <s v="0001 "/>
    <n v="6974"/>
    <s v="PRODUCTIVIDAD HUMANA"/>
    <n v="880"/>
    <n v="0"/>
    <n v="0"/>
    <n v="0"/>
    <n v="0"/>
    <n v="880"/>
    <n v="880"/>
    <d v="2024-01-31T00:00:00"/>
    <d v="2024-03-01T00:00:00"/>
    <n v="-700"/>
    <s v="004-001"/>
    <s v="Euromobilia"/>
    <x v="6"/>
    <s v="Caso especial"/>
    <n v="0"/>
    <n v="0"/>
    <n v="0"/>
    <n v="0"/>
    <n v="0"/>
    <n v="0"/>
  </r>
  <r>
    <s v="MICROVENTION COSTA RICA SRL"/>
    <s v="FA"/>
    <s v="0001 "/>
    <n v="6013"/>
    <s v="PRODUCTIVIDAD HUMANA"/>
    <n v="465"/>
    <n v="0"/>
    <n v="0"/>
    <n v="0"/>
    <n v="0"/>
    <n v="465"/>
    <n v="465"/>
    <d v="2024-01-10T00:00:00"/>
    <d v="2024-02-09T00:00:00"/>
    <n v="-721"/>
    <s v="004-001"/>
    <s v="Euromobilia"/>
    <x v="6"/>
    <s v="Caso especial"/>
    <n v="0"/>
    <n v="0"/>
    <n v="0"/>
    <n v="0"/>
    <n v="0"/>
    <n v="0"/>
  </r>
  <r>
    <s v="MICROVENTION COSTA RICA SRL"/>
    <s v="FA"/>
    <s v="0001 "/>
    <n v="1935"/>
    <s v="PRODUCTIVIDAD HUMANA"/>
    <n v="122.64"/>
    <n v="0"/>
    <n v="0"/>
    <n v="0"/>
    <n v="0"/>
    <n v="122.64"/>
    <n v="122.64"/>
    <d v="2023-08-23T00:00:00"/>
    <d v="2023-08-23T00:00:00"/>
    <n v="-891"/>
    <s v="004-001"/>
    <s v="Euromobilia"/>
    <x v="6"/>
    <s v="Caso especial"/>
    <n v="0"/>
    <n v="0"/>
    <n v="0"/>
    <n v="0"/>
    <n v="0"/>
    <n v="0"/>
  </r>
  <r>
    <s v="MINISTERIO DE EDUCACION PUBLICA"/>
    <s v="FA"/>
    <s v="0001 "/>
    <n v="10400"/>
    <s v="PRODUCTIVIDAD HUMANA"/>
    <n v="523.44000000000005"/>
    <n v="0"/>
    <n v="0"/>
    <n v="0"/>
    <n v="0"/>
    <n v="523.44000000000005"/>
    <n v="523.44000000000005"/>
    <d v="2024-05-21T00:00:00"/>
    <d v="2024-06-20T00:00:00"/>
    <n v="-589"/>
    <s v="004-001"/>
    <s v="Euromobilia"/>
    <x v="6"/>
    <s v="Caso especial"/>
    <n v="0"/>
    <n v="0"/>
    <n v="0"/>
    <n v="0"/>
    <n v="0"/>
    <n v="0"/>
  </r>
  <r>
    <s v="MOBI OFFICE SA"/>
    <s v="NC"/>
    <s v="0001 "/>
    <n v="15"/>
    <s v="PRODUCTIVIDAD HUMANA"/>
    <n v="-39.967911000000001"/>
    <n v="0"/>
    <n v="0"/>
    <n v="0"/>
    <n v="0"/>
    <n v="-39.97"/>
    <n v="-39.97"/>
    <d v="2020-08-14T00:00:00"/>
    <d v="2020-08-14T00:00:00"/>
    <n v="-1995"/>
    <s v="004-001"/>
    <s v="Euromobilia"/>
    <x v="4"/>
    <s v="NC"/>
    <n v="0"/>
    <n v="0"/>
    <n v="0"/>
    <n v="0"/>
    <n v="0"/>
    <n v="0"/>
  </r>
  <r>
    <s v="MOTO PARTES RUTA SESENTA Y SEIS S.A"/>
    <s v="NC"/>
    <s v="0001 "/>
    <n v="6020"/>
    <s v="PRODUCTIVIDAD HUMANA"/>
    <n v="-18.13"/>
    <n v="0"/>
    <n v="0"/>
    <n v="0"/>
    <n v="0"/>
    <n v="-18.13"/>
    <n v="-18.13"/>
    <d v="2023-12-01T00:00:00"/>
    <d v="2023-12-01T00:00:00"/>
    <n v="-791"/>
    <s v="004-001"/>
    <s v="Euromobilia"/>
    <x v="4"/>
    <s v="NC"/>
    <n v="0"/>
    <n v="0"/>
    <n v="0"/>
    <n v="0"/>
    <n v="0"/>
    <n v="0"/>
  </r>
  <r>
    <s v="MULTI CLAMP SOCIEDAD ANONIMA"/>
    <s v="FA"/>
    <s v="23   "/>
    <n v="70844"/>
    <s v="PRODUCTIVIDAD HUMANA"/>
    <n v="559.20278399999995"/>
    <n v="0"/>
    <n v="0"/>
    <n v="0"/>
    <n v="0"/>
    <n v="559.20000000000005"/>
    <n v="559.20000000000005"/>
    <d v="2024-12-27T00:00:00"/>
    <d v="2025-01-11T00:00:00"/>
    <n v="-384"/>
    <s v="001"/>
    <s v="Paneltec"/>
    <x v="6"/>
    <s v="Caso especial"/>
    <n v="0"/>
    <n v="0"/>
    <n v="0"/>
    <n v="0"/>
    <n v="0"/>
    <n v="0"/>
  </r>
  <r>
    <s v="MUNICIPALIDAD DE ALAJUELA"/>
    <s v="NC"/>
    <s v="OF057"/>
    <s v="AD00025448"/>
    <s v="PRODUCTIVIDAD HUMANA"/>
    <n v="-13.86"/>
    <n v="0"/>
    <n v="0"/>
    <n v="0"/>
    <n v="0"/>
    <n v="-13.86"/>
    <n v="-13.86"/>
    <d v="2025-03-25T00:00:00"/>
    <d v="2025-03-25T00:00:00"/>
    <n v="-311"/>
    <s v="004-001"/>
    <s v="Euromobilia"/>
    <x v="4"/>
    <s v="NC"/>
    <n v="0"/>
    <n v="0"/>
    <n v="0"/>
    <n v="0"/>
    <n v="0"/>
    <n v="0"/>
  </r>
  <r>
    <s v="Municipalidad de Montes de Oca"/>
    <s v="FA"/>
    <s v="77   "/>
    <n v="71114"/>
    <s v="PRODUCTIVIDAD HUMANA"/>
    <n v="14839.870446999999"/>
    <n v="0"/>
    <n v="14839.87"/>
    <n v="0"/>
    <n v="0"/>
    <n v="0"/>
    <n v="14839.87"/>
    <d v="2025-12-15T00:00:00"/>
    <d v="2026-01-14T00:00:00"/>
    <n v="-16"/>
    <s v="001"/>
    <s v="Paneltec"/>
    <x v="1"/>
    <d v="2026-03-01T00:00:00"/>
    <n v="0"/>
    <n v="14839.87"/>
    <n v="0"/>
    <n v="0"/>
    <n v="0"/>
    <n v="0"/>
  </r>
  <r>
    <s v="MUNICIPALIDAD DE PALMARES"/>
    <s v="FA"/>
    <s v="OF111"/>
    <n v="2100028572"/>
    <s v="PRODUCTIVIDAD HUMANA"/>
    <n v="13496"/>
    <n v="0"/>
    <n v="13496"/>
    <n v="0"/>
    <n v="0"/>
    <n v="0"/>
    <n v="13496"/>
    <d v="2025-12-19T00:00:00"/>
    <d v="2026-01-18T00:00:00"/>
    <n v="-12"/>
    <s v="004-001"/>
    <s v="Euromobilia"/>
    <x v="1"/>
    <d v="2026-03-01T00:00:00"/>
    <n v="0"/>
    <n v="13496"/>
    <n v="0"/>
    <n v="0"/>
    <n v="0"/>
    <n v="0"/>
  </r>
  <r>
    <s v="NELSY LINETH DE LOS ANGELES SANABRIA OROZCO"/>
    <s v="NC"/>
    <s v="89   "/>
    <s v="AD00002153"/>
    <s v="PRODUCTIVIDAD HUMANA"/>
    <n v="-5000"/>
    <n v="0"/>
    <n v="0"/>
    <n v="0"/>
    <n v="0"/>
    <n v="-5000"/>
    <n v="-5000"/>
    <d v="2024-07-30T00:00:00"/>
    <d v="2024-07-30T00:00:00"/>
    <n v="-549"/>
    <s v="001"/>
    <s v="Paneltec"/>
    <x v="7"/>
    <s v="Anticipo por facturar"/>
    <n v="0"/>
    <n v="0"/>
    <n v="0"/>
    <n v="0"/>
    <n v="0"/>
    <n v="0"/>
  </r>
  <r>
    <s v="NELSY LINETH DE LOS ANGELES SANABRIA OROZCO"/>
    <s v="NC"/>
    <s v="89   "/>
    <s v="AD00002161"/>
    <s v="PRODUCTIVIDAD HUMANA"/>
    <n v="-5000"/>
    <n v="0"/>
    <n v="0"/>
    <n v="0"/>
    <n v="0"/>
    <n v="-5000"/>
    <n v="-5000"/>
    <d v="2024-08-27T00:00:00"/>
    <d v="2024-08-27T00:00:00"/>
    <n v="-521"/>
    <s v="001"/>
    <s v="Paneltec"/>
    <x v="7"/>
    <s v="Anticipo por facturar"/>
    <n v="0"/>
    <n v="0"/>
    <n v="0"/>
    <n v="0"/>
    <n v="0"/>
    <n v="0"/>
  </r>
  <r>
    <s v="NELSY LINETH DE LOS ANGELES SANABRIA OROZCO"/>
    <s v="NC"/>
    <s v="89   "/>
    <s v="AD00002120"/>
    <s v="PRODUCTIVIDAD HUMANA"/>
    <n v="-1000"/>
    <n v="0"/>
    <n v="0"/>
    <n v="0"/>
    <n v="0"/>
    <n v="-1000"/>
    <n v="-1000"/>
    <d v="2024-05-10T00:00:00"/>
    <d v="2024-05-10T00:00:00"/>
    <n v="-630"/>
    <s v="001"/>
    <s v="Paneltec"/>
    <x v="7"/>
    <s v="Anticipo por facturar"/>
    <n v="0"/>
    <n v="0"/>
    <n v="0"/>
    <n v="0"/>
    <n v="0"/>
    <n v="0"/>
  </r>
  <r>
    <s v="NITINOL DEVICES &amp; COMPONENTS COSTA RICA SOCIEDAD DE RESPOSABILIDAD LIMITADA"/>
    <s v="NC"/>
    <s v="105  "/>
    <s v="AD00001725"/>
    <s v="PRODUCTIVIDAD HUMANA"/>
    <n v="-296"/>
    <n v="0"/>
    <n v="0"/>
    <n v="0"/>
    <n v="0"/>
    <n v="-296"/>
    <n v="-296"/>
    <d v="2021-02-11T00:00:00"/>
    <d v="2021-02-11T00:00:00"/>
    <n v="-1814"/>
    <s v="001"/>
    <s v="Paneltec"/>
    <x v="4"/>
    <s v="NC"/>
    <n v="0"/>
    <n v="0"/>
    <n v="0"/>
    <n v="0"/>
    <n v="0"/>
    <n v="0"/>
  </r>
  <r>
    <s v="NORFUND"/>
    <s v="FA"/>
    <s v="0001 "/>
    <n v="1933"/>
    <s v="PRODUCTIVIDAD HUMANA"/>
    <n v="1220.4000000000001"/>
    <n v="0"/>
    <n v="0"/>
    <n v="0"/>
    <n v="0"/>
    <n v="1220.4000000000001"/>
    <n v="1220.4000000000001"/>
    <d v="2023-08-25T00:00:00"/>
    <d v="2023-08-25T00:00:00"/>
    <n v="-889"/>
    <s v="004-001"/>
    <s v="Euromobilia"/>
    <x v="6"/>
    <s v="Caso especial"/>
    <n v="0"/>
    <n v="0"/>
    <n v="0"/>
    <n v="0"/>
    <n v="0"/>
    <n v="0"/>
  </r>
  <r>
    <s v="NOVASHORE OUTSOURCING SOLUTIONS SOCIEDAD ANONIMA"/>
    <s v="FA"/>
    <s v="111  "/>
    <n v="70467"/>
    <s v="PRODUCTIVIDAD HUMANA"/>
    <n v="914.62"/>
    <n v="0"/>
    <n v="0"/>
    <n v="0"/>
    <n v="0"/>
    <n v="914.62"/>
    <n v="914.62"/>
    <d v="2023-08-16T00:00:00"/>
    <d v="2023-08-17T00:00:00"/>
    <n v="-897"/>
    <s v="002"/>
    <s v="Paneltec"/>
    <x v="6"/>
    <s v="Caso especial"/>
    <n v="0"/>
    <n v="0"/>
    <n v="0"/>
    <n v="0"/>
    <n v="0"/>
    <n v="0"/>
  </r>
  <r>
    <s v="NOVOGAR S.A"/>
    <s v="NC"/>
    <s v="34   "/>
    <n v="1183"/>
    <s v="PRODUCTIVIDAD HUMANA"/>
    <n v="-345.73"/>
    <n v="0"/>
    <n v="0"/>
    <n v="0"/>
    <n v="0"/>
    <n v="-345.73"/>
    <n v="-345.73"/>
    <d v="2019-06-26T00:00:00"/>
    <d v="2019-07-26T00:00:00"/>
    <n v="-2380"/>
    <s v="001"/>
    <s v="Paneltec"/>
    <x v="4"/>
    <s v="NC"/>
    <n v="0"/>
    <n v="0"/>
    <n v="0"/>
    <n v="0"/>
    <n v="0"/>
    <n v="0"/>
  </r>
  <r>
    <s v="P Y P CONSTRUCCIONES S.A."/>
    <s v="FA"/>
    <s v="0103 "/>
    <n v="70492"/>
    <s v="PRODUCTIVIDAD HUMANA"/>
    <n v="8002.24"/>
    <n v="0"/>
    <n v="0"/>
    <n v="0"/>
    <n v="0"/>
    <n v="8002.24"/>
    <n v="8002.24"/>
    <d v="2023-09-28T00:00:00"/>
    <d v="2023-10-13T00:00:00"/>
    <n v="-840"/>
    <s v="001"/>
    <s v="Paneltec"/>
    <x v="6"/>
    <s v="Caso especial"/>
    <n v="0"/>
    <n v="0"/>
    <n v="0"/>
    <n v="0"/>
    <n v="0"/>
    <n v="0"/>
  </r>
  <r>
    <s v="P Y P CONSTRUCCIONES S.A."/>
    <s v="FA"/>
    <s v="0103 "/>
    <n v="70568"/>
    <s v="PRODUCTIVIDAD HUMANA"/>
    <n v="2708.12"/>
    <n v="0"/>
    <n v="0"/>
    <n v="0"/>
    <n v="0"/>
    <n v="2708.12"/>
    <n v="2708.12"/>
    <d v="2023-12-13T00:00:00"/>
    <d v="2023-12-28T00:00:00"/>
    <n v="-764"/>
    <s v="001"/>
    <s v="Paneltec"/>
    <x v="6"/>
    <s v="Caso especial"/>
    <n v="0"/>
    <n v="0"/>
    <n v="0"/>
    <n v="0"/>
    <n v="0"/>
    <n v="0"/>
  </r>
  <r>
    <s v="P Y P CONSTRUCCIONES S.A."/>
    <s v="FA"/>
    <s v="0103 "/>
    <n v="70457"/>
    <s v="PRODUCTIVIDAD HUMANA"/>
    <n v="2071.69"/>
    <n v="0"/>
    <n v="0"/>
    <n v="0"/>
    <n v="0"/>
    <n v="2071.69"/>
    <n v="2071.69"/>
    <d v="2023-07-13T00:00:00"/>
    <d v="2023-07-28T00:00:00"/>
    <n v="-917"/>
    <s v="001"/>
    <s v="Paneltec"/>
    <x v="6"/>
    <s v="Caso especial"/>
    <n v="0"/>
    <n v="0"/>
    <n v="0"/>
    <n v="0"/>
    <n v="0"/>
    <n v="0"/>
  </r>
  <r>
    <s v="P Y P CONSTRUCCIONES S.A."/>
    <s v="FA"/>
    <s v="065  "/>
    <n v="70578"/>
    <s v="PRODUCTIVIDAD HUMANA"/>
    <n v="188.47"/>
    <n v="0"/>
    <n v="0"/>
    <n v="0"/>
    <n v="0"/>
    <n v="188.47"/>
    <n v="188.47"/>
    <d v="2023-12-18T00:00:00"/>
    <d v="2024-01-02T00:00:00"/>
    <n v="-759"/>
    <s v="001"/>
    <s v="Paneltec"/>
    <x v="6"/>
    <s v="Caso especial"/>
    <n v="0"/>
    <n v="0"/>
    <n v="0"/>
    <n v="0"/>
    <n v="0"/>
    <n v="0"/>
  </r>
  <r>
    <s v="P Y P CONSTRUCCIONES SOCIEDAD ANONIMA"/>
    <s v="NC"/>
    <s v="OF030"/>
    <s v="AD00026142"/>
    <s v="PRODUCTIVIDAD HUMANA"/>
    <n v="-350"/>
    <n v="0"/>
    <n v="0"/>
    <n v="0"/>
    <n v="0"/>
    <n v="-350"/>
    <n v="-350"/>
    <d v="2025-09-22T00:00:00"/>
    <d v="2025-09-22T00:00:00"/>
    <n v="-130"/>
    <s v="004-001"/>
    <s v="Euromobilia"/>
    <x v="4"/>
    <s v="NC"/>
    <n v="0"/>
    <n v="0"/>
    <n v="0"/>
    <n v="0"/>
    <n v="0"/>
    <n v="0"/>
  </r>
  <r>
    <s v="P Y P CONSTRUCCIONES SOCIEDAD ANONIMA"/>
    <s v="FA"/>
    <s v="O7EX "/>
    <n v="2100027665"/>
    <s v="PRODUCTIVIDAD HUMANA"/>
    <n v="94399.99"/>
    <n v="0"/>
    <n v="0"/>
    <n v="0"/>
    <n v="0"/>
    <n v="94399.99"/>
    <n v="94399.99"/>
    <d v="2025-07-17T00:00:00"/>
    <d v="2025-08-31T00:00:00"/>
    <n v="-152"/>
    <s v="004-001"/>
    <s v="Euromobilia"/>
    <x v="1"/>
    <d v="2026-03-01T00:00:00"/>
    <n v="0"/>
    <n v="94399.99"/>
    <n v="0"/>
    <n v="0"/>
    <n v="0"/>
    <n v="0"/>
  </r>
  <r>
    <s v="PANELTECH SOCIEDAD ANONIMA"/>
    <s v="NC"/>
    <s v="111  "/>
    <n v="51127"/>
    <s v="PRODUCTIVIDAD HUMANA"/>
    <n v="-319.07"/>
    <n v="0"/>
    <n v="0"/>
    <n v="0"/>
    <n v="0"/>
    <n v="-319.07"/>
    <n v="-319.07"/>
    <d v="2025-09-05T00:00:00"/>
    <d v="2025-09-05T00:00:00"/>
    <n v="-147"/>
    <s v="001"/>
    <s v="Paneltec"/>
    <x v="4"/>
    <s v="NC"/>
    <n v="0"/>
    <n v="0"/>
    <n v="0"/>
    <n v="0"/>
    <n v="0"/>
    <n v="0"/>
  </r>
  <r>
    <s v="PARAISO TROPICAL INC SOCIEDAD ANONIMA"/>
    <s v="NC"/>
    <s v="90   "/>
    <s v="AD00001947"/>
    <s v="PRODUCTIVIDAD HUMANA"/>
    <n v="-1330"/>
    <n v="0"/>
    <n v="0"/>
    <n v="0"/>
    <n v="0"/>
    <n v="-1330"/>
    <n v="-1330"/>
    <d v="2022-11-25T00:00:00"/>
    <d v="2022-11-25T00:00:00"/>
    <n v="-1162"/>
    <s v="002"/>
    <s v="Paneltec"/>
    <x v="4"/>
    <s v="NC"/>
    <n v="0"/>
    <n v="0"/>
    <n v="0"/>
    <n v="0"/>
    <n v="0"/>
    <n v="0"/>
  </r>
  <r>
    <s v="PARQUE CENTRAL SOCIEDAD ANONIMA"/>
    <s v="NC"/>
    <s v="111  "/>
    <n v="51067"/>
    <s v="PRODUCTIVIDAD HUMANA"/>
    <n v="-59.3"/>
    <n v="0"/>
    <n v="0"/>
    <n v="0"/>
    <n v="0"/>
    <n v="-59.3"/>
    <n v="-59.3"/>
    <d v="2024-07-26T00:00:00"/>
    <d v="2024-07-26T00:00:00"/>
    <n v="-553"/>
    <s v="001"/>
    <s v="Paneltec"/>
    <x v="4"/>
    <s v="NC"/>
    <n v="0"/>
    <n v="0"/>
    <n v="0"/>
    <n v="0"/>
    <n v="0"/>
    <n v="0"/>
  </r>
  <r>
    <s v="PARQUE CENTRAL SOCIEDAD ANONIMA"/>
    <s v="FA"/>
    <s v="111  "/>
    <n v="71038"/>
    <s v="PRODUCTIVIDAD HUMANA"/>
    <n v="296.33999999999997"/>
    <n v="0"/>
    <n v="0"/>
    <n v="0"/>
    <n v="0"/>
    <n v="296.33999999999997"/>
    <n v="296.33999999999997"/>
    <d v="2025-09-24T00:00:00"/>
    <d v="2025-10-02T00:00:00"/>
    <n v="-120"/>
    <s v="001"/>
    <s v="Paneltec"/>
    <x v="5"/>
    <s v="Aplicar"/>
    <n v="0"/>
    <n v="0"/>
    <n v="0"/>
    <n v="0"/>
    <n v="0"/>
    <n v="0"/>
  </r>
  <r>
    <s v="PARQUE CENTRAL SOCIEDAD ANONIMA"/>
    <s v="NC"/>
    <s v="111  "/>
    <n v="51142"/>
    <s v="PRODUCTIVIDAD HUMANA"/>
    <n v="-6126.02"/>
    <n v="0"/>
    <n v="0"/>
    <n v="0"/>
    <n v="-6126.02"/>
    <n v="0"/>
    <n v="-6126.02"/>
    <d v="2025-11-25T00:00:00"/>
    <d v="2025-11-25T00:00:00"/>
    <n v="-66"/>
    <s v="001"/>
    <s v="Paneltec"/>
    <x v="7"/>
    <s v="Anticipo por facturar"/>
    <n v="0"/>
    <n v="0"/>
    <n v="0"/>
    <n v="0"/>
    <n v="0"/>
    <n v="0"/>
  </r>
  <r>
    <s v="PARQUE CENTRAL SOCIEDAD ANONIMA"/>
    <s v="NC"/>
    <s v="0103 "/>
    <s v="AD00002234"/>
    <s v="PRODUCTIVIDAD HUMANA"/>
    <n v="-1067.8499999999999"/>
    <n v="0"/>
    <n v="0"/>
    <n v="0"/>
    <n v="0"/>
    <n v="-1067.8499999999999"/>
    <n v="-1067.8499999999999"/>
    <d v="2025-07-18T00:00:00"/>
    <d v="2025-07-18T00:00:00"/>
    <n v="-196"/>
    <s v="001"/>
    <s v="Paneltec"/>
    <x v="7"/>
    <s v="Anticipo por facturar"/>
    <n v="0"/>
    <n v="0"/>
    <n v="0"/>
    <n v="0"/>
    <n v="0"/>
    <n v="0"/>
  </r>
  <r>
    <s v="PARQUE CENTRAL SOCIEDAD ANONIMA"/>
    <s v="NC"/>
    <s v="0103 "/>
    <s v="AD00002237"/>
    <s v="PRODUCTIVIDAD HUMANA"/>
    <n v="-484.27"/>
    <n v="0"/>
    <n v="0"/>
    <n v="0"/>
    <n v="0"/>
    <n v="-484.27"/>
    <n v="-484.27"/>
    <d v="2025-07-18T00:00:00"/>
    <d v="2025-07-18T00:00:00"/>
    <n v="-196"/>
    <s v="001"/>
    <s v="Paneltec"/>
    <x v="7"/>
    <s v="Anticipo por facturar"/>
    <n v="0"/>
    <n v="0"/>
    <n v="0"/>
    <n v="0"/>
    <n v="0"/>
    <n v="0"/>
  </r>
  <r>
    <s v="PARQUE CENTRAL SOCIEDAD ANONIMA"/>
    <s v="NC"/>
    <s v="0103 "/>
    <s v="AD00002235"/>
    <s v="PRODUCTIVIDAD HUMANA"/>
    <n v="-440.34"/>
    <n v="0"/>
    <n v="0"/>
    <n v="0"/>
    <n v="0"/>
    <n v="-440.34"/>
    <n v="-440.34"/>
    <d v="2025-07-18T00:00:00"/>
    <d v="2025-07-18T00:00:00"/>
    <n v="-196"/>
    <s v="001"/>
    <s v="Paneltec"/>
    <x v="7"/>
    <s v="Anticipo por facturar"/>
    <n v="0"/>
    <n v="0"/>
    <n v="0"/>
    <n v="0"/>
    <n v="0"/>
    <n v="0"/>
  </r>
  <r>
    <s v="PARQUE CENTRAL SOCIEDAD ANONIMA"/>
    <s v="NC"/>
    <s v="0103 "/>
    <s v="AD00002236"/>
    <s v="PRODUCTIVIDAD HUMANA"/>
    <n v="-316.18"/>
    <n v="0"/>
    <n v="0"/>
    <n v="0"/>
    <n v="0"/>
    <n v="-316.18"/>
    <n v="-316.18"/>
    <d v="2025-07-18T00:00:00"/>
    <d v="2025-07-18T00:00:00"/>
    <n v="-196"/>
    <s v="001"/>
    <s v="Paneltec"/>
    <x v="7"/>
    <s v="Anticipo por facturar"/>
    <n v="0"/>
    <n v="0"/>
    <n v="0"/>
    <n v="0"/>
    <n v="0"/>
    <n v="0"/>
  </r>
  <r>
    <s v="PARQUE CENTRAL SOCIEDAD ANONIMA"/>
    <s v="NC"/>
    <s v="0103 "/>
    <s v="AD00002238"/>
    <s v="PRODUCTIVIDAD HUMANA"/>
    <n v="-242.98"/>
    <n v="0"/>
    <n v="0"/>
    <n v="0"/>
    <n v="0"/>
    <n v="-242.98"/>
    <n v="-242.98"/>
    <d v="2025-07-18T00:00:00"/>
    <d v="2025-07-18T00:00:00"/>
    <n v="-196"/>
    <s v="001"/>
    <s v="Paneltec"/>
    <x v="7"/>
    <s v="Anticipo por facturar"/>
    <n v="0"/>
    <n v="0"/>
    <n v="0"/>
    <n v="0"/>
    <n v="0"/>
    <n v="0"/>
  </r>
  <r>
    <s v="PARQUE CENTRAL SOCIEDAD ANONIMA"/>
    <s v="FA"/>
    <s v="111  "/>
    <n v="71104"/>
    <s v="PRODUCTIVIDAD HUMANA"/>
    <n v="9264.2800000000007"/>
    <n v="0"/>
    <n v="0"/>
    <n v="9264.2800000000007"/>
    <n v="0"/>
    <n v="0"/>
    <n v="9264.2800000000007"/>
    <d v="2025-12-11T00:00:00"/>
    <d v="2025-12-19T00:00:00"/>
    <n v="-42"/>
    <s v="001"/>
    <s v="Paneltec"/>
    <x v="1"/>
    <d v="2026-03-01T00:00:00"/>
    <n v="0"/>
    <n v="9264.2800000000007"/>
    <n v="0"/>
    <n v="0"/>
    <n v="0"/>
    <n v="0"/>
  </r>
  <r>
    <s v="PARTES ELECTROMECANICAS GULISA SOCIEDAD ANONIMA"/>
    <s v="NC"/>
    <s v="000  "/>
    <s v="AD00002264"/>
    <s v="PRODUCTIVIDAD HUMANA"/>
    <n v="-4899.83"/>
    <n v="0"/>
    <n v="0"/>
    <n v="0"/>
    <n v="-4899.83"/>
    <n v="0"/>
    <n v="-4899.83"/>
    <d v="2025-11-06T00:00:00"/>
    <d v="2025-11-06T00:00:00"/>
    <n v="-85"/>
    <s v="001"/>
    <s v="Paneltec"/>
    <x v="7"/>
    <s v="Anticipo por facturar"/>
    <n v="0"/>
    <n v="0"/>
    <n v="0"/>
    <n v="0"/>
    <n v="0"/>
    <n v="0"/>
  </r>
  <r>
    <s v="PFIZER ZONA FRANCA SOCIEDAD ANONIMA"/>
    <s v="NC"/>
    <s v="103  "/>
    <s v="AD00001546"/>
    <s v="PRODUCTIVIDAD HUMANA"/>
    <n v="-284.29000000000002"/>
    <n v="0"/>
    <n v="0"/>
    <n v="0"/>
    <n v="0"/>
    <n v="-284.29000000000002"/>
    <n v="-284.29000000000002"/>
    <d v="2019-08-09T00:00:00"/>
    <d v="2019-08-09T00:00:00"/>
    <n v="-2366"/>
    <s v="001"/>
    <s v="Paneltec"/>
    <x v="4"/>
    <s v="NC"/>
    <n v="0"/>
    <n v="0"/>
    <n v="0"/>
    <n v="0"/>
    <n v="0"/>
    <n v="0"/>
  </r>
  <r>
    <s v="PFIZER ZONA FRANCA SOCIEDAD ANONIMA"/>
    <s v="FA"/>
    <s v="O7EX "/>
    <n v="2100026366"/>
    <s v="PRODUCTIVIDAD HUMANA"/>
    <n v="111.97"/>
    <n v="0"/>
    <n v="0"/>
    <n v="0"/>
    <n v="0"/>
    <n v="111.97"/>
    <n v="111.97"/>
    <d v="2024-12-05T00:00:00"/>
    <d v="2025-01-04T00:00:00"/>
    <n v="-391"/>
    <s v="004-001"/>
    <s v="Euromobilia"/>
    <x v="6"/>
    <s v="Caso especial"/>
    <n v="0"/>
    <n v="0"/>
    <n v="0"/>
    <n v="0"/>
    <n v="0"/>
    <n v="0"/>
  </r>
  <r>
    <s v="PLAZA RIVIERA SOCIEDAD ANONIMA"/>
    <s v="FA"/>
    <s v="O7EX "/>
    <n v="2100027950"/>
    <s v="PRODUCTIVIDAD HUMANA"/>
    <n v="3860.87"/>
    <n v="0"/>
    <n v="0"/>
    <n v="0"/>
    <n v="0"/>
    <n v="3860.87"/>
    <n v="3860.87"/>
    <d v="2025-09-05T00:00:00"/>
    <d v="2025-10-05T00:00:00"/>
    <n v="-117"/>
    <s v="004-001"/>
    <s v="Euromobilia"/>
    <x v="5"/>
    <s v="Aplicar"/>
    <n v="0"/>
    <n v="0"/>
    <n v="0"/>
    <n v="0"/>
    <n v="0"/>
    <n v="0"/>
  </r>
  <r>
    <s v="PLAZA RIVIERA SOCIEDAD ANONIMA"/>
    <s v="NC"/>
    <s v="OF030"/>
    <n v="4817"/>
    <s v="PRODUCTIVIDAD HUMANA"/>
    <n v="-3217.43"/>
    <n v="0"/>
    <n v="0"/>
    <n v="0"/>
    <n v="0"/>
    <n v="-3217.43"/>
    <n v="-3217.43"/>
    <d v="2025-07-28T00:00:00"/>
    <d v="2025-08-27T00:00:00"/>
    <n v="-156"/>
    <s v="004-001"/>
    <s v="Euromobilia"/>
    <x v="5"/>
    <s v="Aplicar"/>
    <n v="0"/>
    <n v="0"/>
    <n v="0"/>
    <n v="0"/>
    <n v="0"/>
    <n v="0"/>
  </r>
  <r>
    <s v="PROLEPSIS"/>
    <s v="NC"/>
    <s v="0001 "/>
    <n v="3726"/>
    <s v="PRODUCTIVIDAD HUMANA"/>
    <n v="-739"/>
    <n v="0"/>
    <n v="0"/>
    <n v="0"/>
    <n v="0"/>
    <n v="-739"/>
    <n v="-739"/>
    <d v="2023-09-07T00:00:00"/>
    <d v="2023-09-07T00:00:00"/>
    <n v="-876"/>
    <s v="004-001"/>
    <s v="Euromobilia"/>
    <x v="4"/>
    <s v="NC"/>
    <n v="0"/>
    <n v="0"/>
    <n v="0"/>
    <n v="0"/>
    <n v="0"/>
    <n v="0"/>
  </r>
  <r>
    <s v="PROQUINAL COSTA RICA SOCIEDAD ANONIMA"/>
    <s v="NC"/>
    <s v="34   "/>
    <s v="AD00001943"/>
    <s v="PRODUCTIVIDAD HUMANA"/>
    <n v="-2736"/>
    <n v="0"/>
    <n v="0"/>
    <n v="0"/>
    <n v="0"/>
    <n v="-2736"/>
    <n v="-2736"/>
    <d v="2022-11-24T00:00:00"/>
    <d v="2022-11-24T00:00:00"/>
    <n v="-1163"/>
    <s v="002"/>
    <s v="Paneltec"/>
    <x v="4"/>
    <s v="NC"/>
    <n v="0"/>
    <n v="0"/>
    <n v="0"/>
    <n v="0"/>
    <n v="0"/>
    <n v="0"/>
  </r>
  <r>
    <s v="PROYECTA MPM MIL"/>
    <s v="NC"/>
    <s v="0001 "/>
    <n v="6485"/>
    <s v="PRODUCTIVIDAD HUMANA"/>
    <n v="-54.58"/>
    <n v="0"/>
    <n v="0"/>
    <n v="0"/>
    <n v="0"/>
    <n v="-54.58"/>
    <n v="-54.58"/>
    <d v="2024-01-29T00:00:00"/>
    <d v="2024-01-29T00:00:00"/>
    <n v="-732"/>
    <s v="004-001"/>
    <s v="Euromobilia"/>
    <x v="4"/>
    <s v="NC"/>
    <n v="0"/>
    <n v="0"/>
    <n v="0"/>
    <n v="0"/>
    <n v="0"/>
    <n v="0"/>
  </r>
  <r>
    <s v="PROYECTA MPM MIL"/>
    <s v="FA"/>
    <s v="0001 "/>
    <n v="3969"/>
    <s v="PRODUCTIVIDAD HUMANA"/>
    <n v="2569.79"/>
    <n v="0"/>
    <n v="0"/>
    <n v="0"/>
    <n v="0"/>
    <n v="2569.79"/>
    <n v="2569.79"/>
    <d v="2023-10-30T00:00:00"/>
    <d v="2023-10-31T00:00:00"/>
    <n v="-822"/>
    <s v="004-001"/>
    <s v="Euromobilia"/>
    <x v="6"/>
    <s v="Caso especial"/>
    <n v="0"/>
    <n v="0"/>
    <n v="0"/>
    <n v="0"/>
    <n v="0"/>
    <n v="0"/>
  </r>
  <r>
    <s v="PROYECTOS DE ACCESO PROA S.A"/>
    <s v="FA"/>
    <s v="0001 "/>
    <n v="4803"/>
    <s v="PRODUCTIVIDAD HUMANA"/>
    <n v="42477.83"/>
    <n v="0"/>
    <n v="0"/>
    <n v="0"/>
    <n v="0"/>
    <n v="42477.83"/>
    <n v="42477.83"/>
    <d v="2023-11-28T00:00:00"/>
    <d v="2023-11-28T00:00:00"/>
    <n v="-794"/>
    <s v="004-001"/>
    <s v="Euromobilia"/>
    <x v="6"/>
    <s v="Caso especial"/>
    <n v="0"/>
    <n v="0"/>
    <n v="0"/>
    <n v="0"/>
    <n v="0"/>
    <n v="0"/>
  </r>
  <r>
    <s v="PROYECTOS DE ACCESO PROA S.A"/>
    <s v="FA"/>
    <s v="0001 "/>
    <n v="3881"/>
    <s v="PRODUCTIVIDAD HUMANA"/>
    <n v="23636.48"/>
    <n v="0"/>
    <n v="0"/>
    <n v="0"/>
    <n v="0"/>
    <n v="23636.48"/>
    <n v="23636.48"/>
    <d v="2023-10-24T00:00:00"/>
    <d v="2023-10-24T00:00:00"/>
    <n v="-829"/>
    <s v="004-001"/>
    <s v="Euromobilia"/>
    <x v="6"/>
    <s v="Caso especial"/>
    <n v="0"/>
    <n v="0"/>
    <n v="0"/>
    <n v="0"/>
    <n v="0"/>
    <n v="0"/>
  </r>
  <r>
    <s v="PROYECTOS TURBINA S.A"/>
    <s v="NC"/>
    <s v="0001 "/>
    <n v="602"/>
    <s v="PRODUCTIVIDAD HUMANA"/>
    <n v="-1044.1199999999999"/>
    <n v="0"/>
    <n v="0"/>
    <n v="0"/>
    <n v="0"/>
    <n v="-1044.1199999999999"/>
    <n v="-1044.1199999999999"/>
    <d v="2023-06-19T00:00:00"/>
    <d v="2023-06-19T00:00:00"/>
    <n v="-956"/>
    <s v="004-001"/>
    <s v="Euromobilia"/>
    <x v="4"/>
    <s v="NC"/>
    <n v="0"/>
    <n v="0"/>
    <n v="0"/>
    <n v="0"/>
    <n v="0"/>
    <n v="0"/>
  </r>
  <r>
    <s v="Proyekta Ingenieria y Construccion S.A."/>
    <s v="NC"/>
    <s v="005  "/>
    <s v="AD00001923"/>
    <s v="PRODUCTIVIDAD HUMANA"/>
    <n v="-1000"/>
    <n v="0"/>
    <n v="0"/>
    <n v="0"/>
    <n v="0"/>
    <n v="-1000"/>
    <n v="-1000"/>
    <d v="2022-10-18T00:00:00"/>
    <d v="2022-10-18T00:00:00"/>
    <n v="-1200"/>
    <s v="002"/>
    <s v="Paneltec"/>
    <x v="4"/>
    <s v="NC"/>
    <n v="0"/>
    <n v="0"/>
    <n v="0"/>
    <n v="0"/>
    <n v="0"/>
    <n v="0"/>
  </r>
  <r>
    <s v="RAINIER TRADING FOOD SA"/>
    <s v="NC"/>
    <s v="0001 "/>
    <n v="3368"/>
    <s v="PRODUCTIVIDAD HUMANA"/>
    <n v="-449.51"/>
    <n v="0"/>
    <n v="0"/>
    <n v="0"/>
    <n v="0"/>
    <n v="-449.51"/>
    <n v="-449.51"/>
    <d v="2023-09-27T00:00:00"/>
    <d v="2023-09-27T00:00:00"/>
    <n v="-856"/>
    <s v="004-001"/>
    <s v="Euromobilia"/>
    <x v="4"/>
    <s v="NC"/>
    <n v="0"/>
    <n v="0"/>
    <n v="0"/>
    <n v="0"/>
    <n v="0"/>
    <n v="0"/>
  </r>
  <r>
    <s v="REBECA HERRERA BOGARIN"/>
    <s v="FA"/>
    <s v="OF030"/>
    <n v="2100025599"/>
    <s v="PRODUCTIVIDAD HUMANA"/>
    <n v="203.4"/>
    <n v="0"/>
    <n v="0"/>
    <n v="0"/>
    <n v="0"/>
    <n v="203.4"/>
    <n v="203.4"/>
    <d v="2024-09-11T00:00:00"/>
    <d v="2024-09-12T00:00:00"/>
    <n v="-505"/>
    <s v="004-001"/>
    <s v="Euromobilia"/>
    <x v="6"/>
    <s v="Caso especial"/>
    <n v="0"/>
    <n v="0"/>
    <n v="0"/>
    <n v="0"/>
    <n v="0"/>
    <n v="0"/>
  </r>
  <r>
    <s v="REFINADORA COSTARRICENSE DE PETROLEO"/>
    <s v="FA"/>
    <s v="1354 "/>
    <n v="71113"/>
    <s v="PRODUCTIVIDAD HUMANA"/>
    <n v="2804"/>
    <n v="0"/>
    <n v="2804"/>
    <n v="0"/>
    <n v="0"/>
    <n v="0"/>
    <n v="2804"/>
    <d v="2025-12-15T00:00:00"/>
    <d v="2026-01-29T00:00:00"/>
    <n v="-1"/>
    <s v="001"/>
    <s v="Paneltec"/>
    <x v="5"/>
    <s v="Aplicar"/>
    <n v="0"/>
    <n v="0"/>
    <n v="0"/>
    <n v="0"/>
    <n v="0"/>
    <n v="0"/>
  </r>
  <r>
    <s v="REFINADORA COSTARRICENSE DE PETROLEO"/>
    <s v="NC"/>
    <s v="005  "/>
    <s v="AD00002284"/>
    <s v="PRODUCTIVIDAD HUMANA"/>
    <n v="-2754.37"/>
    <n v="0"/>
    <n v="0"/>
    <n v="-2754.37"/>
    <n v="0"/>
    <n v="0"/>
    <n v="-2754.37"/>
    <d v="2025-12-29T00:00:00"/>
    <d v="2025-12-29T00:00:00"/>
    <n v="-32"/>
    <s v="001"/>
    <s v="Paneltec"/>
    <x v="5"/>
    <s v="Aplicar"/>
    <n v="0"/>
    <n v="0"/>
    <n v="0"/>
    <n v="0"/>
    <n v="0"/>
    <n v="0"/>
  </r>
  <r>
    <s v="ROBERSI ESTUARD GARCIA AGUINAGA"/>
    <s v="NC"/>
    <s v="0103 "/>
    <s v="AD00001892"/>
    <s v="PRODUCTIVIDAD HUMANA"/>
    <n v="-108.505464"/>
    <n v="0"/>
    <n v="0"/>
    <n v="0"/>
    <n v="0"/>
    <n v="-108.51"/>
    <n v="-108.51"/>
    <d v="2022-08-04T00:00:00"/>
    <d v="2022-08-04T00:00:00"/>
    <n v="-1275"/>
    <s v="001"/>
    <s v="Paneltec"/>
    <x v="4"/>
    <s v="NC"/>
    <n v="0"/>
    <n v="0"/>
    <n v="0"/>
    <n v="0"/>
    <n v="0"/>
    <n v="0"/>
  </r>
  <r>
    <s v="ROMA PRINCE SOCIEDAD ANONIMA"/>
    <s v="NC"/>
    <s v="0001 "/>
    <n v="2777"/>
    <s v="PRODUCTIVIDAD HUMANA"/>
    <n v="-1176.8"/>
    <n v="0"/>
    <n v="0"/>
    <n v="0"/>
    <n v="0"/>
    <n v="-1176.8"/>
    <n v="-1176.8"/>
    <d v="2023-09-11T00:00:00"/>
    <d v="2023-09-11T00:00:00"/>
    <n v="-872"/>
    <s v="004-001"/>
    <s v="Euromobilia"/>
    <x v="4"/>
    <s v="NC"/>
    <n v="0"/>
    <n v="0"/>
    <n v="0"/>
    <n v="0"/>
    <n v="0"/>
    <n v="0"/>
  </r>
  <r>
    <s v="RONNY SALAZAR MORALES"/>
    <s v="NC"/>
    <s v="OF116"/>
    <s v="AD00025960"/>
    <s v="PRODUCTIVIDAD HUMANA"/>
    <n v="-869.13"/>
    <n v="0"/>
    <n v="0"/>
    <n v="0"/>
    <n v="0"/>
    <n v="-869.13"/>
    <n v="-869.13"/>
    <d v="2025-07-31T00:00:00"/>
    <d v="2025-07-31T00:00:00"/>
    <n v="-183"/>
    <s v="004-001"/>
    <s v="Euromobilia"/>
    <x v="7"/>
    <s v="Anticipo por facturar"/>
    <n v="0"/>
    <n v="0"/>
    <n v="0"/>
    <n v="0"/>
    <n v="0"/>
    <n v="0"/>
  </r>
  <r>
    <s v="Roofing Solutions Limited Liability Company"/>
    <s v="NC"/>
    <s v="OF057"/>
    <s v="AD00025034"/>
    <s v="PRODUCTIVIDAD HUMANA"/>
    <n v="-420.81"/>
    <n v="0"/>
    <n v="0"/>
    <n v="0"/>
    <n v="0"/>
    <n v="-420.81"/>
    <n v="-420.81"/>
    <d v="2024-11-25T00:00:00"/>
    <d v="2024-11-25T00:00:00"/>
    <n v="-431"/>
    <s v="004-001"/>
    <s v="Euromobilia"/>
    <x v="4"/>
    <s v="NC"/>
    <n v="0"/>
    <n v="0"/>
    <n v="0"/>
    <n v="0"/>
    <n v="0"/>
    <n v="0"/>
  </r>
  <r>
    <s v="SAGA INGENIERIA SOCIEDAD ANONIMA"/>
    <s v="FA"/>
    <s v="OF030"/>
    <n v="2100028457"/>
    <s v="PRODUCTIVIDAD HUMANA"/>
    <n v="2378.89"/>
    <n v="0"/>
    <n v="0"/>
    <n v="2378.89"/>
    <n v="0"/>
    <n v="0"/>
    <n v="2378.89"/>
    <d v="2025-11-28T00:00:00"/>
    <d v="2025-12-28T00:00:00"/>
    <n v="-33"/>
    <s v="004-001"/>
    <s v="Euromobilia"/>
    <x v="2"/>
    <d v="2026-03-01T00:00:00"/>
    <n v="0"/>
    <n v="2378.89"/>
    <n v="0"/>
    <n v="0"/>
    <n v="0"/>
    <n v="0"/>
  </r>
  <r>
    <s v="SAGA INGENIERIA SOCIEDAD ANONIMA"/>
    <s v="FA"/>
    <s v="OF030"/>
    <n v="2100028458"/>
    <s v="PRODUCTIVIDAD HUMANA"/>
    <n v="1277.22"/>
    <n v="0"/>
    <n v="0"/>
    <n v="1277.22"/>
    <n v="0"/>
    <n v="0"/>
    <n v="1277.22"/>
    <d v="2025-11-28T00:00:00"/>
    <d v="2025-12-28T00:00:00"/>
    <n v="-33"/>
    <s v="004-001"/>
    <s v="Euromobilia"/>
    <x v="2"/>
    <d v="2026-03-01T00:00:00"/>
    <n v="0"/>
    <n v="1277.22"/>
    <n v="0"/>
    <n v="0"/>
    <n v="0"/>
    <n v="0"/>
  </r>
  <r>
    <s v="SAMTEC INTERCONNECT ASSEMBLY SIA COSTA RICA S.R.L"/>
    <s v="FA"/>
    <s v="0001 "/>
    <n v="9129"/>
    <s v="PRODUCTIVIDAD HUMANA"/>
    <n v="845.82"/>
    <n v="0"/>
    <n v="0"/>
    <n v="0"/>
    <n v="0"/>
    <n v="845.82"/>
    <n v="845.82"/>
    <d v="2024-04-12T00:00:00"/>
    <d v="2024-04-12T00:00:00"/>
    <n v="-658"/>
    <s v="004-001"/>
    <s v="Euromobilia"/>
    <x v="6"/>
    <s v="Caso especial"/>
    <n v="0"/>
    <n v="0"/>
    <n v="0"/>
    <n v="0"/>
    <n v="0"/>
    <n v="0"/>
  </r>
  <r>
    <s v="SAMTEC INTERCONNECT ASSEMBLY SIA COSTA RICA S.R.L"/>
    <s v="FA"/>
    <s v="115  "/>
    <n v="71014"/>
    <s v="PRODUCTIVIDAD HUMANA"/>
    <n v="921.2"/>
    <n v="0"/>
    <n v="0"/>
    <n v="0"/>
    <n v="0"/>
    <n v="921.2"/>
    <n v="921.2"/>
    <d v="2025-08-19T00:00:00"/>
    <d v="2025-09-03T00:00:00"/>
    <n v="-149"/>
    <s v="001"/>
    <s v="Paneltec"/>
    <x v="1"/>
    <d v="2026-03-01T00:00:00"/>
    <n v="0"/>
    <n v="921.2"/>
    <n v="0"/>
    <n v="0"/>
    <n v="0"/>
    <n v="0"/>
  </r>
  <r>
    <s v="SEAR INGENIERIA DISEÑO Y CONSTRUCCION SOCIEDAD ANONIMA"/>
    <s v="NC"/>
    <s v="34   "/>
    <s v="AD00002059"/>
    <s v="PRODUCTIVIDAD HUMANA"/>
    <n v="-8697.9699999999993"/>
    <n v="0"/>
    <n v="0"/>
    <n v="0"/>
    <n v="0"/>
    <n v="-8697.9699999999993"/>
    <n v="-8697.9699999999993"/>
    <d v="2023-09-11T00:00:00"/>
    <d v="2023-09-11T00:00:00"/>
    <n v="-872"/>
    <s v="001"/>
    <s v="Paneltec"/>
    <x v="4"/>
    <s v="NC"/>
    <n v="0"/>
    <n v="0"/>
    <n v="0"/>
    <n v="0"/>
    <n v="0"/>
    <n v="0"/>
  </r>
  <r>
    <s v="SEGNINI EXPORTACIONES SOCIEDAD ANONIMA"/>
    <s v="NC"/>
    <s v="065  "/>
    <s v="AD00001842"/>
    <s v="PRODUCTIVIDAD HUMANA"/>
    <n v="-3896.96"/>
    <n v="0"/>
    <n v="0"/>
    <n v="0"/>
    <n v="0"/>
    <n v="-3896.96"/>
    <n v="-3896.96"/>
    <d v="2022-03-09T00:00:00"/>
    <d v="2022-03-09T00:00:00"/>
    <n v="-1423"/>
    <s v="001"/>
    <s v="Paneltec"/>
    <x v="4"/>
    <s v="NC"/>
    <n v="0"/>
    <n v="0"/>
    <n v="0"/>
    <n v="0"/>
    <n v="0"/>
    <n v="0"/>
  </r>
  <r>
    <s v="SEGNINI EXPORTACIONES SOCIEDAD ANONIMA"/>
    <s v="NC"/>
    <s v="065  "/>
    <s v="AD00002177"/>
    <s v="PRODUCTIVIDAD HUMANA"/>
    <n v="-675"/>
    <n v="0"/>
    <n v="0"/>
    <n v="0"/>
    <n v="0"/>
    <n v="-675"/>
    <n v="-675"/>
    <d v="2024-11-06T00:00:00"/>
    <d v="2024-11-06T00:00:00"/>
    <n v="-450"/>
    <s v="001"/>
    <s v="Paneltec"/>
    <x v="7"/>
    <s v="Anticipo por facturar"/>
    <n v="0"/>
    <n v="0"/>
    <n v="0"/>
    <n v="0"/>
    <n v="0"/>
    <n v="0"/>
  </r>
  <r>
    <s v="Seguritronic Security Center SA"/>
    <s v="NC"/>
    <s v="0001 "/>
    <n v="8751"/>
    <s v="PRODUCTIVIDAD HUMANA"/>
    <n v="-400"/>
    <n v="0"/>
    <n v="0"/>
    <n v="0"/>
    <n v="0"/>
    <n v="-400"/>
    <n v="-400"/>
    <d v="2024-03-16T00:00:00"/>
    <d v="2024-03-16T00:00:00"/>
    <n v="-685"/>
    <s v="004-001"/>
    <s v="Euromobilia"/>
    <x v="4"/>
    <s v="NC"/>
    <n v="0"/>
    <n v="0"/>
    <n v="0"/>
    <n v="0"/>
    <n v="0"/>
    <n v="0"/>
  </r>
  <r>
    <s v="SERVICIOS CASA DE AQUI SOCIEDAD ANONIMA"/>
    <s v="FA"/>
    <s v="0001 "/>
    <n v="1714"/>
    <s v="PRODUCTIVIDAD HUMANA"/>
    <n v="691.08"/>
    <n v="0"/>
    <n v="0"/>
    <n v="0"/>
    <n v="0"/>
    <n v="691.08"/>
    <n v="691.08"/>
    <d v="2023-02-28T00:00:00"/>
    <d v="2023-02-28T00:00:00"/>
    <n v="-1067"/>
    <s v="004-001"/>
    <s v="Euromobilia"/>
    <x v="6"/>
    <s v="Caso especial"/>
    <n v="0"/>
    <n v="0"/>
    <n v="0"/>
    <n v="0"/>
    <n v="0"/>
    <n v="0"/>
  </r>
  <r>
    <s v="SERVICIOS COMPUTACIONALES NOVA COMP SOCIEDAD ANONIMA"/>
    <s v="FA"/>
    <s v="111  "/>
    <n v="70466"/>
    <s v="PRODUCTIVIDAD HUMANA"/>
    <n v="1657.64"/>
    <n v="0"/>
    <n v="0"/>
    <n v="0"/>
    <n v="0"/>
    <n v="1657.64"/>
    <n v="1657.64"/>
    <d v="2023-08-16T00:00:00"/>
    <d v="2023-08-24T00:00:00"/>
    <n v="-890"/>
    <s v="001"/>
    <s v="Paneltec"/>
    <x v="6"/>
    <s v="Caso especial"/>
    <n v="0"/>
    <n v="0"/>
    <n v="0"/>
    <n v="0"/>
    <n v="0"/>
    <n v="0"/>
  </r>
  <r>
    <s v="SERVICIOS CORPORATIVOS GBA SOCIEDAD ANONIMA"/>
    <s v="NC"/>
    <s v="67   "/>
    <s v="AD00001259"/>
    <s v="PRODUCTIVIDAD HUMANA"/>
    <n v="-550.65"/>
    <n v="0"/>
    <n v="0"/>
    <n v="0"/>
    <n v="0"/>
    <n v="-550.65"/>
    <n v="-550.65"/>
    <d v="2018-03-06T00:00:00"/>
    <d v="2018-03-06T00:00:00"/>
    <n v="-2887"/>
    <s v="001"/>
    <s v="Paneltec"/>
    <x v="4"/>
    <s v="NC"/>
    <n v="0"/>
    <n v="0"/>
    <n v="0"/>
    <n v="0"/>
    <n v="0"/>
    <n v="0"/>
  </r>
  <r>
    <s v="SERVICIOS CORPORATIVOS GBA SOCIEDAD ANONIMA"/>
    <s v="NC"/>
    <s v="67   "/>
    <s v="AD00001260"/>
    <s v="PRODUCTIVIDAD HUMANA"/>
    <n v="-226.34"/>
    <n v="0"/>
    <n v="0"/>
    <n v="0"/>
    <n v="0"/>
    <n v="-226.34"/>
    <n v="-226.34"/>
    <d v="2018-03-06T00:00:00"/>
    <d v="2018-03-06T00:00:00"/>
    <n v="-2887"/>
    <s v="001"/>
    <s v="Paneltec"/>
    <x v="4"/>
    <s v="NC"/>
    <n v="0"/>
    <n v="0"/>
    <n v="0"/>
    <n v="0"/>
    <n v="0"/>
    <n v="0"/>
  </r>
  <r>
    <s v="SERVICIOS NUTRESA COSTA RICA SOCIEDAD ANONIMA"/>
    <s v="NC"/>
    <s v="0001 "/>
    <n v="8206"/>
    <s v="PRODUCTIVIDAD HUMANA"/>
    <n v="-288.52"/>
    <n v="0"/>
    <n v="0"/>
    <n v="0"/>
    <n v="0"/>
    <n v="-288.52"/>
    <n v="-288.52"/>
    <d v="2024-03-01T00:00:00"/>
    <d v="2024-03-01T00:00:00"/>
    <n v="-700"/>
    <s v="004-001"/>
    <s v="Euromobilia"/>
    <x v="4"/>
    <s v="NC"/>
    <n v="0"/>
    <n v="0"/>
    <n v="0"/>
    <n v="0"/>
    <n v="0"/>
    <n v="0"/>
  </r>
  <r>
    <s v="SUMINISTROS INDUSTRIALES SOTO ESPINOZA S.A."/>
    <s v="FA"/>
    <s v="OF030"/>
    <n v="2100028644"/>
    <s v="PRODUCTIVIDAD HUMANA"/>
    <n v="79875.179999999993"/>
    <n v="0"/>
    <n v="79875.179999999993"/>
    <n v="0"/>
    <n v="0"/>
    <n v="0"/>
    <n v="79875.179999999993"/>
    <d v="2025-12-29T00:00:00"/>
    <d v="2026-01-28T00:00:00"/>
    <n v="-2"/>
    <s v="004-001"/>
    <s v="Euromobilia"/>
    <x v="5"/>
    <s v="Aplicar"/>
    <n v="0"/>
    <n v="0"/>
    <n v="0"/>
    <n v="0"/>
    <n v="0"/>
    <n v="0"/>
  </r>
  <r>
    <s v="SUMINISTROS INDUSTRIALES SOTO ESPINOZA S.A."/>
    <s v="FA"/>
    <s v="000  "/>
    <n v="2100028455"/>
    <s v="PRODUCTIVIDAD HUMANA"/>
    <n v="6933.05"/>
    <n v="0"/>
    <n v="0"/>
    <n v="6933.05"/>
    <n v="0"/>
    <n v="0"/>
    <n v="6933.05"/>
    <d v="2025-11-28T00:00:00"/>
    <d v="2025-12-28T00:00:00"/>
    <n v="-33"/>
    <s v="004-001"/>
    <s v="Euromobilia"/>
    <x v="1"/>
    <d v="2026-03-01T00:00:00"/>
    <n v="0"/>
    <n v="6933.05"/>
    <n v="0"/>
    <n v="0"/>
    <n v="0"/>
    <n v="0"/>
  </r>
  <r>
    <s v="SWAROVSKI GLOBAL BUSINESS SERVICES AMERICAS SOCIEDAD DE RESPONSABILIDAD LIM"/>
    <s v="NC"/>
    <s v="34   "/>
    <n v="1116"/>
    <s v="PRODUCTIVIDAD HUMANA"/>
    <n v="-94.88"/>
    <n v="0"/>
    <n v="0"/>
    <n v="0"/>
    <n v="0"/>
    <n v="-94.88"/>
    <n v="-94.88"/>
    <d v="2018-11-13T00:00:00"/>
    <d v="2018-11-28T00:00:00"/>
    <n v="-2620"/>
    <s v="001"/>
    <s v="Paneltec"/>
    <x v="4"/>
    <s v="NC"/>
    <n v="0"/>
    <n v="0"/>
    <n v="0"/>
    <n v="0"/>
    <n v="0"/>
    <n v="0"/>
  </r>
  <r>
    <s v="TELEDOLAR SOCIEDAD ANONIMA"/>
    <s v="FA"/>
    <s v="OF111"/>
    <n v="2100026889"/>
    <s v="PRODUCTIVIDAD HUMANA"/>
    <n v="456.89194600000002"/>
    <n v="0"/>
    <n v="0"/>
    <n v="0"/>
    <n v="0"/>
    <n v="456.89"/>
    <n v="456.89"/>
    <d v="2025-03-13T00:00:00"/>
    <d v="2025-03-14T00:00:00"/>
    <n v="-322"/>
    <s v="004-001"/>
    <s v="Euromobilia"/>
    <x v="6"/>
    <s v="Caso especial"/>
    <n v="0"/>
    <n v="0"/>
    <n v="0"/>
    <n v="0"/>
    <n v="0"/>
    <n v="0"/>
  </r>
  <r>
    <s v="TORRECILLA CINCUENTA Y UNO SOCIEDAD DE RESPONSABILIDAD LIMITADA"/>
    <s v="NC"/>
    <s v="118  "/>
    <s v="AD00002140"/>
    <s v="PRODUCTIVIDAD HUMANA"/>
    <n v="-1000"/>
    <n v="0"/>
    <n v="0"/>
    <n v="0"/>
    <n v="0"/>
    <n v="-1000"/>
    <n v="-1000"/>
    <d v="2024-07-01T00:00:00"/>
    <d v="2024-07-01T00:00:00"/>
    <n v="-578"/>
    <s v="001"/>
    <s v="Paneltec"/>
    <x v="7"/>
    <s v="Anticipo por facturar"/>
    <n v="0"/>
    <n v="0"/>
    <n v="0"/>
    <n v="0"/>
    <n v="0"/>
    <n v="0"/>
  </r>
  <r>
    <s v="Transportes silver"/>
    <s v="NC"/>
    <s v="0001 "/>
    <n v="7547"/>
    <s v="PRODUCTIVIDAD HUMANA"/>
    <n v="-426.30130400000002"/>
    <n v="0"/>
    <n v="0"/>
    <n v="0"/>
    <n v="0"/>
    <n v="-426.3"/>
    <n v="-426.3"/>
    <d v="2024-02-12T00:00:00"/>
    <d v="2024-02-12T00:00:00"/>
    <n v="-718"/>
    <s v="004-001"/>
    <s v="Euromobilia"/>
    <x v="4"/>
    <s v="NC"/>
    <n v="0"/>
    <n v="0"/>
    <n v="0"/>
    <n v="0"/>
    <n v="0"/>
    <n v="0"/>
  </r>
  <r>
    <s v="Transportes silver"/>
    <s v="NC"/>
    <s v="0001 "/>
    <n v="10745"/>
    <s v="PRODUCTIVIDAD HUMANA"/>
    <n v="-702.70431900000005"/>
    <n v="0"/>
    <n v="0"/>
    <n v="0"/>
    <n v="0"/>
    <n v="-702.7"/>
    <n v="-702.7"/>
    <d v="2024-05-31T00:00:00"/>
    <d v="2024-05-31T00:00:00"/>
    <n v="-609"/>
    <s v="004-001"/>
    <s v="Euromobilia"/>
    <x v="4"/>
    <s v="NC"/>
    <n v="0"/>
    <n v="0"/>
    <n v="0"/>
    <n v="0"/>
    <n v="0"/>
    <n v="0"/>
  </r>
  <r>
    <s v="TRIBUNAL SUPREMO DE ELECCIONES"/>
    <s v="FA"/>
    <s v="OF111"/>
    <n v="2100027324"/>
    <s v="PRODUCTIVIDAD HUMANA"/>
    <n v="0.01"/>
    <n v="0"/>
    <n v="0"/>
    <n v="0"/>
    <n v="0"/>
    <n v="0.01"/>
    <n v="0.01"/>
    <d v="2025-05-28T00:00:00"/>
    <d v="2025-06-27T00:00:00"/>
    <n v="-217"/>
    <s v="004-001"/>
    <s v="Euromobilia"/>
    <x v="5"/>
    <s v="Aplicar"/>
    <n v="0"/>
    <n v="0"/>
    <n v="0"/>
    <n v="0"/>
    <n v="0"/>
    <n v="0"/>
  </r>
  <r>
    <s v="TRON AB COSTA RICA SOCIEDAD ANONIMA"/>
    <s v="FA"/>
    <s v="0001 "/>
    <n v="1735"/>
    <s v="PRODUCTIVIDAD HUMANA"/>
    <n v="594.13"/>
    <n v="0"/>
    <n v="0"/>
    <n v="0"/>
    <n v="0"/>
    <n v="594.13"/>
    <n v="594.13"/>
    <d v="2023-04-13T00:00:00"/>
    <d v="2023-04-13T00:00:00"/>
    <n v="-1023"/>
    <s v="004-001"/>
    <s v="Euromobilia"/>
    <x v="6"/>
    <s v="Caso especial"/>
    <n v="0"/>
    <n v="0"/>
    <n v="0"/>
    <n v="0"/>
    <n v="0"/>
    <n v="0"/>
  </r>
  <r>
    <s v="TTA PROJECT MANAGEMENT SOCIEDAD DE RESPONSABILIDAD LIMITADA"/>
    <s v="NC"/>
    <s v="000  "/>
    <s v="AD00002282"/>
    <s v="PRODUCTIVIDAD HUMANA"/>
    <n v="-61.5"/>
    <n v="0"/>
    <n v="0"/>
    <n v="-61.5"/>
    <n v="0"/>
    <n v="0"/>
    <n v="-61.5"/>
    <d v="2025-12-29T00:00:00"/>
    <d v="2025-12-29T00:00:00"/>
    <n v="-32"/>
    <s v="001"/>
    <s v="Paneltec"/>
    <x v="4"/>
    <s v="NC"/>
    <n v="0"/>
    <n v="0"/>
    <n v="0"/>
    <n v="0"/>
    <n v="0"/>
    <n v="0"/>
  </r>
  <r>
    <s v="ULTRAPARK DOS SOCIEDAD ANONIMA"/>
    <s v="NC"/>
    <s v="34   "/>
    <s v="AD00002267"/>
    <s v="PRODUCTIVIDAD HUMANA"/>
    <n v="-8947.2000000000007"/>
    <n v="0"/>
    <n v="0"/>
    <n v="0"/>
    <n v="-8947.2000000000007"/>
    <n v="0"/>
    <n v="-8947.2000000000007"/>
    <d v="2025-11-13T00:00:00"/>
    <d v="2025-11-13T00:00:00"/>
    <n v="-78"/>
    <s v="001"/>
    <s v="Paneltec"/>
    <x v="7"/>
    <s v="Anticipo por facturar"/>
    <n v="0"/>
    <n v="0"/>
    <n v="0"/>
    <n v="0"/>
    <n v="0"/>
    <n v="0"/>
  </r>
  <r>
    <s v="UNIGROUP WORLDWIDE COSTA RICA SRL"/>
    <s v="NC"/>
    <s v="23   "/>
    <s v="AD00001477"/>
    <s v="PRODUCTIVIDAD HUMANA"/>
    <n v="-469.97"/>
    <n v="0"/>
    <n v="0"/>
    <n v="0"/>
    <n v="0"/>
    <n v="-469.97"/>
    <n v="-469.97"/>
    <d v="2019-03-21T00:00:00"/>
    <d v="2019-03-21T00:00:00"/>
    <n v="-2507"/>
    <s v="001"/>
    <s v="Paneltec"/>
    <x v="4"/>
    <s v="NC"/>
    <n v="0"/>
    <n v="0"/>
    <n v="0"/>
    <n v="0"/>
    <n v="0"/>
    <n v="0"/>
  </r>
  <r>
    <s v="UNION DEL OESTE DE COSTA RICA S.R.L                                        "/>
    <s v="NC"/>
    <s v="34   "/>
    <s v="AD00001315"/>
    <s v="PRODUCTIVIDAD HUMANA"/>
    <n v="-372.4"/>
    <n v="0"/>
    <n v="0"/>
    <n v="0"/>
    <n v="0"/>
    <n v="-372.4"/>
    <n v="-372.4"/>
    <d v="2018-06-07T00:00:00"/>
    <d v="2018-06-07T00:00:00"/>
    <n v="-2794"/>
    <s v="001"/>
    <s v="Paneltec"/>
    <x v="4"/>
    <s v="NC"/>
    <n v="0"/>
    <n v="0"/>
    <n v="0"/>
    <n v="0"/>
    <n v="0"/>
    <n v="0"/>
  </r>
  <r>
    <s v="Universidad de Costa Rica"/>
    <s v="FA"/>
    <s v="1354 "/>
    <n v="71031"/>
    <s v="PRODUCTIVIDAD HUMANA"/>
    <n v="72.83"/>
    <n v="0"/>
    <n v="0"/>
    <n v="0"/>
    <n v="0"/>
    <n v="72.83"/>
    <n v="72.83"/>
    <d v="2025-09-17T00:00:00"/>
    <d v="2025-10-17T00:00:00"/>
    <n v="-105"/>
    <s v="001"/>
    <s v="Paneltec"/>
    <x v="5"/>
    <s v="Aplicar"/>
    <n v="0"/>
    <n v="0"/>
    <n v="0"/>
    <n v="0"/>
    <n v="0"/>
    <n v="0"/>
  </r>
  <r>
    <s v="Universidad de Costa Rica"/>
    <s v="FA"/>
    <s v="1354 "/>
    <n v="71106"/>
    <s v="PRODUCTIVIDAD HUMANA"/>
    <n v="14.42"/>
    <n v="0"/>
    <n v="14.42"/>
    <n v="0"/>
    <n v="0"/>
    <n v="0"/>
    <n v="14.42"/>
    <d v="2025-12-11T00:00:00"/>
    <d v="2026-01-10T00:00:00"/>
    <n v="-20"/>
    <s v="001"/>
    <s v="Paneltec"/>
    <x v="5"/>
    <s v="Aplicar"/>
    <n v="0"/>
    <n v="0"/>
    <n v="0"/>
    <n v="0"/>
    <n v="0"/>
    <n v="0"/>
  </r>
  <r>
    <s v="UNIVERSIDAD DE COSTA RICA"/>
    <s v="FA"/>
    <s v="OF111"/>
    <n v="2100028444"/>
    <s v="PRODUCTIVIDAD HUMANA"/>
    <n v="7.41"/>
    <n v="0"/>
    <n v="0"/>
    <n v="7.41"/>
    <n v="0"/>
    <n v="0"/>
    <n v="7.41"/>
    <d v="2025-11-27T00:00:00"/>
    <d v="2025-12-27T00:00:00"/>
    <n v="-34"/>
    <s v="004-001"/>
    <s v="Euromobilia"/>
    <x v="5"/>
    <s v="Aplicar"/>
    <n v="0"/>
    <n v="0"/>
    <n v="0"/>
    <n v="0"/>
    <n v="0"/>
    <n v="0"/>
  </r>
  <r>
    <s v="Universidad de Costa Rica"/>
    <s v="FA"/>
    <s v="1354 "/>
    <n v="71050"/>
    <s v="PRODUCTIVIDAD HUMANA"/>
    <n v="3.95"/>
    <n v="0"/>
    <n v="0"/>
    <n v="0"/>
    <n v="3.95"/>
    <n v="0"/>
    <n v="3.95"/>
    <d v="2025-10-15T00:00:00"/>
    <d v="2025-11-14T00:00:00"/>
    <n v="-77"/>
    <s v="001"/>
    <s v="Paneltec"/>
    <x v="5"/>
    <s v="Aplicar"/>
    <n v="0"/>
    <n v="0"/>
    <n v="0"/>
    <n v="0"/>
    <n v="0"/>
    <n v="0"/>
  </r>
  <r>
    <s v="Universidad de Costa Rica"/>
    <s v="NC"/>
    <s v="23   "/>
    <s v="AD00002256"/>
    <s v="PRODUCTIVIDAD HUMANA"/>
    <n v="-7.7770000000000001E-3"/>
    <n v="0"/>
    <n v="0"/>
    <n v="0"/>
    <n v="0"/>
    <n v="-0.01"/>
    <n v="-0.01"/>
    <d v="2025-10-07T00:00:00"/>
    <d v="2025-10-07T00:00:00"/>
    <n v="-115"/>
    <s v="001"/>
    <s v="Paneltec"/>
    <x v="5"/>
    <s v="Aplicar"/>
    <n v="0"/>
    <n v="0"/>
    <n v="0"/>
    <n v="0"/>
    <n v="0"/>
    <n v="0"/>
  </r>
  <r>
    <s v="Universidad de Costa Rica"/>
    <s v="NC"/>
    <s v="23   "/>
    <s v="AD00002273"/>
    <s v="PRODUCTIVIDAD HUMANA"/>
    <n v="-1.99"/>
    <n v="0"/>
    <n v="0"/>
    <n v="0"/>
    <n v="-1.99"/>
    <n v="0"/>
    <n v="-1.99"/>
    <d v="2025-11-27T00:00:00"/>
    <d v="2025-11-27T00:00:00"/>
    <n v="-64"/>
    <s v="001"/>
    <s v="Paneltec"/>
    <x v="5"/>
    <s v="Aplicar"/>
    <n v="0"/>
    <n v="0"/>
    <n v="0"/>
    <n v="0"/>
    <n v="0"/>
    <n v="0"/>
  </r>
  <r>
    <s v="UNIVERSIDAD ESTATAL A DISTANCIA"/>
    <s v="FA"/>
    <s v="0001 "/>
    <n v="10624"/>
    <s v="PRODUCTIVIDAD HUMANA"/>
    <n v="6693.44"/>
    <n v="0"/>
    <n v="0"/>
    <n v="0"/>
    <n v="0"/>
    <n v="6693.44"/>
    <n v="6693.44"/>
    <d v="2024-05-28T00:00:00"/>
    <d v="2024-05-28T00:00:00"/>
    <n v="-612"/>
    <s v="004-001"/>
    <s v="Euromobilia"/>
    <x v="6"/>
    <s v="Caso especial"/>
    <n v="0"/>
    <n v="0"/>
    <n v="0"/>
    <n v="0"/>
    <n v="0"/>
    <n v="0"/>
  </r>
  <r>
    <s v="UNIVERSIDAD ESTATAL A DISTANCIA"/>
    <s v="FA"/>
    <s v="OF030"/>
    <n v="2100025072"/>
    <s v="PRODUCTIVIDAD HUMANA"/>
    <n v="1652.87"/>
    <n v="0"/>
    <n v="0"/>
    <n v="0"/>
    <n v="0"/>
    <n v="1652.87"/>
    <n v="1652.87"/>
    <d v="2024-06-25T00:00:00"/>
    <d v="2024-07-25T00:00:00"/>
    <n v="-554"/>
    <s v="004-001"/>
    <s v="Euromobilia"/>
    <x v="6"/>
    <s v="Caso especial"/>
    <n v="0"/>
    <n v="0"/>
    <n v="0"/>
    <n v="0"/>
    <n v="0"/>
    <n v="0"/>
  </r>
  <r>
    <s v="UNIVERSIDAD ESTATAL A DISTANCIA"/>
    <s v="FA"/>
    <s v="OF030"/>
    <n v="2100026159"/>
    <s v="PRODUCTIVIDAD HUMANA"/>
    <n v="1102.72"/>
    <n v="0"/>
    <n v="0"/>
    <n v="0"/>
    <n v="0"/>
    <n v="1102.72"/>
    <n v="1102.72"/>
    <d v="2024-11-14T00:00:00"/>
    <d v="2024-12-14T00:00:00"/>
    <n v="-412"/>
    <s v="004-001"/>
    <s v="Euromobilia"/>
    <x v="6"/>
    <s v="Caso especial"/>
    <n v="0"/>
    <n v="0"/>
    <n v="0"/>
    <n v="0"/>
    <n v="0"/>
    <n v="0"/>
  </r>
  <r>
    <s v="UNIVERSIDAD ESTATAL A DISTANCIA"/>
    <s v="FA"/>
    <s v="OF030"/>
    <n v="2100025071"/>
    <s v="PRODUCTIVIDAD HUMANA"/>
    <n v="406.15"/>
    <n v="0"/>
    <n v="0"/>
    <n v="0"/>
    <n v="0"/>
    <n v="406.15"/>
    <n v="406.15"/>
    <d v="2024-06-25T00:00:00"/>
    <d v="2024-07-25T00:00:00"/>
    <n v="-554"/>
    <s v="004-001"/>
    <s v="Euromobilia"/>
    <x v="6"/>
    <s v="Caso especial"/>
    <n v="0"/>
    <n v="0"/>
    <n v="0"/>
    <n v="0"/>
    <n v="0"/>
    <n v="0"/>
  </r>
  <r>
    <s v="Universidad U Latina S.R.L"/>
    <s v="NC"/>
    <s v="53   "/>
    <n v="929"/>
    <s v="PRODUCTIVIDAD HUMANA"/>
    <n v="-100"/>
    <n v="0"/>
    <n v="0"/>
    <n v="0"/>
    <n v="0"/>
    <n v="-100"/>
    <n v="-100"/>
    <d v="2017-01-26T00:00:00"/>
    <d v="2017-02-25T00:00:00"/>
    <n v="-3261"/>
    <s v="001"/>
    <s v="Paneltec"/>
    <x v="4"/>
    <s v="NC"/>
    <n v="0"/>
    <n v="0"/>
    <n v="0"/>
    <n v="0"/>
    <n v="0"/>
    <n v="0"/>
  </r>
  <r>
    <s v="UNOPETROL COSTA RICA SOCIEDAD DE RESPONSABILIDAD LIMITADA"/>
    <s v="NC"/>
    <s v="OF313"/>
    <s v="AD00026407"/>
    <s v="PRODUCTIVIDAD HUMANA"/>
    <n v="-3011.838737"/>
    <n v="0"/>
    <n v="0"/>
    <n v="-3011.84"/>
    <n v="0"/>
    <n v="0"/>
    <n v="-3011.84"/>
    <d v="2025-12-17T00:00:00"/>
    <d v="2025-12-17T00:00:00"/>
    <n v="-44"/>
    <s v="004-001"/>
    <s v="Euromobilia"/>
    <x v="5"/>
    <s v="Aplicar"/>
    <n v="0"/>
    <n v="0"/>
    <n v="0"/>
    <n v="0"/>
    <n v="0"/>
    <n v="0"/>
  </r>
  <r>
    <s v="VETRASA SA"/>
    <s v="NC"/>
    <s v="000  "/>
    <s v="AD00025622"/>
    <s v="PRODUCTIVIDAD HUMANA"/>
    <n v="-148.23315700000001"/>
    <n v="0"/>
    <n v="0"/>
    <n v="0"/>
    <n v="0"/>
    <n v="-148.22999999999999"/>
    <n v="-148.22999999999999"/>
    <d v="2025-05-02T00:00:00"/>
    <d v="2025-05-02T00:00:00"/>
    <n v="-273"/>
    <s v="004-001"/>
    <s v="Euromobilia"/>
    <x v="5"/>
    <s v="Aplicar"/>
    <n v="0"/>
    <n v="0"/>
    <n v="0"/>
    <n v="0"/>
    <n v="0"/>
    <n v="0"/>
  </r>
  <r>
    <s v="Wright Medical Costa Rica, S.A."/>
    <s v="NC"/>
    <s v="005  "/>
    <s v="AD00001087"/>
    <s v="PRODUCTIVIDAD HUMANA"/>
    <n v="-540"/>
    <n v="0"/>
    <n v="0"/>
    <n v="0"/>
    <n v="0"/>
    <n v="-540"/>
    <n v="-540"/>
    <d v="2017-05-30T00:00:00"/>
    <d v="2017-05-30T00:00:00"/>
    <n v="-3167"/>
    <s v="001"/>
    <s v="Paneltec"/>
    <x v="4"/>
    <s v="NC"/>
    <n v="0"/>
    <n v="0"/>
    <n v="0"/>
    <n v="0"/>
    <n v="0"/>
    <n v="0"/>
  </r>
  <r>
    <s v="Zona Franca Coyol S.A. NO USAR"/>
    <s v="NC"/>
    <s v="34   "/>
    <s v="AD00001159"/>
    <s v="PRODUCTIVIDAD HUMANA"/>
    <n v="-132.44"/>
    <n v="0"/>
    <n v="0"/>
    <n v="0"/>
    <n v="0"/>
    <n v="-132.44"/>
    <n v="-132.44"/>
    <d v="2017-09-21T00:00:00"/>
    <d v="2017-09-21T00:00:00"/>
    <n v="-3053"/>
    <s v="001"/>
    <s v="Paneltec"/>
    <x v="4"/>
    <s v="NC"/>
    <n v="0"/>
    <n v="0"/>
    <n v="0"/>
    <n v="0"/>
    <n v="0"/>
    <n v="0"/>
  </r>
  <r>
    <s v="CONTRACT WORKPLACES COSTA RICA SOCIEDAD ANONIMA"/>
    <s v="FA"/>
    <s v="1354 "/>
    <n v="71144"/>
    <s v="PRODUCTIVIDAD HUMANA"/>
    <n v="20753.21"/>
    <n v="20753.21"/>
    <n v="0"/>
    <n v="0"/>
    <n v="0"/>
    <n v="0"/>
    <n v="20753.21"/>
    <d v="2026-01-23T00:00:00"/>
    <d v="2026-02-22T00:00:00"/>
    <n v="23"/>
    <s v="001"/>
    <s v="Paneltec"/>
    <x v="0"/>
    <d v="2026-03-01T00:00:00"/>
    <n v="0"/>
    <n v="20753.21"/>
    <m/>
    <m/>
    <m/>
    <m/>
  </r>
  <r>
    <s v="CONTRACT WORKPLACES COSTA RICA SOCIEDAD ANONIMA"/>
    <s v="FA"/>
    <s v="1354 "/>
    <n v="71143"/>
    <s v="PRODUCTIVIDAD HUMANA"/>
    <n v="14152.09"/>
    <n v="14152.09"/>
    <n v="0"/>
    <n v="0"/>
    <n v="0"/>
    <n v="0"/>
    <n v="14152.09"/>
    <d v="2026-01-23T00:00:00"/>
    <d v="2026-02-22T00:00:00"/>
    <n v="23"/>
    <s v="001"/>
    <s v="Paneltec"/>
    <x v="0"/>
    <d v="2026-03-01T00:00:00"/>
    <n v="0"/>
    <n v="14152.09"/>
    <m/>
    <m/>
    <m/>
    <m/>
  </r>
  <r>
    <s v="CRHOY SOCIEDAD ANONIMA"/>
    <s v="FA"/>
    <s v="111  "/>
    <n v="71148"/>
    <s v="PRODUCTIVIDAD HUMANA"/>
    <n v="51302.98"/>
    <n v="51302.98"/>
    <n v="0"/>
    <n v="0"/>
    <n v="0"/>
    <n v="0"/>
    <n v="51302.98"/>
    <d v="2026-01-23T00:00:00"/>
    <d v="2026-03-09T00:00:00"/>
    <n v="38"/>
    <s v="001"/>
    <s v="Paneltec"/>
    <x v="0"/>
    <d v="2026-03-01T00:00:00"/>
    <n v="0"/>
    <n v="51302.98"/>
    <m/>
    <m/>
    <m/>
    <m/>
  </r>
  <r>
    <s v="PUBLIEFECTO SOCIEDAD ANONIMA"/>
    <s v="FA"/>
    <s v="1354 "/>
    <n v="71149"/>
    <s v="PRODUCTIVIDAD HUMANA"/>
    <n v="421.15"/>
    <n v="0"/>
    <n v="421.15"/>
    <n v="0"/>
    <n v="0"/>
    <n v="0"/>
    <n v="421.15"/>
    <d v="2026-01-28T00:00:00"/>
    <d v="2026-01-29T00:00:00"/>
    <n v="-1"/>
    <s v="001"/>
    <s v="Paneltec"/>
    <x v="5"/>
    <s v="Aplicar"/>
    <n v="0"/>
    <m/>
    <m/>
    <m/>
    <m/>
    <m/>
  </r>
  <r>
    <s v="Universidad de Costa Rica"/>
    <s v="FA"/>
    <s v="77   "/>
    <n v="71138"/>
    <s v="PRODUCTIVIDAD HUMANA"/>
    <n v="1734"/>
    <n v="1734"/>
    <n v="0"/>
    <n v="0"/>
    <n v="0"/>
    <n v="0"/>
    <n v="1734"/>
    <d v="2026-01-16T00:00:00"/>
    <d v="2026-03-02T00:00:00"/>
    <n v="31"/>
    <s v="001"/>
    <s v="Paneltec"/>
    <x v="0"/>
    <d v="2026-03-01T00:00:00"/>
    <n v="0"/>
    <n v="1734"/>
    <m/>
    <m/>
    <m/>
    <m/>
  </r>
  <r>
    <s v="VALLE DORADO MONTESSORI SOCIEDAD ANONIMA"/>
    <s v="FA"/>
    <s v="OF116"/>
    <n v="2100028700"/>
    <s v="PRODUCTIVIDAD HUMANA"/>
    <n v="2976.45"/>
    <n v="0"/>
    <n v="2976.45"/>
    <n v="0"/>
    <n v="0"/>
    <n v="0"/>
    <n v="2976.45"/>
    <d v="2026-01-15T00:00:00"/>
    <d v="2026-01-16T00:00:00"/>
    <n v="-14"/>
    <s v="004-001"/>
    <s v="Euromobilia"/>
    <x v="5"/>
    <s v="Aplicar"/>
    <n v="0"/>
    <m/>
    <m/>
    <m/>
    <m/>
    <m/>
  </r>
  <r>
    <s v="ZONA FRANCA LA LIMA, SOCIEDAD DE RESPONSABILIDAD LIMITADA"/>
    <s v="FA"/>
    <s v="1354 "/>
    <n v="71153"/>
    <s v="PRODUCTIVIDAD HUMANA"/>
    <n v="7098.69"/>
    <n v="7098.69"/>
    <n v="0"/>
    <n v="0"/>
    <n v="0"/>
    <n v="0"/>
    <n v="7098.69"/>
    <d v="2026-01-30T00:00:00"/>
    <d v="2026-03-01T00:00:00"/>
    <n v="30"/>
    <s v="002"/>
    <s v="Paneltec"/>
    <x v="0"/>
    <d v="2026-03-01T00:00:00"/>
    <n v="0"/>
    <n v="7098.69"/>
    <m/>
    <m/>
    <m/>
    <m/>
  </r>
  <r>
    <s v="ZONA FRANCA LA LIMA, SOCIEDAD DE RESPONSABILIDAD LIMITADA"/>
    <s v="FA"/>
    <s v="1354 "/>
    <n v="71152"/>
    <s v="PRODUCTIVIDAD HUMANA"/>
    <n v="4383.6899999999996"/>
    <n v="4383.6899999999996"/>
    <n v="0"/>
    <n v="0"/>
    <n v="0"/>
    <n v="0"/>
    <n v="4383.6899999999996"/>
    <d v="2026-01-30T00:00:00"/>
    <d v="2026-03-01T00:00:00"/>
    <n v="30"/>
    <s v="002"/>
    <s v="Paneltec"/>
    <x v="0"/>
    <d v="2026-03-01T00:00:00"/>
    <n v="0"/>
    <n v="4383.6899999999996"/>
    <m/>
    <m/>
    <m/>
    <m/>
  </r>
  <r>
    <s v="ASOCIACION CENTRO DE INVESTIGACION Y ADIESTRAMIENTO POLITICO ADMINISTRATIVO"/>
    <s v="NC"/>
    <s v="OF312"/>
    <s v="AD00026442"/>
    <s v="PRODUCTIVIDAD HUMANA"/>
    <n v="-4323"/>
    <n v="0"/>
    <n v="-4323"/>
    <n v="0"/>
    <n v="0"/>
    <n v="0"/>
    <n v="-4323"/>
    <d v="2026-01-07T00:00:00"/>
    <d v="2026-01-07T00:00:00"/>
    <n v="-23"/>
    <s v="004-001"/>
    <s v="Euromobilia"/>
    <x v="7"/>
    <s v="Anticipo por facturar"/>
    <m/>
    <m/>
    <m/>
    <m/>
    <m/>
    <m/>
  </r>
  <r>
    <s v="BD CONSULTORES COSTA RICA, SOCIEDAD ANONIMA"/>
    <s v="NC"/>
    <s v="1354 "/>
    <s v="AD00002286"/>
    <s v="PRODUCTIVIDAD HUMANA"/>
    <n v="-0.1"/>
    <n v="0"/>
    <n v="-0.1"/>
    <n v="0"/>
    <n v="0"/>
    <n v="0"/>
    <n v="-0.1"/>
    <d v="2026-01-12T00:00:00"/>
    <d v="2026-01-12T00:00:00"/>
    <n v="-18"/>
    <s v="001"/>
    <s v="Paneltec"/>
    <x v="5"/>
    <s v="Aplicar"/>
    <m/>
    <m/>
    <m/>
    <m/>
    <m/>
    <m/>
  </r>
  <r>
    <s v="CARIARI PREMIUM OUTLETS SOCIEDAD ANONIMA"/>
    <s v="NC"/>
    <s v="111  "/>
    <s v="AD00002285"/>
    <s v="PRODUCTIVIDAD HUMANA"/>
    <n v="-10965.07"/>
    <n v="0"/>
    <n v="-10965.07"/>
    <n v="0"/>
    <n v="0"/>
    <n v="0"/>
    <n v="-10965.07"/>
    <d v="2026-01-05T00:00:00"/>
    <d v="2026-01-05T00:00:00"/>
    <n v="-25"/>
    <s v="001"/>
    <s v="Paneltec"/>
    <x v="7"/>
    <s v="Anticipo por facturar"/>
    <m/>
    <m/>
    <m/>
    <m/>
    <m/>
    <m/>
  </r>
  <r>
    <s v="CONSTRUCTORA ENRIQUE MUÑOZ S.A."/>
    <s v="NC"/>
    <s v="005  "/>
    <s v="AD00002290"/>
    <s v="PRODUCTIVIDAD HUMANA"/>
    <n v="-26694"/>
    <n v="0"/>
    <n v="-26694"/>
    <n v="0"/>
    <n v="0"/>
    <n v="0"/>
    <n v="-26694"/>
    <d v="2026-01-27T00:00:00"/>
    <d v="2026-01-27T00:00:00"/>
    <n v="-3"/>
    <s v="001"/>
    <s v="Paneltec"/>
    <x v="7"/>
    <s v="Anticipo por facturar"/>
    <m/>
    <m/>
    <m/>
    <m/>
    <m/>
    <m/>
  </r>
  <r>
    <s v="CONSTRUCTORA GONZALO DELGADO SOCIEDAD ANONIMA"/>
    <s v="NC"/>
    <s v="0181 "/>
    <s v="AD00026476"/>
    <s v="PRODUCTIVIDAD HUMANA"/>
    <n v="-84330.57"/>
    <n v="0"/>
    <n v="-84330.57"/>
    <n v="0"/>
    <n v="0"/>
    <n v="0"/>
    <n v="-84330.57"/>
    <d v="2026-01-19T00:00:00"/>
    <d v="2026-01-19T00:00:00"/>
    <n v="-11"/>
    <s v="004-001"/>
    <s v="Euromobilia"/>
    <x v="5"/>
    <s v="Aplicar"/>
    <m/>
    <m/>
    <m/>
    <m/>
    <m/>
    <m/>
  </r>
  <r>
    <s v="EDIFICAR S.A"/>
    <s v="NC"/>
    <s v="OF030"/>
    <s v="AD00026470"/>
    <s v="PRODUCTIVIDAD HUMANA"/>
    <n v="-1500"/>
    <n v="0"/>
    <n v="-1500"/>
    <n v="0"/>
    <n v="0"/>
    <n v="0"/>
    <n v="-1500"/>
    <d v="2026-01-14T00:00:00"/>
    <d v="2026-01-14T00:00:00"/>
    <n v="-16"/>
    <s v="004-001"/>
    <s v="Euromobilia"/>
    <x v="7"/>
    <s v="Anticipo por facturar"/>
    <m/>
    <m/>
    <m/>
    <m/>
    <m/>
    <m/>
  </r>
  <r>
    <s v="EVOLUTION FREE ZONE SOCIEDAD ANONIMA"/>
    <s v="NC"/>
    <s v="OF030"/>
    <s v="AD00026498"/>
    <s v="PRODUCTIVIDAD HUMANA"/>
    <n v="-201436.02"/>
    <n v="0"/>
    <n v="-201436.02"/>
    <n v="0"/>
    <n v="0"/>
    <n v="0"/>
    <n v="-201436.02"/>
    <d v="2026-01-26T00:00:00"/>
    <d v="2026-01-26T00:00:00"/>
    <n v="-4"/>
    <s v="004-001"/>
    <s v="Euromobilia"/>
    <x v="7"/>
    <s v="Anticipo por facturar"/>
    <m/>
    <m/>
    <m/>
    <m/>
    <m/>
    <m/>
  </r>
  <r>
    <s v="GRUPO DESARROLLADOR DE PARQUES INDUSTRIALES SOCIEDAD ANONIMA"/>
    <s v="NC"/>
    <s v="000  "/>
    <s v="AD00002289"/>
    <s v="PRODUCTIVIDAD HUMANA"/>
    <n v="-4562.1000000000004"/>
    <n v="0"/>
    <n v="-4562.1000000000004"/>
    <n v="0"/>
    <n v="0"/>
    <n v="0"/>
    <n v="-4562.1000000000004"/>
    <d v="2026-01-27T00:00:00"/>
    <d v="2026-01-27T00:00:00"/>
    <n v="-3"/>
    <s v="001"/>
    <s v="Paneltec"/>
    <x v="7"/>
    <s v="Anticipo por facturar"/>
    <m/>
    <m/>
    <m/>
    <m/>
    <m/>
    <m/>
  </r>
  <r>
    <s v="HOSPEDAJE AEROPUERTO S M SOCIEDAD ANONIMA"/>
    <s v="NC"/>
    <s v="111  "/>
    <s v="AD00002287"/>
    <s v="PRODUCTIVIDAD HUMANA"/>
    <n v="-31156.74"/>
    <n v="0"/>
    <n v="-31156.74"/>
    <n v="0"/>
    <n v="0"/>
    <n v="0"/>
    <n v="-31156.74"/>
    <d v="2026-01-13T00:00:00"/>
    <d v="2026-01-13T00:00:00"/>
    <n v="-17"/>
    <s v="001"/>
    <s v="Paneltec"/>
    <x v="7"/>
    <s v="Anticipo por facturar"/>
    <m/>
    <m/>
    <m/>
    <m/>
    <m/>
    <m/>
  </r>
  <r>
    <s v="INDIRA SOLANO VINDAS"/>
    <s v="FA"/>
    <s v="OF030"/>
    <n v="2100028681"/>
    <s v="PRODUCTIVIDAD HUMANA"/>
    <n v="378.55"/>
    <n v="0"/>
    <n v="378.55"/>
    <n v="0"/>
    <n v="0"/>
    <n v="0"/>
    <n v="378.55"/>
    <d v="2026-01-09T00:00:00"/>
    <d v="2026-01-14T00:00:00"/>
    <n v="-16"/>
    <s v="004-001"/>
    <s v="Euromobilia"/>
    <x v="6"/>
    <s v="Caso especial"/>
    <m/>
    <m/>
    <m/>
    <m/>
    <m/>
    <m/>
  </r>
  <r>
    <s v="INSTITUTO NACIONAL DE SEGUROS"/>
    <s v="NC"/>
    <s v="000  "/>
    <n v="4931"/>
    <s v="PRODUCTIVIDAD HUMANA"/>
    <n v="-101.91"/>
    <n v="0"/>
    <n v="-101.91"/>
    <n v="0"/>
    <n v="0"/>
    <n v="0"/>
    <n v="-101.91"/>
    <d v="2026-01-15T00:00:00"/>
    <d v="2026-01-15T00:00:00"/>
    <n v="-15"/>
    <s v="004-001"/>
    <s v="Euromobilia"/>
    <x v="5"/>
    <s v="Aplicar"/>
    <m/>
    <m/>
    <m/>
    <m/>
    <m/>
    <m/>
  </r>
  <r>
    <s v="LITOGRAFIA SAN RAFAEL SOCIEDAD ANONIMA"/>
    <s v="FA"/>
    <s v="OF116"/>
    <n v="2100028675"/>
    <s v="PRODUCTIVIDAD HUMANA"/>
    <n v="1"/>
    <n v="0"/>
    <n v="1"/>
    <n v="0"/>
    <n v="0"/>
    <n v="0"/>
    <n v="1"/>
    <d v="2026-01-08T00:00:00"/>
    <d v="2026-01-09T00:00:00"/>
    <n v="-21"/>
    <s v="004-001"/>
    <s v="Euromobilia"/>
    <x v="5"/>
    <s v="Aplicar"/>
    <m/>
    <m/>
    <m/>
    <m/>
    <m/>
    <m/>
  </r>
  <r>
    <s v="LUMEN ILUMINACION SOCIEDAD ANONIMA"/>
    <s v="NC"/>
    <s v="000  "/>
    <s v="AD00026499"/>
    <s v="PRODUCTIVIDAD HUMANA"/>
    <n v="-892.7"/>
    <n v="0"/>
    <n v="-892.7"/>
    <n v="0"/>
    <n v="0"/>
    <n v="0"/>
    <n v="-892.7"/>
    <d v="2026-01-27T00:00:00"/>
    <d v="2026-01-27T00:00:00"/>
    <n v="-3"/>
    <s v="004-001"/>
    <s v="Euromobilia"/>
    <x v="7"/>
    <s v="Anticipo por facturar"/>
    <m/>
    <m/>
    <m/>
    <m/>
    <m/>
    <m/>
  </r>
  <r>
    <s v="MUNICIPALIDAD DE ALAJUELA"/>
    <s v="NC"/>
    <s v="1354 "/>
    <s v="AD00002288"/>
    <s v="PRODUCTIVIDAD HUMANA"/>
    <n v="-0.15"/>
    <n v="0"/>
    <n v="-0.15"/>
    <n v="0"/>
    <n v="0"/>
    <n v="0"/>
    <n v="-0.15"/>
    <d v="2026-01-21T00:00:00"/>
    <d v="2026-01-21T00:00:00"/>
    <n v="-9"/>
    <s v="001"/>
    <s v="Paneltec"/>
    <x v="5"/>
    <s v="Aplicar"/>
    <m/>
    <m/>
    <m/>
    <m/>
    <m/>
    <m/>
  </r>
  <r>
    <s v="NITINOL DEVICES &amp; COMPONENTS COSTA RICA SRL"/>
    <s v="NC"/>
    <s v="OF313"/>
    <n v="56489"/>
    <s v="PRODUCTIVIDAD HUMANA"/>
    <n v="-405.96"/>
    <n v="0"/>
    <n v="-405.96"/>
    <n v="0"/>
    <n v="0"/>
    <n v="0"/>
    <n v="-405.96"/>
    <d v="2026-01-15T00:00:00"/>
    <d v="2026-01-15T00:00:00"/>
    <n v="-15"/>
    <s v="004-001"/>
    <s v="Euromobilia"/>
    <x v="5"/>
    <s v="Aplicar"/>
    <m/>
    <m/>
    <m/>
    <m/>
    <m/>
    <m/>
  </r>
  <r>
    <s v="PUBLIEFECTO SOCIEDAD ANONIMA"/>
    <s v="NC"/>
    <s v="1354 "/>
    <n v="51151"/>
    <s v="PRODUCTIVIDAD HUMANA"/>
    <n v="-421.15"/>
    <n v="0"/>
    <n v="-421.15"/>
    <n v="0"/>
    <n v="0"/>
    <n v="0"/>
    <n v="-421.15"/>
    <d v="2026-01-28T00:00:00"/>
    <d v="2026-01-28T00:00:00"/>
    <n v="-2"/>
    <s v="001"/>
    <s v="Paneltec"/>
    <x v="5"/>
    <s v="Aplicar"/>
    <m/>
    <m/>
    <m/>
    <m/>
    <m/>
    <m/>
  </r>
  <r>
    <s v="STEWART TITLE GUARANTY COMPANY"/>
    <s v="FA"/>
    <s v="OF312"/>
    <n v="2100028763"/>
    <s v="PRODUCTIVIDAD HUMANA"/>
    <n v="14563"/>
    <n v="0"/>
    <n v="14563"/>
    <n v="0"/>
    <n v="0"/>
    <n v="0"/>
    <n v="14563"/>
    <d v="2026-01-26T00:00:00"/>
    <d v="2026-01-27T00:00:00"/>
    <n v="-3"/>
    <s v="004-001"/>
    <s v="Euromobilia"/>
    <x v="5"/>
    <s v="Aplicar"/>
    <m/>
    <m/>
    <m/>
    <m/>
    <m/>
    <m/>
  </r>
  <r>
    <s v="STEWART TITLE GUARANTY COMPANY"/>
    <s v="NC"/>
    <s v="OF312"/>
    <n v="56511"/>
    <s v="PRODUCTIVIDAD HUMANA"/>
    <n v="-14563"/>
    <n v="0"/>
    <n v="-14563"/>
    <n v="0"/>
    <n v="0"/>
    <n v="0"/>
    <n v="-14563"/>
    <d v="2026-01-26T00:00:00"/>
    <d v="2026-01-26T00:00:00"/>
    <n v="-4"/>
    <s v="004-001"/>
    <s v="Euromobilia"/>
    <x v="5"/>
    <s v="Aplicar"/>
    <m/>
    <m/>
    <m/>
    <m/>
    <m/>
    <m/>
  </r>
  <r>
    <s v="SUMINISTROS INDUSTRIALES SOTO ESPINOZA S.A."/>
    <s v="NC"/>
    <s v="000  "/>
    <s v="AD00026474"/>
    <s v="PRODUCTIVIDAD HUMANA"/>
    <n v="-80000"/>
    <n v="0"/>
    <n v="-80000"/>
    <n v="0"/>
    <n v="0"/>
    <n v="0"/>
    <n v="-80000"/>
    <d v="2026-01-16T00:00:00"/>
    <d v="2026-01-16T00:00:00"/>
    <n v="-14"/>
    <s v="004-001"/>
    <s v="Euromobilia"/>
    <x v="5"/>
    <s v="Aplicar"/>
    <m/>
    <m/>
    <m/>
    <m/>
    <m/>
    <m/>
  </r>
  <r>
    <s v="TECNOMED QUINIENTOS SEIS SOCIEDAD ANONIMA"/>
    <s v="NC"/>
    <s v="OF312"/>
    <s v="AD00026472"/>
    <s v="PRODUCTIVIDAD HUMANA"/>
    <n v="-9603.07"/>
    <n v="0"/>
    <n v="-9603.07"/>
    <n v="0"/>
    <n v="0"/>
    <n v="0"/>
    <n v="-9603.07"/>
    <d v="2026-01-15T00:00:00"/>
    <d v="2026-01-15T00:00:00"/>
    <n v="-15"/>
    <s v="004-001"/>
    <s v="Euromobilia"/>
    <x v="7"/>
    <s v="Anticipo por facturar"/>
    <m/>
    <m/>
    <m/>
    <m/>
    <m/>
    <m/>
  </r>
  <r>
    <s v="TECNOMED QUINIENTOS SEIS SOCIEDAD ANONIMA"/>
    <s v="NC"/>
    <s v="OF312"/>
    <s v="AD00026473"/>
    <s v="PRODUCTIVIDAD HUMANA"/>
    <n v="-2012.8"/>
    <n v="0"/>
    <n v="-2012.8"/>
    <n v="0"/>
    <n v="0"/>
    <n v="0"/>
    <n v="-2012.8"/>
    <d v="2026-01-15T00:00:00"/>
    <d v="2026-01-15T00:00:00"/>
    <n v="-15"/>
    <s v="004-001"/>
    <s v="Euromobilia"/>
    <x v="7"/>
    <s v="Anticipo por facturar"/>
    <m/>
    <m/>
    <m/>
    <m/>
    <m/>
    <m/>
  </r>
  <r>
    <s v="VALLE DORADO MONTESSORI SOCIEDAD ANONIMA"/>
    <s v="NC"/>
    <s v="OF116"/>
    <s v="AD00026471"/>
    <s v="PRODUCTIVIDAD HUMANA"/>
    <n v="-2976.45"/>
    <n v="0"/>
    <n v="-2976.45"/>
    <n v="0"/>
    <n v="0"/>
    <n v="0"/>
    <n v="-2976.45"/>
    <d v="2026-01-14T00:00:00"/>
    <d v="2026-01-14T00:00:00"/>
    <n v="-16"/>
    <s v="004-001"/>
    <s v="Euromobilia"/>
    <x v="5"/>
    <s v="Aplicar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C1AF0-368A-4B00-825B-DB501C0DE66B}" name="TablaDinámica2" cacheId="1" dataOnRows="1" applyNumberFormats="0" applyBorderFormats="0" applyFontFormats="0" applyPatternFormats="0" applyAlignmentFormats="0" applyWidthHeightFormats="1" dataCaption="Proyección cobro" updatedVersion="8" minRefreshableVersion="3" useAutoFormatting="1" itemPrintTitles="1" createdVersion="8" indent="0" outline="1" outlineData="1" multipleFieldFilters="0">
  <location ref="B3:C7" firstHeaderRow="1" firstDataRow="1" firstDataCol="1"/>
  <pivotFields count="25"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164" showAll="0"/>
    <pivotField numFmtId="164" showAll="0"/>
    <pivotField numFmtId="1" showAll="0"/>
    <pivotField showAll="0"/>
    <pivotField showAll="0"/>
    <pivotField showAll="0">
      <items count="11">
        <item x="7"/>
        <item x="5"/>
        <item x="8"/>
        <item x="6"/>
        <item x="1"/>
        <item x="4"/>
        <item x="3"/>
        <item x="2"/>
        <item m="1" x="9"/>
        <item x="0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name="Monto Febrero" fld="19" baseField="0" baseItem="0"/>
    <dataField name="Monto Marzo" fld="20" baseField="0" baseItem="0"/>
    <dataField name="Monto Abril" fld="21" baseField="0" baseItem="0"/>
    <dataField name="Arreglo Pago" fld="22" baseField="0" baseItem="0"/>
  </dataFields>
  <formats count="8">
    <format dxfId="64">
      <pivotArea outline="0" collapsedLevelsAreSubtotals="1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dataOnly="0" labelOnly="1" grandCol="1" outline="0" axis="axisCol" fieldPosition="0"/>
    </format>
    <format dxfId="60">
      <pivotArea field="-2" type="button" dataOnly="0" labelOnly="1" outline="0" axis="axisRow" fieldPosition="0"/>
    </format>
    <format dxfId="59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58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57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45855-A652-4D76-A5D0-F71DFB7BC31C}" name="TablaDinámica1" cacheId="0" applyNumberFormats="0" applyBorderFormats="0" applyFontFormats="0" applyPatternFormats="0" applyAlignmentFormats="0" applyWidthHeightFormats="1" dataCaption="Vencimiento CXC" updatedVersion="8" minRefreshableVersion="3" useAutoFormatting="1" itemPrintTitles="1" createdVersion="8" indent="0" outline="1" outlineData="1" multipleFieldFilters="0" rowHeaderCaption="Mes">
  <location ref="B3:H8" firstHeaderRow="0" firstDataRow="1" firstDataCol="1"/>
  <pivotFields count="25">
    <pivotField showAll="0"/>
    <pivotField showAll="0"/>
    <pivotField showAll="0"/>
    <pivotField showAll="0"/>
    <pivotField showAll="0"/>
    <pivotField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numFmtId="164" showAll="0"/>
    <pivotField numFmtId="164" showAll="0"/>
    <pivotField numFmtId="1" showAll="0"/>
    <pivotField showAll="0"/>
    <pivotField showAll="0">
      <items count="3">
        <item h="1" x="0"/>
        <item x="1"/>
        <item t="default"/>
      </items>
    </pivotField>
    <pivotField showAll="0">
      <items count="12">
        <item h="1" x="7"/>
        <item h="1" x="5"/>
        <item x="8"/>
        <item x="6"/>
        <item x="1"/>
        <item h="1" x="4"/>
        <item x="3"/>
        <item x="2"/>
        <item m="1" x="9"/>
        <item x="0"/>
        <item m="1" x="10"/>
        <item t="default"/>
      </items>
    </pivotField>
    <pivotField axis="axisRow" showAll="0">
      <items count="21">
        <item m="1" x="19"/>
        <item m="1" x="18"/>
        <item m="1" x="14"/>
        <item m="1" x="13"/>
        <item m="1" x="12"/>
        <item m="1" x="11"/>
        <item m="1" x="10"/>
        <item m="1" x="9"/>
        <item m="1" x="8"/>
        <item x="4"/>
        <item x="6"/>
        <item x="3"/>
        <item m="1" x="17"/>
        <item m="1" x="15"/>
        <item m="1" x="16"/>
        <item x="0"/>
        <item x="1"/>
        <item x="2"/>
        <item x="7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8"/>
  </rowFields>
  <rowItems count="5">
    <i>
      <x v="15"/>
    </i>
    <i>
      <x v="16"/>
    </i>
    <i>
      <x v="17"/>
    </i>
    <i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inVencer" fld="6" baseField="0" baseItem="0" numFmtId="43"/>
    <dataField name="+30Dias" fld="7" baseField="0" baseItem="0" numFmtId="43"/>
    <dataField name="+60Dias" fld="8" baseField="0" baseItem="0" numFmtId="43"/>
    <dataField name="90Dias" fld="9" baseField="0" baseItem="0" numFmtId="43"/>
    <dataField name="+90Dias" fld="10" baseField="0" baseItem="0" numFmtId="43"/>
    <dataField name="Gran Total" fld="11" baseField="0" baseItem="0" numFmtId="43"/>
  </dataFields>
  <formats count="29">
    <format dxfId="56">
      <pivotArea outline="0" collapsedLevelsAreSubtotals="1" fieldPosition="0"/>
    </format>
    <format dxfId="55">
      <pivotArea type="all" dataOnly="0" outline="0" fieldPosition="0"/>
    </format>
    <format dxfId="54">
      <pivotArea field="-2" type="button" dataOnly="0" labelOnly="1" outline="0" axis="axisCol" fieldPosition="0"/>
    </format>
    <format dxfId="53">
      <pivotArea field="-2" type="button" dataOnly="0" labelOnly="1" outline="0" axis="axisCol" fieldPosition="0"/>
    </format>
    <format dxfId="52">
      <pivotArea outline="0" collapsedLevelsAreSubtotals="1" fieldPosition="0"/>
    </format>
    <format dxfId="51">
      <pivotArea field="18" type="button" dataOnly="0" labelOnly="1" outline="0" axis="axisRow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8" type="button" dataOnly="0" labelOnly="1" outline="0" axis="axisRow" fieldPosition="0"/>
    </format>
    <format dxfId="47">
      <pivotArea dataOnly="0" labelOnly="1" grandRow="1" outline="0" fieldPosition="0"/>
    </format>
    <format dxfId="46">
      <pivotArea dataOnly="0" labelOnly="1" fieldPosition="0">
        <references count="1">
          <reference field="18" count="0"/>
        </references>
      </pivotArea>
    </format>
    <format dxfId="45">
      <pivotArea collapsedLevelsAreSubtotals="1" fieldPosition="0">
        <references count="1">
          <reference field="18" count="1">
            <x v="19"/>
          </reference>
        </references>
      </pivotArea>
    </format>
    <format dxfId="44">
      <pivotArea dataOnly="0" labelOnly="1" fieldPosition="0">
        <references count="1">
          <reference field="18" count="1">
            <x v="19"/>
          </reference>
        </references>
      </pivotArea>
    </format>
    <format dxfId="4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2">
      <pivotArea outline="0" collapsedLevelsAreSubtotals="1" fieldPosition="0"/>
    </format>
    <format dxfId="4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0">
      <pivotArea collapsedLevelsAreSubtotals="1" fieldPosition="0">
        <references count="2">
          <reference field="4294967294" count="1" selected="0">
            <x v="5"/>
          </reference>
          <reference field="18" count="2">
            <x v="0"/>
            <x v="1"/>
          </reference>
        </references>
      </pivotArea>
    </format>
    <format dxfId="39">
      <pivotArea collapsedLevelsAreSubtotals="1" fieldPosition="0">
        <references count="2">
          <reference field="4294967294" count="1" selected="0">
            <x v="5"/>
          </reference>
          <reference field="18" count="2">
            <x v="11"/>
            <x v="18"/>
          </reference>
        </references>
      </pivotArea>
    </format>
    <format dxfId="38">
      <pivotArea dataOnly="0" labelOnly="1" fieldPosition="0">
        <references count="1">
          <reference field="18" count="0"/>
        </references>
      </pivotArea>
    </format>
    <format dxfId="37">
      <pivotArea dataOnly="0" labelOnly="1" grandRow="1" outline="0" fieldPosition="0"/>
    </format>
    <format dxfId="36">
      <pivotArea field="18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35">
      <pivotArea collapsedLevelsAreSubtotals="1" fieldPosition="0">
        <references count="2">
          <reference field="4294967294" count="1" selected="0">
            <x v="5"/>
          </reference>
          <reference field="18" count="1">
            <x v="10"/>
          </reference>
        </references>
      </pivotArea>
    </format>
    <format dxfId="34">
      <pivotArea collapsedLevelsAreSubtotals="1" fieldPosition="0">
        <references count="2">
          <reference field="4294967294" count="1" selected="0">
            <x v="5"/>
          </reference>
          <reference field="18" count="8">
            <x v="0"/>
            <x v="1"/>
            <x v="2"/>
            <x v="3"/>
            <x v="9"/>
            <x v="10"/>
            <x v="11"/>
            <x v="18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5"/>
          </reference>
          <reference field="18" count="1">
            <x v="7"/>
          </reference>
        </references>
      </pivotArea>
    </format>
    <format dxfId="32">
      <pivotArea collapsedLevelsAreSubtotals="1" fieldPosition="0">
        <references count="2">
          <reference field="4294967294" count="1" selected="0">
            <x v="5"/>
          </reference>
          <reference field="18" count="2">
            <x v="4"/>
            <x v="5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5"/>
          </reference>
          <reference field="18" count="1">
            <x v="6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5"/>
          </reference>
          <reference field="18" count="1">
            <x v="8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5"/>
          </reference>
          <reference field="18" count="3">
            <x v="15"/>
            <x v="16"/>
            <x v="18"/>
          </reference>
        </references>
      </pivotArea>
    </format>
    <format dxfId="28">
      <pivotArea collapsedLevelsAreSubtotals="1" fieldPosition="0">
        <references count="2">
          <reference field="4294967294" count="1" selected="0">
            <x v="5"/>
          </reference>
          <reference field="18" count="1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tatus" xr10:uid="{5AEE814F-CED1-45F9-8B77-584EFDB6D59F}" sourceName="Status">
  <pivotTables>
    <pivotTable tabId="3" name="TablaDinámica1"/>
  </pivotTables>
  <data>
    <tabular pivotCacheId="1891591581">
      <items count="11">
        <i x="7"/>
        <i x="5"/>
        <i x="6" s="1"/>
        <i x="1" s="1"/>
        <i x="4"/>
        <i x="2" s="1"/>
        <i x="0" s="1"/>
        <i x="8" s="1" nd="1"/>
        <i x="3" s="1" nd="1"/>
        <i x="9" s="1" nd="1"/>
        <i x="1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tatus1" xr10:uid="{57747AD8-FA37-4FBC-958A-6D6474382365}" sourceName="Status">
  <pivotTables>
    <pivotTable tabId="2" name="TablaDinámica2"/>
  </pivotTables>
  <data>
    <tabular pivotCacheId="1109581529">
      <items count="10">
        <i x="7" s="1"/>
        <i x="5" s="1"/>
        <i x="8" s="1"/>
        <i x="6" s="1"/>
        <i x="1" s="1"/>
        <i x="4" s="1"/>
        <i x="3" s="1"/>
        <i x="2" s="1"/>
        <i x="0" s="1"/>
        <i x="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mpresa" xr10:uid="{C72AB47E-3D8F-49B0-B6AE-89BD8178E434}" sourceName="Empresa">
  <pivotTables>
    <pivotTable tabId="3" name="TablaDinámica1"/>
  </pivotTables>
  <data>
    <tabular pivotCacheId="1891591581">
      <items count="2">
        <i x="0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 1" xr10:uid="{3E1652B3-5E1F-46C6-BE44-7B317503DC61}" cache="SegmentaciónDeDatos_Status1" caption="Status" columnCount="2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950A09F8-6321-4C86-A6DD-EA605A879BBA}" cache="SegmentaciónDeDatos_Status" caption="Status" columnCount="2" rowHeight="257175"/>
  <slicer name="Empresa" xr10:uid="{7BCB1C45-7E8F-4958-AB10-05E5BB2873BF}" cache="SegmentaciónDeDatos_Empresa" caption="Empresa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38842C-6825-4508-970F-5869B4C0FB0B}" name="Tabla1" displayName="Tabla1" ref="A1:Y383" totalsRowShown="0" headerRowDxfId="27" dataDxfId="26" tableBorderDxfId="25" dataCellStyle="Millares">
  <autoFilter ref="A1:Y383" xr:uid="{9A38842C-6825-4508-970F-5869B4C0FB0B}"/>
  <sortState xmlns:xlrd2="http://schemas.microsoft.com/office/spreadsheetml/2017/richdata2" ref="A2:Y383">
    <sortCondition descending="1" ref="T1:T383"/>
  </sortState>
  <tableColumns count="25">
    <tableColumn id="1" xr3:uid="{16B5229E-AD41-408A-8F41-CCF0AF9CE62F}" name="Nombre" dataDxfId="24"/>
    <tableColumn id="2" xr3:uid="{627E899E-AE5B-496A-A30F-CEA4A903C433}" name="Tipo" dataDxfId="23"/>
    <tableColumn id="3" xr3:uid="{E8DEA205-CC6C-49FE-A440-7B1DB7FB1FAD}" name="Cod_Vendedor" dataDxfId="22"/>
    <tableColumn id="4" xr3:uid="{4BE783CE-12AB-4B1A-AC6A-1E10D87C19BC}" name="Documento" dataDxfId="21"/>
    <tableColumn id="5" xr3:uid="{B6D9C6BB-C94B-41DB-9D48-98BB95CE0F7E}" name="Negocio" dataDxfId="20"/>
    <tableColumn id="6" xr3:uid="{5BD76762-337E-42F7-B5DE-3F85A9E1044D}" name="Monto" dataDxfId="19" dataCellStyle="Millares"/>
    <tableColumn id="7" xr3:uid="{ABE7BABA-98DB-4C30-AC55-01B058C65AFB}" name="cSinVencer" dataDxfId="18" dataCellStyle="Millares"/>
    <tableColumn id="8" xr3:uid="{DEC41F71-9438-4C6E-B3C5-6BE3F7E02C69}" name="De30Dias" dataDxfId="17" dataCellStyle="Millares"/>
    <tableColumn id="9" xr3:uid="{69E64DD9-B5B7-4883-A957-AC07BAE204FA}" name="De60Dias" dataDxfId="16" dataCellStyle="Millares"/>
    <tableColumn id="10" xr3:uid="{E94E51AE-B578-4DAF-AED4-8229B1E8568B}" name="De90Dias" dataDxfId="15" dataCellStyle="Millares"/>
    <tableColumn id="11" xr3:uid="{8DF743A2-923D-465D-B1FD-5E82B37FE0DE}" name="Mas90Dias" dataDxfId="14" dataCellStyle="Millares"/>
    <tableColumn id="12" xr3:uid="{D4336567-2BB5-443D-B01D-44C792BAB768}" name="Total" dataDxfId="13" dataCellStyle="Millares"/>
    <tableColumn id="13" xr3:uid="{A961AB27-2380-4977-B1BA-0AD7AAED74C4}" name="Fecha_Factura" dataDxfId="12"/>
    <tableColumn id="14" xr3:uid="{F653E34C-EEA1-4DE7-B69C-546A85D91B7E}" name="Vencimiento" dataDxfId="11"/>
    <tableColumn id="15" xr3:uid="{19CCAA1C-6A4F-4516-9180-6DC55F49B99A}" name="Dias" dataDxfId="10"/>
    <tableColumn id="16" xr3:uid="{3FA91006-740B-4DF1-A800-63356E5103EF}" name="CodTienda" dataDxfId="9"/>
    <tableColumn id="17" xr3:uid="{BAF44435-0357-435C-9E47-4AFD56539ED6}" name="Empresa" dataDxfId="8"/>
    <tableColumn id="18" xr3:uid="{EBDC7005-F118-49BA-818C-730DE1D921DB}" name="Status" dataDxfId="7"/>
    <tableColumn id="19" xr3:uid="{CE7BEA8B-2A0B-4987-9DE1-3711F38BD4A4}" name="Mes" dataDxfId="6" dataCellStyle="Millares"/>
    <tableColumn id="21" xr3:uid="{AEA3DE2B-E1C8-432F-B951-B5D39C37FDC8}" name="Febrero" dataDxfId="5" dataCellStyle="Millares"/>
    <tableColumn id="22" xr3:uid="{A5A03A9C-8F5F-4030-9CC7-2B0256093225}" name="Marzo" dataDxfId="4" dataCellStyle="Millares"/>
    <tableColumn id="27" xr3:uid="{AF121576-28B4-4DF9-BAE1-368B50B6F181}" name="Abril" dataDxfId="3" dataCellStyle="Millares"/>
    <tableColumn id="24" xr3:uid="{500ED003-8A3B-4D43-8F49-AAC37AEC96DA}" name="Saldo arreglo " dataDxfId="2" dataCellStyle="Millares"/>
    <tableColumn id="25" xr3:uid="{436F47DB-D1A3-4FE3-9170-9F1845C911A7}" name="Vendedor" dataDxfId="1"/>
    <tableColumn id="26" xr3:uid="{6C123B4C-9FC7-46B8-B244-DEF1FBDE9E46}" name="Observaciones" dataDxfId="0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5F5C-9779-4EC2-8275-01C181E55993}">
  <dimension ref="B1:G12"/>
  <sheetViews>
    <sheetView showGridLines="0" workbookViewId="0">
      <selection activeCell="D25" sqref="D25"/>
    </sheetView>
  </sheetViews>
  <sheetFormatPr baseColWidth="10" defaultRowHeight="14.4" x14ac:dyDescent="0.3"/>
  <cols>
    <col min="1" max="1" width="2.33203125" customWidth="1"/>
    <col min="2" max="2" width="15.33203125" bestFit="1" customWidth="1"/>
    <col min="3" max="3" width="11.44140625" bestFit="1" customWidth="1"/>
    <col min="8" max="8" width="13.109375" customWidth="1"/>
    <col min="15" max="15" width="0" hidden="1" customWidth="1"/>
  </cols>
  <sheetData>
    <row r="1" spans="2:7" ht="15" x14ac:dyDescent="0.35">
      <c r="B1" s="40" t="s">
        <v>234</v>
      </c>
      <c r="C1" s="40"/>
      <c r="D1" s="40"/>
      <c r="E1" s="40"/>
      <c r="F1" s="40"/>
      <c r="G1" s="40"/>
    </row>
    <row r="3" spans="2:7" x14ac:dyDescent="0.3">
      <c r="B3" s="6" t="s">
        <v>82</v>
      </c>
      <c r="C3" s="4"/>
    </row>
    <row r="4" spans="2:7" x14ac:dyDescent="0.3">
      <c r="B4" s="36" t="s">
        <v>358</v>
      </c>
      <c r="C4" s="5">
        <v>473654.4600000002</v>
      </c>
    </row>
    <row r="5" spans="2:7" x14ac:dyDescent="0.3">
      <c r="B5" s="36" t="s">
        <v>359</v>
      </c>
      <c r="C5" s="5">
        <v>320267.74</v>
      </c>
    </row>
    <row r="6" spans="2:7" x14ac:dyDescent="0.3">
      <c r="B6" s="37" t="s">
        <v>432</v>
      </c>
      <c r="C6" s="5">
        <v>119215.56999999999</v>
      </c>
    </row>
    <row r="7" spans="2:7" x14ac:dyDescent="0.3">
      <c r="B7" s="36" t="s">
        <v>219</v>
      </c>
      <c r="C7" s="5">
        <v>45658.1</v>
      </c>
    </row>
    <row r="8" spans="2:7" hidden="1" x14ac:dyDescent="0.3"/>
    <row r="9" spans="2:7" hidden="1" x14ac:dyDescent="0.3"/>
    <row r="10" spans="2:7" hidden="1" x14ac:dyDescent="0.3"/>
    <row r="11" spans="2:7" hidden="1" x14ac:dyDescent="0.3">
      <c r="C11" s="3">
        <f>SUM(C4:C10)</f>
        <v>958795.87000000011</v>
      </c>
    </row>
    <row r="12" spans="2:7" hidden="1" x14ac:dyDescent="0.3"/>
  </sheetData>
  <mergeCells count="1">
    <mergeCell ref="B1:G1"/>
  </mergeCell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A1E1C-3190-475B-A0C9-A9E452E3A3BF}">
  <dimension ref="B1:L8"/>
  <sheetViews>
    <sheetView showGridLines="0" zoomScaleNormal="100" workbookViewId="0">
      <selection activeCell="H4" sqref="H4:H6"/>
    </sheetView>
  </sheetViews>
  <sheetFormatPr baseColWidth="10" defaultRowHeight="14.4" x14ac:dyDescent="0.3"/>
  <cols>
    <col min="1" max="1" width="0.88671875" customWidth="1"/>
    <col min="2" max="2" width="11.6640625" bestFit="1" customWidth="1"/>
    <col min="3" max="3" width="9" bestFit="1" customWidth="1"/>
    <col min="4" max="5" width="7.6640625" bestFit="1" customWidth="1"/>
    <col min="6" max="6" width="6.44140625" bestFit="1" customWidth="1"/>
    <col min="7" max="7" width="7.6640625" bestFit="1" customWidth="1"/>
    <col min="8" max="8" width="9" bestFit="1" customWidth="1"/>
    <col min="9" max="12" width="9.5546875" bestFit="1" customWidth="1"/>
    <col min="13" max="13" width="3.88671875" customWidth="1"/>
    <col min="14" max="16" width="9.5546875" bestFit="1" customWidth="1"/>
    <col min="17" max="20" width="10.5546875" bestFit="1" customWidth="1"/>
    <col min="21" max="21" width="14" bestFit="1" customWidth="1"/>
  </cols>
  <sheetData>
    <row r="1" spans="2:12" ht="16.8" thickBot="1" x14ac:dyDescent="0.4">
      <c r="B1" s="41" t="s">
        <v>84</v>
      </c>
      <c r="C1" s="42"/>
      <c r="D1" s="42"/>
      <c r="E1" s="42"/>
      <c r="F1" s="42"/>
      <c r="G1" s="42"/>
      <c r="H1" s="42"/>
      <c r="I1" s="42"/>
      <c r="J1" s="42"/>
      <c r="K1" s="42"/>
      <c r="L1" s="43"/>
    </row>
    <row r="3" spans="2:12" x14ac:dyDescent="0.3">
      <c r="B3" s="7" t="s">
        <v>85</v>
      </c>
      <c r="C3" s="8" t="s">
        <v>83</v>
      </c>
      <c r="D3" s="8" t="s">
        <v>220</v>
      </c>
      <c r="E3" s="8" t="s">
        <v>221</v>
      </c>
      <c r="F3" s="8" t="s">
        <v>240</v>
      </c>
      <c r="G3" s="8" t="s">
        <v>222</v>
      </c>
      <c r="H3" s="11" t="s">
        <v>223</v>
      </c>
    </row>
    <row r="4" spans="2:12" x14ac:dyDescent="0.3">
      <c r="B4" s="13">
        <v>46054</v>
      </c>
      <c r="C4" s="10">
        <v>66468.37999999999</v>
      </c>
      <c r="D4" s="10">
        <v>64955.420000000006</v>
      </c>
      <c r="E4" s="10">
        <v>9028.42</v>
      </c>
      <c r="F4" s="10">
        <v>0</v>
      </c>
      <c r="G4" s="10">
        <v>10624.429999999998</v>
      </c>
      <c r="H4" s="12">
        <v>151076.65</v>
      </c>
    </row>
    <row r="5" spans="2:12" x14ac:dyDescent="0.3">
      <c r="B5" s="13">
        <v>46082</v>
      </c>
      <c r="C5" s="10">
        <v>100544.66</v>
      </c>
      <c r="D5" s="10">
        <v>14839.87</v>
      </c>
      <c r="E5" s="10">
        <v>9264.2800000000007</v>
      </c>
      <c r="F5" s="10">
        <v>0</v>
      </c>
      <c r="G5" s="10">
        <v>5303.93</v>
      </c>
      <c r="H5" s="12">
        <v>129952.73999999999</v>
      </c>
    </row>
    <row r="6" spans="2:12" x14ac:dyDescent="0.3">
      <c r="B6" s="13">
        <v>46113</v>
      </c>
      <c r="C6" s="10">
        <v>2056</v>
      </c>
      <c r="D6" s="10">
        <v>0</v>
      </c>
      <c r="E6" s="10">
        <v>0</v>
      </c>
      <c r="F6" s="10">
        <v>0</v>
      </c>
      <c r="G6" s="10">
        <v>0</v>
      </c>
      <c r="H6" s="12">
        <v>2056</v>
      </c>
    </row>
    <row r="7" spans="2:12" x14ac:dyDescent="0.3">
      <c r="B7" s="39" t="s">
        <v>74</v>
      </c>
      <c r="C7" s="38">
        <v>0</v>
      </c>
      <c r="D7" s="38">
        <v>0</v>
      </c>
      <c r="E7" s="38">
        <v>0</v>
      </c>
      <c r="F7" s="38">
        <v>0</v>
      </c>
      <c r="G7" s="38">
        <v>25778.840000000004</v>
      </c>
      <c r="H7" s="38">
        <v>25778.840000000004</v>
      </c>
    </row>
    <row r="8" spans="2:12" x14ac:dyDescent="0.3">
      <c r="B8" s="15" t="s">
        <v>80</v>
      </c>
      <c r="C8" s="10">
        <v>169069.03999999998</v>
      </c>
      <c r="D8" s="10">
        <v>79795.290000000008</v>
      </c>
      <c r="E8" s="10">
        <v>18292.7</v>
      </c>
      <c r="F8" s="10">
        <v>0</v>
      </c>
      <c r="G8" s="10">
        <v>41707.200000000004</v>
      </c>
      <c r="H8" s="10">
        <v>308864.23000000004</v>
      </c>
    </row>
  </sheetData>
  <mergeCells count="1">
    <mergeCell ref="B1:L1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15B0-01F6-42FD-9717-9C312D9170A7}">
  <dimension ref="A1:AA383"/>
  <sheetViews>
    <sheetView tabSelected="1" zoomScaleNormal="100" workbookViewId="0">
      <pane ySplit="1" topLeftCell="A2" activePane="bottomLeft" state="frozen"/>
      <selection pane="bottomLeft" activeCell="T4" sqref="T4"/>
    </sheetView>
  </sheetViews>
  <sheetFormatPr baseColWidth="10" defaultRowHeight="14.4" x14ac:dyDescent="0.3"/>
  <cols>
    <col min="1" max="1" width="46.44140625" customWidth="1"/>
    <col min="2" max="2" width="6.5546875" hidden="1" customWidth="1"/>
    <col min="3" max="3" width="15.33203125" hidden="1" customWidth="1"/>
    <col min="4" max="4" width="11.21875" style="4" bestFit="1" customWidth="1"/>
    <col min="5" max="5" width="24" customWidth="1"/>
    <col min="6" max="6" width="15.109375" style="4" hidden="1" customWidth="1"/>
    <col min="7" max="7" width="14.109375" hidden="1" customWidth="1"/>
    <col min="8" max="8" width="11.44140625" hidden="1" customWidth="1"/>
    <col min="9" max="9" width="11.88671875" hidden="1" customWidth="1"/>
    <col min="10" max="10" width="11.44140625" hidden="1" customWidth="1"/>
    <col min="11" max="11" width="12.5546875" hidden="1" customWidth="1"/>
    <col min="12" max="12" width="11.5546875" customWidth="1"/>
    <col min="13" max="13" width="15.44140625" customWidth="1"/>
    <col min="14" max="14" width="13.6640625" customWidth="1"/>
    <col min="15" max="15" width="9" style="17" customWidth="1"/>
    <col min="16" max="16" width="12" hidden="1" customWidth="1"/>
    <col min="17" max="17" width="11.88671875" customWidth="1"/>
    <col min="18" max="19" width="18.6640625" style="9" customWidth="1"/>
    <col min="20" max="22" width="11.44140625" customWidth="1"/>
    <col min="23" max="23" width="14.33203125" customWidth="1"/>
    <col min="24" max="24" width="11.6640625" hidden="1" customWidth="1"/>
    <col min="25" max="25" width="65.44140625" bestFit="1" customWidth="1"/>
  </cols>
  <sheetData>
    <row r="1" spans="1:27" x14ac:dyDescent="0.3">
      <c r="A1" s="18" t="s">
        <v>41</v>
      </c>
      <c r="B1" s="1" t="s">
        <v>42</v>
      </c>
      <c r="C1" s="1" t="s">
        <v>44</v>
      </c>
      <c r="D1" s="2" t="s">
        <v>45</v>
      </c>
      <c r="E1" s="14" t="s">
        <v>46</v>
      </c>
      <c r="F1" s="14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6" t="s">
        <v>56</v>
      </c>
      <c r="P1" s="1" t="s">
        <v>57</v>
      </c>
      <c r="Q1" s="1" t="s">
        <v>58</v>
      </c>
      <c r="R1" s="1" t="s">
        <v>73</v>
      </c>
      <c r="S1" s="1" t="s">
        <v>85</v>
      </c>
      <c r="T1" s="1" t="s">
        <v>330</v>
      </c>
      <c r="U1" s="1" t="s">
        <v>331</v>
      </c>
      <c r="V1" s="1" t="s">
        <v>332</v>
      </c>
      <c r="W1" s="1" t="s">
        <v>81</v>
      </c>
      <c r="X1" s="1" t="s">
        <v>43</v>
      </c>
      <c r="Y1" s="1" t="s">
        <v>241</v>
      </c>
    </row>
    <row r="2" spans="1:27" x14ac:dyDescent="0.3">
      <c r="A2" s="19" t="s">
        <v>408</v>
      </c>
      <c r="B2" s="20" t="s">
        <v>0</v>
      </c>
      <c r="C2" s="20" t="s">
        <v>367</v>
      </c>
      <c r="D2" s="21">
        <v>2100028762</v>
      </c>
      <c r="E2" s="21" t="s">
        <v>1</v>
      </c>
      <c r="F2" s="22">
        <v>54548.5</v>
      </c>
      <c r="G2" s="22">
        <v>54548.5</v>
      </c>
      <c r="H2" s="22">
        <v>0</v>
      </c>
      <c r="I2" s="22">
        <v>0</v>
      </c>
      <c r="J2" s="22">
        <v>0</v>
      </c>
      <c r="K2" s="22">
        <v>0</v>
      </c>
      <c r="L2" s="22">
        <v>54548.5</v>
      </c>
      <c r="M2" s="23">
        <v>46048</v>
      </c>
      <c r="N2" s="23">
        <v>46078</v>
      </c>
      <c r="O2" s="32">
        <v>26</v>
      </c>
      <c r="P2" s="25" t="s">
        <v>2</v>
      </c>
      <c r="Q2" s="26" t="s">
        <v>59</v>
      </c>
      <c r="R2" s="27" t="s">
        <v>78</v>
      </c>
      <c r="S2" s="28">
        <v>46054</v>
      </c>
      <c r="T2" s="29">
        <v>54548.5</v>
      </c>
      <c r="U2" s="29">
        <v>0</v>
      </c>
      <c r="V2" s="29">
        <v>0</v>
      </c>
      <c r="W2" s="29">
        <v>0</v>
      </c>
      <c r="X2" s="30">
        <v>0</v>
      </c>
      <c r="Y2" s="31" t="s">
        <v>433</v>
      </c>
      <c r="AA2" s="3"/>
    </row>
    <row r="3" spans="1:27" x14ac:dyDescent="0.3">
      <c r="A3" s="19" t="s">
        <v>414</v>
      </c>
      <c r="B3" s="20" t="s">
        <v>0</v>
      </c>
      <c r="C3" s="20" t="s">
        <v>364</v>
      </c>
      <c r="D3" s="21">
        <v>71142</v>
      </c>
      <c r="E3" s="21" t="s">
        <v>1</v>
      </c>
      <c r="F3" s="22">
        <v>54011.92</v>
      </c>
      <c r="G3" s="22">
        <v>54011.92</v>
      </c>
      <c r="H3" s="22">
        <v>0</v>
      </c>
      <c r="I3" s="22">
        <v>0</v>
      </c>
      <c r="J3" s="22">
        <v>0</v>
      </c>
      <c r="K3" s="22">
        <v>0</v>
      </c>
      <c r="L3" s="22">
        <v>54011.92</v>
      </c>
      <c r="M3" s="23">
        <v>46044</v>
      </c>
      <c r="N3" s="23">
        <v>46059</v>
      </c>
      <c r="O3" s="24">
        <v>7</v>
      </c>
      <c r="P3" s="25" t="s">
        <v>60</v>
      </c>
      <c r="Q3" s="26" t="s">
        <v>72</v>
      </c>
      <c r="R3" s="27" t="s">
        <v>78</v>
      </c>
      <c r="S3" s="28">
        <v>46054</v>
      </c>
      <c r="T3" s="29">
        <v>54011.92</v>
      </c>
      <c r="U3" s="29"/>
      <c r="V3" s="29"/>
      <c r="W3" s="29"/>
      <c r="X3" s="30"/>
      <c r="Y3" s="31" t="s">
        <v>456</v>
      </c>
    </row>
    <row r="4" spans="1:27" x14ac:dyDescent="0.3">
      <c r="A4" s="19" t="s">
        <v>354</v>
      </c>
      <c r="B4" s="20" t="s">
        <v>0</v>
      </c>
      <c r="C4" s="20" t="s">
        <v>377</v>
      </c>
      <c r="D4" s="21">
        <v>71118</v>
      </c>
      <c r="E4" s="21" t="s">
        <v>1</v>
      </c>
      <c r="F4" s="22">
        <v>37894.370000000003</v>
      </c>
      <c r="G4" s="22">
        <v>0</v>
      </c>
      <c r="H4" s="22">
        <v>37894.370000000003</v>
      </c>
      <c r="I4" s="22">
        <v>0</v>
      </c>
      <c r="J4" s="22">
        <v>0</v>
      </c>
      <c r="K4" s="22">
        <v>0</v>
      </c>
      <c r="L4" s="22">
        <v>37894.370000000003</v>
      </c>
      <c r="M4" s="23">
        <v>46010</v>
      </c>
      <c r="N4" s="23">
        <v>46040</v>
      </c>
      <c r="O4" s="24">
        <v>-12</v>
      </c>
      <c r="P4" s="25" t="s">
        <v>60</v>
      </c>
      <c r="Q4" s="26" t="s">
        <v>72</v>
      </c>
      <c r="R4" s="27" t="s">
        <v>76</v>
      </c>
      <c r="S4" s="28">
        <v>46054</v>
      </c>
      <c r="T4" s="29">
        <v>37894.370000000003</v>
      </c>
      <c r="U4" s="29">
        <v>0</v>
      </c>
      <c r="V4" s="29">
        <v>0</v>
      </c>
      <c r="W4" s="29">
        <v>0</v>
      </c>
      <c r="X4" s="30">
        <v>0</v>
      </c>
      <c r="Y4" s="31" t="s">
        <v>446</v>
      </c>
    </row>
    <row r="5" spans="1:27" x14ac:dyDescent="0.3">
      <c r="A5" s="19" t="s">
        <v>277</v>
      </c>
      <c r="B5" s="20" t="s">
        <v>0</v>
      </c>
      <c r="C5" s="20" t="s">
        <v>369</v>
      </c>
      <c r="D5" s="21">
        <v>2100028505</v>
      </c>
      <c r="E5" s="21" t="s">
        <v>1</v>
      </c>
      <c r="F5" s="22">
        <v>36955.56</v>
      </c>
      <c r="G5" s="22">
        <v>0</v>
      </c>
      <c r="H5" s="22">
        <v>0</v>
      </c>
      <c r="I5" s="22">
        <v>36955.56</v>
      </c>
      <c r="J5" s="22">
        <v>0</v>
      </c>
      <c r="K5" s="22">
        <v>0</v>
      </c>
      <c r="L5" s="22">
        <v>36955.56</v>
      </c>
      <c r="M5" s="23">
        <v>45995</v>
      </c>
      <c r="N5" s="23">
        <v>45996</v>
      </c>
      <c r="O5" s="32">
        <v>-56</v>
      </c>
      <c r="P5" s="25" t="s">
        <v>2</v>
      </c>
      <c r="Q5" s="26" t="s">
        <v>59</v>
      </c>
      <c r="R5" s="27" t="s">
        <v>76</v>
      </c>
      <c r="S5" s="28">
        <v>46054</v>
      </c>
      <c r="T5" s="29">
        <v>36955.56</v>
      </c>
      <c r="U5" s="29">
        <v>0</v>
      </c>
      <c r="V5" s="29">
        <v>0</v>
      </c>
      <c r="W5" s="29">
        <v>0</v>
      </c>
      <c r="X5" s="30">
        <v>0</v>
      </c>
      <c r="Y5" s="31" t="s">
        <v>435</v>
      </c>
    </row>
    <row r="6" spans="1:27" x14ac:dyDescent="0.3">
      <c r="A6" s="19" t="s">
        <v>274</v>
      </c>
      <c r="B6" s="20" t="s">
        <v>0</v>
      </c>
      <c r="C6" s="20" t="s">
        <v>429</v>
      </c>
      <c r="D6" s="21">
        <v>2100028541</v>
      </c>
      <c r="E6" s="21" t="s">
        <v>1</v>
      </c>
      <c r="F6" s="22">
        <v>29553.48</v>
      </c>
      <c r="G6" s="22">
        <v>0</v>
      </c>
      <c r="H6" s="22">
        <v>29553.48</v>
      </c>
      <c r="I6" s="22">
        <v>0</v>
      </c>
      <c r="J6" s="22">
        <v>0</v>
      </c>
      <c r="K6" s="22">
        <v>0</v>
      </c>
      <c r="L6" s="22">
        <v>29553.48</v>
      </c>
      <c r="M6" s="23">
        <v>46006</v>
      </c>
      <c r="N6" s="23">
        <v>46036</v>
      </c>
      <c r="O6" s="32">
        <v>-16</v>
      </c>
      <c r="P6" s="25" t="s">
        <v>2</v>
      </c>
      <c r="Q6" s="26" t="s">
        <v>59</v>
      </c>
      <c r="R6" s="27" t="s">
        <v>76</v>
      </c>
      <c r="S6" s="28">
        <v>46054</v>
      </c>
      <c r="T6" s="29">
        <v>29553.48</v>
      </c>
      <c r="U6" s="29">
        <v>0</v>
      </c>
      <c r="V6" s="29">
        <v>0</v>
      </c>
      <c r="W6" s="29">
        <v>0</v>
      </c>
      <c r="X6" s="30">
        <v>0</v>
      </c>
      <c r="Y6" s="31" t="s">
        <v>434</v>
      </c>
    </row>
    <row r="7" spans="1:27" x14ac:dyDescent="0.3">
      <c r="A7" s="19" t="s">
        <v>4</v>
      </c>
      <c r="B7" s="20" t="s">
        <v>0</v>
      </c>
      <c r="C7" s="20" t="s">
        <v>369</v>
      </c>
      <c r="D7" s="21">
        <v>2100028306</v>
      </c>
      <c r="E7" s="21" t="s">
        <v>1</v>
      </c>
      <c r="F7" s="22">
        <v>24118.97</v>
      </c>
      <c r="G7" s="22">
        <v>0</v>
      </c>
      <c r="H7" s="22">
        <v>0</v>
      </c>
      <c r="I7" s="22">
        <v>0</v>
      </c>
      <c r="J7" s="22">
        <v>24118.97</v>
      </c>
      <c r="K7" s="22">
        <v>0</v>
      </c>
      <c r="L7" s="22">
        <v>24118.97</v>
      </c>
      <c r="M7" s="23">
        <v>45959</v>
      </c>
      <c r="N7" s="23">
        <v>45989</v>
      </c>
      <c r="O7" s="24">
        <v>-63</v>
      </c>
      <c r="P7" s="25" t="s">
        <v>2</v>
      </c>
      <c r="Q7" s="26" t="s">
        <v>59</v>
      </c>
      <c r="R7" s="27" t="s">
        <v>76</v>
      </c>
      <c r="S7" s="28">
        <v>46054</v>
      </c>
      <c r="T7" s="29">
        <v>24118.97</v>
      </c>
      <c r="U7" s="29">
        <v>0</v>
      </c>
      <c r="V7" s="29">
        <v>0</v>
      </c>
      <c r="W7" s="29">
        <v>0</v>
      </c>
      <c r="X7" s="30">
        <v>0</v>
      </c>
      <c r="Y7" s="31" t="s">
        <v>436</v>
      </c>
    </row>
    <row r="8" spans="1:27" x14ac:dyDescent="0.3">
      <c r="A8" s="19" t="s">
        <v>276</v>
      </c>
      <c r="B8" s="20" t="s">
        <v>0</v>
      </c>
      <c r="C8" s="20" t="s">
        <v>362</v>
      </c>
      <c r="D8" s="21">
        <v>2100028058</v>
      </c>
      <c r="E8" s="21" t="s">
        <v>1</v>
      </c>
      <c r="F8" s="22">
        <v>20899.349999999999</v>
      </c>
      <c r="G8" s="22">
        <v>0</v>
      </c>
      <c r="H8" s="22">
        <v>0</v>
      </c>
      <c r="I8" s="22">
        <v>0</v>
      </c>
      <c r="J8" s="22">
        <v>0</v>
      </c>
      <c r="K8" s="22">
        <v>20899.349999999999</v>
      </c>
      <c r="L8" s="22">
        <v>20899.349999999999</v>
      </c>
      <c r="M8" s="23">
        <v>45919</v>
      </c>
      <c r="N8" s="23">
        <v>45920</v>
      </c>
      <c r="O8" s="24">
        <v>-132</v>
      </c>
      <c r="P8" s="25" t="s">
        <v>2</v>
      </c>
      <c r="Q8" s="26" t="s">
        <v>59</v>
      </c>
      <c r="R8" s="27" t="s">
        <v>76</v>
      </c>
      <c r="S8" s="28">
        <v>46054</v>
      </c>
      <c r="T8" s="29">
        <v>20899.349999999999</v>
      </c>
      <c r="U8" s="29">
        <v>0</v>
      </c>
      <c r="V8" s="29">
        <v>0</v>
      </c>
      <c r="W8" s="29">
        <v>0</v>
      </c>
      <c r="X8" s="30">
        <v>0</v>
      </c>
      <c r="Y8" s="31" t="s">
        <v>437</v>
      </c>
    </row>
    <row r="9" spans="1:27" x14ac:dyDescent="0.3">
      <c r="A9" s="19" t="s">
        <v>352</v>
      </c>
      <c r="B9" s="20" t="s">
        <v>0</v>
      </c>
      <c r="C9" s="20" t="s">
        <v>367</v>
      </c>
      <c r="D9" s="21">
        <v>2100028631</v>
      </c>
      <c r="E9" s="21" t="s">
        <v>1</v>
      </c>
      <c r="F9" s="22">
        <v>18520.7</v>
      </c>
      <c r="G9" s="22">
        <v>0</v>
      </c>
      <c r="H9" s="22">
        <v>18520.7</v>
      </c>
      <c r="I9" s="22">
        <v>0</v>
      </c>
      <c r="J9" s="22">
        <v>0</v>
      </c>
      <c r="K9" s="22">
        <v>0</v>
      </c>
      <c r="L9" s="22">
        <v>18520.7</v>
      </c>
      <c r="M9" s="23">
        <v>46020</v>
      </c>
      <c r="N9" s="23">
        <v>46050</v>
      </c>
      <c r="O9" s="24">
        <v>-2</v>
      </c>
      <c r="P9" s="25" t="s">
        <v>2</v>
      </c>
      <c r="Q9" s="26" t="s">
        <v>59</v>
      </c>
      <c r="R9" s="27" t="s">
        <v>78</v>
      </c>
      <c r="S9" s="28">
        <v>46054</v>
      </c>
      <c r="T9" s="29">
        <v>18520.7</v>
      </c>
      <c r="U9" s="29">
        <v>0</v>
      </c>
      <c r="V9" s="29">
        <v>0</v>
      </c>
      <c r="W9" s="29">
        <v>0</v>
      </c>
      <c r="X9" s="30">
        <v>0</v>
      </c>
      <c r="Y9" s="31" t="s">
        <v>438</v>
      </c>
    </row>
    <row r="10" spans="1:27" x14ac:dyDescent="0.3">
      <c r="A10" s="19" t="s">
        <v>283</v>
      </c>
      <c r="B10" s="20" t="s">
        <v>0</v>
      </c>
      <c r="C10" s="20" t="s">
        <v>364</v>
      </c>
      <c r="D10" s="21">
        <v>71145</v>
      </c>
      <c r="E10" s="21" t="s">
        <v>1</v>
      </c>
      <c r="F10" s="22">
        <v>17260.060000000001</v>
      </c>
      <c r="G10" s="22">
        <v>0</v>
      </c>
      <c r="H10" s="22">
        <v>17260.060000000001</v>
      </c>
      <c r="I10" s="22">
        <v>0</v>
      </c>
      <c r="J10" s="22">
        <v>0</v>
      </c>
      <c r="K10" s="22">
        <v>0</v>
      </c>
      <c r="L10" s="22">
        <v>17260.060000000001</v>
      </c>
      <c r="M10" s="23">
        <v>46045</v>
      </c>
      <c r="N10" s="23">
        <v>46050</v>
      </c>
      <c r="O10" s="24">
        <v>-2</v>
      </c>
      <c r="P10" s="25" t="s">
        <v>60</v>
      </c>
      <c r="Q10" s="26" t="s">
        <v>72</v>
      </c>
      <c r="R10" s="27" t="s">
        <v>76</v>
      </c>
      <c r="S10" s="28">
        <v>46054</v>
      </c>
      <c r="T10" s="29">
        <v>17260.060000000001</v>
      </c>
      <c r="U10" s="29"/>
      <c r="V10" s="29"/>
      <c r="W10" s="29"/>
      <c r="X10" s="30"/>
      <c r="Y10" s="31" t="s">
        <v>456</v>
      </c>
    </row>
    <row r="11" spans="1:27" x14ac:dyDescent="0.3">
      <c r="A11" s="19" t="s">
        <v>277</v>
      </c>
      <c r="B11" s="20" t="s">
        <v>0</v>
      </c>
      <c r="C11" s="20" t="s">
        <v>369</v>
      </c>
      <c r="D11" s="21">
        <v>2100028769</v>
      </c>
      <c r="E11" s="21" t="s">
        <v>1</v>
      </c>
      <c r="F11" s="22">
        <v>16798.22</v>
      </c>
      <c r="G11" s="22">
        <v>0</v>
      </c>
      <c r="H11" s="22">
        <v>16798.22</v>
      </c>
      <c r="I11" s="22">
        <v>0</v>
      </c>
      <c r="J11" s="22">
        <v>0</v>
      </c>
      <c r="K11" s="22">
        <v>0</v>
      </c>
      <c r="L11" s="22">
        <v>16798.22</v>
      </c>
      <c r="M11" s="23">
        <v>46050</v>
      </c>
      <c r="N11" s="23">
        <v>46051</v>
      </c>
      <c r="O11" s="24">
        <v>-1</v>
      </c>
      <c r="P11" s="25" t="s">
        <v>2</v>
      </c>
      <c r="Q11" s="26" t="s">
        <v>59</v>
      </c>
      <c r="R11" s="27" t="s">
        <v>76</v>
      </c>
      <c r="S11" s="28">
        <v>46054</v>
      </c>
      <c r="T11" s="29">
        <v>16798.22</v>
      </c>
      <c r="U11" s="29">
        <v>0</v>
      </c>
      <c r="V11" s="29">
        <v>0</v>
      </c>
      <c r="W11" s="29">
        <v>0</v>
      </c>
      <c r="X11" s="30">
        <v>0</v>
      </c>
      <c r="Y11" s="31" t="s">
        <v>435</v>
      </c>
    </row>
    <row r="12" spans="1:27" x14ac:dyDescent="0.3">
      <c r="A12" s="19" t="s">
        <v>256</v>
      </c>
      <c r="B12" s="20" t="s">
        <v>0</v>
      </c>
      <c r="C12" s="20" t="s">
        <v>367</v>
      </c>
      <c r="D12" s="21">
        <v>2100028516</v>
      </c>
      <c r="E12" s="21" t="s">
        <v>1</v>
      </c>
      <c r="F12" s="22">
        <v>16497.86</v>
      </c>
      <c r="G12" s="22">
        <v>0</v>
      </c>
      <c r="H12" s="22">
        <v>16497.86</v>
      </c>
      <c r="I12" s="22">
        <v>0</v>
      </c>
      <c r="J12" s="22">
        <v>0</v>
      </c>
      <c r="K12" s="22">
        <v>0</v>
      </c>
      <c r="L12" s="22">
        <v>16497.86</v>
      </c>
      <c r="M12" s="23">
        <v>45999</v>
      </c>
      <c r="N12" s="23">
        <v>46029</v>
      </c>
      <c r="O12" s="24">
        <v>-23</v>
      </c>
      <c r="P12" s="25" t="s">
        <v>2</v>
      </c>
      <c r="Q12" s="26" t="s">
        <v>59</v>
      </c>
      <c r="R12" s="27" t="s">
        <v>76</v>
      </c>
      <c r="S12" s="28">
        <v>46054</v>
      </c>
      <c r="T12" s="29">
        <v>16497.86</v>
      </c>
      <c r="U12" s="29">
        <v>0</v>
      </c>
      <c r="V12" s="29">
        <v>0</v>
      </c>
      <c r="W12" s="29">
        <v>0</v>
      </c>
      <c r="X12" s="30">
        <v>0</v>
      </c>
      <c r="Y12" s="31" t="s">
        <v>439</v>
      </c>
    </row>
    <row r="13" spans="1:27" x14ac:dyDescent="0.3">
      <c r="A13" s="19" t="s">
        <v>276</v>
      </c>
      <c r="B13" s="20" t="s">
        <v>0</v>
      </c>
      <c r="C13" s="20" t="s">
        <v>363</v>
      </c>
      <c r="D13" s="21">
        <v>2100028144</v>
      </c>
      <c r="E13" s="21" t="s">
        <v>1</v>
      </c>
      <c r="F13" s="22">
        <v>13475.25</v>
      </c>
      <c r="G13" s="22">
        <v>0</v>
      </c>
      <c r="H13" s="22">
        <v>0</v>
      </c>
      <c r="I13" s="22">
        <v>0</v>
      </c>
      <c r="J13" s="22">
        <v>0</v>
      </c>
      <c r="K13" s="22">
        <v>13475.25</v>
      </c>
      <c r="L13" s="22">
        <v>13475.25</v>
      </c>
      <c r="M13" s="23">
        <v>45930</v>
      </c>
      <c r="N13" s="23">
        <v>45931</v>
      </c>
      <c r="O13" s="24">
        <v>-121</v>
      </c>
      <c r="P13" s="25" t="s">
        <v>2</v>
      </c>
      <c r="Q13" s="26" t="s">
        <v>59</v>
      </c>
      <c r="R13" s="27" t="s">
        <v>76</v>
      </c>
      <c r="S13" s="28">
        <v>46054</v>
      </c>
      <c r="T13" s="29">
        <v>13475.25</v>
      </c>
      <c r="U13" s="29">
        <v>0</v>
      </c>
      <c r="V13" s="29">
        <v>0</v>
      </c>
      <c r="W13" s="29">
        <v>0</v>
      </c>
      <c r="X13" s="30">
        <v>0</v>
      </c>
      <c r="Y13" s="31" t="s">
        <v>437</v>
      </c>
    </row>
    <row r="14" spans="1:27" x14ac:dyDescent="0.3">
      <c r="A14" s="19" t="s">
        <v>246</v>
      </c>
      <c r="B14" s="20" t="s">
        <v>0</v>
      </c>
      <c r="C14" s="20" t="s">
        <v>369</v>
      </c>
      <c r="D14" s="21">
        <v>2100028714</v>
      </c>
      <c r="E14" s="21" t="s">
        <v>1</v>
      </c>
      <c r="F14" s="22">
        <v>8627.9</v>
      </c>
      <c r="G14" s="22">
        <v>8627.9</v>
      </c>
      <c r="H14" s="22">
        <v>0</v>
      </c>
      <c r="I14" s="22">
        <v>0</v>
      </c>
      <c r="J14" s="22">
        <v>0</v>
      </c>
      <c r="K14" s="22">
        <v>0</v>
      </c>
      <c r="L14" s="22">
        <v>8627.9</v>
      </c>
      <c r="M14" s="23">
        <v>46038</v>
      </c>
      <c r="N14" s="23">
        <v>46068</v>
      </c>
      <c r="O14" s="24">
        <v>16</v>
      </c>
      <c r="P14" s="25" t="s">
        <v>2</v>
      </c>
      <c r="Q14" s="26" t="s">
        <v>59</v>
      </c>
      <c r="R14" s="27" t="s">
        <v>78</v>
      </c>
      <c r="S14" s="28">
        <v>46054</v>
      </c>
      <c r="T14" s="29">
        <v>8627.9</v>
      </c>
      <c r="U14" s="29">
        <v>0</v>
      </c>
      <c r="V14" s="29">
        <v>0</v>
      </c>
      <c r="W14" s="29">
        <v>0</v>
      </c>
      <c r="X14" s="30">
        <v>0</v>
      </c>
      <c r="Y14" s="31" t="s">
        <v>434</v>
      </c>
    </row>
    <row r="15" spans="1:27" x14ac:dyDescent="0.3">
      <c r="A15" s="19" t="s">
        <v>30</v>
      </c>
      <c r="B15" s="20" t="s">
        <v>0</v>
      </c>
      <c r="C15" s="20" t="s">
        <v>367</v>
      </c>
      <c r="D15" s="21">
        <v>2100028515</v>
      </c>
      <c r="E15" s="21" t="s">
        <v>1</v>
      </c>
      <c r="F15" s="22">
        <v>8321.5300000000007</v>
      </c>
      <c r="G15" s="22">
        <v>0</v>
      </c>
      <c r="H15" s="22">
        <v>8321.5300000000007</v>
      </c>
      <c r="I15" s="22">
        <v>0</v>
      </c>
      <c r="J15" s="22">
        <v>0</v>
      </c>
      <c r="K15" s="22">
        <v>0</v>
      </c>
      <c r="L15" s="22">
        <v>8321.5300000000007</v>
      </c>
      <c r="M15" s="23">
        <v>45999</v>
      </c>
      <c r="N15" s="23">
        <v>46029</v>
      </c>
      <c r="O15" s="32">
        <v>-23</v>
      </c>
      <c r="P15" s="25" t="s">
        <v>2</v>
      </c>
      <c r="Q15" s="26" t="s">
        <v>59</v>
      </c>
      <c r="R15" s="27" t="s">
        <v>78</v>
      </c>
      <c r="S15" s="28">
        <v>46054</v>
      </c>
      <c r="T15" s="29">
        <v>8321.5300000000007</v>
      </c>
      <c r="U15" s="29">
        <v>0</v>
      </c>
      <c r="V15" s="29">
        <v>0</v>
      </c>
      <c r="W15" s="29">
        <v>0</v>
      </c>
      <c r="X15" s="30">
        <v>0</v>
      </c>
      <c r="Y15" s="31" t="s">
        <v>441</v>
      </c>
    </row>
    <row r="16" spans="1:27" x14ac:dyDescent="0.3">
      <c r="A16" s="19" t="s">
        <v>327</v>
      </c>
      <c r="B16" s="20" t="s">
        <v>0</v>
      </c>
      <c r="C16" s="20" t="s">
        <v>383</v>
      </c>
      <c r="D16" s="21">
        <v>2100028456</v>
      </c>
      <c r="E16" s="21" t="s">
        <v>1</v>
      </c>
      <c r="F16" s="22">
        <v>7789.94</v>
      </c>
      <c r="G16" s="22">
        <v>0</v>
      </c>
      <c r="H16" s="22">
        <v>0</v>
      </c>
      <c r="I16" s="22">
        <v>7789.94</v>
      </c>
      <c r="J16" s="22">
        <v>0</v>
      </c>
      <c r="K16" s="22">
        <v>0</v>
      </c>
      <c r="L16" s="22">
        <v>7789.94</v>
      </c>
      <c r="M16" s="23">
        <v>45989</v>
      </c>
      <c r="N16" s="23">
        <v>46019</v>
      </c>
      <c r="O16" s="32">
        <v>-33</v>
      </c>
      <c r="P16" s="25" t="s">
        <v>2</v>
      </c>
      <c r="Q16" s="26" t="s">
        <v>59</v>
      </c>
      <c r="R16" s="27" t="s">
        <v>76</v>
      </c>
      <c r="S16" s="28">
        <v>46054</v>
      </c>
      <c r="T16" s="29">
        <v>7789.94</v>
      </c>
      <c r="U16" s="29">
        <v>0</v>
      </c>
      <c r="V16" s="29">
        <v>0</v>
      </c>
      <c r="W16" s="29">
        <v>0</v>
      </c>
      <c r="X16" s="30">
        <v>0</v>
      </c>
      <c r="Y16" s="31" t="s">
        <v>442</v>
      </c>
    </row>
    <row r="17" spans="1:25" x14ac:dyDescent="0.3">
      <c r="A17" s="19" t="s">
        <v>124</v>
      </c>
      <c r="B17" s="20" t="s">
        <v>0</v>
      </c>
      <c r="C17" s="20" t="s">
        <v>363</v>
      </c>
      <c r="D17" s="21">
        <v>2100028433</v>
      </c>
      <c r="E17" s="21" t="s">
        <v>1</v>
      </c>
      <c r="F17" s="22">
        <v>5780.06</v>
      </c>
      <c r="G17" s="22">
        <v>0</v>
      </c>
      <c r="H17" s="22">
        <v>5780.06</v>
      </c>
      <c r="I17" s="22">
        <v>0</v>
      </c>
      <c r="J17" s="22">
        <v>0</v>
      </c>
      <c r="K17" s="22">
        <v>0</v>
      </c>
      <c r="L17" s="22">
        <v>5780.06</v>
      </c>
      <c r="M17" s="23">
        <v>45985</v>
      </c>
      <c r="N17" s="23">
        <v>46045</v>
      </c>
      <c r="O17" s="24">
        <v>-7</v>
      </c>
      <c r="P17" s="25" t="s">
        <v>16</v>
      </c>
      <c r="Q17" s="26" t="s">
        <v>59</v>
      </c>
      <c r="R17" s="27" t="s">
        <v>78</v>
      </c>
      <c r="S17" s="28">
        <v>46054</v>
      </c>
      <c r="T17" s="29">
        <v>5780.06</v>
      </c>
      <c r="U17" s="29">
        <v>0</v>
      </c>
      <c r="V17" s="29">
        <v>0</v>
      </c>
      <c r="W17" s="29">
        <v>0</v>
      </c>
      <c r="X17" s="30">
        <v>0</v>
      </c>
      <c r="Y17" s="31" t="s">
        <v>444</v>
      </c>
    </row>
    <row r="18" spans="1:25" x14ac:dyDescent="0.3">
      <c r="A18" s="19" t="s">
        <v>297</v>
      </c>
      <c r="B18" s="20" t="s">
        <v>0</v>
      </c>
      <c r="C18" s="20" t="s">
        <v>364</v>
      </c>
      <c r="D18" s="21">
        <v>71062</v>
      </c>
      <c r="E18" s="21" t="s">
        <v>1</v>
      </c>
      <c r="F18" s="22">
        <v>5451.45</v>
      </c>
      <c r="G18" s="22">
        <v>0</v>
      </c>
      <c r="H18" s="22">
        <v>0</v>
      </c>
      <c r="I18" s="22">
        <v>5451.45</v>
      </c>
      <c r="J18" s="22">
        <v>0</v>
      </c>
      <c r="K18" s="22">
        <v>0</v>
      </c>
      <c r="L18" s="22">
        <v>5451.45</v>
      </c>
      <c r="M18" s="23">
        <v>45959</v>
      </c>
      <c r="N18" s="23">
        <v>46019</v>
      </c>
      <c r="O18" s="32">
        <v>-33</v>
      </c>
      <c r="P18" s="25" t="s">
        <v>61</v>
      </c>
      <c r="Q18" s="26" t="s">
        <v>72</v>
      </c>
      <c r="R18" s="27" t="s">
        <v>76</v>
      </c>
      <c r="S18" s="28">
        <v>46054</v>
      </c>
      <c r="T18" s="29">
        <v>5451.45</v>
      </c>
      <c r="U18" s="29">
        <v>0</v>
      </c>
      <c r="V18" s="29">
        <v>0</v>
      </c>
      <c r="W18" s="29">
        <v>0</v>
      </c>
      <c r="X18" s="30">
        <v>0</v>
      </c>
      <c r="Y18" s="31" t="s">
        <v>457</v>
      </c>
    </row>
    <row r="19" spans="1:25" x14ac:dyDescent="0.3">
      <c r="A19" s="19" t="s">
        <v>254</v>
      </c>
      <c r="B19" s="20" t="s">
        <v>0</v>
      </c>
      <c r="C19" s="20" t="s">
        <v>387</v>
      </c>
      <c r="D19" s="21">
        <v>71107</v>
      </c>
      <c r="E19" s="21" t="s">
        <v>1</v>
      </c>
      <c r="F19" s="22">
        <v>5421.32</v>
      </c>
      <c r="G19" s="22">
        <v>5421.32</v>
      </c>
      <c r="H19" s="22">
        <v>0</v>
      </c>
      <c r="I19" s="22">
        <v>0</v>
      </c>
      <c r="J19" s="22">
        <v>0</v>
      </c>
      <c r="K19" s="22">
        <v>0</v>
      </c>
      <c r="L19" s="22">
        <v>5421.32</v>
      </c>
      <c r="M19" s="23">
        <v>46002</v>
      </c>
      <c r="N19" s="23">
        <v>46062</v>
      </c>
      <c r="O19" s="24">
        <v>10</v>
      </c>
      <c r="P19" s="25" t="s">
        <v>60</v>
      </c>
      <c r="Q19" s="26" t="s">
        <v>72</v>
      </c>
      <c r="R19" s="27" t="s">
        <v>78</v>
      </c>
      <c r="S19" s="28">
        <v>46054</v>
      </c>
      <c r="T19" s="29">
        <v>5421.32</v>
      </c>
      <c r="U19" s="29">
        <v>0</v>
      </c>
      <c r="V19" s="29">
        <v>0</v>
      </c>
      <c r="W19" s="29">
        <v>0</v>
      </c>
      <c r="X19" s="30">
        <v>0</v>
      </c>
      <c r="Y19" s="31" t="s">
        <v>434</v>
      </c>
    </row>
    <row r="20" spans="1:25" x14ac:dyDescent="0.3">
      <c r="A20" s="19" t="s">
        <v>353</v>
      </c>
      <c r="B20" s="20" t="s">
        <v>0</v>
      </c>
      <c r="C20" s="20" t="s">
        <v>367</v>
      </c>
      <c r="D20" s="21">
        <v>2100028571</v>
      </c>
      <c r="E20" s="21" t="s">
        <v>1</v>
      </c>
      <c r="F20" s="22">
        <v>4460</v>
      </c>
      <c r="G20" s="22">
        <v>4460</v>
      </c>
      <c r="H20" s="22">
        <v>0</v>
      </c>
      <c r="I20" s="22">
        <v>0</v>
      </c>
      <c r="J20" s="22">
        <v>0</v>
      </c>
      <c r="K20" s="22">
        <v>0</v>
      </c>
      <c r="L20" s="22">
        <v>4460</v>
      </c>
      <c r="M20" s="23">
        <v>46010</v>
      </c>
      <c r="N20" s="23">
        <v>46070</v>
      </c>
      <c r="O20" s="24">
        <v>18</v>
      </c>
      <c r="P20" s="25" t="s">
        <v>2</v>
      </c>
      <c r="Q20" s="26" t="s">
        <v>59</v>
      </c>
      <c r="R20" s="27" t="s">
        <v>78</v>
      </c>
      <c r="S20" s="28">
        <v>46054</v>
      </c>
      <c r="T20" s="29">
        <v>4460</v>
      </c>
      <c r="U20" s="29">
        <v>0</v>
      </c>
      <c r="V20" s="29">
        <v>0</v>
      </c>
      <c r="W20" s="29">
        <v>0</v>
      </c>
      <c r="X20" s="30">
        <v>0</v>
      </c>
      <c r="Y20" s="31" t="s">
        <v>445</v>
      </c>
    </row>
    <row r="21" spans="1:25" x14ac:dyDescent="0.3">
      <c r="A21" s="19" t="s">
        <v>65</v>
      </c>
      <c r="B21" s="20" t="s">
        <v>0</v>
      </c>
      <c r="C21" s="20" t="s">
        <v>364</v>
      </c>
      <c r="D21" s="21">
        <v>71039</v>
      </c>
      <c r="E21" s="21" t="s">
        <v>1</v>
      </c>
      <c r="F21" s="22">
        <v>4153.4399999999996</v>
      </c>
      <c r="G21" s="22">
        <v>0</v>
      </c>
      <c r="H21" s="22">
        <v>0</v>
      </c>
      <c r="I21" s="22">
        <v>0</v>
      </c>
      <c r="J21" s="22">
        <v>0</v>
      </c>
      <c r="K21" s="22">
        <v>4153.4399999999996</v>
      </c>
      <c r="L21" s="22">
        <v>4153.4399999999996</v>
      </c>
      <c r="M21" s="23">
        <v>45926</v>
      </c>
      <c r="N21" s="23">
        <v>45956</v>
      </c>
      <c r="O21" s="24">
        <v>-96</v>
      </c>
      <c r="P21" s="25" t="s">
        <v>60</v>
      </c>
      <c r="Q21" s="26" t="s">
        <v>72</v>
      </c>
      <c r="R21" s="27" t="s">
        <v>76</v>
      </c>
      <c r="S21" s="28">
        <v>46054</v>
      </c>
      <c r="T21" s="29">
        <v>4153.4399999999996</v>
      </c>
      <c r="U21" s="29">
        <v>0</v>
      </c>
      <c r="V21" s="29">
        <v>0</v>
      </c>
      <c r="W21" s="29">
        <v>0</v>
      </c>
      <c r="X21" s="30">
        <v>0</v>
      </c>
      <c r="Y21" s="31" t="s">
        <v>458</v>
      </c>
    </row>
    <row r="22" spans="1:25" x14ac:dyDescent="0.3">
      <c r="A22" s="19" t="s">
        <v>257</v>
      </c>
      <c r="B22" s="20" t="s">
        <v>0</v>
      </c>
      <c r="C22" s="20" t="s">
        <v>367</v>
      </c>
      <c r="D22" s="21">
        <v>2100027594</v>
      </c>
      <c r="E22" s="21" t="s">
        <v>1</v>
      </c>
      <c r="F22" s="22">
        <v>4082.49</v>
      </c>
      <c r="G22" s="22">
        <v>0</v>
      </c>
      <c r="H22" s="22">
        <v>0</v>
      </c>
      <c r="I22" s="22">
        <v>0</v>
      </c>
      <c r="J22" s="22">
        <v>0</v>
      </c>
      <c r="K22" s="22">
        <v>4082.49</v>
      </c>
      <c r="L22" s="22">
        <v>4082.49</v>
      </c>
      <c r="M22" s="23">
        <v>45845</v>
      </c>
      <c r="N22" s="23">
        <v>45875</v>
      </c>
      <c r="O22" s="24">
        <v>-177</v>
      </c>
      <c r="P22" s="25" t="s">
        <v>2</v>
      </c>
      <c r="Q22" s="26" t="s">
        <v>59</v>
      </c>
      <c r="R22" s="27" t="s">
        <v>76</v>
      </c>
      <c r="S22" s="28">
        <v>46054</v>
      </c>
      <c r="T22" s="29">
        <v>4082.49</v>
      </c>
      <c r="U22" s="29">
        <v>0</v>
      </c>
      <c r="V22" s="29">
        <v>0</v>
      </c>
      <c r="W22" s="29">
        <v>0</v>
      </c>
      <c r="X22" s="30">
        <v>0</v>
      </c>
      <c r="Y22" s="31" t="s">
        <v>438</v>
      </c>
    </row>
    <row r="23" spans="1:25" x14ac:dyDescent="0.3">
      <c r="A23" s="19" t="s">
        <v>65</v>
      </c>
      <c r="B23" s="20" t="s">
        <v>0</v>
      </c>
      <c r="C23" s="20" t="s">
        <v>366</v>
      </c>
      <c r="D23" s="21">
        <v>71007</v>
      </c>
      <c r="E23" s="21" t="s">
        <v>1</v>
      </c>
      <c r="F23" s="22">
        <v>4074.02</v>
      </c>
      <c r="G23" s="22">
        <v>0</v>
      </c>
      <c r="H23" s="22">
        <v>0</v>
      </c>
      <c r="I23" s="22">
        <v>0</v>
      </c>
      <c r="J23" s="22">
        <v>0</v>
      </c>
      <c r="K23" s="22">
        <v>4074.02</v>
      </c>
      <c r="L23" s="22">
        <v>4074.02</v>
      </c>
      <c r="M23" s="23">
        <v>45866</v>
      </c>
      <c r="N23" s="23">
        <v>45896</v>
      </c>
      <c r="O23" s="24">
        <v>-156</v>
      </c>
      <c r="P23" s="25" t="s">
        <v>60</v>
      </c>
      <c r="Q23" s="26" t="s">
        <v>72</v>
      </c>
      <c r="R23" s="27" t="s">
        <v>76</v>
      </c>
      <c r="S23" s="28">
        <v>46054</v>
      </c>
      <c r="T23" s="29">
        <v>4074.02</v>
      </c>
      <c r="U23" s="29">
        <v>0</v>
      </c>
      <c r="V23" s="29">
        <v>0</v>
      </c>
      <c r="W23" s="29">
        <v>0</v>
      </c>
      <c r="X23" s="30">
        <v>0</v>
      </c>
      <c r="Y23" s="31" t="s">
        <v>458</v>
      </c>
    </row>
    <row r="24" spans="1:25" x14ac:dyDescent="0.3">
      <c r="A24" s="19" t="s">
        <v>283</v>
      </c>
      <c r="B24" s="20" t="s">
        <v>0</v>
      </c>
      <c r="C24" s="20" t="s">
        <v>364</v>
      </c>
      <c r="D24" s="21">
        <v>71146</v>
      </c>
      <c r="E24" s="21" t="s">
        <v>1</v>
      </c>
      <c r="F24" s="22">
        <v>3922.94</v>
      </c>
      <c r="G24" s="22">
        <v>0</v>
      </c>
      <c r="H24" s="22">
        <v>3922.94</v>
      </c>
      <c r="I24" s="22">
        <v>0</v>
      </c>
      <c r="J24" s="22">
        <v>0</v>
      </c>
      <c r="K24" s="22">
        <v>0</v>
      </c>
      <c r="L24" s="22">
        <v>3922.94</v>
      </c>
      <c r="M24" s="23">
        <v>46045</v>
      </c>
      <c r="N24" s="23">
        <v>46050</v>
      </c>
      <c r="O24" s="32">
        <v>-2</v>
      </c>
      <c r="P24" s="25" t="s">
        <v>60</v>
      </c>
      <c r="Q24" s="26" t="s">
        <v>72</v>
      </c>
      <c r="R24" s="27" t="s">
        <v>76</v>
      </c>
      <c r="S24" s="28">
        <v>46054</v>
      </c>
      <c r="T24" s="29">
        <v>3922.94</v>
      </c>
      <c r="U24" s="29"/>
      <c r="V24" s="29"/>
      <c r="W24" s="29"/>
      <c r="X24" s="30"/>
      <c r="Y24" s="31" t="s">
        <v>446</v>
      </c>
    </row>
    <row r="25" spans="1:25" x14ac:dyDescent="0.3">
      <c r="A25" s="19" t="s">
        <v>231</v>
      </c>
      <c r="B25" s="20" t="s">
        <v>0</v>
      </c>
      <c r="C25" s="20" t="s">
        <v>396</v>
      </c>
      <c r="D25" s="21">
        <v>71136</v>
      </c>
      <c r="E25" s="21" t="s">
        <v>1</v>
      </c>
      <c r="F25" s="22">
        <v>3876.79</v>
      </c>
      <c r="G25" s="22">
        <v>3876.79</v>
      </c>
      <c r="H25" s="22">
        <v>0</v>
      </c>
      <c r="I25" s="22">
        <v>0</v>
      </c>
      <c r="J25" s="22">
        <v>0</v>
      </c>
      <c r="K25" s="22">
        <v>0</v>
      </c>
      <c r="L25" s="22">
        <v>3876.79</v>
      </c>
      <c r="M25" s="23">
        <v>46030</v>
      </c>
      <c r="N25" s="23">
        <v>46060</v>
      </c>
      <c r="O25" s="32">
        <v>8</v>
      </c>
      <c r="P25" s="25" t="s">
        <v>60</v>
      </c>
      <c r="Q25" s="26" t="s">
        <v>72</v>
      </c>
      <c r="R25" s="27" t="s">
        <v>78</v>
      </c>
      <c r="S25" s="28">
        <v>46054</v>
      </c>
      <c r="T25" s="29">
        <v>3876.79</v>
      </c>
      <c r="U25" s="29"/>
      <c r="V25" s="29"/>
      <c r="W25" s="29"/>
      <c r="X25" s="30"/>
      <c r="Y25" s="31" t="s">
        <v>434</v>
      </c>
    </row>
    <row r="26" spans="1:25" x14ac:dyDescent="0.3">
      <c r="A26" s="19" t="s">
        <v>231</v>
      </c>
      <c r="B26" s="20" t="s">
        <v>0</v>
      </c>
      <c r="C26" s="20" t="s">
        <v>377</v>
      </c>
      <c r="D26" s="21">
        <v>71075</v>
      </c>
      <c r="E26" s="21" t="s">
        <v>1</v>
      </c>
      <c r="F26" s="22">
        <v>3576.97</v>
      </c>
      <c r="G26" s="22">
        <v>0</v>
      </c>
      <c r="H26" s="22">
        <v>0</v>
      </c>
      <c r="I26" s="22">
        <v>3576.97</v>
      </c>
      <c r="J26" s="22">
        <v>0</v>
      </c>
      <c r="K26" s="22">
        <v>0</v>
      </c>
      <c r="L26" s="22">
        <v>3576.97</v>
      </c>
      <c r="M26" s="23">
        <v>45982</v>
      </c>
      <c r="N26" s="23">
        <v>46012</v>
      </c>
      <c r="O26" s="24">
        <v>-40</v>
      </c>
      <c r="P26" s="25" t="s">
        <v>60</v>
      </c>
      <c r="Q26" s="26" t="s">
        <v>72</v>
      </c>
      <c r="R26" s="27" t="s">
        <v>76</v>
      </c>
      <c r="S26" s="28">
        <v>46054</v>
      </c>
      <c r="T26" s="29">
        <v>3576.97</v>
      </c>
      <c r="U26" s="29">
        <v>0</v>
      </c>
      <c r="V26" s="29">
        <v>0</v>
      </c>
      <c r="W26" s="29">
        <v>0</v>
      </c>
      <c r="X26" s="30">
        <v>0</v>
      </c>
      <c r="Y26" s="31" t="s">
        <v>434</v>
      </c>
    </row>
    <row r="27" spans="1:25" x14ac:dyDescent="0.3">
      <c r="A27" s="19" t="s">
        <v>279</v>
      </c>
      <c r="B27" s="20" t="s">
        <v>0</v>
      </c>
      <c r="C27" s="20" t="s">
        <v>367</v>
      </c>
      <c r="D27" s="21">
        <v>2100028492</v>
      </c>
      <c r="E27" s="21" t="s">
        <v>1</v>
      </c>
      <c r="F27" s="22">
        <v>3140.63</v>
      </c>
      <c r="G27" s="22">
        <v>0</v>
      </c>
      <c r="H27" s="22">
        <v>3140.63</v>
      </c>
      <c r="I27" s="22">
        <v>0</v>
      </c>
      <c r="J27" s="22">
        <v>0</v>
      </c>
      <c r="K27" s="22">
        <v>0</v>
      </c>
      <c r="L27" s="22">
        <v>3140.63</v>
      </c>
      <c r="M27" s="23">
        <v>45993</v>
      </c>
      <c r="N27" s="23">
        <v>46023</v>
      </c>
      <c r="O27" s="32">
        <v>-29</v>
      </c>
      <c r="P27" s="25" t="s">
        <v>2</v>
      </c>
      <c r="Q27" s="26" t="s">
        <v>59</v>
      </c>
      <c r="R27" s="27" t="s">
        <v>76</v>
      </c>
      <c r="S27" s="28">
        <v>46054</v>
      </c>
      <c r="T27" s="29">
        <v>3140.63</v>
      </c>
      <c r="U27" s="29">
        <v>0</v>
      </c>
      <c r="V27" s="29">
        <v>0</v>
      </c>
      <c r="W27" s="29">
        <v>0</v>
      </c>
      <c r="X27" s="30">
        <v>0</v>
      </c>
      <c r="Y27" s="31" t="s">
        <v>446</v>
      </c>
    </row>
    <row r="28" spans="1:25" x14ac:dyDescent="0.3">
      <c r="A28" s="19" t="s">
        <v>274</v>
      </c>
      <c r="B28" s="20" t="s">
        <v>0</v>
      </c>
      <c r="C28" s="20" t="s">
        <v>367</v>
      </c>
      <c r="D28" s="21">
        <v>2100028403</v>
      </c>
      <c r="E28" s="21" t="s">
        <v>1</v>
      </c>
      <c r="F28" s="22">
        <v>3096.56</v>
      </c>
      <c r="G28" s="22">
        <v>0</v>
      </c>
      <c r="H28" s="22">
        <v>0</v>
      </c>
      <c r="I28" s="22">
        <v>3096.56</v>
      </c>
      <c r="J28" s="22">
        <v>0</v>
      </c>
      <c r="K28" s="22">
        <v>0</v>
      </c>
      <c r="L28" s="22">
        <v>3096.56</v>
      </c>
      <c r="M28" s="23">
        <v>45978</v>
      </c>
      <c r="N28" s="23">
        <v>46008</v>
      </c>
      <c r="O28" s="32">
        <v>-44</v>
      </c>
      <c r="P28" s="25" t="s">
        <v>2</v>
      </c>
      <c r="Q28" s="26" t="s">
        <v>59</v>
      </c>
      <c r="R28" s="27" t="s">
        <v>76</v>
      </c>
      <c r="S28" s="28">
        <v>46054</v>
      </c>
      <c r="T28" s="29">
        <v>3096.56</v>
      </c>
      <c r="U28" s="29">
        <v>0</v>
      </c>
      <c r="V28" s="29">
        <v>0</v>
      </c>
      <c r="W28" s="29">
        <v>0</v>
      </c>
      <c r="X28" s="30">
        <v>0</v>
      </c>
      <c r="Y28" s="31" t="s">
        <v>446</v>
      </c>
    </row>
    <row r="29" spans="1:25" x14ac:dyDescent="0.3">
      <c r="A29" s="19" t="s">
        <v>274</v>
      </c>
      <c r="B29" s="20" t="s">
        <v>0</v>
      </c>
      <c r="C29" s="20" t="s">
        <v>367</v>
      </c>
      <c r="D29" s="21">
        <v>2100028443</v>
      </c>
      <c r="E29" s="21" t="s">
        <v>1</v>
      </c>
      <c r="F29" s="22">
        <v>2418.1</v>
      </c>
      <c r="G29" s="22">
        <v>0</v>
      </c>
      <c r="H29" s="22">
        <v>0</v>
      </c>
      <c r="I29" s="22">
        <v>2418.1</v>
      </c>
      <c r="J29" s="22">
        <v>0</v>
      </c>
      <c r="K29" s="22">
        <v>0</v>
      </c>
      <c r="L29" s="22">
        <v>2418.1</v>
      </c>
      <c r="M29" s="23">
        <v>45988</v>
      </c>
      <c r="N29" s="23">
        <v>46018</v>
      </c>
      <c r="O29" s="32">
        <v>-34</v>
      </c>
      <c r="P29" s="25" t="s">
        <v>2</v>
      </c>
      <c r="Q29" s="26" t="s">
        <v>59</v>
      </c>
      <c r="R29" s="27" t="s">
        <v>76</v>
      </c>
      <c r="S29" s="28">
        <v>46054</v>
      </c>
      <c r="T29" s="29">
        <v>2418.1</v>
      </c>
      <c r="U29" s="29">
        <v>0</v>
      </c>
      <c r="V29" s="29">
        <v>0</v>
      </c>
      <c r="W29" s="29">
        <v>0</v>
      </c>
      <c r="X29" s="30">
        <v>0</v>
      </c>
      <c r="Y29" s="31" t="s">
        <v>446</v>
      </c>
    </row>
    <row r="30" spans="1:25" x14ac:dyDescent="0.3">
      <c r="A30" s="19" t="s">
        <v>12</v>
      </c>
      <c r="B30" s="20" t="s">
        <v>0</v>
      </c>
      <c r="C30" s="20" t="s">
        <v>377</v>
      </c>
      <c r="D30" s="21">
        <v>71130</v>
      </c>
      <c r="E30" s="21" t="s">
        <v>1</v>
      </c>
      <c r="F30" s="22">
        <v>2370.8200000000002</v>
      </c>
      <c r="G30" s="22">
        <v>0</v>
      </c>
      <c r="H30" s="22">
        <v>2370.8200000000002</v>
      </c>
      <c r="I30" s="22">
        <v>0</v>
      </c>
      <c r="J30" s="22">
        <v>0</v>
      </c>
      <c r="K30" s="22">
        <v>0</v>
      </c>
      <c r="L30" s="22">
        <v>2370.8200000000002</v>
      </c>
      <c r="M30" s="23">
        <v>46021</v>
      </c>
      <c r="N30" s="23">
        <v>46051</v>
      </c>
      <c r="O30" s="24">
        <v>-1</v>
      </c>
      <c r="P30" s="25" t="s">
        <v>60</v>
      </c>
      <c r="Q30" s="26" t="s">
        <v>72</v>
      </c>
      <c r="R30" s="27" t="s">
        <v>76</v>
      </c>
      <c r="S30" s="28">
        <v>46054</v>
      </c>
      <c r="T30" s="29">
        <v>2370.83</v>
      </c>
      <c r="U30" s="29">
        <v>0</v>
      </c>
      <c r="V30" s="29">
        <v>0</v>
      </c>
      <c r="W30" s="29">
        <v>0</v>
      </c>
      <c r="X30" s="30">
        <v>0</v>
      </c>
      <c r="Y30" s="31" t="s">
        <v>446</v>
      </c>
    </row>
    <row r="31" spans="1:25" x14ac:dyDescent="0.3">
      <c r="A31" s="19" t="s">
        <v>250</v>
      </c>
      <c r="B31" s="20" t="s">
        <v>0</v>
      </c>
      <c r="C31" s="20" t="s">
        <v>363</v>
      </c>
      <c r="D31" s="21">
        <v>2100028628</v>
      </c>
      <c r="E31" s="21" t="s">
        <v>1</v>
      </c>
      <c r="F31" s="22">
        <v>1931.17</v>
      </c>
      <c r="G31" s="22">
        <v>0</v>
      </c>
      <c r="H31" s="22">
        <v>1931.17</v>
      </c>
      <c r="I31" s="22">
        <v>0</v>
      </c>
      <c r="J31" s="22">
        <v>0</v>
      </c>
      <c r="K31" s="22">
        <v>0</v>
      </c>
      <c r="L31" s="22">
        <v>1931.17</v>
      </c>
      <c r="M31" s="23">
        <v>46020</v>
      </c>
      <c r="N31" s="23">
        <v>46050</v>
      </c>
      <c r="O31" s="32">
        <v>-2</v>
      </c>
      <c r="P31" s="25" t="s">
        <v>2</v>
      </c>
      <c r="Q31" s="26" t="s">
        <v>59</v>
      </c>
      <c r="R31" s="27" t="s">
        <v>76</v>
      </c>
      <c r="S31" s="28">
        <v>46054</v>
      </c>
      <c r="T31" s="29">
        <v>1931.17</v>
      </c>
      <c r="U31" s="29">
        <v>0</v>
      </c>
      <c r="V31" s="29">
        <v>0</v>
      </c>
      <c r="W31" s="29">
        <v>0</v>
      </c>
      <c r="X31" s="30">
        <v>0</v>
      </c>
      <c r="Y31" s="31" t="s">
        <v>447</v>
      </c>
    </row>
    <row r="32" spans="1:25" x14ac:dyDescent="0.3">
      <c r="A32" s="19" t="s">
        <v>274</v>
      </c>
      <c r="B32" s="20" t="s">
        <v>0</v>
      </c>
      <c r="C32" s="20" t="s">
        <v>367</v>
      </c>
      <c r="D32" s="21">
        <v>2100028564</v>
      </c>
      <c r="E32" s="21" t="s">
        <v>1</v>
      </c>
      <c r="F32" s="22">
        <v>1880.75</v>
      </c>
      <c r="G32" s="22">
        <v>0</v>
      </c>
      <c r="H32" s="22">
        <v>1880.75</v>
      </c>
      <c r="I32" s="22">
        <v>0</v>
      </c>
      <c r="J32" s="22">
        <v>0</v>
      </c>
      <c r="K32" s="22">
        <v>0</v>
      </c>
      <c r="L32" s="22">
        <v>1880.75</v>
      </c>
      <c r="M32" s="23">
        <v>46007</v>
      </c>
      <c r="N32" s="23">
        <v>46037</v>
      </c>
      <c r="O32" s="32">
        <v>-15</v>
      </c>
      <c r="P32" s="25" t="s">
        <v>2</v>
      </c>
      <c r="Q32" s="26" t="s">
        <v>59</v>
      </c>
      <c r="R32" s="27" t="s">
        <v>76</v>
      </c>
      <c r="S32" s="28">
        <v>46054</v>
      </c>
      <c r="T32" s="29">
        <v>1880.75</v>
      </c>
      <c r="U32" s="29">
        <v>0</v>
      </c>
      <c r="V32" s="29">
        <v>0</v>
      </c>
      <c r="W32" s="29">
        <v>0</v>
      </c>
      <c r="X32" s="30">
        <v>0</v>
      </c>
      <c r="Y32" s="31" t="s">
        <v>446</v>
      </c>
    </row>
    <row r="33" spans="1:25" x14ac:dyDescent="0.3">
      <c r="A33" s="19" t="s">
        <v>279</v>
      </c>
      <c r="B33" s="20" t="s">
        <v>0</v>
      </c>
      <c r="C33" s="20" t="s">
        <v>367</v>
      </c>
      <c r="D33" s="21">
        <v>2100028010</v>
      </c>
      <c r="E33" s="21" t="s">
        <v>1</v>
      </c>
      <c r="F33" s="22">
        <v>1832.04</v>
      </c>
      <c r="G33" s="22">
        <v>0</v>
      </c>
      <c r="H33" s="22">
        <v>0</v>
      </c>
      <c r="I33" s="22">
        <v>0</v>
      </c>
      <c r="J33" s="22">
        <v>0</v>
      </c>
      <c r="K33" s="22">
        <v>1832.04</v>
      </c>
      <c r="L33" s="22">
        <v>1832.04</v>
      </c>
      <c r="M33" s="23">
        <v>45912</v>
      </c>
      <c r="N33" s="23">
        <v>45942</v>
      </c>
      <c r="O33" s="24">
        <v>-110</v>
      </c>
      <c r="P33" s="25" t="s">
        <v>2</v>
      </c>
      <c r="Q33" s="26" t="s">
        <v>59</v>
      </c>
      <c r="R33" s="27" t="s">
        <v>76</v>
      </c>
      <c r="S33" s="28">
        <v>46054</v>
      </c>
      <c r="T33" s="29">
        <v>1832.04</v>
      </c>
      <c r="U33" s="29">
        <v>0</v>
      </c>
      <c r="V33" s="29">
        <v>0</v>
      </c>
      <c r="W33" s="29">
        <v>0</v>
      </c>
      <c r="X33" s="30">
        <v>0</v>
      </c>
      <c r="Y33" s="31" t="s">
        <v>446</v>
      </c>
    </row>
    <row r="34" spans="1:25" x14ac:dyDescent="0.3">
      <c r="A34" s="19" t="s">
        <v>274</v>
      </c>
      <c r="B34" s="20" t="s">
        <v>0</v>
      </c>
      <c r="C34" s="20" t="s">
        <v>367</v>
      </c>
      <c r="D34" s="21">
        <v>2100028038</v>
      </c>
      <c r="E34" s="21" t="s">
        <v>1</v>
      </c>
      <c r="F34" s="22">
        <v>1822.9</v>
      </c>
      <c r="G34" s="22">
        <v>0</v>
      </c>
      <c r="H34" s="22">
        <v>0</v>
      </c>
      <c r="I34" s="22">
        <v>0</v>
      </c>
      <c r="J34" s="22">
        <v>0</v>
      </c>
      <c r="K34" s="22">
        <v>1822.9</v>
      </c>
      <c r="L34" s="22">
        <v>1822.9</v>
      </c>
      <c r="M34" s="23">
        <v>45917</v>
      </c>
      <c r="N34" s="23">
        <v>45947</v>
      </c>
      <c r="O34" s="24">
        <v>-105</v>
      </c>
      <c r="P34" s="25" t="s">
        <v>2</v>
      </c>
      <c r="Q34" s="26" t="s">
        <v>59</v>
      </c>
      <c r="R34" s="27" t="s">
        <v>76</v>
      </c>
      <c r="S34" s="28">
        <v>46054</v>
      </c>
      <c r="T34" s="29">
        <v>1822.9</v>
      </c>
      <c r="U34" s="29">
        <v>0</v>
      </c>
      <c r="V34" s="29">
        <v>0</v>
      </c>
      <c r="W34" s="29">
        <v>0</v>
      </c>
      <c r="X34" s="30">
        <v>0</v>
      </c>
      <c r="Y34" s="31" t="s">
        <v>446</v>
      </c>
    </row>
    <row r="35" spans="1:25" x14ac:dyDescent="0.3">
      <c r="A35" s="19" t="s">
        <v>70</v>
      </c>
      <c r="B35" s="20" t="s">
        <v>0</v>
      </c>
      <c r="C35" s="20" t="s">
        <v>374</v>
      </c>
      <c r="D35" s="21">
        <v>70965</v>
      </c>
      <c r="E35" s="21" t="s">
        <v>1</v>
      </c>
      <c r="F35" s="22">
        <v>1669.71</v>
      </c>
      <c r="G35" s="22">
        <v>0</v>
      </c>
      <c r="H35" s="22">
        <v>0</v>
      </c>
      <c r="I35" s="22">
        <v>0</v>
      </c>
      <c r="J35" s="22">
        <v>0</v>
      </c>
      <c r="K35" s="22">
        <v>1669.71</v>
      </c>
      <c r="L35" s="22">
        <v>1669.71</v>
      </c>
      <c r="M35" s="23">
        <v>45825</v>
      </c>
      <c r="N35" s="23">
        <v>45833</v>
      </c>
      <c r="O35" s="24">
        <v>-219</v>
      </c>
      <c r="P35" s="25" t="s">
        <v>60</v>
      </c>
      <c r="Q35" s="26" t="s">
        <v>72</v>
      </c>
      <c r="R35" s="27" t="s">
        <v>79</v>
      </c>
      <c r="S35" s="28">
        <v>46054</v>
      </c>
      <c r="T35" s="29">
        <v>1669.71</v>
      </c>
      <c r="U35" s="29">
        <v>0</v>
      </c>
      <c r="V35" s="29">
        <v>0</v>
      </c>
      <c r="W35" s="29">
        <v>0</v>
      </c>
      <c r="X35" s="30">
        <v>0</v>
      </c>
      <c r="Y35" s="31">
        <v>0</v>
      </c>
    </row>
    <row r="36" spans="1:25" x14ac:dyDescent="0.3">
      <c r="A36" s="19" t="s">
        <v>254</v>
      </c>
      <c r="B36" s="20" t="s">
        <v>0</v>
      </c>
      <c r="C36" s="20" t="s">
        <v>387</v>
      </c>
      <c r="D36" s="21">
        <v>71108</v>
      </c>
      <c r="E36" s="21" t="s">
        <v>1</v>
      </c>
      <c r="F36" s="22">
        <v>1659.97</v>
      </c>
      <c r="G36" s="22">
        <v>1659.97</v>
      </c>
      <c r="H36" s="22">
        <v>0</v>
      </c>
      <c r="I36" s="22">
        <v>0</v>
      </c>
      <c r="J36" s="22">
        <v>0</v>
      </c>
      <c r="K36" s="22">
        <v>0</v>
      </c>
      <c r="L36" s="22">
        <v>1659.97</v>
      </c>
      <c r="M36" s="23">
        <v>46002</v>
      </c>
      <c r="N36" s="23">
        <v>46062</v>
      </c>
      <c r="O36" s="32">
        <v>10</v>
      </c>
      <c r="P36" s="25" t="s">
        <v>60</v>
      </c>
      <c r="Q36" s="26" t="s">
        <v>72</v>
      </c>
      <c r="R36" s="27" t="s">
        <v>78</v>
      </c>
      <c r="S36" s="28">
        <v>46054</v>
      </c>
      <c r="T36" s="29">
        <v>1659.97</v>
      </c>
      <c r="U36" s="29">
        <v>0</v>
      </c>
      <c r="V36" s="29">
        <v>0</v>
      </c>
      <c r="W36" s="29">
        <v>0</v>
      </c>
      <c r="X36" s="30">
        <v>0</v>
      </c>
      <c r="Y36" s="31" t="s">
        <v>434</v>
      </c>
    </row>
    <row r="37" spans="1:25" x14ac:dyDescent="0.3">
      <c r="A37" s="19" t="s">
        <v>28</v>
      </c>
      <c r="B37" s="20" t="s">
        <v>0</v>
      </c>
      <c r="C37" s="20" t="s">
        <v>367</v>
      </c>
      <c r="D37" s="21">
        <v>2100028641</v>
      </c>
      <c r="E37" s="21" t="s">
        <v>1</v>
      </c>
      <c r="F37" s="22">
        <v>1634.3</v>
      </c>
      <c r="G37" s="22">
        <v>0</v>
      </c>
      <c r="H37" s="22">
        <v>1634.3</v>
      </c>
      <c r="I37" s="22">
        <v>0</v>
      </c>
      <c r="J37" s="22">
        <v>0</v>
      </c>
      <c r="K37" s="22">
        <v>0</v>
      </c>
      <c r="L37" s="22">
        <v>1634.3</v>
      </c>
      <c r="M37" s="23">
        <v>46020</v>
      </c>
      <c r="N37" s="23">
        <v>46050</v>
      </c>
      <c r="O37" s="32">
        <v>-2</v>
      </c>
      <c r="P37" s="25" t="s">
        <v>2</v>
      </c>
      <c r="Q37" s="26" t="s">
        <v>59</v>
      </c>
      <c r="R37" s="27" t="s">
        <v>76</v>
      </c>
      <c r="S37" s="28">
        <v>46054</v>
      </c>
      <c r="T37" s="29">
        <v>1634.3</v>
      </c>
      <c r="U37" s="29">
        <v>0</v>
      </c>
      <c r="V37" s="29">
        <v>0</v>
      </c>
      <c r="W37" s="29">
        <v>0</v>
      </c>
      <c r="X37" s="30">
        <v>0</v>
      </c>
      <c r="Y37" s="31" t="s">
        <v>447</v>
      </c>
    </row>
    <row r="38" spans="1:25" x14ac:dyDescent="0.3">
      <c r="A38" s="19" t="s">
        <v>294</v>
      </c>
      <c r="B38" s="20" t="s">
        <v>0</v>
      </c>
      <c r="C38" s="20" t="s">
        <v>393</v>
      </c>
      <c r="D38" s="21">
        <v>2100028310</v>
      </c>
      <c r="E38" s="21" t="s">
        <v>1</v>
      </c>
      <c r="F38" s="22">
        <v>1593.03</v>
      </c>
      <c r="G38" s="22">
        <v>0</v>
      </c>
      <c r="H38" s="22">
        <v>0</v>
      </c>
      <c r="I38" s="22">
        <v>0</v>
      </c>
      <c r="J38" s="22">
        <v>1593.03</v>
      </c>
      <c r="K38" s="22">
        <v>0</v>
      </c>
      <c r="L38" s="22">
        <v>1593.03</v>
      </c>
      <c r="M38" s="23">
        <v>45959</v>
      </c>
      <c r="N38" s="23">
        <v>45989</v>
      </c>
      <c r="O38" s="24">
        <v>-63</v>
      </c>
      <c r="P38" s="25" t="s">
        <v>2</v>
      </c>
      <c r="Q38" s="26" t="s">
        <v>59</v>
      </c>
      <c r="R38" s="27" t="s">
        <v>76</v>
      </c>
      <c r="S38" s="28">
        <v>46054</v>
      </c>
      <c r="T38" s="29">
        <v>1593.03</v>
      </c>
      <c r="U38" s="29">
        <v>0</v>
      </c>
      <c r="V38" s="29">
        <v>0</v>
      </c>
      <c r="W38" s="29">
        <v>0</v>
      </c>
      <c r="X38" s="30">
        <v>0</v>
      </c>
      <c r="Y38" s="31" t="s">
        <v>448</v>
      </c>
    </row>
    <row r="39" spans="1:25" x14ac:dyDescent="0.3">
      <c r="A39" s="19" t="s">
        <v>280</v>
      </c>
      <c r="B39" s="20" t="s">
        <v>0</v>
      </c>
      <c r="C39" s="20" t="s">
        <v>363</v>
      </c>
      <c r="D39" s="21">
        <v>2100027944</v>
      </c>
      <c r="E39" s="21" t="s">
        <v>1</v>
      </c>
      <c r="F39" s="22">
        <v>1500</v>
      </c>
      <c r="G39" s="22">
        <v>0</v>
      </c>
      <c r="H39" s="22">
        <v>0</v>
      </c>
      <c r="I39" s="22">
        <v>0</v>
      </c>
      <c r="J39" s="22">
        <v>0</v>
      </c>
      <c r="K39" s="22">
        <v>1500</v>
      </c>
      <c r="L39" s="22">
        <v>1500</v>
      </c>
      <c r="M39" s="23">
        <v>45903</v>
      </c>
      <c r="N39" s="23">
        <v>45918</v>
      </c>
      <c r="O39" s="32">
        <v>-134</v>
      </c>
      <c r="P39" s="25" t="s">
        <v>2</v>
      </c>
      <c r="Q39" s="26" t="s">
        <v>59</v>
      </c>
      <c r="R39" s="27" t="s">
        <v>76</v>
      </c>
      <c r="S39" s="28">
        <v>46054</v>
      </c>
      <c r="T39" s="29">
        <v>1500</v>
      </c>
      <c r="U39" s="29">
        <v>0</v>
      </c>
      <c r="V39" s="29">
        <v>0</v>
      </c>
      <c r="W39" s="29">
        <v>0</v>
      </c>
      <c r="X39" s="30">
        <v>0</v>
      </c>
      <c r="Y39" s="31" t="s">
        <v>448</v>
      </c>
    </row>
    <row r="40" spans="1:25" x14ac:dyDescent="0.3">
      <c r="A40" s="19" t="s">
        <v>293</v>
      </c>
      <c r="B40" s="20" t="s">
        <v>0</v>
      </c>
      <c r="C40" s="20" t="s">
        <v>362</v>
      </c>
      <c r="D40" s="21">
        <v>2100028312</v>
      </c>
      <c r="E40" s="21" t="s">
        <v>1</v>
      </c>
      <c r="F40" s="22">
        <v>1011.32</v>
      </c>
      <c r="G40" s="22">
        <v>0</v>
      </c>
      <c r="H40" s="22">
        <v>0</v>
      </c>
      <c r="I40" s="22">
        <v>0</v>
      </c>
      <c r="J40" s="22">
        <v>1011.32</v>
      </c>
      <c r="K40" s="22">
        <v>0</v>
      </c>
      <c r="L40" s="22">
        <v>1011.32</v>
      </c>
      <c r="M40" s="23">
        <v>45959</v>
      </c>
      <c r="N40" s="23">
        <v>45989</v>
      </c>
      <c r="O40" s="32">
        <v>-63</v>
      </c>
      <c r="P40" s="25" t="s">
        <v>2</v>
      </c>
      <c r="Q40" s="26" t="s">
        <v>59</v>
      </c>
      <c r="R40" s="27" t="s">
        <v>76</v>
      </c>
      <c r="S40" s="28">
        <v>46054</v>
      </c>
      <c r="T40" s="29">
        <v>1011.32</v>
      </c>
      <c r="U40" s="29">
        <v>0</v>
      </c>
      <c r="V40" s="29">
        <v>0</v>
      </c>
      <c r="W40" s="29">
        <v>0</v>
      </c>
      <c r="X40" s="30">
        <v>0</v>
      </c>
      <c r="Y40" s="31">
        <v>0</v>
      </c>
    </row>
    <row r="41" spans="1:25" x14ac:dyDescent="0.3">
      <c r="A41" s="19" t="s">
        <v>26</v>
      </c>
      <c r="B41" s="20" t="s">
        <v>0</v>
      </c>
      <c r="C41" s="20" t="s">
        <v>367</v>
      </c>
      <c r="D41" s="21">
        <v>2100028738</v>
      </c>
      <c r="E41" s="21" t="s">
        <v>1</v>
      </c>
      <c r="F41" s="22">
        <v>941.48</v>
      </c>
      <c r="G41" s="22">
        <v>941.48</v>
      </c>
      <c r="H41" s="22">
        <v>0</v>
      </c>
      <c r="I41" s="22">
        <v>0</v>
      </c>
      <c r="J41" s="22">
        <v>0</v>
      </c>
      <c r="K41" s="22">
        <v>0</v>
      </c>
      <c r="L41" s="22">
        <v>941.48</v>
      </c>
      <c r="M41" s="23">
        <v>46043</v>
      </c>
      <c r="N41" s="23">
        <v>46073</v>
      </c>
      <c r="O41" s="32">
        <v>21</v>
      </c>
      <c r="P41" s="25" t="s">
        <v>2</v>
      </c>
      <c r="Q41" s="26" t="s">
        <v>59</v>
      </c>
      <c r="R41" s="27" t="s">
        <v>78</v>
      </c>
      <c r="S41" s="28">
        <v>46054</v>
      </c>
      <c r="T41" s="29">
        <v>941.48</v>
      </c>
      <c r="U41" s="29">
        <v>0</v>
      </c>
      <c r="V41" s="29">
        <v>0</v>
      </c>
      <c r="W41" s="29">
        <v>0</v>
      </c>
      <c r="X41" s="30">
        <v>0</v>
      </c>
      <c r="Y41" s="31">
        <v>0</v>
      </c>
    </row>
    <row r="42" spans="1:25" x14ac:dyDescent="0.3">
      <c r="A42" s="19" t="s">
        <v>412</v>
      </c>
      <c r="B42" s="20" t="s">
        <v>0</v>
      </c>
      <c r="C42" s="20" t="s">
        <v>396</v>
      </c>
      <c r="D42" s="21">
        <v>71150</v>
      </c>
      <c r="E42" s="21" t="s">
        <v>1</v>
      </c>
      <c r="F42" s="22">
        <v>888.18</v>
      </c>
      <c r="G42" s="22">
        <v>888.18</v>
      </c>
      <c r="H42" s="22">
        <v>0</v>
      </c>
      <c r="I42" s="22">
        <v>0</v>
      </c>
      <c r="J42" s="22">
        <v>0</v>
      </c>
      <c r="K42" s="22">
        <v>0</v>
      </c>
      <c r="L42" s="22">
        <v>888.18</v>
      </c>
      <c r="M42" s="23">
        <v>46050</v>
      </c>
      <c r="N42" s="23">
        <v>46080</v>
      </c>
      <c r="O42" s="32">
        <v>28</v>
      </c>
      <c r="P42" s="25" t="s">
        <v>60</v>
      </c>
      <c r="Q42" s="26" t="s">
        <v>72</v>
      </c>
      <c r="R42" s="27" t="s">
        <v>78</v>
      </c>
      <c r="S42" s="28">
        <v>46054</v>
      </c>
      <c r="T42" s="29">
        <v>888.18</v>
      </c>
      <c r="U42" s="29"/>
      <c r="V42" s="29"/>
      <c r="W42" s="29"/>
      <c r="X42" s="30"/>
      <c r="Y42" s="31"/>
    </row>
    <row r="43" spans="1:25" x14ac:dyDescent="0.3">
      <c r="A43" s="19" t="s">
        <v>26</v>
      </c>
      <c r="B43" s="20" t="s">
        <v>0</v>
      </c>
      <c r="C43" s="20" t="s">
        <v>367</v>
      </c>
      <c r="D43" s="21">
        <v>2100028313</v>
      </c>
      <c r="E43" s="21" t="s">
        <v>1</v>
      </c>
      <c r="F43" s="22">
        <v>750</v>
      </c>
      <c r="G43" s="22">
        <v>0</v>
      </c>
      <c r="H43" s="22">
        <v>0</v>
      </c>
      <c r="I43" s="22">
        <v>0</v>
      </c>
      <c r="J43" s="22">
        <v>750</v>
      </c>
      <c r="K43" s="22">
        <v>0</v>
      </c>
      <c r="L43" s="22">
        <v>750</v>
      </c>
      <c r="M43" s="23">
        <v>45959</v>
      </c>
      <c r="N43" s="23">
        <v>45989</v>
      </c>
      <c r="O43" s="24">
        <v>-63</v>
      </c>
      <c r="P43" s="25" t="s">
        <v>2</v>
      </c>
      <c r="Q43" s="26" t="s">
        <v>59</v>
      </c>
      <c r="R43" s="27" t="s">
        <v>76</v>
      </c>
      <c r="S43" s="28">
        <v>46054</v>
      </c>
      <c r="T43" s="29">
        <v>750</v>
      </c>
      <c r="U43" s="29">
        <v>0</v>
      </c>
      <c r="V43" s="29">
        <v>0</v>
      </c>
      <c r="W43" s="29">
        <v>0</v>
      </c>
      <c r="X43" s="30">
        <v>0</v>
      </c>
      <c r="Y43" s="31">
        <v>0</v>
      </c>
    </row>
    <row r="44" spans="1:25" x14ac:dyDescent="0.3">
      <c r="A44" s="19" t="s">
        <v>36</v>
      </c>
      <c r="B44" s="20" t="s">
        <v>0</v>
      </c>
      <c r="C44" s="20" t="s">
        <v>367</v>
      </c>
      <c r="D44" s="21">
        <v>2100028661</v>
      </c>
      <c r="E44" s="21" t="s">
        <v>1</v>
      </c>
      <c r="F44" s="22">
        <v>743.2</v>
      </c>
      <c r="G44" s="22">
        <v>0</v>
      </c>
      <c r="H44" s="22">
        <v>743.2</v>
      </c>
      <c r="I44" s="22">
        <v>0</v>
      </c>
      <c r="J44" s="22">
        <v>0</v>
      </c>
      <c r="K44" s="22">
        <v>0</v>
      </c>
      <c r="L44" s="22">
        <v>743.2</v>
      </c>
      <c r="M44" s="23">
        <v>46028</v>
      </c>
      <c r="N44" s="23">
        <v>46043</v>
      </c>
      <c r="O44" s="32">
        <v>-9</v>
      </c>
      <c r="P44" s="25" t="s">
        <v>2</v>
      </c>
      <c r="Q44" s="26" t="s">
        <v>59</v>
      </c>
      <c r="R44" s="27" t="s">
        <v>76</v>
      </c>
      <c r="S44" s="28">
        <v>46054</v>
      </c>
      <c r="T44" s="29">
        <v>743.2</v>
      </c>
      <c r="U44" s="29">
        <v>0</v>
      </c>
      <c r="V44" s="29">
        <v>0</v>
      </c>
      <c r="W44" s="29">
        <v>0</v>
      </c>
      <c r="X44" s="30">
        <v>0</v>
      </c>
      <c r="Y44" s="31">
        <v>0</v>
      </c>
    </row>
    <row r="45" spans="1:25" x14ac:dyDescent="0.3">
      <c r="A45" s="19" t="s">
        <v>70</v>
      </c>
      <c r="B45" s="20" t="s">
        <v>0</v>
      </c>
      <c r="C45" s="20" t="s">
        <v>374</v>
      </c>
      <c r="D45" s="21">
        <v>70795</v>
      </c>
      <c r="E45" s="21" t="s">
        <v>1</v>
      </c>
      <c r="F45" s="22">
        <v>727.26</v>
      </c>
      <c r="G45" s="22">
        <v>0</v>
      </c>
      <c r="H45" s="22">
        <v>0</v>
      </c>
      <c r="I45" s="22">
        <v>0</v>
      </c>
      <c r="J45" s="22">
        <v>0</v>
      </c>
      <c r="K45" s="22">
        <v>727.26</v>
      </c>
      <c r="L45" s="22">
        <v>727.26</v>
      </c>
      <c r="M45" s="23">
        <v>45583</v>
      </c>
      <c r="N45" s="23">
        <v>45591</v>
      </c>
      <c r="O45" s="32">
        <v>-461</v>
      </c>
      <c r="P45" s="25" t="s">
        <v>60</v>
      </c>
      <c r="Q45" s="26" t="s">
        <v>72</v>
      </c>
      <c r="R45" s="27" t="s">
        <v>79</v>
      </c>
      <c r="S45" s="28">
        <v>46054</v>
      </c>
      <c r="T45" s="29">
        <v>727.26</v>
      </c>
      <c r="U45" s="29">
        <v>0</v>
      </c>
      <c r="V45" s="29">
        <v>0</v>
      </c>
      <c r="W45" s="29">
        <v>0</v>
      </c>
      <c r="X45" s="30">
        <v>0</v>
      </c>
      <c r="Y45" s="31">
        <v>0</v>
      </c>
    </row>
    <row r="46" spans="1:25" x14ac:dyDescent="0.3">
      <c r="A46" s="19" t="s">
        <v>407</v>
      </c>
      <c r="B46" s="20" t="s">
        <v>0</v>
      </c>
      <c r="C46" s="20" t="s">
        <v>364</v>
      </c>
      <c r="D46" s="21">
        <v>71141</v>
      </c>
      <c r="E46" s="21" t="s">
        <v>1</v>
      </c>
      <c r="F46" s="22">
        <v>610.20000000000005</v>
      </c>
      <c r="G46" s="22">
        <v>610.20000000000005</v>
      </c>
      <c r="H46" s="22">
        <v>0</v>
      </c>
      <c r="I46" s="22">
        <v>0</v>
      </c>
      <c r="J46" s="22">
        <v>0</v>
      </c>
      <c r="K46" s="22">
        <v>0</v>
      </c>
      <c r="L46" s="22">
        <v>610.20000000000005</v>
      </c>
      <c r="M46" s="23">
        <v>46044</v>
      </c>
      <c r="N46" s="23">
        <v>46074</v>
      </c>
      <c r="O46" s="32">
        <v>22</v>
      </c>
      <c r="P46" s="25" t="s">
        <v>60</v>
      </c>
      <c r="Q46" s="26" t="s">
        <v>72</v>
      </c>
      <c r="R46" s="27" t="s">
        <v>78</v>
      </c>
      <c r="S46" s="28">
        <v>46054</v>
      </c>
      <c r="T46" s="29">
        <v>610.20000000000005</v>
      </c>
      <c r="U46" s="29"/>
      <c r="V46" s="29"/>
      <c r="W46" s="29"/>
      <c r="X46" s="30"/>
      <c r="Y46" s="31"/>
    </row>
    <row r="47" spans="1:25" x14ac:dyDescent="0.3">
      <c r="A47" s="19" t="s">
        <v>278</v>
      </c>
      <c r="B47" s="20" t="s">
        <v>0</v>
      </c>
      <c r="C47" s="20" t="s">
        <v>363</v>
      </c>
      <c r="D47" s="21">
        <v>2100028390</v>
      </c>
      <c r="E47" s="21" t="s">
        <v>1</v>
      </c>
      <c r="F47" s="22">
        <v>581</v>
      </c>
      <c r="G47" s="22">
        <v>0</v>
      </c>
      <c r="H47" s="22">
        <v>0</v>
      </c>
      <c r="I47" s="22">
        <v>581</v>
      </c>
      <c r="J47" s="22">
        <v>0</v>
      </c>
      <c r="K47" s="22">
        <v>0</v>
      </c>
      <c r="L47" s="22">
        <v>581</v>
      </c>
      <c r="M47" s="23">
        <v>45973</v>
      </c>
      <c r="N47" s="23">
        <v>46003</v>
      </c>
      <c r="O47" s="32">
        <v>-49</v>
      </c>
      <c r="P47" s="25" t="s">
        <v>2</v>
      </c>
      <c r="Q47" s="26" t="s">
        <v>59</v>
      </c>
      <c r="R47" s="27" t="s">
        <v>76</v>
      </c>
      <c r="S47" s="28">
        <v>46054</v>
      </c>
      <c r="T47" s="29">
        <v>581</v>
      </c>
      <c r="U47" s="29">
        <v>0</v>
      </c>
      <c r="V47" s="29">
        <v>0</v>
      </c>
      <c r="W47" s="29">
        <v>0</v>
      </c>
      <c r="X47" s="30">
        <v>0</v>
      </c>
      <c r="Y47" s="31">
        <v>0</v>
      </c>
    </row>
    <row r="48" spans="1:25" x14ac:dyDescent="0.3">
      <c r="A48" s="19" t="s">
        <v>355</v>
      </c>
      <c r="B48" s="20" t="s">
        <v>0</v>
      </c>
      <c r="C48" s="20" t="s">
        <v>394</v>
      </c>
      <c r="D48" s="21">
        <v>2100028496</v>
      </c>
      <c r="E48" s="21" t="s">
        <v>1</v>
      </c>
      <c r="F48" s="22">
        <v>553.70000000000005</v>
      </c>
      <c r="G48" s="22">
        <v>0</v>
      </c>
      <c r="H48" s="22">
        <v>553.70000000000005</v>
      </c>
      <c r="I48" s="22">
        <v>0</v>
      </c>
      <c r="J48" s="22">
        <v>0</v>
      </c>
      <c r="K48" s="22">
        <v>0</v>
      </c>
      <c r="L48" s="22">
        <v>553.70000000000005</v>
      </c>
      <c r="M48" s="23">
        <v>45995</v>
      </c>
      <c r="N48" s="23">
        <v>46025</v>
      </c>
      <c r="O48" s="24">
        <v>-27</v>
      </c>
      <c r="P48" s="25" t="s">
        <v>2</v>
      </c>
      <c r="Q48" s="26" t="s">
        <v>59</v>
      </c>
      <c r="R48" s="27" t="s">
        <v>76</v>
      </c>
      <c r="S48" s="28">
        <v>46054</v>
      </c>
      <c r="T48" s="29">
        <v>553.70000000000005</v>
      </c>
      <c r="U48" s="29">
        <v>0</v>
      </c>
      <c r="V48" s="29">
        <v>0</v>
      </c>
      <c r="W48" s="29">
        <v>0</v>
      </c>
      <c r="X48" s="30">
        <v>0</v>
      </c>
      <c r="Y48" s="31">
        <v>0</v>
      </c>
    </row>
    <row r="49" spans="1:25" x14ac:dyDescent="0.3">
      <c r="A49" s="19" t="s">
        <v>275</v>
      </c>
      <c r="B49" s="20" t="s">
        <v>0</v>
      </c>
      <c r="C49" s="20" t="s">
        <v>365</v>
      </c>
      <c r="D49" s="21">
        <v>2100028692</v>
      </c>
      <c r="E49" s="21" t="s">
        <v>1</v>
      </c>
      <c r="F49" s="22">
        <v>542.4</v>
      </c>
      <c r="G49" s="22">
        <v>542.4</v>
      </c>
      <c r="H49" s="22">
        <v>0</v>
      </c>
      <c r="I49" s="22">
        <v>0</v>
      </c>
      <c r="J49" s="22">
        <v>0</v>
      </c>
      <c r="K49" s="22">
        <v>0</v>
      </c>
      <c r="L49" s="22">
        <v>542.4</v>
      </c>
      <c r="M49" s="23">
        <v>46035</v>
      </c>
      <c r="N49" s="23">
        <v>46065</v>
      </c>
      <c r="O49" s="32">
        <v>13</v>
      </c>
      <c r="P49" s="25" t="s">
        <v>2</v>
      </c>
      <c r="Q49" s="26" t="s">
        <v>59</v>
      </c>
      <c r="R49" s="27" t="s">
        <v>78</v>
      </c>
      <c r="S49" s="28">
        <v>46054</v>
      </c>
      <c r="T49" s="29">
        <v>542.4</v>
      </c>
      <c r="U49" s="29">
        <v>0</v>
      </c>
      <c r="V49" s="29">
        <v>0</v>
      </c>
      <c r="W49" s="29">
        <v>0</v>
      </c>
      <c r="X49" s="30">
        <v>0</v>
      </c>
      <c r="Y49" s="31">
        <v>0</v>
      </c>
    </row>
    <row r="50" spans="1:25" x14ac:dyDescent="0.3">
      <c r="A50" s="19" t="s">
        <v>227</v>
      </c>
      <c r="B50" s="20" t="s">
        <v>0</v>
      </c>
      <c r="C50" s="20" t="s">
        <v>369</v>
      </c>
      <c r="D50" s="21">
        <v>2100028630</v>
      </c>
      <c r="E50" s="21" t="s">
        <v>1</v>
      </c>
      <c r="F50" s="22">
        <v>978.31</v>
      </c>
      <c r="G50" s="22">
        <v>0</v>
      </c>
      <c r="H50" s="22">
        <v>978.31</v>
      </c>
      <c r="I50" s="22">
        <v>0</v>
      </c>
      <c r="J50" s="22">
        <v>0</v>
      </c>
      <c r="K50" s="22">
        <v>0</v>
      </c>
      <c r="L50" s="22">
        <v>978.31</v>
      </c>
      <c r="M50" s="23">
        <v>46020</v>
      </c>
      <c r="N50" s="23">
        <v>46050</v>
      </c>
      <c r="O50" s="24">
        <v>-2</v>
      </c>
      <c r="P50" s="25" t="s">
        <v>2</v>
      </c>
      <c r="Q50" s="26" t="s">
        <v>59</v>
      </c>
      <c r="R50" s="27" t="s">
        <v>76</v>
      </c>
      <c r="S50" s="28">
        <v>46054</v>
      </c>
      <c r="T50" s="29">
        <v>507.5</v>
      </c>
      <c r="U50" s="29">
        <v>0</v>
      </c>
      <c r="V50" s="29">
        <v>0</v>
      </c>
      <c r="W50" s="29">
        <v>0</v>
      </c>
      <c r="X50" s="30">
        <v>0</v>
      </c>
      <c r="Y50" s="31">
        <v>0</v>
      </c>
    </row>
    <row r="51" spans="1:25" x14ac:dyDescent="0.3">
      <c r="A51" s="19" t="s">
        <v>264</v>
      </c>
      <c r="B51" s="20" t="s">
        <v>0</v>
      </c>
      <c r="C51" s="20" t="s">
        <v>363</v>
      </c>
      <c r="D51" s="21">
        <v>2100028646</v>
      </c>
      <c r="E51" s="21" t="s">
        <v>1</v>
      </c>
      <c r="F51" s="22">
        <v>427.14</v>
      </c>
      <c r="G51" s="22">
        <v>0</v>
      </c>
      <c r="H51" s="22">
        <v>427.14</v>
      </c>
      <c r="I51" s="22">
        <v>0</v>
      </c>
      <c r="J51" s="22">
        <v>0</v>
      </c>
      <c r="K51" s="22">
        <v>0</v>
      </c>
      <c r="L51" s="22">
        <v>427.14</v>
      </c>
      <c r="M51" s="23">
        <v>46021</v>
      </c>
      <c r="N51" s="23">
        <v>46022</v>
      </c>
      <c r="O51" s="24">
        <v>-30</v>
      </c>
      <c r="P51" s="25" t="s">
        <v>2</v>
      </c>
      <c r="Q51" s="26" t="s">
        <v>59</v>
      </c>
      <c r="R51" s="27" t="s">
        <v>76</v>
      </c>
      <c r="S51" s="28">
        <v>46054</v>
      </c>
      <c r="T51" s="29">
        <v>427.14</v>
      </c>
      <c r="U51" s="29">
        <v>0</v>
      </c>
      <c r="V51" s="29">
        <v>0</v>
      </c>
      <c r="W51" s="29">
        <v>0</v>
      </c>
      <c r="X51" s="30">
        <v>0</v>
      </c>
      <c r="Y51" s="31">
        <v>0</v>
      </c>
    </row>
    <row r="52" spans="1:25" x14ac:dyDescent="0.3">
      <c r="A52" s="19" t="s">
        <v>424</v>
      </c>
      <c r="B52" s="20" t="s">
        <v>0</v>
      </c>
      <c r="C52" s="20" t="s">
        <v>361</v>
      </c>
      <c r="D52" s="21">
        <v>2100028709</v>
      </c>
      <c r="E52" s="21" t="s">
        <v>1</v>
      </c>
      <c r="F52" s="22">
        <v>405.96</v>
      </c>
      <c r="G52" s="22">
        <v>405.96</v>
      </c>
      <c r="H52" s="22">
        <v>0</v>
      </c>
      <c r="I52" s="22">
        <v>0</v>
      </c>
      <c r="J52" s="22">
        <v>0</v>
      </c>
      <c r="K52" s="22">
        <v>0</v>
      </c>
      <c r="L52" s="22">
        <v>405.96</v>
      </c>
      <c r="M52" s="23">
        <v>46037</v>
      </c>
      <c r="N52" s="23">
        <v>46067</v>
      </c>
      <c r="O52" s="32">
        <v>15</v>
      </c>
      <c r="P52" s="25" t="s">
        <v>2</v>
      </c>
      <c r="Q52" s="26" t="s">
        <v>59</v>
      </c>
      <c r="R52" s="27" t="s">
        <v>78</v>
      </c>
      <c r="S52" s="28">
        <v>46054</v>
      </c>
      <c r="T52" s="29">
        <v>405.96</v>
      </c>
      <c r="U52" s="29">
        <v>0</v>
      </c>
      <c r="V52" s="29">
        <v>0</v>
      </c>
      <c r="W52" s="29">
        <v>0</v>
      </c>
      <c r="X52" s="30">
        <v>0</v>
      </c>
      <c r="Y52" s="31">
        <v>0</v>
      </c>
    </row>
    <row r="53" spans="1:25" x14ac:dyDescent="0.3">
      <c r="A53" s="19" t="s">
        <v>12</v>
      </c>
      <c r="B53" s="20" t="s">
        <v>0</v>
      </c>
      <c r="C53" s="20" t="s">
        <v>377</v>
      </c>
      <c r="D53" s="21">
        <v>71134</v>
      </c>
      <c r="E53" s="21" t="s">
        <v>1</v>
      </c>
      <c r="F53" s="22">
        <v>390.4</v>
      </c>
      <c r="G53" s="22">
        <v>0</v>
      </c>
      <c r="H53" s="22">
        <v>390.4</v>
      </c>
      <c r="I53" s="22">
        <v>0</v>
      </c>
      <c r="J53" s="22">
        <v>0</v>
      </c>
      <c r="K53" s="22">
        <v>0</v>
      </c>
      <c r="L53" s="22">
        <v>390.4</v>
      </c>
      <c r="M53" s="23">
        <v>46021</v>
      </c>
      <c r="N53" s="23">
        <v>46051</v>
      </c>
      <c r="O53" s="32">
        <v>-1</v>
      </c>
      <c r="P53" s="25" t="s">
        <v>60</v>
      </c>
      <c r="Q53" s="26" t="s">
        <v>72</v>
      </c>
      <c r="R53" s="27" t="s">
        <v>76</v>
      </c>
      <c r="S53" s="28">
        <v>46054</v>
      </c>
      <c r="T53" s="29">
        <v>390.4</v>
      </c>
      <c r="U53" s="29">
        <v>0</v>
      </c>
      <c r="V53" s="29">
        <v>0</v>
      </c>
      <c r="W53" s="29">
        <v>0</v>
      </c>
      <c r="X53" s="30">
        <v>0</v>
      </c>
      <c r="Y53" s="31">
        <v>0</v>
      </c>
    </row>
    <row r="54" spans="1:25" x14ac:dyDescent="0.3">
      <c r="A54" s="19" t="s">
        <v>275</v>
      </c>
      <c r="B54" s="20" t="s">
        <v>0</v>
      </c>
      <c r="C54" s="20" t="s">
        <v>365</v>
      </c>
      <c r="D54" s="21">
        <v>2100028366</v>
      </c>
      <c r="E54" s="21" t="s">
        <v>1</v>
      </c>
      <c r="F54" s="22">
        <v>339</v>
      </c>
      <c r="G54" s="22">
        <v>0</v>
      </c>
      <c r="H54" s="22">
        <v>0</v>
      </c>
      <c r="I54" s="22">
        <v>339</v>
      </c>
      <c r="J54" s="22">
        <v>0</v>
      </c>
      <c r="K54" s="22">
        <v>0</v>
      </c>
      <c r="L54" s="22">
        <v>339</v>
      </c>
      <c r="M54" s="23">
        <v>45967</v>
      </c>
      <c r="N54" s="23">
        <v>45997</v>
      </c>
      <c r="O54" s="32">
        <v>-55</v>
      </c>
      <c r="P54" s="25" t="s">
        <v>2</v>
      </c>
      <c r="Q54" s="26" t="s">
        <v>59</v>
      </c>
      <c r="R54" s="27" t="s">
        <v>76</v>
      </c>
      <c r="S54" s="28">
        <v>46054</v>
      </c>
      <c r="T54" s="29">
        <v>339</v>
      </c>
      <c r="U54" s="29">
        <v>0</v>
      </c>
      <c r="V54" s="29">
        <v>0</v>
      </c>
      <c r="W54" s="29">
        <v>0</v>
      </c>
      <c r="X54" s="30">
        <v>0</v>
      </c>
      <c r="Y54" s="31">
        <v>0</v>
      </c>
    </row>
    <row r="55" spans="1:25" x14ac:dyDescent="0.3">
      <c r="A55" s="19" t="s">
        <v>275</v>
      </c>
      <c r="B55" s="20" t="s">
        <v>0</v>
      </c>
      <c r="C55" s="20" t="s">
        <v>365</v>
      </c>
      <c r="D55" s="21">
        <v>2100028693</v>
      </c>
      <c r="E55" s="21" t="s">
        <v>1</v>
      </c>
      <c r="F55" s="22">
        <v>339</v>
      </c>
      <c r="G55" s="22">
        <v>339</v>
      </c>
      <c r="H55" s="22">
        <v>0</v>
      </c>
      <c r="I55" s="22">
        <v>0</v>
      </c>
      <c r="J55" s="22">
        <v>0</v>
      </c>
      <c r="K55" s="22">
        <v>0</v>
      </c>
      <c r="L55" s="22">
        <v>339</v>
      </c>
      <c r="M55" s="23">
        <v>46035</v>
      </c>
      <c r="N55" s="23">
        <v>46065</v>
      </c>
      <c r="O55" s="32">
        <v>13</v>
      </c>
      <c r="P55" s="25" t="s">
        <v>2</v>
      </c>
      <c r="Q55" s="26" t="s">
        <v>59</v>
      </c>
      <c r="R55" s="27" t="s">
        <v>78</v>
      </c>
      <c r="S55" s="28">
        <v>46054</v>
      </c>
      <c r="T55" s="29">
        <v>339</v>
      </c>
      <c r="U55" s="29">
        <v>0</v>
      </c>
      <c r="V55" s="29">
        <v>0</v>
      </c>
      <c r="W55" s="29">
        <v>0</v>
      </c>
      <c r="X55" s="30">
        <v>0</v>
      </c>
      <c r="Y55" s="31">
        <v>0</v>
      </c>
    </row>
    <row r="56" spans="1:25" x14ac:dyDescent="0.3">
      <c r="A56" s="19" t="s">
        <v>256</v>
      </c>
      <c r="B56" s="20" t="s">
        <v>0</v>
      </c>
      <c r="C56" s="20" t="s">
        <v>367</v>
      </c>
      <c r="D56" s="21">
        <v>2100028321</v>
      </c>
      <c r="E56" s="21" t="s">
        <v>1</v>
      </c>
      <c r="F56" s="22">
        <v>231.61</v>
      </c>
      <c r="G56" s="22">
        <v>0</v>
      </c>
      <c r="H56" s="22">
        <v>0</v>
      </c>
      <c r="I56" s="22">
        <v>0</v>
      </c>
      <c r="J56" s="22">
        <v>231.61</v>
      </c>
      <c r="K56" s="22">
        <v>0</v>
      </c>
      <c r="L56" s="22">
        <v>231.61</v>
      </c>
      <c r="M56" s="23">
        <v>45960</v>
      </c>
      <c r="N56" s="23">
        <v>45990</v>
      </c>
      <c r="O56" s="24">
        <v>-62</v>
      </c>
      <c r="P56" s="25" t="s">
        <v>2</v>
      </c>
      <c r="Q56" s="26" t="s">
        <v>59</v>
      </c>
      <c r="R56" s="27" t="s">
        <v>76</v>
      </c>
      <c r="S56" s="28">
        <v>46054</v>
      </c>
      <c r="T56" s="29">
        <v>231.61</v>
      </c>
      <c r="U56" s="29">
        <v>0</v>
      </c>
      <c r="V56" s="29">
        <v>0</v>
      </c>
      <c r="W56" s="29">
        <v>0</v>
      </c>
      <c r="X56" s="30">
        <v>0</v>
      </c>
      <c r="Y56" s="31">
        <v>0</v>
      </c>
    </row>
    <row r="57" spans="1:25" x14ac:dyDescent="0.3">
      <c r="A57" s="19" t="s">
        <v>173</v>
      </c>
      <c r="B57" s="20" t="s">
        <v>0</v>
      </c>
      <c r="C57" s="20" t="s">
        <v>396</v>
      </c>
      <c r="D57" s="21">
        <v>71139</v>
      </c>
      <c r="E57" s="21" t="s">
        <v>1</v>
      </c>
      <c r="F57" s="22">
        <v>216.59</v>
      </c>
      <c r="G57" s="22">
        <v>0</v>
      </c>
      <c r="H57" s="22">
        <v>216.59</v>
      </c>
      <c r="I57" s="22">
        <v>0</v>
      </c>
      <c r="J57" s="22">
        <v>0</v>
      </c>
      <c r="K57" s="22">
        <v>0</v>
      </c>
      <c r="L57" s="22">
        <v>216.59</v>
      </c>
      <c r="M57" s="23">
        <v>46044</v>
      </c>
      <c r="N57" s="23">
        <v>46045</v>
      </c>
      <c r="O57" s="32">
        <v>-7</v>
      </c>
      <c r="P57" s="25" t="s">
        <v>60</v>
      </c>
      <c r="Q57" s="26" t="s">
        <v>72</v>
      </c>
      <c r="R57" s="27" t="s">
        <v>76</v>
      </c>
      <c r="S57" s="28">
        <v>46054</v>
      </c>
      <c r="T57" s="29">
        <v>216.59</v>
      </c>
      <c r="U57" s="29"/>
      <c r="V57" s="29"/>
      <c r="W57" s="29"/>
      <c r="X57" s="30"/>
      <c r="Y57" s="31"/>
    </row>
    <row r="58" spans="1:25" x14ac:dyDescent="0.3">
      <c r="A58" s="19" t="s">
        <v>420</v>
      </c>
      <c r="B58" s="20" t="s">
        <v>0</v>
      </c>
      <c r="C58" s="20" t="s">
        <v>363</v>
      </c>
      <c r="D58" s="21">
        <v>2100028766</v>
      </c>
      <c r="E58" s="21" t="s">
        <v>1</v>
      </c>
      <c r="F58" s="22">
        <v>67.8</v>
      </c>
      <c r="G58" s="22">
        <v>0</v>
      </c>
      <c r="H58" s="22">
        <v>67.8</v>
      </c>
      <c r="I58" s="22">
        <v>0</v>
      </c>
      <c r="J58" s="22">
        <v>0</v>
      </c>
      <c r="K58" s="22">
        <v>0</v>
      </c>
      <c r="L58" s="22">
        <v>67.8</v>
      </c>
      <c r="M58" s="23">
        <v>46049</v>
      </c>
      <c r="N58" s="23">
        <v>46050</v>
      </c>
      <c r="O58" s="32">
        <v>-2</v>
      </c>
      <c r="P58" s="25" t="s">
        <v>2</v>
      </c>
      <c r="Q58" s="26" t="s">
        <v>59</v>
      </c>
      <c r="R58" s="27" t="s">
        <v>76</v>
      </c>
      <c r="S58" s="28">
        <v>46054</v>
      </c>
      <c r="T58" s="29">
        <v>67.8</v>
      </c>
      <c r="U58" s="29">
        <v>0</v>
      </c>
      <c r="V58" s="29">
        <v>0</v>
      </c>
      <c r="W58" s="29">
        <v>0</v>
      </c>
      <c r="X58" s="30">
        <v>0</v>
      </c>
      <c r="Y58" s="31">
        <v>0</v>
      </c>
    </row>
    <row r="59" spans="1:25" x14ac:dyDescent="0.3">
      <c r="A59" s="19" t="s">
        <v>278</v>
      </c>
      <c r="B59" s="20" t="s">
        <v>0</v>
      </c>
      <c r="C59" s="20" t="s">
        <v>363</v>
      </c>
      <c r="D59" s="21">
        <v>2100028389</v>
      </c>
      <c r="E59" s="21" t="s">
        <v>1</v>
      </c>
      <c r="F59" s="22">
        <v>35</v>
      </c>
      <c r="G59" s="22">
        <v>0</v>
      </c>
      <c r="H59" s="22">
        <v>0</v>
      </c>
      <c r="I59" s="22">
        <v>35</v>
      </c>
      <c r="J59" s="22">
        <v>0</v>
      </c>
      <c r="K59" s="22">
        <v>0</v>
      </c>
      <c r="L59" s="22">
        <v>35</v>
      </c>
      <c r="M59" s="23">
        <v>45973</v>
      </c>
      <c r="N59" s="23">
        <v>46003</v>
      </c>
      <c r="O59" s="32">
        <v>-49</v>
      </c>
      <c r="P59" s="25" t="s">
        <v>2</v>
      </c>
      <c r="Q59" s="26" t="s">
        <v>59</v>
      </c>
      <c r="R59" s="27" t="s">
        <v>76</v>
      </c>
      <c r="S59" s="28">
        <v>46054</v>
      </c>
      <c r="T59" s="29">
        <v>35</v>
      </c>
      <c r="U59" s="29">
        <v>0</v>
      </c>
      <c r="V59" s="29">
        <v>0</v>
      </c>
      <c r="W59" s="29">
        <v>0</v>
      </c>
      <c r="X59" s="30">
        <v>0</v>
      </c>
      <c r="Y59" s="31">
        <v>0</v>
      </c>
    </row>
    <row r="60" spans="1:25" x14ac:dyDescent="0.3">
      <c r="A60" s="19" t="s">
        <v>249</v>
      </c>
      <c r="B60" s="20" t="s">
        <v>0</v>
      </c>
      <c r="C60" s="20" t="s">
        <v>376</v>
      </c>
      <c r="D60" s="21">
        <v>2100028226</v>
      </c>
      <c r="E60" s="21" t="s">
        <v>1</v>
      </c>
      <c r="F60" s="22">
        <v>28.53</v>
      </c>
      <c r="G60" s="22">
        <v>0</v>
      </c>
      <c r="H60" s="22">
        <v>0</v>
      </c>
      <c r="I60" s="22">
        <v>0</v>
      </c>
      <c r="J60" s="22">
        <v>28.53</v>
      </c>
      <c r="K60" s="22">
        <v>0</v>
      </c>
      <c r="L60" s="22">
        <v>28.53</v>
      </c>
      <c r="M60" s="23">
        <v>45940</v>
      </c>
      <c r="N60" s="23">
        <v>45970</v>
      </c>
      <c r="O60" s="32">
        <v>-82</v>
      </c>
      <c r="P60" s="25" t="s">
        <v>2</v>
      </c>
      <c r="Q60" s="26" t="s">
        <v>59</v>
      </c>
      <c r="R60" s="27" t="s">
        <v>79</v>
      </c>
      <c r="S60" s="28">
        <v>46054</v>
      </c>
      <c r="T60" s="29">
        <v>28.53</v>
      </c>
      <c r="U60" s="29">
        <v>0</v>
      </c>
      <c r="V60" s="29">
        <v>0</v>
      </c>
      <c r="W60" s="29">
        <v>0</v>
      </c>
      <c r="X60" s="30">
        <v>0</v>
      </c>
      <c r="Y60" s="31">
        <v>0</v>
      </c>
    </row>
    <row r="61" spans="1:25" x14ac:dyDescent="0.3">
      <c r="A61" s="19" t="s">
        <v>244</v>
      </c>
      <c r="B61" s="20" t="s">
        <v>0</v>
      </c>
      <c r="C61" s="20" t="s">
        <v>367</v>
      </c>
      <c r="D61" s="21">
        <v>2100027473</v>
      </c>
      <c r="E61" s="21" t="s">
        <v>1</v>
      </c>
      <c r="F61" s="22">
        <v>71623.13</v>
      </c>
      <c r="G61" s="22">
        <v>0</v>
      </c>
      <c r="H61" s="22">
        <v>0</v>
      </c>
      <c r="I61" s="22">
        <v>0</v>
      </c>
      <c r="J61" s="22">
        <v>0</v>
      </c>
      <c r="K61" s="22">
        <v>71623.13</v>
      </c>
      <c r="L61" s="22">
        <v>71623.13</v>
      </c>
      <c r="M61" s="23">
        <v>45833</v>
      </c>
      <c r="N61" s="23">
        <v>45863</v>
      </c>
      <c r="O61" s="24">
        <v>-189</v>
      </c>
      <c r="P61" s="25" t="s">
        <v>2</v>
      </c>
      <c r="Q61" s="26" t="s">
        <v>59</v>
      </c>
      <c r="R61" s="27" t="s">
        <v>75</v>
      </c>
      <c r="S61" s="28" t="s">
        <v>75</v>
      </c>
      <c r="T61" s="29">
        <v>0</v>
      </c>
      <c r="U61" s="29">
        <v>0</v>
      </c>
      <c r="V61" s="29">
        <v>0</v>
      </c>
      <c r="W61" s="29">
        <v>23779.1</v>
      </c>
      <c r="X61" s="30">
        <v>0</v>
      </c>
      <c r="Y61" s="31" t="s">
        <v>454</v>
      </c>
    </row>
    <row r="62" spans="1:25" x14ac:dyDescent="0.3">
      <c r="A62" s="19" t="s">
        <v>356</v>
      </c>
      <c r="B62" s="20" t="s">
        <v>0</v>
      </c>
      <c r="C62" s="20" t="s">
        <v>396</v>
      </c>
      <c r="D62" s="21">
        <v>71114</v>
      </c>
      <c r="E62" s="21" t="s">
        <v>1</v>
      </c>
      <c r="F62" s="22">
        <v>14839.870446999999</v>
      </c>
      <c r="G62" s="22">
        <v>0</v>
      </c>
      <c r="H62" s="22">
        <v>14839.87</v>
      </c>
      <c r="I62" s="22">
        <v>0</v>
      </c>
      <c r="J62" s="22">
        <v>0</v>
      </c>
      <c r="K62" s="22">
        <v>0</v>
      </c>
      <c r="L62" s="22">
        <v>14839.87</v>
      </c>
      <c r="M62" s="23">
        <v>46006</v>
      </c>
      <c r="N62" s="23">
        <v>46036</v>
      </c>
      <c r="O62" s="32">
        <v>-16</v>
      </c>
      <c r="P62" s="25" t="s">
        <v>60</v>
      </c>
      <c r="Q62" s="26" t="s">
        <v>72</v>
      </c>
      <c r="R62" s="27" t="s">
        <v>76</v>
      </c>
      <c r="S62" s="28">
        <v>46082</v>
      </c>
      <c r="T62" s="29">
        <v>0</v>
      </c>
      <c r="U62" s="29">
        <v>14839.87</v>
      </c>
      <c r="V62" s="29">
        <v>0</v>
      </c>
      <c r="W62" s="29">
        <v>0</v>
      </c>
      <c r="X62" s="30">
        <v>0</v>
      </c>
      <c r="Y62" s="31" t="s">
        <v>446</v>
      </c>
    </row>
    <row r="63" spans="1:25" x14ac:dyDescent="0.3">
      <c r="A63" s="19" t="s">
        <v>70</v>
      </c>
      <c r="B63" s="20" t="s">
        <v>0</v>
      </c>
      <c r="C63" s="20" t="s">
        <v>374</v>
      </c>
      <c r="D63" s="21">
        <v>71104</v>
      </c>
      <c r="E63" s="21" t="s">
        <v>1</v>
      </c>
      <c r="F63" s="22">
        <v>9264.2800000000007</v>
      </c>
      <c r="G63" s="22">
        <v>0</v>
      </c>
      <c r="H63" s="22">
        <v>0</v>
      </c>
      <c r="I63" s="22">
        <v>9264.2800000000007</v>
      </c>
      <c r="J63" s="22">
        <v>0</v>
      </c>
      <c r="K63" s="22">
        <v>0</v>
      </c>
      <c r="L63" s="22">
        <v>9264.2800000000007</v>
      </c>
      <c r="M63" s="23">
        <v>46002</v>
      </c>
      <c r="N63" s="23">
        <v>46010</v>
      </c>
      <c r="O63" s="32">
        <v>-42</v>
      </c>
      <c r="P63" s="25" t="s">
        <v>60</v>
      </c>
      <c r="Q63" s="26" t="s">
        <v>72</v>
      </c>
      <c r="R63" s="27" t="s">
        <v>76</v>
      </c>
      <c r="S63" s="28">
        <v>46082</v>
      </c>
      <c r="T63" s="29">
        <v>0</v>
      </c>
      <c r="U63" s="29">
        <v>9264.2800000000007</v>
      </c>
      <c r="V63" s="29">
        <v>0</v>
      </c>
      <c r="W63" s="29">
        <v>0</v>
      </c>
      <c r="X63" s="30">
        <v>0</v>
      </c>
      <c r="Y63" s="31">
        <v>0</v>
      </c>
    </row>
    <row r="64" spans="1:25" x14ac:dyDescent="0.3">
      <c r="A64" s="19" t="s">
        <v>17</v>
      </c>
      <c r="B64" s="20" t="s">
        <v>0</v>
      </c>
      <c r="C64" s="20" t="s">
        <v>360</v>
      </c>
      <c r="D64" s="21">
        <v>1667</v>
      </c>
      <c r="E64" s="21" t="s">
        <v>1</v>
      </c>
      <c r="F64" s="22">
        <v>95208.5</v>
      </c>
      <c r="G64" s="22">
        <v>0</v>
      </c>
      <c r="H64" s="22">
        <v>0</v>
      </c>
      <c r="I64" s="22">
        <v>0</v>
      </c>
      <c r="J64" s="22">
        <v>0</v>
      </c>
      <c r="K64" s="22">
        <v>95208.5</v>
      </c>
      <c r="L64" s="22">
        <v>95208.5</v>
      </c>
      <c r="M64" s="23">
        <v>44817</v>
      </c>
      <c r="N64" s="23">
        <v>44817</v>
      </c>
      <c r="O64" s="24">
        <v>-1235</v>
      </c>
      <c r="P64" s="25" t="s">
        <v>2</v>
      </c>
      <c r="Q64" s="26" t="s">
        <v>59</v>
      </c>
      <c r="R64" s="27" t="s">
        <v>75</v>
      </c>
      <c r="S64" s="28" t="s">
        <v>75</v>
      </c>
      <c r="T64" s="29">
        <v>0</v>
      </c>
      <c r="U64" s="29">
        <v>0</v>
      </c>
      <c r="V64" s="29">
        <v>0</v>
      </c>
      <c r="W64" s="29">
        <v>21879</v>
      </c>
      <c r="X64" s="30">
        <v>0</v>
      </c>
      <c r="Y64" s="31" t="s">
        <v>455</v>
      </c>
    </row>
    <row r="65" spans="1:25" x14ac:dyDescent="0.3">
      <c r="A65" s="19" t="s">
        <v>10</v>
      </c>
      <c r="B65" s="20" t="s">
        <v>0</v>
      </c>
      <c r="C65" s="20" t="s">
        <v>376</v>
      </c>
      <c r="D65" s="21">
        <v>2100027667</v>
      </c>
      <c r="E65" s="21" t="s">
        <v>1</v>
      </c>
      <c r="F65" s="22">
        <v>125000</v>
      </c>
      <c r="G65" s="22">
        <v>0</v>
      </c>
      <c r="H65" s="22">
        <v>0</v>
      </c>
      <c r="I65" s="22">
        <v>0</v>
      </c>
      <c r="J65" s="22">
        <v>0</v>
      </c>
      <c r="K65" s="22">
        <v>125000</v>
      </c>
      <c r="L65" s="22">
        <v>125000</v>
      </c>
      <c r="M65" s="23">
        <v>45855</v>
      </c>
      <c r="N65" s="23">
        <v>45915</v>
      </c>
      <c r="O65" s="24">
        <v>-137</v>
      </c>
      <c r="P65" s="25" t="s">
        <v>2</v>
      </c>
      <c r="Q65" s="26" t="s">
        <v>59</v>
      </c>
      <c r="R65" s="27" t="s">
        <v>79</v>
      </c>
      <c r="S65" s="28">
        <v>46113</v>
      </c>
      <c r="T65" s="29">
        <v>0</v>
      </c>
      <c r="U65" s="29">
        <v>0</v>
      </c>
      <c r="V65" s="29">
        <v>40669</v>
      </c>
      <c r="W65" s="29">
        <v>0</v>
      </c>
      <c r="X65" s="30">
        <v>0</v>
      </c>
      <c r="Y65" s="31">
        <v>0</v>
      </c>
    </row>
    <row r="66" spans="1:25" x14ac:dyDescent="0.3">
      <c r="A66" s="19" t="s">
        <v>12</v>
      </c>
      <c r="B66" s="20" t="s">
        <v>0</v>
      </c>
      <c r="C66" s="20" t="s">
        <v>382</v>
      </c>
      <c r="D66" s="21">
        <v>2100027472</v>
      </c>
      <c r="E66" s="21" t="s">
        <v>1</v>
      </c>
      <c r="F66" s="22">
        <v>14410</v>
      </c>
      <c r="G66" s="22">
        <v>0</v>
      </c>
      <c r="H66" s="22">
        <v>0</v>
      </c>
      <c r="I66" s="22">
        <v>0</v>
      </c>
      <c r="J66" s="22">
        <v>0</v>
      </c>
      <c r="K66" s="22">
        <v>14410</v>
      </c>
      <c r="L66" s="22">
        <v>14410</v>
      </c>
      <c r="M66" s="23">
        <v>45833</v>
      </c>
      <c r="N66" s="23">
        <v>45863</v>
      </c>
      <c r="O66" s="32">
        <v>-189</v>
      </c>
      <c r="P66" s="25" t="s">
        <v>2</v>
      </c>
      <c r="Q66" s="26" t="s">
        <v>59</v>
      </c>
      <c r="R66" s="27" t="s">
        <v>79</v>
      </c>
      <c r="S66" s="28">
        <v>46113</v>
      </c>
      <c r="T66" s="29">
        <v>0</v>
      </c>
      <c r="U66" s="29">
        <v>0</v>
      </c>
      <c r="V66" s="29">
        <v>14410</v>
      </c>
      <c r="W66" s="29">
        <v>0</v>
      </c>
      <c r="X66" s="30">
        <v>0</v>
      </c>
      <c r="Y66" s="31">
        <v>0</v>
      </c>
    </row>
    <row r="67" spans="1:25" x14ac:dyDescent="0.3">
      <c r="A67" s="19" t="s">
        <v>10</v>
      </c>
      <c r="B67" s="20" t="s">
        <v>0</v>
      </c>
      <c r="C67" s="20" t="s">
        <v>369</v>
      </c>
      <c r="D67" s="21">
        <v>2100027235</v>
      </c>
      <c r="E67" s="21" t="s">
        <v>1</v>
      </c>
      <c r="F67" s="22">
        <v>13560.23</v>
      </c>
      <c r="G67" s="22">
        <v>0</v>
      </c>
      <c r="H67" s="22">
        <v>0</v>
      </c>
      <c r="I67" s="22">
        <v>0</v>
      </c>
      <c r="J67" s="22">
        <v>0</v>
      </c>
      <c r="K67" s="22">
        <v>13560.23</v>
      </c>
      <c r="L67" s="22">
        <v>13560.23</v>
      </c>
      <c r="M67" s="23">
        <v>45789</v>
      </c>
      <c r="N67" s="23">
        <v>45819</v>
      </c>
      <c r="O67" s="24">
        <v>-233</v>
      </c>
      <c r="P67" s="25" t="s">
        <v>2</v>
      </c>
      <c r="Q67" s="26" t="s">
        <v>59</v>
      </c>
      <c r="R67" s="27" t="s">
        <v>79</v>
      </c>
      <c r="S67" s="28">
        <v>46113</v>
      </c>
      <c r="T67" s="29">
        <v>0</v>
      </c>
      <c r="U67" s="29">
        <v>0</v>
      </c>
      <c r="V67" s="29">
        <v>13560.23</v>
      </c>
      <c r="W67" s="29">
        <v>0</v>
      </c>
      <c r="X67" s="30">
        <v>0</v>
      </c>
      <c r="Y67" s="31">
        <v>0</v>
      </c>
    </row>
    <row r="68" spans="1:25" x14ac:dyDescent="0.3">
      <c r="A68" s="19" t="s">
        <v>10</v>
      </c>
      <c r="B68" s="20" t="s">
        <v>0</v>
      </c>
      <c r="C68" s="20" t="s">
        <v>369</v>
      </c>
      <c r="D68" s="21">
        <v>2100027705</v>
      </c>
      <c r="E68" s="21" t="s">
        <v>1</v>
      </c>
      <c r="F68" s="22">
        <v>12203.8</v>
      </c>
      <c r="G68" s="22">
        <v>0</v>
      </c>
      <c r="H68" s="22">
        <v>0</v>
      </c>
      <c r="I68" s="22">
        <v>0</v>
      </c>
      <c r="J68" s="22">
        <v>0</v>
      </c>
      <c r="K68" s="22">
        <v>12203.8</v>
      </c>
      <c r="L68" s="22">
        <v>12203.8</v>
      </c>
      <c r="M68" s="23">
        <v>45866</v>
      </c>
      <c r="N68" s="23">
        <v>45926</v>
      </c>
      <c r="O68" s="24">
        <v>-126</v>
      </c>
      <c r="P68" s="25" t="s">
        <v>2</v>
      </c>
      <c r="Q68" s="26" t="s">
        <v>59</v>
      </c>
      <c r="R68" s="27" t="s">
        <v>79</v>
      </c>
      <c r="S68" s="28">
        <v>46113</v>
      </c>
      <c r="T68" s="29">
        <v>0</v>
      </c>
      <c r="U68" s="29">
        <v>0</v>
      </c>
      <c r="V68" s="29">
        <v>12203.8</v>
      </c>
      <c r="W68" s="29">
        <v>0</v>
      </c>
      <c r="X68" s="30">
        <v>0</v>
      </c>
      <c r="Y68" s="31">
        <v>0</v>
      </c>
    </row>
    <row r="69" spans="1:25" x14ac:dyDescent="0.3">
      <c r="A69" s="19" t="s">
        <v>217</v>
      </c>
      <c r="B69" s="20" t="s">
        <v>0</v>
      </c>
      <c r="C69" s="20" t="s">
        <v>374</v>
      </c>
      <c r="D69" s="21">
        <v>70929</v>
      </c>
      <c r="E69" s="21" t="s">
        <v>1</v>
      </c>
      <c r="F69" s="22">
        <v>2299.42</v>
      </c>
      <c r="G69" s="22">
        <v>0</v>
      </c>
      <c r="H69" s="22">
        <v>0</v>
      </c>
      <c r="I69" s="22">
        <v>0</v>
      </c>
      <c r="J69" s="22">
        <v>0</v>
      </c>
      <c r="K69" s="22">
        <v>2299.42</v>
      </c>
      <c r="L69" s="22">
        <v>2299.42</v>
      </c>
      <c r="M69" s="23">
        <v>45792</v>
      </c>
      <c r="N69" s="23">
        <v>45807</v>
      </c>
      <c r="O69" s="32">
        <v>-245</v>
      </c>
      <c r="P69" s="25" t="s">
        <v>60</v>
      </c>
      <c r="Q69" s="26" t="s">
        <v>72</v>
      </c>
      <c r="R69" s="27" t="s">
        <v>76</v>
      </c>
      <c r="S69" s="28">
        <v>46082</v>
      </c>
      <c r="T69" s="29">
        <v>0</v>
      </c>
      <c r="U69" s="29">
        <v>2299.42</v>
      </c>
      <c r="V69" s="29">
        <v>0</v>
      </c>
      <c r="W69" s="29">
        <v>0</v>
      </c>
      <c r="X69" s="30">
        <v>0</v>
      </c>
      <c r="Y69" s="31">
        <v>0</v>
      </c>
    </row>
    <row r="70" spans="1:25" x14ac:dyDescent="0.3">
      <c r="A70" s="19" t="s">
        <v>10</v>
      </c>
      <c r="B70" s="20" t="s">
        <v>0</v>
      </c>
      <c r="C70" s="20" t="s">
        <v>369</v>
      </c>
      <c r="D70" s="21">
        <v>2100027706</v>
      </c>
      <c r="E70" s="21" t="s">
        <v>1</v>
      </c>
      <c r="F70" s="22">
        <v>7766.22</v>
      </c>
      <c r="G70" s="22">
        <v>0</v>
      </c>
      <c r="H70" s="22">
        <v>0</v>
      </c>
      <c r="I70" s="22">
        <v>0</v>
      </c>
      <c r="J70" s="22">
        <v>0</v>
      </c>
      <c r="K70" s="22">
        <v>7766.22</v>
      </c>
      <c r="L70" s="22">
        <v>7766.22</v>
      </c>
      <c r="M70" s="23">
        <v>45866</v>
      </c>
      <c r="N70" s="23">
        <v>45926</v>
      </c>
      <c r="O70" s="32">
        <v>-126</v>
      </c>
      <c r="P70" s="25" t="s">
        <v>2</v>
      </c>
      <c r="Q70" s="26" t="s">
        <v>59</v>
      </c>
      <c r="R70" s="27" t="s">
        <v>79</v>
      </c>
      <c r="S70" s="28">
        <v>46113</v>
      </c>
      <c r="T70" s="29">
        <v>0</v>
      </c>
      <c r="U70" s="29">
        <v>0</v>
      </c>
      <c r="V70" s="29">
        <v>7766.22</v>
      </c>
      <c r="W70" s="29">
        <v>0</v>
      </c>
      <c r="X70" s="30">
        <v>0</v>
      </c>
      <c r="Y70" s="31">
        <v>0</v>
      </c>
    </row>
    <row r="71" spans="1:25" x14ac:dyDescent="0.3">
      <c r="A71" s="19" t="s">
        <v>10</v>
      </c>
      <c r="B71" s="20" t="s">
        <v>0</v>
      </c>
      <c r="C71" s="20" t="s">
        <v>376</v>
      </c>
      <c r="D71" s="21">
        <v>2100027167</v>
      </c>
      <c r="E71" s="21" t="s">
        <v>1</v>
      </c>
      <c r="F71" s="22">
        <v>6250</v>
      </c>
      <c r="G71" s="22">
        <v>0</v>
      </c>
      <c r="H71" s="22">
        <v>0</v>
      </c>
      <c r="I71" s="22">
        <v>0</v>
      </c>
      <c r="J71" s="22">
        <v>0</v>
      </c>
      <c r="K71" s="22">
        <v>6250</v>
      </c>
      <c r="L71" s="22">
        <v>6250</v>
      </c>
      <c r="M71" s="23">
        <v>45777</v>
      </c>
      <c r="N71" s="23">
        <v>45807</v>
      </c>
      <c r="O71" s="24">
        <v>-245</v>
      </c>
      <c r="P71" s="25" t="s">
        <v>2</v>
      </c>
      <c r="Q71" s="26" t="s">
        <v>59</v>
      </c>
      <c r="R71" s="27" t="s">
        <v>79</v>
      </c>
      <c r="S71" s="28">
        <v>46113</v>
      </c>
      <c r="T71" s="29">
        <v>0</v>
      </c>
      <c r="U71" s="29">
        <v>0</v>
      </c>
      <c r="V71" s="29">
        <v>6250</v>
      </c>
      <c r="W71" s="29">
        <v>0</v>
      </c>
      <c r="X71" s="30">
        <v>0</v>
      </c>
      <c r="Y71" s="31">
        <v>0</v>
      </c>
    </row>
    <row r="72" spans="1:25" x14ac:dyDescent="0.3">
      <c r="A72" s="19" t="s">
        <v>249</v>
      </c>
      <c r="B72" s="20" t="s">
        <v>0</v>
      </c>
      <c r="C72" s="20" t="s">
        <v>376</v>
      </c>
      <c r="D72" s="21">
        <v>2100027666</v>
      </c>
      <c r="E72" s="21" t="s">
        <v>1</v>
      </c>
      <c r="F72" s="22">
        <v>5791.36</v>
      </c>
      <c r="G72" s="22">
        <v>0</v>
      </c>
      <c r="H72" s="22">
        <v>0</v>
      </c>
      <c r="I72" s="22">
        <v>0</v>
      </c>
      <c r="J72" s="22">
        <v>0</v>
      </c>
      <c r="K72" s="22">
        <v>5791.36</v>
      </c>
      <c r="L72" s="22">
        <v>5791.36</v>
      </c>
      <c r="M72" s="23">
        <v>45855</v>
      </c>
      <c r="N72" s="23">
        <v>45885</v>
      </c>
      <c r="O72" s="24">
        <v>-167</v>
      </c>
      <c r="P72" s="25" t="s">
        <v>2</v>
      </c>
      <c r="Q72" s="26" t="s">
        <v>59</v>
      </c>
      <c r="R72" s="27" t="s">
        <v>79</v>
      </c>
      <c r="S72" s="28">
        <v>46113</v>
      </c>
      <c r="T72" s="29">
        <v>0</v>
      </c>
      <c r="U72" s="29">
        <v>0</v>
      </c>
      <c r="V72" s="29">
        <v>5791.36</v>
      </c>
      <c r="W72" s="29">
        <v>0</v>
      </c>
      <c r="X72" s="30">
        <v>0</v>
      </c>
      <c r="Y72" s="31">
        <v>0</v>
      </c>
    </row>
    <row r="73" spans="1:25" x14ac:dyDescent="0.3">
      <c r="A73" s="19" t="s">
        <v>10</v>
      </c>
      <c r="B73" s="20" t="s">
        <v>0</v>
      </c>
      <c r="C73" s="20" t="s">
        <v>369</v>
      </c>
      <c r="D73" s="21">
        <v>2100027704</v>
      </c>
      <c r="E73" s="21" t="s">
        <v>1</v>
      </c>
      <c r="F73" s="22">
        <v>5732.05</v>
      </c>
      <c r="G73" s="22">
        <v>0</v>
      </c>
      <c r="H73" s="22">
        <v>0</v>
      </c>
      <c r="I73" s="22">
        <v>0</v>
      </c>
      <c r="J73" s="22">
        <v>0</v>
      </c>
      <c r="K73" s="22">
        <v>5732.05</v>
      </c>
      <c r="L73" s="22">
        <v>5732.05</v>
      </c>
      <c r="M73" s="23">
        <v>45866</v>
      </c>
      <c r="N73" s="23">
        <v>45926</v>
      </c>
      <c r="O73" s="24">
        <v>-126</v>
      </c>
      <c r="P73" s="25" t="s">
        <v>2</v>
      </c>
      <c r="Q73" s="26" t="s">
        <v>59</v>
      </c>
      <c r="R73" s="27" t="s">
        <v>79</v>
      </c>
      <c r="S73" s="28">
        <v>46113</v>
      </c>
      <c r="T73" s="29">
        <v>0</v>
      </c>
      <c r="U73" s="29">
        <v>0</v>
      </c>
      <c r="V73" s="29">
        <v>5732.05</v>
      </c>
      <c r="W73" s="29">
        <v>0</v>
      </c>
      <c r="X73" s="30">
        <v>0</v>
      </c>
      <c r="Y73" s="31">
        <v>0</v>
      </c>
    </row>
    <row r="74" spans="1:25" x14ac:dyDescent="0.3">
      <c r="A74" s="19" t="s">
        <v>10</v>
      </c>
      <c r="B74" s="20" t="s">
        <v>0</v>
      </c>
      <c r="C74" s="20" t="s">
        <v>369</v>
      </c>
      <c r="D74" s="21">
        <v>2100025592</v>
      </c>
      <c r="E74" s="21" t="s">
        <v>1</v>
      </c>
      <c r="F74" s="22">
        <v>2227.42</v>
      </c>
      <c r="G74" s="22">
        <v>0</v>
      </c>
      <c r="H74" s="22">
        <v>0</v>
      </c>
      <c r="I74" s="22">
        <v>0</v>
      </c>
      <c r="J74" s="22">
        <v>0</v>
      </c>
      <c r="K74" s="22">
        <v>2227.42</v>
      </c>
      <c r="L74" s="22">
        <v>2227.42</v>
      </c>
      <c r="M74" s="23">
        <v>45545</v>
      </c>
      <c r="N74" s="23">
        <v>45575</v>
      </c>
      <c r="O74" s="32">
        <v>-477</v>
      </c>
      <c r="P74" s="25" t="s">
        <v>2</v>
      </c>
      <c r="Q74" s="26" t="s">
        <v>59</v>
      </c>
      <c r="R74" s="27" t="s">
        <v>79</v>
      </c>
      <c r="S74" s="28">
        <v>46113</v>
      </c>
      <c r="T74" s="29">
        <v>0</v>
      </c>
      <c r="U74" s="29">
        <v>0</v>
      </c>
      <c r="V74" s="29">
        <v>2227.42</v>
      </c>
      <c r="W74" s="29">
        <v>0</v>
      </c>
      <c r="X74" s="30">
        <v>0</v>
      </c>
      <c r="Y74" s="31">
        <v>0</v>
      </c>
    </row>
    <row r="75" spans="1:25" x14ac:dyDescent="0.3">
      <c r="A75" s="19" t="s">
        <v>14</v>
      </c>
      <c r="B75" s="20" t="s">
        <v>0</v>
      </c>
      <c r="C75" s="20" t="s">
        <v>386</v>
      </c>
      <c r="D75" s="21">
        <v>2100028158</v>
      </c>
      <c r="E75" s="21" t="s">
        <v>1</v>
      </c>
      <c r="F75" s="22">
        <v>2207.2600000000002</v>
      </c>
      <c r="G75" s="22">
        <v>0</v>
      </c>
      <c r="H75" s="22">
        <v>0</v>
      </c>
      <c r="I75" s="22">
        <v>0</v>
      </c>
      <c r="J75" s="22">
        <v>2207.2600000000002</v>
      </c>
      <c r="K75" s="22">
        <v>0</v>
      </c>
      <c r="L75" s="22">
        <v>2207.2600000000002</v>
      </c>
      <c r="M75" s="23">
        <v>45932</v>
      </c>
      <c r="N75" s="23">
        <v>45962</v>
      </c>
      <c r="O75" s="32">
        <v>-90</v>
      </c>
      <c r="P75" s="25" t="s">
        <v>2</v>
      </c>
      <c r="Q75" s="26" t="s">
        <v>59</v>
      </c>
      <c r="R75" s="27" t="s">
        <v>79</v>
      </c>
      <c r="S75" s="28">
        <v>46113</v>
      </c>
      <c r="T75" s="29">
        <v>0</v>
      </c>
      <c r="U75" s="29">
        <v>0</v>
      </c>
      <c r="V75" s="29">
        <v>2207.2600000000002</v>
      </c>
      <c r="W75" s="29">
        <v>0</v>
      </c>
      <c r="X75" s="30">
        <v>0</v>
      </c>
      <c r="Y75" s="31">
        <v>0</v>
      </c>
    </row>
    <row r="76" spans="1:25" x14ac:dyDescent="0.3">
      <c r="A76" s="19" t="s">
        <v>4</v>
      </c>
      <c r="B76" s="20" t="s">
        <v>0</v>
      </c>
      <c r="C76" s="20" t="s">
        <v>369</v>
      </c>
      <c r="D76" s="21">
        <v>2100028309</v>
      </c>
      <c r="E76" s="21" t="s">
        <v>1</v>
      </c>
      <c r="F76" s="22">
        <v>2094.62</v>
      </c>
      <c r="G76" s="22">
        <v>0</v>
      </c>
      <c r="H76" s="22">
        <v>0</v>
      </c>
      <c r="I76" s="22">
        <v>0</v>
      </c>
      <c r="J76" s="22">
        <v>2094.62</v>
      </c>
      <c r="K76" s="22">
        <v>0</v>
      </c>
      <c r="L76" s="22">
        <v>2094.62</v>
      </c>
      <c r="M76" s="23">
        <v>45959</v>
      </c>
      <c r="N76" s="23">
        <v>45989</v>
      </c>
      <c r="O76" s="32">
        <v>-63</v>
      </c>
      <c r="P76" s="25" t="s">
        <v>2</v>
      </c>
      <c r="Q76" s="26" t="s">
        <v>59</v>
      </c>
      <c r="R76" s="27" t="s">
        <v>79</v>
      </c>
      <c r="S76" s="28">
        <v>46113</v>
      </c>
      <c r="T76" s="29">
        <v>0</v>
      </c>
      <c r="U76" s="29">
        <v>0</v>
      </c>
      <c r="V76" s="29">
        <v>2094.62</v>
      </c>
      <c r="W76" s="29">
        <v>0</v>
      </c>
      <c r="X76" s="30">
        <v>0</v>
      </c>
      <c r="Y76" s="31">
        <v>0</v>
      </c>
    </row>
    <row r="77" spans="1:25" x14ac:dyDescent="0.3">
      <c r="A77" s="19" t="s">
        <v>4</v>
      </c>
      <c r="B77" s="20" t="s">
        <v>0</v>
      </c>
      <c r="C77" s="20" t="s">
        <v>369</v>
      </c>
      <c r="D77" s="21">
        <v>2100028114</v>
      </c>
      <c r="E77" s="21" t="s">
        <v>1</v>
      </c>
      <c r="F77" s="22">
        <v>2009.91</v>
      </c>
      <c r="G77" s="22">
        <v>0</v>
      </c>
      <c r="H77" s="22">
        <v>0</v>
      </c>
      <c r="I77" s="22">
        <v>0</v>
      </c>
      <c r="J77" s="22">
        <v>0</v>
      </c>
      <c r="K77" s="22">
        <v>2009.91</v>
      </c>
      <c r="L77" s="22">
        <v>2009.91</v>
      </c>
      <c r="M77" s="23">
        <v>45926</v>
      </c>
      <c r="N77" s="23">
        <v>45956</v>
      </c>
      <c r="O77" s="24">
        <v>-96</v>
      </c>
      <c r="P77" s="25" t="s">
        <v>2</v>
      </c>
      <c r="Q77" s="26" t="s">
        <v>59</v>
      </c>
      <c r="R77" s="27" t="s">
        <v>79</v>
      </c>
      <c r="S77" s="28">
        <v>46113</v>
      </c>
      <c r="T77" s="29">
        <v>0</v>
      </c>
      <c r="U77" s="29">
        <v>0</v>
      </c>
      <c r="V77" s="29">
        <v>2009.91</v>
      </c>
      <c r="W77" s="29">
        <v>0</v>
      </c>
      <c r="X77" s="30">
        <v>0</v>
      </c>
      <c r="Y77" s="31">
        <v>0</v>
      </c>
    </row>
    <row r="78" spans="1:25" x14ac:dyDescent="0.3">
      <c r="A78" s="19" t="s">
        <v>10</v>
      </c>
      <c r="B78" s="20" t="s">
        <v>0</v>
      </c>
      <c r="C78" s="20" t="s">
        <v>369</v>
      </c>
      <c r="D78" s="21">
        <v>2100027707</v>
      </c>
      <c r="E78" s="21" t="s">
        <v>1</v>
      </c>
      <c r="F78" s="22">
        <v>1216.43</v>
      </c>
      <c r="G78" s="22">
        <v>0</v>
      </c>
      <c r="H78" s="22">
        <v>0</v>
      </c>
      <c r="I78" s="22">
        <v>0</v>
      </c>
      <c r="J78" s="22">
        <v>0</v>
      </c>
      <c r="K78" s="22">
        <v>1216.43</v>
      </c>
      <c r="L78" s="22">
        <v>1216.43</v>
      </c>
      <c r="M78" s="23">
        <v>45866</v>
      </c>
      <c r="N78" s="23">
        <v>45926</v>
      </c>
      <c r="O78" s="32">
        <v>-126</v>
      </c>
      <c r="P78" s="25" t="s">
        <v>2</v>
      </c>
      <c r="Q78" s="26" t="s">
        <v>59</v>
      </c>
      <c r="R78" s="27" t="s">
        <v>79</v>
      </c>
      <c r="S78" s="28">
        <v>46113</v>
      </c>
      <c r="T78" s="29">
        <v>0</v>
      </c>
      <c r="U78" s="29">
        <v>0</v>
      </c>
      <c r="V78" s="29">
        <v>1216.43</v>
      </c>
      <c r="W78" s="29">
        <v>0</v>
      </c>
      <c r="X78" s="30">
        <v>0</v>
      </c>
      <c r="Y78" s="31">
        <v>0</v>
      </c>
    </row>
    <row r="79" spans="1:25" x14ac:dyDescent="0.3">
      <c r="A79" s="19" t="s">
        <v>62</v>
      </c>
      <c r="B79" s="20" t="s">
        <v>0</v>
      </c>
      <c r="C79" s="20" t="s">
        <v>374</v>
      </c>
      <c r="D79" s="21">
        <v>70838</v>
      </c>
      <c r="E79" s="21" t="s">
        <v>1</v>
      </c>
      <c r="F79" s="22">
        <v>1372.89</v>
      </c>
      <c r="G79" s="22">
        <v>0</v>
      </c>
      <c r="H79" s="22">
        <v>0</v>
      </c>
      <c r="I79" s="22">
        <v>0</v>
      </c>
      <c r="J79" s="22">
        <v>0</v>
      </c>
      <c r="K79" s="22">
        <v>1372.89</v>
      </c>
      <c r="L79" s="22">
        <v>1372.89</v>
      </c>
      <c r="M79" s="23">
        <v>45644</v>
      </c>
      <c r="N79" s="23">
        <v>45652</v>
      </c>
      <c r="O79" s="24">
        <v>-400</v>
      </c>
      <c r="P79" s="25" t="s">
        <v>60</v>
      </c>
      <c r="Q79" s="26" t="s">
        <v>72</v>
      </c>
      <c r="R79" s="27" t="s">
        <v>79</v>
      </c>
      <c r="S79" s="28">
        <v>46082</v>
      </c>
      <c r="T79" s="29">
        <v>0</v>
      </c>
      <c r="U79" s="29">
        <v>1372.89</v>
      </c>
      <c r="V79" s="29">
        <v>0</v>
      </c>
      <c r="W79" s="29">
        <v>0</v>
      </c>
      <c r="X79" s="30">
        <v>0</v>
      </c>
      <c r="Y79" s="31">
        <v>0</v>
      </c>
    </row>
    <row r="80" spans="1:25" x14ac:dyDescent="0.3">
      <c r="A80" s="19" t="s">
        <v>36</v>
      </c>
      <c r="B80" s="20" t="s">
        <v>0</v>
      </c>
      <c r="C80" s="20" t="s">
        <v>364</v>
      </c>
      <c r="D80" s="21">
        <v>71014</v>
      </c>
      <c r="E80" s="21" t="s">
        <v>1</v>
      </c>
      <c r="F80" s="22">
        <v>921.2</v>
      </c>
      <c r="G80" s="22">
        <v>0</v>
      </c>
      <c r="H80" s="22">
        <v>0</v>
      </c>
      <c r="I80" s="22">
        <v>0</v>
      </c>
      <c r="J80" s="22">
        <v>0</v>
      </c>
      <c r="K80" s="22">
        <v>921.2</v>
      </c>
      <c r="L80" s="22">
        <v>921.2</v>
      </c>
      <c r="M80" s="23">
        <v>45888</v>
      </c>
      <c r="N80" s="23">
        <v>45903</v>
      </c>
      <c r="O80" s="32">
        <v>-149</v>
      </c>
      <c r="P80" s="25" t="s">
        <v>60</v>
      </c>
      <c r="Q80" s="26" t="s">
        <v>72</v>
      </c>
      <c r="R80" s="27" t="s">
        <v>76</v>
      </c>
      <c r="S80" s="28">
        <v>46082</v>
      </c>
      <c r="T80" s="29">
        <v>0</v>
      </c>
      <c r="U80" s="29">
        <v>921.2</v>
      </c>
      <c r="V80" s="29">
        <v>0</v>
      </c>
      <c r="W80" s="29">
        <v>0</v>
      </c>
      <c r="X80" s="30">
        <v>0</v>
      </c>
      <c r="Y80" s="31">
        <v>0</v>
      </c>
    </row>
    <row r="81" spans="1:25" x14ac:dyDescent="0.3">
      <c r="A81" s="19" t="s">
        <v>15</v>
      </c>
      <c r="B81" s="20" t="s">
        <v>0</v>
      </c>
      <c r="C81" s="20" t="s">
        <v>360</v>
      </c>
      <c r="D81" s="21">
        <v>10056</v>
      </c>
      <c r="E81" s="21" t="s">
        <v>1</v>
      </c>
      <c r="F81" s="22">
        <v>675.74</v>
      </c>
      <c r="G81" s="22">
        <v>0</v>
      </c>
      <c r="H81" s="22">
        <v>0</v>
      </c>
      <c r="I81" s="22">
        <v>0</v>
      </c>
      <c r="J81" s="22">
        <v>0</v>
      </c>
      <c r="K81" s="22">
        <v>675.74</v>
      </c>
      <c r="L81" s="22">
        <v>675.74</v>
      </c>
      <c r="M81" s="23">
        <v>45426</v>
      </c>
      <c r="N81" s="23">
        <v>45426</v>
      </c>
      <c r="O81" s="32">
        <v>-626</v>
      </c>
      <c r="P81" s="25" t="s">
        <v>2</v>
      </c>
      <c r="Q81" s="26" t="s">
        <v>59</v>
      </c>
      <c r="R81" s="27" t="s">
        <v>77</v>
      </c>
      <c r="S81" s="28">
        <v>46113</v>
      </c>
      <c r="T81" s="29">
        <v>0</v>
      </c>
      <c r="U81" s="29">
        <v>0</v>
      </c>
      <c r="V81" s="29">
        <v>675.74</v>
      </c>
      <c r="W81" s="29">
        <v>0</v>
      </c>
      <c r="X81" s="30">
        <v>0</v>
      </c>
      <c r="Y81" s="31">
        <v>0</v>
      </c>
    </row>
    <row r="82" spans="1:25" x14ac:dyDescent="0.3">
      <c r="A82" s="19" t="s">
        <v>62</v>
      </c>
      <c r="B82" s="20" t="s">
        <v>0</v>
      </c>
      <c r="C82" s="20" t="s">
        <v>374</v>
      </c>
      <c r="D82" s="21">
        <v>70992</v>
      </c>
      <c r="E82" s="21" t="s">
        <v>1</v>
      </c>
      <c r="F82" s="22">
        <v>710.42</v>
      </c>
      <c r="G82" s="22">
        <v>0</v>
      </c>
      <c r="H82" s="22">
        <v>0</v>
      </c>
      <c r="I82" s="22">
        <v>0</v>
      </c>
      <c r="J82" s="22">
        <v>0</v>
      </c>
      <c r="K82" s="22">
        <v>710.42</v>
      </c>
      <c r="L82" s="22">
        <v>710.42</v>
      </c>
      <c r="M82" s="23">
        <v>45839</v>
      </c>
      <c r="N82" s="23">
        <v>45847</v>
      </c>
      <c r="O82" s="24">
        <v>-205</v>
      </c>
      <c r="P82" s="25" t="s">
        <v>60</v>
      </c>
      <c r="Q82" s="26" t="s">
        <v>72</v>
      </c>
      <c r="R82" s="27" t="s">
        <v>79</v>
      </c>
      <c r="S82" s="28">
        <v>46082</v>
      </c>
      <c r="T82" s="29">
        <v>0</v>
      </c>
      <c r="U82" s="29">
        <v>710.42</v>
      </c>
      <c r="V82" s="29">
        <v>0</v>
      </c>
      <c r="W82" s="29">
        <v>0</v>
      </c>
      <c r="X82" s="30">
        <v>0</v>
      </c>
      <c r="Y82" s="31">
        <v>0</v>
      </c>
    </row>
    <row r="83" spans="1:25" x14ac:dyDescent="0.3">
      <c r="A83" s="19" t="s">
        <v>422</v>
      </c>
      <c r="B83" s="20" t="s">
        <v>0</v>
      </c>
      <c r="C83" s="20" t="s">
        <v>363</v>
      </c>
      <c r="D83" s="21">
        <v>2100028772</v>
      </c>
      <c r="E83" s="21" t="s">
        <v>1</v>
      </c>
      <c r="F83" s="22">
        <v>345.53</v>
      </c>
      <c r="G83" s="22">
        <v>345.53</v>
      </c>
      <c r="H83" s="22">
        <v>0</v>
      </c>
      <c r="I83" s="22">
        <v>0</v>
      </c>
      <c r="J83" s="22">
        <v>0</v>
      </c>
      <c r="K83" s="22">
        <v>0</v>
      </c>
      <c r="L83" s="22">
        <v>345.53</v>
      </c>
      <c r="M83" s="23">
        <v>46050</v>
      </c>
      <c r="N83" s="23">
        <v>46110</v>
      </c>
      <c r="O83" s="32">
        <v>58</v>
      </c>
      <c r="P83" s="25" t="s">
        <v>2</v>
      </c>
      <c r="Q83" s="26" t="s">
        <v>59</v>
      </c>
      <c r="R83" s="27" t="s">
        <v>78</v>
      </c>
      <c r="S83" s="28">
        <v>46113</v>
      </c>
      <c r="T83" s="29">
        <v>0</v>
      </c>
      <c r="U83" s="29">
        <v>0</v>
      </c>
      <c r="V83" s="29">
        <v>345.53</v>
      </c>
      <c r="W83" s="29">
        <v>0</v>
      </c>
      <c r="X83" s="30">
        <v>0</v>
      </c>
      <c r="Y83" s="31">
        <v>0</v>
      </c>
    </row>
    <row r="84" spans="1:25" x14ac:dyDescent="0.3">
      <c r="A84" s="19" t="s">
        <v>273</v>
      </c>
      <c r="B84" s="20" t="s">
        <v>0</v>
      </c>
      <c r="C84" s="20" t="s">
        <v>364</v>
      </c>
      <c r="D84" s="21">
        <v>71112</v>
      </c>
      <c r="E84" s="21" t="s">
        <v>1</v>
      </c>
      <c r="F84" s="22">
        <v>1120</v>
      </c>
      <c r="G84" s="22">
        <v>1120</v>
      </c>
      <c r="H84" s="22">
        <v>0</v>
      </c>
      <c r="I84" s="22">
        <v>0</v>
      </c>
      <c r="J84" s="22">
        <v>0</v>
      </c>
      <c r="K84" s="22">
        <v>0</v>
      </c>
      <c r="L84" s="22">
        <v>1120</v>
      </c>
      <c r="M84" s="23">
        <v>46003</v>
      </c>
      <c r="N84" s="23">
        <v>46093</v>
      </c>
      <c r="O84" s="32">
        <v>41</v>
      </c>
      <c r="P84" s="25" t="s">
        <v>60</v>
      </c>
      <c r="Q84" s="26" t="s">
        <v>72</v>
      </c>
      <c r="R84" s="27" t="s">
        <v>78</v>
      </c>
      <c r="S84" s="28">
        <v>46082</v>
      </c>
      <c r="T84" s="29">
        <v>0</v>
      </c>
      <c r="U84" s="29">
        <v>495</v>
      </c>
      <c r="V84" s="29">
        <v>0</v>
      </c>
      <c r="W84" s="29">
        <v>0</v>
      </c>
      <c r="X84" s="30">
        <v>0</v>
      </c>
      <c r="Y84" s="31">
        <v>0</v>
      </c>
    </row>
    <row r="85" spans="1:25" x14ac:dyDescent="0.3">
      <c r="A85" s="19" t="s">
        <v>253</v>
      </c>
      <c r="B85" s="20" t="s">
        <v>0</v>
      </c>
      <c r="C85" s="20" t="s">
        <v>376</v>
      </c>
      <c r="D85" s="21">
        <v>2100027665</v>
      </c>
      <c r="E85" s="21" t="s">
        <v>1</v>
      </c>
      <c r="F85" s="22">
        <v>94399.99</v>
      </c>
      <c r="G85" s="22">
        <v>0</v>
      </c>
      <c r="H85" s="22">
        <v>0</v>
      </c>
      <c r="I85" s="22">
        <v>0</v>
      </c>
      <c r="J85" s="22">
        <v>0</v>
      </c>
      <c r="K85" s="22">
        <v>94399.99</v>
      </c>
      <c r="L85" s="22">
        <v>94399.99</v>
      </c>
      <c r="M85" s="23">
        <v>45855</v>
      </c>
      <c r="N85" s="23">
        <v>45900</v>
      </c>
      <c r="O85" s="24">
        <v>-152</v>
      </c>
      <c r="P85" s="25" t="s">
        <v>2</v>
      </c>
      <c r="Q85" s="26" t="s">
        <v>59</v>
      </c>
      <c r="R85" s="27" t="s">
        <v>76</v>
      </c>
      <c r="S85" s="28">
        <v>46082</v>
      </c>
      <c r="T85" s="29">
        <v>0</v>
      </c>
      <c r="U85" s="29">
        <v>94399.99</v>
      </c>
      <c r="V85" s="29">
        <v>0</v>
      </c>
      <c r="W85" s="29">
        <v>0</v>
      </c>
      <c r="X85" s="30">
        <v>0</v>
      </c>
      <c r="Y85" s="31" t="s">
        <v>449</v>
      </c>
    </row>
    <row r="86" spans="1:25" x14ac:dyDescent="0.3">
      <c r="A86" s="19" t="s">
        <v>329</v>
      </c>
      <c r="B86" s="20" t="s">
        <v>0</v>
      </c>
      <c r="C86" s="20" t="s">
        <v>369</v>
      </c>
      <c r="D86" s="21">
        <v>2100028643</v>
      </c>
      <c r="E86" s="21" t="s">
        <v>1</v>
      </c>
      <c r="F86" s="22">
        <v>51873.94</v>
      </c>
      <c r="G86" s="22">
        <v>0</v>
      </c>
      <c r="H86" s="22">
        <v>51873.94</v>
      </c>
      <c r="I86" s="22">
        <v>0</v>
      </c>
      <c r="J86" s="22">
        <v>0</v>
      </c>
      <c r="K86" s="22">
        <v>0</v>
      </c>
      <c r="L86" s="22">
        <v>51873.94</v>
      </c>
      <c r="M86" s="23">
        <v>46020</v>
      </c>
      <c r="N86" s="23">
        <v>46050</v>
      </c>
      <c r="O86" s="32">
        <v>-2</v>
      </c>
      <c r="P86" s="25" t="s">
        <v>2</v>
      </c>
      <c r="Q86" s="26" t="s">
        <v>59</v>
      </c>
      <c r="R86" s="27" t="s">
        <v>78</v>
      </c>
      <c r="S86" s="28">
        <v>46082</v>
      </c>
      <c r="T86" s="29">
        <v>0</v>
      </c>
      <c r="U86" s="29">
        <v>51873.94</v>
      </c>
      <c r="V86" s="29">
        <v>0</v>
      </c>
      <c r="W86" s="29">
        <v>0</v>
      </c>
      <c r="X86" s="30">
        <v>0</v>
      </c>
      <c r="Y86" s="31" t="s">
        <v>450</v>
      </c>
    </row>
    <row r="87" spans="1:25" x14ac:dyDescent="0.3">
      <c r="A87" s="19" t="s">
        <v>357</v>
      </c>
      <c r="B87" s="20" t="s">
        <v>0</v>
      </c>
      <c r="C87" s="20" t="s">
        <v>367</v>
      </c>
      <c r="D87" s="21">
        <v>2100028572</v>
      </c>
      <c r="E87" s="21" t="s">
        <v>1</v>
      </c>
      <c r="F87" s="22">
        <v>13496</v>
      </c>
      <c r="G87" s="22">
        <v>0</v>
      </c>
      <c r="H87" s="22">
        <v>13496</v>
      </c>
      <c r="I87" s="22">
        <v>0</v>
      </c>
      <c r="J87" s="22">
        <v>0</v>
      </c>
      <c r="K87" s="22">
        <v>0</v>
      </c>
      <c r="L87" s="22">
        <v>13496</v>
      </c>
      <c r="M87" s="23">
        <v>46010</v>
      </c>
      <c r="N87" s="23">
        <v>46040</v>
      </c>
      <c r="O87" s="32">
        <v>-12</v>
      </c>
      <c r="P87" s="25" t="s">
        <v>2</v>
      </c>
      <c r="Q87" s="26" t="s">
        <v>59</v>
      </c>
      <c r="R87" s="27" t="s">
        <v>76</v>
      </c>
      <c r="S87" s="28">
        <v>46082</v>
      </c>
      <c r="T87" s="29">
        <v>0</v>
      </c>
      <c r="U87" s="29">
        <v>13496</v>
      </c>
      <c r="V87" s="29">
        <v>0</v>
      </c>
      <c r="W87" s="29">
        <v>0</v>
      </c>
      <c r="X87" s="30">
        <v>0</v>
      </c>
      <c r="Y87" s="31" t="s">
        <v>446</v>
      </c>
    </row>
    <row r="88" spans="1:25" x14ac:dyDescent="0.3">
      <c r="A88" s="19" t="s">
        <v>348</v>
      </c>
      <c r="B88" s="20" t="s">
        <v>0</v>
      </c>
      <c r="C88" s="20" t="s">
        <v>363</v>
      </c>
      <c r="D88" s="21">
        <v>2100028533</v>
      </c>
      <c r="E88" s="21" t="s">
        <v>1</v>
      </c>
      <c r="F88" s="22">
        <v>13161.07</v>
      </c>
      <c r="G88" s="22">
        <v>0</v>
      </c>
      <c r="H88" s="22">
        <v>0</v>
      </c>
      <c r="I88" s="22">
        <v>13161.07</v>
      </c>
      <c r="J88" s="22">
        <v>0</v>
      </c>
      <c r="K88" s="22">
        <v>0</v>
      </c>
      <c r="L88" s="22">
        <v>13161.07</v>
      </c>
      <c r="M88" s="23">
        <v>46002</v>
      </c>
      <c r="N88" s="23">
        <v>46003</v>
      </c>
      <c r="O88" s="24">
        <v>-49</v>
      </c>
      <c r="P88" s="25" t="s">
        <v>16</v>
      </c>
      <c r="Q88" s="26" t="s">
        <v>59</v>
      </c>
      <c r="R88" s="27" t="s">
        <v>76</v>
      </c>
      <c r="S88" s="28">
        <v>46082</v>
      </c>
      <c r="T88" s="29">
        <v>0</v>
      </c>
      <c r="U88" s="29">
        <v>13161.07</v>
      </c>
      <c r="V88" s="29">
        <v>0</v>
      </c>
      <c r="W88" s="29">
        <v>0</v>
      </c>
      <c r="X88" s="30">
        <v>0</v>
      </c>
      <c r="Y88" s="31" t="s">
        <v>451</v>
      </c>
    </row>
    <row r="89" spans="1:25" x14ac:dyDescent="0.3">
      <c r="A89" s="19" t="s">
        <v>302</v>
      </c>
      <c r="B89" s="20" t="s">
        <v>0</v>
      </c>
      <c r="C89" s="20" t="s">
        <v>367</v>
      </c>
      <c r="D89" s="21">
        <v>2100028452</v>
      </c>
      <c r="E89" s="21" t="s">
        <v>1</v>
      </c>
      <c r="F89" s="22">
        <v>7711.28</v>
      </c>
      <c r="G89" s="22">
        <v>0</v>
      </c>
      <c r="H89" s="22">
        <v>0</v>
      </c>
      <c r="I89" s="22">
        <v>0</v>
      </c>
      <c r="J89" s="22">
        <v>7711.28</v>
      </c>
      <c r="K89" s="22">
        <v>0</v>
      </c>
      <c r="L89" s="22">
        <v>7711.28</v>
      </c>
      <c r="M89" s="23">
        <v>45989</v>
      </c>
      <c r="N89" s="23">
        <v>45990</v>
      </c>
      <c r="O89" s="24">
        <v>-62</v>
      </c>
      <c r="P89" s="25" t="s">
        <v>2</v>
      </c>
      <c r="Q89" s="26" t="s">
        <v>59</v>
      </c>
      <c r="R89" s="27" t="s">
        <v>79</v>
      </c>
      <c r="S89" s="28">
        <v>46082</v>
      </c>
      <c r="T89" s="29">
        <v>0</v>
      </c>
      <c r="U89" s="29">
        <v>7711.28</v>
      </c>
      <c r="V89" s="29">
        <v>0</v>
      </c>
      <c r="W89" s="29">
        <v>0</v>
      </c>
      <c r="X89" s="30">
        <v>0</v>
      </c>
      <c r="Y89" s="31" t="s">
        <v>443</v>
      </c>
    </row>
    <row r="90" spans="1:25" x14ac:dyDescent="0.3">
      <c r="A90" s="19" t="s">
        <v>329</v>
      </c>
      <c r="B90" s="20" t="s">
        <v>0</v>
      </c>
      <c r="C90" s="20" t="s">
        <v>368</v>
      </c>
      <c r="D90" s="21">
        <v>2100028455</v>
      </c>
      <c r="E90" s="21" t="s">
        <v>1</v>
      </c>
      <c r="F90" s="22">
        <v>6933.05</v>
      </c>
      <c r="G90" s="22">
        <v>0</v>
      </c>
      <c r="H90" s="22">
        <v>0</v>
      </c>
      <c r="I90" s="22">
        <v>6933.05</v>
      </c>
      <c r="J90" s="22">
        <v>0</v>
      </c>
      <c r="K90" s="22">
        <v>0</v>
      </c>
      <c r="L90" s="22">
        <v>6933.05</v>
      </c>
      <c r="M90" s="23">
        <v>45989</v>
      </c>
      <c r="N90" s="23">
        <v>46019</v>
      </c>
      <c r="O90" s="32">
        <v>-33</v>
      </c>
      <c r="P90" s="25" t="s">
        <v>2</v>
      </c>
      <c r="Q90" s="26" t="s">
        <v>59</v>
      </c>
      <c r="R90" s="27" t="s">
        <v>76</v>
      </c>
      <c r="S90" s="28">
        <v>46082</v>
      </c>
      <c r="T90" s="29">
        <v>0</v>
      </c>
      <c r="U90" s="29">
        <v>6933.05</v>
      </c>
      <c r="V90" s="29">
        <v>0</v>
      </c>
      <c r="W90" s="29">
        <v>0</v>
      </c>
      <c r="X90" s="30">
        <v>0</v>
      </c>
      <c r="Y90" s="31" t="s">
        <v>450</v>
      </c>
    </row>
    <row r="91" spans="1:25" x14ac:dyDescent="0.3">
      <c r="A91" s="19" t="s">
        <v>242</v>
      </c>
      <c r="B91" s="20" t="s">
        <v>0</v>
      </c>
      <c r="C91" s="20" t="s">
        <v>361</v>
      </c>
      <c r="D91" s="21">
        <v>2100028123</v>
      </c>
      <c r="E91" s="21" t="s">
        <v>1</v>
      </c>
      <c r="F91" s="22">
        <v>3985</v>
      </c>
      <c r="G91" s="22">
        <v>0</v>
      </c>
      <c r="H91" s="22">
        <v>0</v>
      </c>
      <c r="I91" s="22">
        <v>0</v>
      </c>
      <c r="J91" s="22">
        <v>0</v>
      </c>
      <c r="K91" s="22">
        <v>3985</v>
      </c>
      <c r="L91" s="22">
        <v>3985</v>
      </c>
      <c r="M91" s="23">
        <v>45926</v>
      </c>
      <c r="N91" s="23">
        <v>45934</v>
      </c>
      <c r="O91" s="24">
        <v>-118</v>
      </c>
      <c r="P91" s="25" t="s">
        <v>16</v>
      </c>
      <c r="Q91" s="26" t="s">
        <v>59</v>
      </c>
      <c r="R91" s="27" t="s">
        <v>76</v>
      </c>
      <c r="S91" s="28">
        <v>46082</v>
      </c>
      <c r="T91" s="29">
        <v>0</v>
      </c>
      <c r="U91" s="29">
        <v>3985</v>
      </c>
      <c r="V91" s="29">
        <v>0</v>
      </c>
      <c r="W91" s="29">
        <v>0</v>
      </c>
      <c r="X91" s="30">
        <v>0</v>
      </c>
      <c r="Y91" s="31" t="s">
        <v>452</v>
      </c>
    </row>
    <row r="92" spans="1:25" x14ac:dyDescent="0.3">
      <c r="A92" s="19" t="s">
        <v>347</v>
      </c>
      <c r="B92" s="20" t="s">
        <v>0</v>
      </c>
      <c r="C92" s="20" t="s">
        <v>377</v>
      </c>
      <c r="D92" s="21">
        <v>71135</v>
      </c>
      <c r="E92" s="21" t="s">
        <v>1</v>
      </c>
      <c r="F92" s="22">
        <v>2900.24</v>
      </c>
      <c r="G92" s="22">
        <v>0</v>
      </c>
      <c r="H92" s="22">
        <v>2900.24</v>
      </c>
      <c r="I92" s="22">
        <v>0</v>
      </c>
      <c r="J92" s="22">
        <v>0</v>
      </c>
      <c r="K92" s="22">
        <v>0</v>
      </c>
      <c r="L92" s="22">
        <v>2900.24</v>
      </c>
      <c r="M92" s="23">
        <v>46021</v>
      </c>
      <c r="N92" s="23">
        <v>46029</v>
      </c>
      <c r="O92" s="32">
        <v>-23</v>
      </c>
      <c r="P92" s="25" t="s">
        <v>60</v>
      </c>
      <c r="Q92" s="26" t="s">
        <v>72</v>
      </c>
      <c r="R92" s="27" t="s">
        <v>74</v>
      </c>
      <c r="S92" s="28" t="s">
        <v>74</v>
      </c>
      <c r="T92" s="29">
        <v>0</v>
      </c>
      <c r="U92" s="29">
        <v>0</v>
      </c>
      <c r="V92" s="29">
        <v>0</v>
      </c>
      <c r="W92" s="29">
        <v>0</v>
      </c>
      <c r="X92" s="30">
        <v>0</v>
      </c>
      <c r="Y92" s="31">
        <v>0</v>
      </c>
    </row>
    <row r="93" spans="1:25" x14ac:dyDescent="0.3">
      <c r="A93" s="19" t="s">
        <v>5</v>
      </c>
      <c r="B93" s="20" t="s">
        <v>0</v>
      </c>
      <c r="C93" s="20" t="s">
        <v>360</v>
      </c>
      <c r="D93" s="21">
        <v>4323</v>
      </c>
      <c r="E93" s="21" t="s">
        <v>1</v>
      </c>
      <c r="F93" s="22">
        <v>2546.66</v>
      </c>
      <c r="G93" s="22">
        <v>0</v>
      </c>
      <c r="H93" s="22">
        <v>0</v>
      </c>
      <c r="I93" s="22">
        <v>0</v>
      </c>
      <c r="J93" s="22">
        <v>0</v>
      </c>
      <c r="K93" s="22">
        <v>2546.66</v>
      </c>
      <c r="L93" s="22">
        <v>2546.66</v>
      </c>
      <c r="M93" s="23">
        <v>45237</v>
      </c>
      <c r="N93" s="23">
        <v>45267</v>
      </c>
      <c r="O93" s="24">
        <v>-785</v>
      </c>
      <c r="P93" s="25" t="s">
        <v>2</v>
      </c>
      <c r="Q93" s="26" t="s">
        <v>59</v>
      </c>
      <c r="R93" s="27" t="s">
        <v>79</v>
      </c>
      <c r="S93" s="28">
        <v>46082</v>
      </c>
      <c r="T93" s="29">
        <v>0</v>
      </c>
      <c r="U93" s="29">
        <v>2546.66</v>
      </c>
      <c r="V93" s="29">
        <v>0</v>
      </c>
      <c r="W93" s="29">
        <v>0</v>
      </c>
      <c r="X93" s="30">
        <v>0</v>
      </c>
      <c r="Y93" s="31" t="s">
        <v>453</v>
      </c>
    </row>
    <row r="94" spans="1:25" x14ac:dyDescent="0.3">
      <c r="A94" s="19" t="s">
        <v>328</v>
      </c>
      <c r="B94" s="20" t="s">
        <v>0</v>
      </c>
      <c r="C94" s="20" t="s">
        <v>369</v>
      </c>
      <c r="D94" s="21">
        <v>2100028457</v>
      </c>
      <c r="E94" s="21" t="s">
        <v>1</v>
      </c>
      <c r="F94" s="22">
        <v>2378.89</v>
      </c>
      <c r="G94" s="22">
        <v>0</v>
      </c>
      <c r="H94" s="22">
        <v>0</v>
      </c>
      <c r="I94" s="22">
        <v>2378.89</v>
      </c>
      <c r="J94" s="22">
        <v>0</v>
      </c>
      <c r="K94" s="22">
        <v>0</v>
      </c>
      <c r="L94" s="22">
        <v>2378.89</v>
      </c>
      <c r="M94" s="23">
        <v>45989</v>
      </c>
      <c r="N94" s="23">
        <v>46019</v>
      </c>
      <c r="O94" s="32">
        <v>-33</v>
      </c>
      <c r="P94" s="25" t="s">
        <v>2</v>
      </c>
      <c r="Q94" s="26" t="s">
        <v>59</v>
      </c>
      <c r="R94" s="27" t="s">
        <v>79</v>
      </c>
      <c r="S94" s="28">
        <v>46082</v>
      </c>
      <c r="T94" s="29">
        <v>0</v>
      </c>
      <c r="U94" s="29">
        <v>2378.89</v>
      </c>
      <c r="V94" s="29">
        <v>0</v>
      </c>
      <c r="W94" s="29">
        <v>0</v>
      </c>
      <c r="X94" s="30">
        <v>0</v>
      </c>
      <c r="Y94" s="31" t="s">
        <v>453</v>
      </c>
    </row>
    <row r="95" spans="1:25" x14ac:dyDescent="0.3">
      <c r="A95" s="19" t="s">
        <v>328</v>
      </c>
      <c r="B95" s="20" t="s">
        <v>0</v>
      </c>
      <c r="C95" s="20" t="s">
        <v>369</v>
      </c>
      <c r="D95" s="21">
        <v>2100028458</v>
      </c>
      <c r="E95" s="21" t="s">
        <v>1</v>
      </c>
      <c r="F95" s="22">
        <v>1277.22</v>
      </c>
      <c r="G95" s="22">
        <v>0</v>
      </c>
      <c r="H95" s="22">
        <v>0</v>
      </c>
      <c r="I95" s="22">
        <v>1277.22</v>
      </c>
      <c r="J95" s="22">
        <v>0</v>
      </c>
      <c r="K95" s="22">
        <v>0</v>
      </c>
      <c r="L95" s="22">
        <v>1277.22</v>
      </c>
      <c r="M95" s="23">
        <v>45989</v>
      </c>
      <c r="N95" s="23">
        <v>46019</v>
      </c>
      <c r="O95" s="32">
        <v>-33</v>
      </c>
      <c r="P95" s="25" t="s">
        <v>2</v>
      </c>
      <c r="Q95" s="26" t="s">
        <v>59</v>
      </c>
      <c r="R95" s="27" t="s">
        <v>79</v>
      </c>
      <c r="S95" s="28">
        <v>46082</v>
      </c>
      <c r="T95" s="29">
        <v>0</v>
      </c>
      <c r="U95" s="29">
        <v>1277.22</v>
      </c>
      <c r="V95" s="29">
        <v>0</v>
      </c>
      <c r="W95" s="29">
        <v>0</v>
      </c>
      <c r="X95" s="30">
        <v>0</v>
      </c>
      <c r="Y95" s="31" t="s">
        <v>453</v>
      </c>
    </row>
    <row r="96" spans="1:25" x14ac:dyDescent="0.3">
      <c r="A96" s="19" t="s">
        <v>295</v>
      </c>
      <c r="B96" s="20" t="s">
        <v>0</v>
      </c>
      <c r="C96" s="20" t="s">
        <v>383</v>
      </c>
      <c r="D96" s="21">
        <v>2100028316</v>
      </c>
      <c r="E96" s="21" t="s">
        <v>1</v>
      </c>
      <c r="F96" s="22">
        <v>444.09</v>
      </c>
      <c r="G96" s="22">
        <v>0</v>
      </c>
      <c r="H96" s="22">
        <v>0</v>
      </c>
      <c r="I96" s="22">
        <v>0</v>
      </c>
      <c r="J96" s="22">
        <v>444.09</v>
      </c>
      <c r="K96" s="22">
        <v>0</v>
      </c>
      <c r="L96" s="22">
        <v>444.09</v>
      </c>
      <c r="M96" s="23">
        <v>45959</v>
      </c>
      <c r="N96" s="23">
        <v>45989</v>
      </c>
      <c r="O96" s="32">
        <v>-63</v>
      </c>
      <c r="P96" s="25" t="s">
        <v>2</v>
      </c>
      <c r="Q96" s="26" t="s">
        <v>59</v>
      </c>
      <c r="R96" s="27" t="s">
        <v>76</v>
      </c>
      <c r="S96" s="28">
        <v>46082</v>
      </c>
      <c r="T96" s="29">
        <v>0</v>
      </c>
      <c r="U96" s="29">
        <v>444.09</v>
      </c>
      <c r="V96" s="29">
        <v>0</v>
      </c>
      <c r="W96" s="29">
        <v>0</v>
      </c>
      <c r="X96" s="30">
        <v>0</v>
      </c>
      <c r="Y96" s="31" t="s">
        <v>453</v>
      </c>
    </row>
    <row r="97" spans="1:25" x14ac:dyDescent="0.3">
      <c r="A97" s="19" t="s">
        <v>295</v>
      </c>
      <c r="B97" s="20" t="s">
        <v>0</v>
      </c>
      <c r="C97" s="20" t="s">
        <v>383</v>
      </c>
      <c r="D97" s="21">
        <v>2100028317</v>
      </c>
      <c r="E97" s="21" t="s">
        <v>1</v>
      </c>
      <c r="F97" s="22">
        <v>444.09</v>
      </c>
      <c r="G97" s="22">
        <v>0</v>
      </c>
      <c r="H97" s="22">
        <v>0</v>
      </c>
      <c r="I97" s="22">
        <v>0</v>
      </c>
      <c r="J97" s="22">
        <v>444.09</v>
      </c>
      <c r="K97" s="22">
        <v>0</v>
      </c>
      <c r="L97" s="22">
        <v>444.09</v>
      </c>
      <c r="M97" s="23">
        <v>45959</v>
      </c>
      <c r="N97" s="23">
        <v>45989</v>
      </c>
      <c r="O97" s="24">
        <v>-63</v>
      </c>
      <c r="P97" s="25" t="s">
        <v>2</v>
      </c>
      <c r="Q97" s="26" t="s">
        <v>59</v>
      </c>
      <c r="R97" s="27" t="s">
        <v>76</v>
      </c>
      <c r="S97" s="28">
        <v>46082</v>
      </c>
      <c r="T97" s="29">
        <v>0</v>
      </c>
      <c r="U97" s="29">
        <v>444.09</v>
      </c>
      <c r="V97" s="29">
        <v>0</v>
      </c>
      <c r="W97" s="29">
        <v>0</v>
      </c>
      <c r="X97" s="30">
        <v>0</v>
      </c>
      <c r="Y97" s="31" t="s">
        <v>453</v>
      </c>
    </row>
    <row r="98" spans="1:25" x14ac:dyDescent="0.3">
      <c r="A98" s="19" t="s">
        <v>273</v>
      </c>
      <c r="B98" s="20" t="s">
        <v>87</v>
      </c>
      <c r="C98" s="20" t="s">
        <v>364</v>
      </c>
      <c r="D98" s="21">
        <v>51133</v>
      </c>
      <c r="E98" s="21" t="s">
        <v>1</v>
      </c>
      <c r="F98" s="22">
        <v>-625</v>
      </c>
      <c r="G98" s="22">
        <v>0</v>
      </c>
      <c r="H98" s="22">
        <v>0</v>
      </c>
      <c r="I98" s="22">
        <v>0</v>
      </c>
      <c r="J98" s="22">
        <v>0</v>
      </c>
      <c r="K98" s="22">
        <v>-625</v>
      </c>
      <c r="L98" s="22">
        <v>-625</v>
      </c>
      <c r="M98" s="23">
        <v>45932</v>
      </c>
      <c r="N98" s="23">
        <v>45932</v>
      </c>
      <c r="O98" s="24">
        <v>-120</v>
      </c>
      <c r="P98" s="25" t="s">
        <v>61</v>
      </c>
      <c r="Q98" s="26" t="s">
        <v>72</v>
      </c>
      <c r="R98" s="27" t="s">
        <v>232</v>
      </c>
      <c r="S98" s="28" t="s">
        <v>232</v>
      </c>
      <c r="T98" s="29">
        <v>0</v>
      </c>
      <c r="U98" s="29">
        <v>0</v>
      </c>
      <c r="V98" s="29">
        <v>0</v>
      </c>
      <c r="W98" s="29">
        <v>0</v>
      </c>
      <c r="X98" s="30">
        <v>0</v>
      </c>
      <c r="Y98" s="31">
        <v>0</v>
      </c>
    </row>
    <row r="99" spans="1:25" x14ac:dyDescent="0.3">
      <c r="A99" s="19" t="s">
        <v>186</v>
      </c>
      <c r="B99" s="20" t="s">
        <v>87</v>
      </c>
      <c r="C99" s="20" t="s">
        <v>366</v>
      </c>
      <c r="D99" s="21" t="s">
        <v>187</v>
      </c>
      <c r="E99" s="21" t="s">
        <v>1</v>
      </c>
      <c r="F99" s="22">
        <v>-1026.1600000000001</v>
      </c>
      <c r="G99" s="22">
        <v>0</v>
      </c>
      <c r="H99" s="22">
        <v>0</v>
      </c>
      <c r="I99" s="22">
        <v>0</v>
      </c>
      <c r="J99" s="22">
        <v>0</v>
      </c>
      <c r="K99" s="22">
        <v>-1026.1600000000001</v>
      </c>
      <c r="L99" s="22">
        <v>-1026.1600000000001</v>
      </c>
      <c r="M99" s="23">
        <v>44193</v>
      </c>
      <c r="N99" s="23">
        <v>44193</v>
      </c>
      <c r="O99" s="32">
        <v>-1859</v>
      </c>
      <c r="P99" s="25" t="s">
        <v>60</v>
      </c>
      <c r="Q99" s="26" t="s">
        <v>72</v>
      </c>
      <c r="R99" s="27" t="s">
        <v>87</v>
      </c>
      <c r="S99" s="28" t="s">
        <v>87</v>
      </c>
      <c r="T99" s="29">
        <v>0</v>
      </c>
      <c r="U99" s="29">
        <v>0</v>
      </c>
      <c r="V99" s="29">
        <v>0</v>
      </c>
      <c r="W99" s="29">
        <v>0</v>
      </c>
      <c r="X99" s="30">
        <v>0</v>
      </c>
      <c r="Y99" s="31">
        <v>0</v>
      </c>
    </row>
    <row r="100" spans="1:25" x14ac:dyDescent="0.3">
      <c r="A100" s="19" t="s">
        <v>95</v>
      </c>
      <c r="B100" s="20" t="s">
        <v>87</v>
      </c>
      <c r="C100" s="20" t="s">
        <v>370</v>
      </c>
      <c r="D100" s="21" t="s">
        <v>96</v>
      </c>
      <c r="E100" s="21" t="s">
        <v>1</v>
      </c>
      <c r="F100" s="22">
        <v>-55.24</v>
      </c>
      <c r="G100" s="22">
        <v>0</v>
      </c>
      <c r="H100" s="22">
        <v>0</v>
      </c>
      <c r="I100" s="22">
        <v>0</v>
      </c>
      <c r="J100" s="22">
        <v>0</v>
      </c>
      <c r="K100" s="22">
        <v>-55.24</v>
      </c>
      <c r="L100" s="22">
        <v>-55.24</v>
      </c>
      <c r="M100" s="23">
        <v>43294</v>
      </c>
      <c r="N100" s="23">
        <v>43294</v>
      </c>
      <c r="O100" s="24">
        <v>-2758</v>
      </c>
      <c r="P100" s="25" t="s">
        <v>60</v>
      </c>
      <c r="Q100" s="26" t="s">
        <v>72</v>
      </c>
      <c r="R100" s="27" t="s">
        <v>87</v>
      </c>
      <c r="S100" s="28" t="s">
        <v>87</v>
      </c>
      <c r="T100" s="29">
        <v>0</v>
      </c>
      <c r="U100" s="29">
        <v>0</v>
      </c>
      <c r="V100" s="29">
        <v>0</v>
      </c>
      <c r="W100" s="29">
        <v>0</v>
      </c>
      <c r="X100" s="30">
        <v>0</v>
      </c>
      <c r="Y100" s="31">
        <v>0</v>
      </c>
    </row>
    <row r="101" spans="1:25" x14ac:dyDescent="0.3">
      <c r="A101" s="19" t="s">
        <v>314</v>
      </c>
      <c r="B101" s="20" t="s">
        <v>87</v>
      </c>
      <c r="C101" s="20" t="s">
        <v>371</v>
      </c>
      <c r="D101" s="21" t="s">
        <v>315</v>
      </c>
      <c r="E101" s="21" t="s">
        <v>1</v>
      </c>
      <c r="F101" s="22">
        <v>-39394.44</v>
      </c>
      <c r="G101" s="22">
        <v>0</v>
      </c>
      <c r="H101" s="22">
        <v>0</v>
      </c>
      <c r="I101" s="22">
        <v>0</v>
      </c>
      <c r="J101" s="22">
        <v>-39394.44</v>
      </c>
      <c r="K101" s="22">
        <v>0</v>
      </c>
      <c r="L101" s="22">
        <v>-39394.44</v>
      </c>
      <c r="M101" s="23">
        <v>45971</v>
      </c>
      <c r="N101" s="23">
        <v>45971</v>
      </c>
      <c r="O101" s="24">
        <v>-81</v>
      </c>
      <c r="P101" s="25" t="s">
        <v>60</v>
      </c>
      <c r="Q101" s="26" t="s">
        <v>72</v>
      </c>
      <c r="R101" s="27" t="s">
        <v>225</v>
      </c>
      <c r="S101" s="28" t="s">
        <v>225</v>
      </c>
      <c r="T101" s="29">
        <v>0</v>
      </c>
      <c r="U101" s="29">
        <v>0</v>
      </c>
      <c r="V101" s="29">
        <v>0</v>
      </c>
      <c r="W101" s="29">
        <v>0</v>
      </c>
      <c r="X101" s="30">
        <v>0</v>
      </c>
      <c r="Y101" s="31">
        <v>0</v>
      </c>
    </row>
    <row r="102" spans="1:25" x14ac:dyDescent="0.3">
      <c r="A102" s="19" t="s">
        <v>298</v>
      </c>
      <c r="B102" s="20" t="s">
        <v>87</v>
      </c>
      <c r="C102" s="20" t="s">
        <v>372</v>
      </c>
      <c r="D102" s="21" t="s">
        <v>299</v>
      </c>
      <c r="E102" s="21" t="s">
        <v>1</v>
      </c>
      <c r="F102" s="22">
        <v>-17858.25</v>
      </c>
      <c r="G102" s="22">
        <v>0</v>
      </c>
      <c r="H102" s="22">
        <v>0</v>
      </c>
      <c r="I102" s="22">
        <v>0</v>
      </c>
      <c r="J102" s="22">
        <v>0</v>
      </c>
      <c r="K102" s="22">
        <v>-17858.25</v>
      </c>
      <c r="L102" s="22">
        <v>-17858.25</v>
      </c>
      <c r="M102" s="23">
        <v>45939</v>
      </c>
      <c r="N102" s="23">
        <v>45939</v>
      </c>
      <c r="O102" s="24">
        <v>-113</v>
      </c>
      <c r="P102" s="25" t="s">
        <v>60</v>
      </c>
      <c r="Q102" s="26" t="s">
        <v>72</v>
      </c>
      <c r="R102" s="27" t="s">
        <v>225</v>
      </c>
      <c r="S102" s="28" t="s">
        <v>225</v>
      </c>
      <c r="T102" s="29">
        <v>0</v>
      </c>
      <c r="U102" s="29">
        <v>0</v>
      </c>
      <c r="V102" s="29">
        <v>0</v>
      </c>
      <c r="W102" s="29">
        <v>0</v>
      </c>
      <c r="X102" s="30">
        <v>0</v>
      </c>
      <c r="Y102" s="31">
        <v>0</v>
      </c>
    </row>
    <row r="103" spans="1:25" x14ac:dyDescent="0.3">
      <c r="A103" s="19" t="s">
        <v>298</v>
      </c>
      <c r="B103" s="20" t="s">
        <v>87</v>
      </c>
      <c r="C103" s="20" t="s">
        <v>372</v>
      </c>
      <c r="D103" s="21" t="s">
        <v>333</v>
      </c>
      <c r="E103" s="21" t="s">
        <v>1</v>
      </c>
      <c r="F103" s="22">
        <v>-7182.74</v>
      </c>
      <c r="G103" s="22">
        <v>0</v>
      </c>
      <c r="H103" s="22">
        <v>0</v>
      </c>
      <c r="I103" s="22">
        <v>-7182.74</v>
      </c>
      <c r="J103" s="22">
        <v>0</v>
      </c>
      <c r="K103" s="22">
        <v>0</v>
      </c>
      <c r="L103" s="22">
        <v>-7182.74</v>
      </c>
      <c r="M103" s="23">
        <v>46008</v>
      </c>
      <c r="N103" s="23">
        <v>46008</v>
      </c>
      <c r="O103" s="24">
        <v>-44</v>
      </c>
      <c r="P103" s="25" t="s">
        <v>60</v>
      </c>
      <c r="Q103" s="26" t="s">
        <v>72</v>
      </c>
      <c r="R103" s="27" t="s">
        <v>225</v>
      </c>
      <c r="S103" s="28" t="s">
        <v>225</v>
      </c>
      <c r="T103" s="29">
        <v>0</v>
      </c>
      <c r="U103" s="29">
        <v>0</v>
      </c>
      <c r="V103" s="29">
        <v>0</v>
      </c>
      <c r="W103" s="29">
        <v>0</v>
      </c>
      <c r="X103" s="30">
        <v>0</v>
      </c>
      <c r="Y103" s="31">
        <v>0</v>
      </c>
    </row>
    <row r="104" spans="1:25" x14ac:dyDescent="0.3">
      <c r="A104" s="19" t="s">
        <v>141</v>
      </c>
      <c r="B104" s="20" t="s">
        <v>87</v>
      </c>
      <c r="C104" s="20" t="s">
        <v>373</v>
      </c>
      <c r="D104" s="21" t="s">
        <v>142</v>
      </c>
      <c r="E104" s="21" t="s">
        <v>1</v>
      </c>
      <c r="F104" s="22">
        <v>-384.2</v>
      </c>
      <c r="G104" s="22">
        <v>0</v>
      </c>
      <c r="H104" s="22">
        <v>0</v>
      </c>
      <c r="I104" s="22">
        <v>0</v>
      </c>
      <c r="J104" s="22">
        <v>0</v>
      </c>
      <c r="K104" s="22">
        <v>-384.2</v>
      </c>
      <c r="L104" s="22">
        <v>-384.2</v>
      </c>
      <c r="M104" s="23">
        <v>43237</v>
      </c>
      <c r="N104" s="23">
        <v>43237</v>
      </c>
      <c r="O104" s="32">
        <v>-2815</v>
      </c>
      <c r="P104" s="25" t="s">
        <v>60</v>
      </c>
      <c r="Q104" s="26" t="s">
        <v>72</v>
      </c>
      <c r="R104" s="27" t="s">
        <v>87</v>
      </c>
      <c r="S104" s="28" t="s">
        <v>87</v>
      </c>
      <c r="T104" s="29">
        <v>0</v>
      </c>
      <c r="U104" s="29">
        <v>0</v>
      </c>
      <c r="V104" s="29">
        <v>0</v>
      </c>
      <c r="W104" s="29">
        <v>0</v>
      </c>
      <c r="X104" s="30">
        <v>0</v>
      </c>
      <c r="Y104" s="31">
        <v>0</v>
      </c>
    </row>
    <row r="105" spans="1:25" x14ac:dyDescent="0.3">
      <c r="A105" s="19" t="s">
        <v>63</v>
      </c>
      <c r="B105" s="20" t="s">
        <v>0</v>
      </c>
      <c r="C105" s="20" t="s">
        <v>366</v>
      </c>
      <c r="D105" s="21">
        <v>23254</v>
      </c>
      <c r="E105" s="21" t="s">
        <v>1</v>
      </c>
      <c r="F105" s="22">
        <v>6173.74</v>
      </c>
      <c r="G105" s="22">
        <v>0</v>
      </c>
      <c r="H105" s="22">
        <v>0</v>
      </c>
      <c r="I105" s="22">
        <v>0</v>
      </c>
      <c r="J105" s="22">
        <v>0</v>
      </c>
      <c r="K105" s="22">
        <v>6173.74</v>
      </c>
      <c r="L105" s="22">
        <v>6173.74</v>
      </c>
      <c r="M105" s="23">
        <v>44734</v>
      </c>
      <c r="N105" s="23">
        <v>44742</v>
      </c>
      <c r="O105" s="24">
        <v>-1310</v>
      </c>
      <c r="P105" s="25" t="s">
        <v>60</v>
      </c>
      <c r="Q105" s="26" t="s">
        <v>72</v>
      </c>
      <c r="R105" s="27" t="s">
        <v>74</v>
      </c>
      <c r="S105" s="28" t="s">
        <v>74</v>
      </c>
      <c r="T105" s="29">
        <v>0</v>
      </c>
      <c r="U105" s="29">
        <v>0</v>
      </c>
      <c r="V105" s="29">
        <v>0</v>
      </c>
      <c r="W105" s="29">
        <v>0</v>
      </c>
      <c r="X105" s="30">
        <v>0</v>
      </c>
      <c r="Y105" s="31">
        <v>0</v>
      </c>
    </row>
    <row r="106" spans="1:25" x14ac:dyDescent="0.3">
      <c r="A106" s="19" t="s">
        <v>167</v>
      </c>
      <c r="B106" s="20" t="s">
        <v>87</v>
      </c>
      <c r="C106" s="20" t="s">
        <v>373</v>
      </c>
      <c r="D106" s="21" t="s">
        <v>168</v>
      </c>
      <c r="E106" s="21" t="s">
        <v>1</v>
      </c>
      <c r="F106" s="22">
        <v>-637.5</v>
      </c>
      <c r="G106" s="22">
        <v>0</v>
      </c>
      <c r="H106" s="22">
        <v>0</v>
      </c>
      <c r="I106" s="22">
        <v>0</v>
      </c>
      <c r="J106" s="22">
        <v>0</v>
      </c>
      <c r="K106" s="22">
        <v>-637.5</v>
      </c>
      <c r="L106" s="22">
        <v>-637.5</v>
      </c>
      <c r="M106" s="23">
        <v>42683</v>
      </c>
      <c r="N106" s="23">
        <v>42683</v>
      </c>
      <c r="O106" s="24">
        <v>-3369</v>
      </c>
      <c r="P106" s="25" t="s">
        <v>60</v>
      </c>
      <c r="Q106" s="26" t="s">
        <v>72</v>
      </c>
      <c r="R106" s="27" t="s">
        <v>87</v>
      </c>
      <c r="S106" s="28" t="s">
        <v>87</v>
      </c>
      <c r="T106" s="29">
        <v>0</v>
      </c>
      <c r="U106" s="29">
        <v>0</v>
      </c>
      <c r="V106" s="29">
        <v>0</v>
      </c>
      <c r="W106" s="29">
        <v>0</v>
      </c>
      <c r="X106" s="30">
        <v>0</v>
      </c>
      <c r="Y106" s="31">
        <v>0</v>
      </c>
    </row>
    <row r="107" spans="1:25" x14ac:dyDescent="0.3">
      <c r="A107" s="19" t="s">
        <v>64</v>
      </c>
      <c r="B107" s="20" t="s">
        <v>0</v>
      </c>
      <c r="C107" s="20" t="s">
        <v>374</v>
      </c>
      <c r="D107" s="21">
        <v>70750</v>
      </c>
      <c r="E107" s="21" t="s">
        <v>1</v>
      </c>
      <c r="F107" s="22">
        <v>203.4</v>
      </c>
      <c r="G107" s="22">
        <v>0</v>
      </c>
      <c r="H107" s="22">
        <v>0</v>
      </c>
      <c r="I107" s="22">
        <v>0</v>
      </c>
      <c r="J107" s="22">
        <v>0</v>
      </c>
      <c r="K107" s="22">
        <v>203.4</v>
      </c>
      <c r="L107" s="22">
        <v>203.4</v>
      </c>
      <c r="M107" s="23">
        <v>45517</v>
      </c>
      <c r="N107" s="23">
        <v>45525</v>
      </c>
      <c r="O107" s="24">
        <v>-527</v>
      </c>
      <c r="P107" s="25" t="s">
        <v>60</v>
      </c>
      <c r="Q107" s="26" t="s">
        <v>72</v>
      </c>
      <c r="R107" s="27" t="s">
        <v>74</v>
      </c>
      <c r="S107" s="28" t="s">
        <v>74</v>
      </c>
      <c r="T107" s="29">
        <v>0</v>
      </c>
      <c r="U107" s="29">
        <v>0</v>
      </c>
      <c r="V107" s="29">
        <v>0</v>
      </c>
      <c r="W107" s="29">
        <v>0</v>
      </c>
      <c r="X107" s="30">
        <v>0</v>
      </c>
      <c r="Y107" s="31">
        <v>0</v>
      </c>
    </row>
    <row r="108" spans="1:25" x14ac:dyDescent="0.3">
      <c r="A108" s="19" t="s">
        <v>129</v>
      </c>
      <c r="B108" s="20" t="s">
        <v>87</v>
      </c>
      <c r="C108" s="20" t="s">
        <v>375</v>
      </c>
      <c r="D108" s="21" t="s">
        <v>130</v>
      </c>
      <c r="E108" s="21" t="s">
        <v>1</v>
      </c>
      <c r="F108" s="22">
        <v>-291.10000000000002</v>
      </c>
      <c r="G108" s="22">
        <v>0</v>
      </c>
      <c r="H108" s="22">
        <v>0</v>
      </c>
      <c r="I108" s="22">
        <v>0</v>
      </c>
      <c r="J108" s="22">
        <v>0</v>
      </c>
      <c r="K108" s="22">
        <v>-291.10000000000002</v>
      </c>
      <c r="L108" s="22">
        <v>-291.10000000000002</v>
      </c>
      <c r="M108" s="23">
        <v>43964</v>
      </c>
      <c r="N108" s="23">
        <v>43964</v>
      </c>
      <c r="O108" s="24">
        <v>-2088</v>
      </c>
      <c r="P108" s="25" t="s">
        <v>60</v>
      </c>
      <c r="Q108" s="26" t="s">
        <v>72</v>
      </c>
      <c r="R108" s="27" t="s">
        <v>87</v>
      </c>
      <c r="S108" s="28" t="s">
        <v>87</v>
      </c>
      <c r="T108" s="29">
        <v>0</v>
      </c>
      <c r="U108" s="29">
        <v>0</v>
      </c>
      <c r="V108" s="29">
        <v>0</v>
      </c>
      <c r="W108" s="29">
        <v>0</v>
      </c>
      <c r="X108" s="30">
        <v>0</v>
      </c>
      <c r="Y108" s="31">
        <v>0</v>
      </c>
    </row>
    <row r="109" spans="1:25" x14ac:dyDescent="0.3">
      <c r="A109" s="19" t="s">
        <v>165</v>
      </c>
      <c r="B109" s="20" t="s">
        <v>87</v>
      </c>
      <c r="C109" s="20" t="s">
        <v>378</v>
      </c>
      <c r="D109" s="21" t="s">
        <v>166</v>
      </c>
      <c r="E109" s="21" t="s">
        <v>1</v>
      </c>
      <c r="F109" s="22">
        <v>-600</v>
      </c>
      <c r="G109" s="22">
        <v>0</v>
      </c>
      <c r="H109" s="22">
        <v>0</v>
      </c>
      <c r="I109" s="22">
        <v>0</v>
      </c>
      <c r="J109" s="22">
        <v>0</v>
      </c>
      <c r="K109" s="22">
        <v>-600</v>
      </c>
      <c r="L109" s="22">
        <v>-600</v>
      </c>
      <c r="M109" s="23">
        <v>42965</v>
      </c>
      <c r="N109" s="23">
        <v>42965</v>
      </c>
      <c r="O109" s="24">
        <v>-3087</v>
      </c>
      <c r="P109" s="25" t="s">
        <v>60</v>
      </c>
      <c r="Q109" s="26" t="s">
        <v>72</v>
      </c>
      <c r="R109" s="27" t="s">
        <v>87</v>
      </c>
      <c r="S109" s="28" t="s">
        <v>87</v>
      </c>
      <c r="T109" s="29">
        <v>0</v>
      </c>
      <c r="U109" s="29">
        <v>0</v>
      </c>
      <c r="V109" s="29">
        <v>0</v>
      </c>
      <c r="W109" s="29">
        <v>0</v>
      </c>
      <c r="X109" s="30">
        <v>0</v>
      </c>
      <c r="Y109" s="31">
        <v>0</v>
      </c>
    </row>
    <row r="110" spans="1:25" x14ac:dyDescent="0.3">
      <c r="A110" s="19" t="s">
        <v>300</v>
      </c>
      <c r="B110" s="20" t="s">
        <v>87</v>
      </c>
      <c r="C110" s="20" t="s">
        <v>377</v>
      </c>
      <c r="D110" s="21" t="s">
        <v>301</v>
      </c>
      <c r="E110" s="21" t="s">
        <v>1</v>
      </c>
      <c r="F110" s="22">
        <v>-8.91</v>
      </c>
      <c r="G110" s="22">
        <v>0</v>
      </c>
      <c r="H110" s="22">
        <v>0</v>
      </c>
      <c r="I110" s="22">
        <v>0</v>
      </c>
      <c r="J110" s="22">
        <v>0</v>
      </c>
      <c r="K110" s="22">
        <v>-8.91</v>
      </c>
      <c r="L110" s="22">
        <v>-8.91</v>
      </c>
      <c r="M110" s="23">
        <v>45939</v>
      </c>
      <c r="N110" s="23">
        <v>45939</v>
      </c>
      <c r="O110" s="24">
        <v>-113</v>
      </c>
      <c r="P110" s="25" t="s">
        <v>60</v>
      </c>
      <c r="Q110" s="26" t="s">
        <v>72</v>
      </c>
      <c r="R110" s="27" t="s">
        <v>232</v>
      </c>
      <c r="S110" s="28" t="s">
        <v>232</v>
      </c>
      <c r="T110" s="29">
        <v>0</v>
      </c>
      <c r="U110" s="29">
        <v>0</v>
      </c>
      <c r="V110" s="29">
        <v>0</v>
      </c>
      <c r="W110" s="29">
        <v>0</v>
      </c>
      <c r="X110" s="30">
        <v>0</v>
      </c>
      <c r="Y110" s="31">
        <v>0</v>
      </c>
    </row>
    <row r="111" spans="1:25" x14ac:dyDescent="0.3">
      <c r="A111" s="19" t="s">
        <v>65</v>
      </c>
      <c r="B111" s="20" t="s">
        <v>0</v>
      </c>
      <c r="C111" s="20" t="s">
        <v>366</v>
      </c>
      <c r="D111" s="21">
        <v>70630</v>
      </c>
      <c r="E111" s="21" t="s">
        <v>1</v>
      </c>
      <c r="F111" s="22">
        <v>646.33000000000004</v>
      </c>
      <c r="G111" s="22">
        <v>0</v>
      </c>
      <c r="H111" s="22">
        <v>0</v>
      </c>
      <c r="I111" s="22">
        <v>0</v>
      </c>
      <c r="J111" s="22">
        <v>0</v>
      </c>
      <c r="K111" s="22">
        <v>646.33000000000004</v>
      </c>
      <c r="L111" s="22">
        <v>646.33000000000004</v>
      </c>
      <c r="M111" s="23">
        <v>45350</v>
      </c>
      <c r="N111" s="23">
        <v>45440</v>
      </c>
      <c r="O111" s="24">
        <v>-612</v>
      </c>
      <c r="P111" s="25" t="s">
        <v>60</v>
      </c>
      <c r="Q111" s="26" t="s">
        <v>72</v>
      </c>
      <c r="R111" s="27" t="s">
        <v>232</v>
      </c>
      <c r="S111" s="28" t="s">
        <v>232</v>
      </c>
      <c r="T111" s="29">
        <v>0</v>
      </c>
      <c r="U111" s="29">
        <v>0</v>
      </c>
      <c r="V111" s="29">
        <v>0</v>
      </c>
      <c r="W111" s="29">
        <v>0</v>
      </c>
      <c r="X111" s="30">
        <v>0</v>
      </c>
      <c r="Y111" s="31">
        <v>0</v>
      </c>
    </row>
    <row r="112" spans="1:25" x14ac:dyDescent="0.3">
      <c r="A112" s="19" t="s">
        <v>246</v>
      </c>
      <c r="B112" s="20" t="s">
        <v>0</v>
      </c>
      <c r="C112" s="20" t="s">
        <v>369</v>
      </c>
      <c r="D112" s="21">
        <v>2100028669</v>
      </c>
      <c r="E112" s="21" t="s">
        <v>1</v>
      </c>
      <c r="F112" s="22">
        <v>16082.59</v>
      </c>
      <c r="G112" s="22">
        <v>16082.59</v>
      </c>
      <c r="H112" s="22">
        <v>0</v>
      </c>
      <c r="I112" s="22">
        <v>0</v>
      </c>
      <c r="J112" s="22">
        <v>0</v>
      </c>
      <c r="K112" s="22">
        <v>0</v>
      </c>
      <c r="L112" s="22">
        <v>16082.59</v>
      </c>
      <c r="M112" s="23">
        <v>46030</v>
      </c>
      <c r="N112" s="23">
        <v>46060</v>
      </c>
      <c r="O112" s="32">
        <v>8</v>
      </c>
      <c r="P112" s="25" t="s">
        <v>2</v>
      </c>
      <c r="Q112" s="26" t="s">
        <v>59</v>
      </c>
      <c r="R112" s="27" t="s">
        <v>232</v>
      </c>
      <c r="S112" s="28" t="s">
        <v>232</v>
      </c>
      <c r="T112" s="29">
        <v>0</v>
      </c>
      <c r="U112" s="29">
        <v>0</v>
      </c>
      <c r="V112" s="29">
        <v>0</v>
      </c>
      <c r="W112" s="29">
        <v>0</v>
      </c>
      <c r="X112" s="30">
        <v>0</v>
      </c>
      <c r="Y112" s="31" t="s">
        <v>440</v>
      </c>
    </row>
    <row r="113" spans="1:25" x14ac:dyDescent="0.3">
      <c r="A113" s="19" t="s">
        <v>7</v>
      </c>
      <c r="B113" s="20" t="s">
        <v>0</v>
      </c>
      <c r="C113" s="20" t="s">
        <v>360</v>
      </c>
      <c r="D113" s="21">
        <v>1781</v>
      </c>
      <c r="E113" s="21" t="s">
        <v>1</v>
      </c>
      <c r="F113" s="22">
        <v>341650.6</v>
      </c>
      <c r="G113" s="22">
        <v>0</v>
      </c>
      <c r="H113" s="22">
        <v>0</v>
      </c>
      <c r="I113" s="22">
        <v>0</v>
      </c>
      <c r="J113" s="22">
        <v>0</v>
      </c>
      <c r="K113" s="22">
        <v>341650.6</v>
      </c>
      <c r="L113" s="22">
        <v>341650.6</v>
      </c>
      <c r="M113" s="23">
        <v>45077</v>
      </c>
      <c r="N113" s="23">
        <v>45077</v>
      </c>
      <c r="O113" s="24">
        <v>-975</v>
      </c>
      <c r="P113" s="25" t="s">
        <v>2</v>
      </c>
      <c r="Q113" s="26" t="s">
        <v>59</v>
      </c>
      <c r="R113" s="27" t="s">
        <v>74</v>
      </c>
      <c r="S113" s="28" t="s">
        <v>74</v>
      </c>
      <c r="T113" s="29">
        <v>0</v>
      </c>
      <c r="U113" s="29">
        <v>0</v>
      </c>
      <c r="V113" s="29">
        <v>0</v>
      </c>
      <c r="W113" s="29">
        <v>0</v>
      </c>
      <c r="X113" s="30">
        <v>0</v>
      </c>
      <c r="Y113" s="31">
        <v>0</v>
      </c>
    </row>
    <row r="114" spans="1:25" x14ac:dyDescent="0.3">
      <c r="A114" s="19" t="s">
        <v>22</v>
      </c>
      <c r="B114" s="20" t="s">
        <v>0</v>
      </c>
      <c r="C114" s="20" t="s">
        <v>360</v>
      </c>
      <c r="D114" s="21">
        <v>6886</v>
      </c>
      <c r="E114" s="21" t="s">
        <v>1</v>
      </c>
      <c r="F114" s="22">
        <v>82715.7</v>
      </c>
      <c r="G114" s="22">
        <v>0</v>
      </c>
      <c r="H114" s="22">
        <v>0</v>
      </c>
      <c r="I114" s="22">
        <v>0</v>
      </c>
      <c r="J114" s="22">
        <v>0</v>
      </c>
      <c r="K114" s="22">
        <v>82715.7</v>
      </c>
      <c r="L114" s="22">
        <v>82715.7</v>
      </c>
      <c r="M114" s="23">
        <v>45322</v>
      </c>
      <c r="N114" s="23">
        <v>45322</v>
      </c>
      <c r="O114" s="24">
        <v>-730</v>
      </c>
      <c r="P114" s="25" t="s">
        <v>2</v>
      </c>
      <c r="Q114" s="26" t="s">
        <v>59</v>
      </c>
      <c r="R114" s="27" t="s">
        <v>74</v>
      </c>
      <c r="S114" s="28" t="s">
        <v>74</v>
      </c>
      <c r="T114" s="29">
        <v>0</v>
      </c>
      <c r="U114" s="29">
        <v>0</v>
      </c>
      <c r="V114" s="29">
        <v>0</v>
      </c>
      <c r="W114" s="29">
        <v>0</v>
      </c>
      <c r="X114" s="30">
        <v>0</v>
      </c>
      <c r="Y114" s="31">
        <v>0</v>
      </c>
    </row>
    <row r="115" spans="1:25" x14ac:dyDescent="0.3">
      <c r="A115" s="19" t="s">
        <v>65</v>
      </c>
      <c r="B115" s="20" t="s">
        <v>0</v>
      </c>
      <c r="C115" s="20" t="s">
        <v>366</v>
      </c>
      <c r="D115" s="21">
        <v>71006</v>
      </c>
      <c r="E115" s="21" t="s">
        <v>1</v>
      </c>
      <c r="F115" s="22">
        <v>61.61</v>
      </c>
      <c r="G115" s="22">
        <v>0</v>
      </c>
      <c r="H115" s="22">
        <v>0</v>
      </c>
      <c r="I115" s="22">
        <v>0</v>
      </c>
      <c r="J115" s="22">
        <v>0</v>
      </c>
      <c r="K115" s="22">
        <v>61.61</v>
      </c>
      <c r="L115" s="22">
        <v>61.61</v>
      </c>
      <c r="M115" s="23">
        <v>45866</v>
      </c>
      <c r="N115" s="23">
        <v>45896</v>
      </c>
      <c r="O115" s="24">
        <v>-156</v>
      </c>
      <c r="P115" s="25" t="s">
        <v>60</v>
      </c>
      <c r="Q115" s="26" t="s">
        <v>72</v>
      </c>
      <c r="R115" s="27" t="s">
        <v>232</v>
      </c>
      <c r="S115" s="28" t="s">
        <v>232</v>
      </c>
      <c r="T115" s="29">
        <v>0</v>
      </c>
      <c r="U115" s="29">
        <v>0</v>
      </c>
      <c r="V115" s="29">
        <v>0</v>
      </c>
      <c r="W115" s="29">
        <v>0</v>
      </c>
      <c r="X115" s="30">
        <v>0</v>
      </c>
      <c r="Y115" s="31">
        <v>0</v>
      </c>
    </row>
    <row r="116" spans="1:25" x14ac:dyDescent="0.3">
      <c r="A116" s="19" t="s">
        <v>10</v>
      </c>
      <c r="B116" s="20" t="s">
        <v>0</v>
      </c>
      <c r="C116" s="20" t="s">
        <v>376</v>
      </c>
      <c r="D116" s="21">
        <v>2100028108</v>
      </c>
      <c r="E116" s="21" t="s">
        <v>1</v>
      </c>
      <c r="F116" s="22">
        <v>80370.240000000005</v>
      </c>
      <c r="G116" s="22">
        <v>0</v>
      </c>
      <c r="H116" s="22">
        <v>0</v>
      </c>
      <c r="I116" s="22">
        <v>0</v>
      </c>
      <c r="J116" s="22">
        <v>80370.240000000005</v>
      </c>
      <c r="K116" s="22">
        <v>0</v>
      </c>
      <c r="L116" s="22">
        <v>80370.240000000005</v>
      </c>
      <c r="M116" s="23">
        <v>45926</v>
      </c>
      <c r="N116" s="23">
        <v>45986</v>
      </c>
      <c r="O116" s="24">
        <v>-66</v>
      </c>
      <c r="P116" s="25" t="s">
        <v>2</v>
      </c>
      <c r="Q116" s="26" t="s">
        <v>59</v>
      </c>
      <c r="R116" s="27" t="s">
        <v>232</v>
      </c>
      <c r="S116" s="28" t="s">
        <v>232</v>
      </c>
      <c r="T116" s="29">
        <v>0</v>
      </c>
      <c r="U116" s="29">
        <v>0</v>
      </c>
      <c r="V116" s="29">
        <v>0</v>
      </c>
      <c r="W116" s="29">
        <v>0</v>
      </c>
      <c r="X116" s="30">
        <v>0</v>
      </c>
      <c r="Y116" s="31">
        <v>0</v>
      </c>
    </row>
    <row r="117" spans="1:25" x14ac:dyDescent="0.3">
      <c r="A117" s="19" t="s">
        <v>329</v>
      </c>
      <c r="B117" s="20" t="s">
        <v>0</v>
      </c>
      <c r="C117" s="20" t="s">
        <v>369</v>
      </c>
      <c r="D117" s="21">
        <v>2100028644</v>
      </c>
      <c r="E117" s="21" t="s">
        <v>1</v>
      </c>
      <c r="F117" s="22">
        <v>79875.179999999993</v>
      </c>
      <c r="G117" s="22">
        <v>0</v>
      </c>
      <c r="H117" s="22">
        <v>79875.179999999993</v>
      </c>
      <c r="I117" s="22">
        <v>0</v>
      </c>
      <c r="J117" s="22">
        <v>0</v>
      </c>
      <c r="K117" s="22">
        <v>0</v>
      </c>
      <c r="L117" s="22">
        <v>79875.179999999993</v>
      </c>
      <c r="M117" s="23">
        <v>46020</v>
      </c>
      <c r="N117" s="23">
        <v>46050</v>
      </c>
      <c r="O117" s="32">
        <v>-2</v>
      </c>
      <c r="P117" s="25" t="s">
        <v>2</v>
      </c>
      <c r="Q117" s="26" t="s">
        <v>59</v>
      </c>
      <c r="R117" s="27" t="s">
        <v>232</v>
      </c>
      <c r="S117" s="28" t="s">
        <v>232</v>
      </c>
      <c r="T117" s="29">
        <v>0</v>
      </c>
      <c r="U117" s="29">
        <v>0</v>
      </c>
      <c r="V117" s="29">
        <v>0</v>
      </c>
      <c r="W117" s="29">
        <v>0</v>
      </c>
      <c r="X117" s="30">
        <v>0</v>
      </c>
      <c r="Y117" s="31">
        <v>0</v>
      </c>
    </row>
    <row r="118" spans="1:25" x14ac:dyDescent="0.3">
      <c r="A118" s="19" t="s">
        <v>113</v>
      </c>
      <c r="B118" s="20" t="s">
        <v>87</v>
      </c>
      <c r="C118" s="20" t="s">
        <v>366</v>
      </c>
      <c r="D118" s="21" t="s">
        <v>198</v>
      </c>
      <c r="E118" s="21" t="s">
        <v>1</v>
      </c>
      <c r="F118" s="22">
        <v>-1566.18</v>
      </c>
      <c r="G118" s="22">
        <v>0</v>
      </c>
      <c r="H118" s="22">
        <v>0</v>
      </c>
      <c r="I118" s="22">
        <v>0</v>
      </c>
      <c r="J118" s="22">
        <v>0</v>
      </c>
      <c r="K118" s="22">
        <v>-1566.18</v>
      </c>
      <c r="L118" s="22">
        <v>-1566.18</v>
      </c>
      <c r="M118" s="23">
        <v>44735</v>
      </c>
      <c r="N118" s="23">
        <v>44735</v>
      </c>
      <c r="O118" s="32">
        <v>-1317</v>
      </c>
      <c r="P118" s="25" t="s">
        <v>60</v>
      </c>
      <c r="Q118" s="26" t="s">
        <v>72</v>
      </c>
      <c r="R118" s="27" t="s">
        <v>87</v>
      </c>
      <c r="S118" s="28" t="s">
        <v>87</v>
      </c>
      <c r="T118" s="29">
        <v>0</v>
      </c>
      <c r="U118" s="29">
        <v>0</v>
      </c>
      <c r="V118" s="29">
        <v>0</v>
      </c>
      <c r="W118" s="29">
        <v>0</v>
      </c>
      <c r="X118" s="30">
        <v>0</v>
      </c>
      <c r="Y118" s="31">
        <v>0</v>
      </c>
    </row>
    <row r="119" spans="1:25" x14ac:dyDescent="0.3">
      <c r="A119" s="19" t="s">
        <v>7</v>
      </c>
      <c r="B119" s="20" t="s">
        <v>0</v>
      </c>
      <c r="C119" s="20" t="s">
        <v>376</v>
      </c>
      <c r="D119" s="21">
        <v>2100025749</v>
      </c>
      <c r="E119" s="21" t="s">
        <v>1</v>
      </c>
      <c r="F119" s="22">
        <v>60000</v>
      </c>
      <c r="G119" s="22">
        <v>0</v>
      </c>
      <c r="H119" s="22">
        <v>0</v>
      </c>
      <c r="I119" s="22">
        <v>0</v>
      </c>
      <c r="J119" s="22">
        <v>0</v>
      </c>
      <c r="K119" s="22">
        <v>60000</v>
      </c>
      <c r="L119" s="22">
        <v>60000</v>
      </c>
      <c r="M119" s="23">
        <v>45565</v>
      </c>
      <c r="N119" s="23">
        <v>45595</v>
      </c>
      <c r="O119" s="24">
        <v>-457</v>
      </c>
      <c r="P119" s="25" t="s">
        <v>2</v>
      </c>
      <c r="Q119" s="26" t="s">
        <v>59</v>
      </c>
      <c r="R119" s="27" t="s">
        <v>74</v>
      </c>
      <c r="S119" s="28" t="s">
        <v>74</v>
      </c>
      <c r="T119" s="29">
        <v>0</v>
      </c>
      <c r="U119" s="29">
        <v>0</v>
      </c>
      <c r="V119" s="29">
        <v>0</v>
      </c>
      <c r="W119" s="29">
        <v>0</v>
      </c>
      <c r="X119" s="30">
        <v>0</v>
      </c>
      <c r="Y119" s="31">
        <v>0</v>
      </c>
    </row>
    <row r="120" spans="1:25" x14ac:dyDescent="0.3">
      <c r="A120" s="19" t="s">
        <v>7</v>
      </c>
      <c r="B120" s="20" t="s">
        <v>0</v>
      </c>
      <c r="C120" s="20" t="s">
        <v>360</v>
      </c>
      <c r="D120" s="21">
        <v>4513</v>
      </c>
      <c r="E120" s="21" t="s">
        <v>1</v>
      </c>
      <c r="F120" s="22">
        <v>45486.76</v>
      </c>
      <c r="G120" s="22">
        <v>0</v>
      </c>
      <c r="H120" s="22">
        <v>0</v>
      </c>
      <c r="I120" s="22">
        <v>0</v>
      </c>
      <c r="J120" s="22">
        <v>0</v>
      </c>
      <c r="K120" s="22">
        <v>45486.76</v>
      </c>
      <c r="L120" s="22">
        <v>45486.76</v>
      </c>
      <c r="M120" s="23">
        <v>45246</v>
      </c>
      <c r="N120" s="23">
        <v>45276</v>
      </c>
      <c r="O120" s="24">
        <v>-776</v>
      </c>
      <c r="P120" s="25" t="s">
        <v>2</v>
      </c>
      <c r="Q120" s="26" t="s">
        <v>59</v>
      </c>
      <c r="R120" s="27" t="s">
        <v>74</v>
      </c>
      <c r="S120" s="28" t="s">
        <v>74</v>
      </c>
      <c r="T120" s="29">
        <v>0</v>
      </c>
      <c r="U120" s="29">
        <v>0</v>
      </c>
      <c r="V120" s="29">
        <v>0</v>
      </c>
      <c r="W120" s="29">
        <v>0</v>
      </c>
      <c r="X120" s="30">
        <v>0</v>
      </c>
      <c r="Y120" s="31">
        <v>0</v>
      </c>
    </row>
    <row r="121" spans="1:25" x14ac:dyDescent="0.3">
      <c r="A121" s="19" t="s">
        <v>34</v>
      </c>
      <c r="B121" s="20" t="s">
        <v>0</v>
      </c>
      <c r="C121" s="20" t="s">
        <v>360</v>
      </c>
      <c r="D121" s="21">
        <v>4803</v>
      </c>
      <c r="E121" s="21" t="s">
        <v>1</v>
      </c>
      <c r="F121" s="22">
        <v>42477.83</v>
      </c>
      <c r="G121" s="22">
        <v>0</v>
      </c>
      <c r="H121" s="22">
        <v>0</v>
      </c>
      <c r="I121" s="22">
        <v>0</v>
      </c>
      <c r="J121" s="22">
        <v>0</v>
      </c>
      <c r="K121" s="22">
        <v>42477.83</v>
      </c>
      <c r="L121" s="22">
        <v>42477.83</v>
      </c>
      <c r="M121" s="23">
        <v>45258</v>
      </c>
      <c r="N121" s="23">
        <v>45258</v>
      </c>
      <c r="O121" s="24">
        <v>-794</v>
      </c>
      <c r="P121" s="25" t="s">
        <v>2</v>
      </c>
      <c r="Q121" s="26" t="s">
        <v>59</v>
      </c>
      <c r="R121" s="27" t="s">
        <v>74</v>
      </c>
      <c r="S121" s="28" t="s">
        <v>74</v>
      </c>
      <c r="T121" s="29">
        <v>0</v>
      </c>
      <c r="U121" s="29">
        <v>0</v>
      </c>
      <c r="V121" s="29">
        <v>0</v>
      </c>
      <c r="W121" s="29">
        <v>0</v>
      </c>
      <c r="X121" s="30">
        <v>0</v>
      </c>
      <c r="Y121" s="31">
        <v>0</v>
      </c>
    </row>
    <row r="122" spans="1:25" x14ac:dyDescent="0.3">
      <c r="A122" s="19" t="s">
        <v>14</v>
      </c>
      <c r="B122" s="20" t="s">
        <v>0</v>
      </c>
      <c r="C122" s="20" t="s">
        <v>360</v>
      </c>
      <c r="D122" s="21">
        <v>5640</v>
      </c>
      <c r="E122" s="21" t="s">
        <v>1</v>
      </c>
      <c r="F122" s="22">
        <v>41553.236347999999</v>
      </c>
      <c r="G122" s="22">
        <v>0</v>
      </c>
      <c r="H122" s="22">
        <v>0</v>
      </c>
      <c r="I122" s="22">
        <v>0</v>
      </c>
      <c r="J122" s="22">
        <v>0</v>
      </c>
      <c r="K122" s="22">
        <v>41553.24</v>
      </c>
      <c r="L122" s="22">
        <v>41553.24</v>
      </c>
      <c r="M122" s="23">
        <v>45287</v>
      </c>
      <c r="N122" s="23">
        <v>45317</v>
      </c>
      <c r="O122" s="32">
        <v>-735</v>
      </c>
      <c r="P122" s="25" t="s">
        <v>2</v>
      </c>
      <c r="Q122" s="26" t="s">
        <v>59</v>
      </c>
      <c r="R122" s="27" t="s">
        <v>74</v>
      </c>
      <c r="S122" s="28" t="s">
        <v>74</v>
      </c>
      <c r="T122" s="29">
        <v>0</v>
      </c>
      <c r="U122" s="29">
        <v>0</v>
      </c>
      <c r="V122" s="29">
        <v>0</v>
      </c>
      <c r="W122" s="29">
        <v>0</v>
      </c>
      <c r="X122" s="30">
        <v>0</v>
      </c>
      <c r="Y122" s="31">
        <v>0</v>
      </c>
    </row>
    <row r="123" spans="1:25" x14ac:dyDescent="0.3">
      <c r="A123" s="19" t="s">
        <v>113</v>
      </c>
      <c r="B123" s="20" t="s">
        <v>87</v>
      </c>
      <c r="C123" s="20" t="s">
        <v>381</v>
      </c>
      <c r="D123" s="21" t="s">
        <v>114</v>
      </c>
      <c r="E123" s="21" t="s">
        <v>1</v>
      </c>
      <c r="F123" s="22">
        <v>-135.6</v>
      </c>
      <c r="G123" s="22">
        <v>0</v>
      </c>
      <c r="H123" s="22">
        <v>0</v>
      </c>
      <c r="I123" s="22">
        <v>0</v>
      </c>
      <c r="J123" s="22">
        <v>0</v>
      </c>
      <c r="K123" s="22">
        <v>-135.6</v>
      </c>
      <c r="L123" s="22">
        <v>-135.6</v>
      </c>
      <c r="M123" s="23">
        <v>44979</v>
      </c>
      <c r="N123" s="23">
        <v>44979</v>
      </c>
      <c r="O123" s="32">
        <v>-1073</v>
      </c>
      <c r="P123" s="25" t="s">
        <v>61</v>
      </c>
      <c r="Q123" s="26" t="s">
        <v>72</v>
      </c>
      <c r="R123" s="27" t="s">
        <v>87</v>
      </c>
      <c r="S123" s="28" t="s">
        <v>87</v>
      </c>
      <c r="T123" s="29">
        <v>0</v>
      </c>
      <c r="U123" s="29">
        <v>0</v>
      </c>
      <c r="V123" s="29">
        <v>0</v>
      </c>
      <c r="W123" s="29">
        <v>0</v>
      </c>
      <c r="X123" s="30">
        <v>0</v>
      </c>
      <c r="Y123" s="31">
        <v>0</v>
      </c>
    </row>
    <row r="124" spans="1:25" x14ac:dyDescent="0.3">
      <c r="A124" s="19" t="s">
        <v>10</v>
      </c>
      <c r="B124" s="20" t="s">
        <v>86</v>
      </c>
      <c r="C124" s="20" t="s">
        <v>379</v>
      </c>
      <c r="D124" s="21">
        <v>15</v>
      </c>
      <c r="E124" s="21" t="s">
        <v>1</v>
      </c>
      <c r="F124" s="22">
        <v>38351.72</v>
      </c>
      <c r="G124" s="22">
        <v>0</v>
      </c>
      <c r="H124" s="22">
        <v>0</v>
      </c>
      <c r="I124" s="22">
        <v>0</v>
      </c>
      <c r="J124" s="22">
        <v>0</v>
      </c>
      <c r="K124" s="22">
        <v>38351.72</v>
      </c>
      <c r="L124" s="22">
        <v>38351.72</v>
      </c>
      <c r="M124" s="23">
        <v>45485</v>
      </c>
      <c r="N124" s="23">
        <v>45545</v>
      </c>
      <c r="O124" s="24">
        <v>-507</v>
      </c>
      <c r="P124" s="25" t="s">
        <v>16</v>
      </c>
      <c r="Q124" s="26" t="s">
        <v>59</v>
      </c>
      <c r="R124" s="27" t="s">
        <v>74</v>
      </c>
      <c r="S124" s="28" t="s">
        <v>74</v>
      </c>
      <c r="T124" s="29">
        <v>0</v>
      </c>
      <c r="U124" s="29">
        <v>0</v>
      </c>
      <c r="V124" s="29">
        <v>0</v>
      </c>
      <c r="W124" s="29">
        <v>0</v>
      </c>
      <c r="X124" s="30">
        <v>0</v>
      </c>
      <c r="Y124" s="31">
        <v>0</v>
      </c>
    </row>
    <row r="125" spans="1:25" x14ac:dyDescent="0.3">
      <c r="A125" s="19" t="s">
        <v>93</v>
      </c>
      <c r="B125" s="20" t="s">
        <v>87</v>
      </c>
      <c r="C125" s="20" t="s">
        <v>366</v>
      </c>
      <c r="D125" s="21" t="s">
        <v>94</v>
      </c>
      <c r="E125" s="21" t="s">
        <v>1</v>
      </c>
      <c r="F125" s="22">
        <v>-33.93</v>
      </c>
      <c r="G125" s="22">
        <v>0</v>
      </c>
      <c r="H125" s="22">
        <v>0</v>
      </c>
      <c r="I125" s="22">
        <v>0</v>
      </c>
      <c r="J125" s="22">
        <v>0</v>
      </c>
      <c r="K125" s="22">
        <v>-33.93</v>
      </c>
      <c r="L125" s="22">
        <v>-33.93</v>
      </c>
      <c r="M125" s="23">
        <v>42650</v>
      </c>
      <c r="N125" s="23">
        <v>42650</v>
      </c>
      <c r="O125" s="24">
        <v>-3402</v>
      </c>
      <c r="P125" s="25" t="s">
        <v>60</v>
      </c>
      <c r="Q125" s="26" t="s">
        <v>72</v>
      </c>
      <c r="R125" s="27" t="s">
        <v>87</v>
      </c>
      <c r="S125" s="28" t="s">
        <v>87</v>
      </c>
      <c r="T125" s="29">
        <v>0</v>
      </c>
      <c r="U125" s="29">
        <v>0</v>
      </c>
      <c r="V125" s="29">
        <v>0</v>
      </c>
      <c r="W125" s="29">
        <v>0</v>
      </c>
      <c r="X125" s="30">
        <v>0</v>
      </c>
      <c r="Y125" s="31">
        <v>0</v>
      </c>
    </row>
    <row r="126" spans="1:25" x14ac:dyDescent="0.3">
      <c r="A126" s="19" t="s">
        <v>93</v>
      </c>
      <c r="B126" s="20" t="s">
        <v>87</v>
      </c>
      <c r="C126" s="20" t="s">
        <v>366</v>
      </c>
      <c r="D126" s="21">
        <v>1490</v>
      </c>
      <c r="E126" s="21" t="s">
        <v>1</v>
      </c>
      <c r="F126" s="22">
        <v>-19585.164871000001</v>
      </c>
      <c r="G126" s="22">
        <v>0</v>
      </c>
      <c r="H126" s="22">
        <v>0</v>
      </c>
      <c r="I126" s="22">
        <v>0</v>
      </c>
      <c r="J126" s="22">
        <v>0</v>
      </c>
      <c r="K126" s="22">
        <v>-19585.16</v>
      </c>
      <c r="L126" s="22">
        <v>-19585.16</v>
      </c>
      <c r="M126" s="23">
        <v>45425</v>
      </c>
      <c r="N126" s="23">
        <v>45455</v>
      </c>
      <c r="O126" s="24">
        <v>-597</v>
      </c>
      <c r="P126" s="25" t="s">
        <v>60</v>
      </c>
      <c r="Q126" s="26" t="s">
        <v>72</v>
      </c>
      <c r="R126" s="27" t="s">
        <v>87</v>
      </c>
      <c r="S126" s="28" t="s">
        <v>87</v>
      </c>
      <c r="T126" s="29">
        <v>0</v>
      </c>
      <c r="U126" s="29">
        <v>0</v>
      </c>
      <c r="V126" s="29">
        <v>0</v>
      </c>
      <c r="W126" s="29">
        <v>0</v>
      </c>
      <c r="X126" s="30">
        <v>0</v>
      </c>
      <c r="Y126" s="31">
        <v>0</v>
      </c>
    </row>
    <row r="127" spans="1:25" x14ac:dyDescent="0.3">
      <c r="A127" s="19" t="s">
        <v>200</v>
      </c>
      <c r="B127" s="20" t="s">
        <v>87</v>
      </c>
      <c r="C127" s="20" t="s">
        <v>384</v>
      </c>
      <c r="D127" s="21" t="s">
        <v>201</v>
      </c>
      <c r="E127" s="21" t="s">
        <v>1</v>
      </c>
      <c r="F127" s="22">
        <v>-2181.9</v>
      </c>
      <c r="G127" s="22">
        <v>0</v>
      </c>
      <c r="H127" s="22">
        <v>0</v>
      </c>
      <c r="I127" s="22">
        <v>0</v>
      </c>
      <c r="J127" s="22">
        <v>0</v>
      </c>
      <c r="K127" s="22">
        <v>-2181.9</v>
      </c>
      <c r="L127" s="22">
        <v>-2181.9</v>
      </c>
      <c r="M127" s="23">
        <v>44998</v>
      </c>
      <c r="N127" s="23">
        <v>44998</v>
      </c>
      <c r="O127" s="32">
        <v>-1054</v>
      </c>
      <c r="P127" s="25" t="s">
        <v>61</v>
      </c>
      <c r="Q127" s="26" t="s">
        <v>72</v>
      </c>
      <c r="R127" s="27" t="s">
        <v>87</v>
      </c>
      <c r="S127" s="28" t="s">
        <v>87</v>
      </c>
      <c r="T127" s="29">
        <v>0</v>
      </c>
      <c r="U127" s="29">
        <v>0</v>
      </c>
      <c r="V127" s="29">
        <v>0</v>
      </c>
      <c r="W127" s="29">
        <v>0</v>
      </c>
      <c r="X127" s="30">
        <v>0</v>
      </c>
      <c r="Y127" s="31">
        <v>0</v>
      </c>
    </row>
    <row r="128" spans="1:25" x14ac:dyDescent="0.3">
      <c r="A128" s="19" t="s">
        <v>14</v>
      </c>
      <c r="B128" s="20" t="s">
        <v>0</v>
      </c>
      <c r="C128" s="20" t="s">
        <v>386</v>
      </c>
      <c r="D128" s="21">
        <v>2100025441</v>
      </c>
      <c r="E128" s="21" t="s">
        <v>1</v>
      </c>
      <c r="F128" s="22">
        <v>24520.39</v>
      </c>
      <c r="G128" s="22">
        <v>0</v>
      </c>
      <c r="H128" s="22">
        <v>0</v>
      </c>
      <c r="I128" s="22">
        <v>0</v>
      </c>
      <c r="J128" s="22">
        <v>0</v>
      </c>
      <c r="K128" s="22">
        <v>24520.39</v>
      </c>
      <c r="L128" s="22">
        <v>24520.39</v>
      </c>
      <c r="M128" s="23">
        <v>45523</v>
      </c>
      <c r="N128" s="23">
        <v>45553</v>
      </c>
      <c r="O128" s="24">
        <v>-499</v>
      </c>
      <c r="P128" s="25" t="s">
        <v>2</v>
      </c>
      <c r="Q128" s="26" t="s">
        <v>59</v>
      </c>
      <c r="R128" s="27" t="s">
        <v>74</v>
      </c>
      <c r="S128" s="28" t="s">
        <v>74</v>
      </c>
      <c r="T128" s="29">
        <v>0</v>
      </c>
      <c r="U128" s="29">
        <v>0</v>
      </c>
      <c r="V128" s="29">
        <v>0</v>
      </c>
      <c r="W128" s="29">
        <v>0</v>
      </c>
      <c r="X128" s="30">
        <v>0</v>
      </c>
      <c r="Y128" s="31">
        <v>0</v>
      </c>
    </row>
    <row r="129" spans="1:25" x14ac:dyDescent="0.3">
      <c r="A129" s="19" t="s">
        <v>34</v>
      </c>
      <c r="B129" s="20" t="s">
        <v>0</v>
      </c>
      <c r="C129" s="20" t="s">
        <v>360</v>
      </c>
      <c r="D129" s="21">
        <v>3881</v>
      </c>
      <c r="E129" s="21" t="s">
        <v>1</v>
      </c>
      <c r="F129" s="22">
        <v>23636.48</v>
      </c>
      <c r="G129" s="22">
        <v>0</v>
      </c>
      <c r="H129" s="22">
        <v>0</v>
      </c>
      <c r="I129" s="22">
        <v>0</v>
      </c>
      <c r="J129" s="22">
        <v>0</v>
      </c>
      <c r="K129" s="22">
        <v>23636.48</v>
      </c>
      <c r="L129" s="22">
        <v>23636.48</v>
      </c>
      <c r="M129" s="23">
        <v>45223</v>
      </c>
      <c r="N129" s="23">
        <v>45223</v>
      </c>
      <c r="O129" s="32">
        <v>-829</v>
      </c>
      <c r="P129" s="25" t="s">
        <v>2</v>
      </c>
      <c r="Q129" s="26" t="s">
        <v>59</v>
      </c>
      <c r="R129" s="27" t="s">
        <v>74</v>
      </c>
      <c r="S129" s="28" t="s">
        <v>74</v>
      </c>
      <c r="T129" s="29">
        <v>0</v>
      </c>
      <c r="U129" s="29">
        <v>0</v>
      </c>
      <c r="V129" s="29">
        <v>0</v>
      </c>
      <c r="W129" s="29">
        <v>0</v>
      </c>
      <c r="X129" s="30">
        <v>0</v>
      </c>
      <c r="Y129" s="31">
        <v>0</v>
      </c>
    </row>
    <row r="130" spans="1:25" x14ac:dyDescent="0.3">
      <c r="A130" s="19" t="s">
        <v>105</v>
      </c>
      <c r="B130" s="20" t="s">
        <v>87</v>
      </c>
      <c r="C130" s="20" t="s">
        <v>366</v>
      </c>
      <c r="D130" s="21" t="s">
        <v>106</v>
      </c>
      <c r="E130" s="21" t="s">
        <v>1</v>
      </c>
      <c r="F130" s="22">
        <v>-103.68435599999999</v>
      </c>
      <c r="G130" s="22">
        <v>0</v>
      </c>
      <c r="H130" s="22">
        <v>0</v>
      </c>
      <c r="I130" s="22">
        <v>0</v>
      </c>
      <c r="J130" s="22">
        <v>0</v>
      </c>
      <c r="K130" s="22">
        <v>-103.68</v>
      </c>
      <c r="L130" s="22">
        <v>-103.68</v>
      </c>
      <c r="M130" s="23">
        <v>44337</v>
      </c>
      <c r="N130" s="23">
        <v>44337</v>
      </c>
      <c r="O130" s="24">
        <v>-1715</v>
      </c>
      <c r="P130" s="25" t="s">
        <v>60</v>
      </c>
      <c r="Q130" s="26" t="s">
        <v>72</v>
      </c>
      <c r="R130" s="27" t="s">
        <v>87</v>
      </c>
      <c r="S130" s="28" t="s">
        <v>87</v>
      </c>
      <c r="T130" s="29">
        <v>0</v>
      </c>
      <c r="U130" s="29">
        <v>0</v>
      </c>
      <c r="V130" s="29">
        <v>0</v>
      </c>
      <c r="W130" s="29">
        <v>0</v>
      </c>
      <c r="X130" s="30">
        <v>0</v>
      </c>
      <c r="Y130" s="31">
        <v>0</v>
      </c>
    </row>
    <row r="131" spans="1:25" x14ac:dyDescent="0.3">
      <c r="A131" s="19" t="s">
        <v>139</v>
      </c>
      <c r="B131" s="20" t="s">
        <v>87</v>
      </c>
      <c r="C131" s="20" t="s">
        <v>366</v>
      </c>
      <c r="D131" s="21" t="s">
        <v>140</v>
      </c>
      <c r="E131" s="21" t="s">
        <v>1</v>
      </c>
      <c r="F131" s="22">
        <v>-377.31</v>
      </c>
      <c r="G131" s="22">
        <v>0</v>
      </c>
      <c r="H131" s="22">
        <v>0</v>
      </c>
      <c r="I131" s="22">
        <v>0</v>
      </c>
      <c r="J131" s="22">
        <v>0</v>
      </c>
      <c r="K131" s="22">
        <v>-377.31</v>
      </c>
      <c r="L131" s="22">
        <v>-377.31</v>
      </c>
      <c r="M131" s="23">
        <v>42992</v>
      </c>
      <c r="N131" s="23">
        <v>42992</v>
      </c>
      <c r="O131" s="32">
        <v>-3060</v>
      </c>
      <c r="P131" s="25" t="s">
        <v>60</v>
      </c>
      <c r="Q131" s="26" t="s">
        <v>72</v>
      </c>
      <c r="R131" s="27" t="s">
        <v>87</v>
      </c>
      <c r="S131" s="28" t="s">
        <v>87</v>
      </c>
      <c r="T131" s="29">
        <v>0</v>
      </c>
      <c r="U131" s="29">
        <v>0</v>
      </c>
      <c r="V131" s="29">
        <v>0</v>
      </c>
      <c r="W131" s="29">
        <v>0</v>
      </c>
      <c r="X131" s="30">
        <v>0</v>
      </c>
      <c r="Y131" s="31">
        <v>0</v>
      </c>
    </row>
    <row r="132" spans="1:25" x14ac:dyDescent="0.3">
      <c r="A132" s="19" t="s">
        <v>8</v>
      </c>
      <c r="B132" s="20" t="s">
        <v>0</v>
      </c>
      <c r="C132" s="20" t="s">
        <v>360</v>
      </c>
      <c r="D132" s="21">
        <v>8623</v>
      </c>
      <c r="E132" s="21" t="s">
        <v>1</v>
      </c>
      <c r="F132" s="22">
        <v>23610</v>
      </c>
      <c r="G132" s="22">
        <v>0</v>
      </c>
      <c r="H132" s="22">
        <v>0</v>
      </c>
      <c r="I132" s="22">
        <v>0</v>
      </c>
      <c r="J132" s="22">
        <v>0</v>
      </c>
      <c r="K132" s="22">
        <v>23610</v>
      </c>
      <c r="L132" s="22">
        <v>23610</v>
      </c>
      <c r="M132" s="23">
        <v>45372</v>
      </c>
      <c r="N132" s="23">
        <v>45372</v>
      </c>
      <c r="O132" s="32">
        <v>-680</v>
      </c>
      <c r="P132" s="25" t="s">
        <v>2</v>
      </c>
      <c r="Q132" s="26" t="s">
        <v>59</v>
      </c>
      <c r="R132" s="27" t="s">
        <v>74</v>
      </c>
      <c r="S132" s="28" t="s">
        <v>74</v>
      </c>
      <c r="T132" s="29">
        <v>0</v>
      </c>
      <c r="U132" s="29">
        <v>0</v>
      </c>
      <c r="V132" s="29">
        <v>0</v>
      </c>
      <c r="W132" s="29">
        <v>0</v>
      </c>
      <c r="X132" s="30">
        <v>0</v>
      </c>
      <c r="Y132" s="31">
        <v>0</v>
      </c>
    </row>
    <row r="133" spans="1:25" x14ac:dyDescent="0.3">
      <c r="A133" s="19" t="s">
        <v>215</v>
      </c>
      <c r="B133" s="20" t="s">
        <v>87</v>
      </c>
      <c r="C133" s="20" t="s">
        <v>385</v>
      </c>
      <c r="D133" s="21" t="s">
        <v>216</v>
      </c>
      <c r="E133" s="21" t="s">
        <v>1</v>
      </c>
      <c r="F133" s="22">
        <v>-15499.37</v>
      </c>
      <c r="G133" s="22">
        <v>0</v>
      </c>
      <c r="H133" s="22">
        <v>0</v>
      </c>
      <c r="I133" s="22">
        <v>0</v>
      </c>
      <c r="J133" s="22">
        <v>0</v>
      </c>
      <c r="K133" s="22">
        <v>-15499.37</v>
      </c>
      <c r="L133" s="22">
        <v>-15499.37</v>
      </c>
      <c r="M133" s="23">
        <v>45037</v>
      </c>
      <c r="N133" s="23">
        <v>45037</v>
      </c>
      <c r="O133" s="24">
        <v>-1015</v>
      </c>
      <c r="P133" s="25" t="s">
        <v>61</v>
      </c>
      <c r="Q133" s="26" t="s">
        <v>72</v>
      </c>
      <c r="R133" s="27" t="s">
        <v>87</v>
      </c>
      <c r="S133" s="28" t="s">
        <v>87</v>
      </c>
      <c r="T133" s="29">
        <v>0</v>
      </c>
      <c r="U133" s="29">
        <v>0</v>
      </c>
      <c r="V133" s="29">
        <v>0</v>
      </c>
      <c r="W133" s="29">
        <v>0</v>
      </c>
      <c r="X133" s="30">
        <v>0</v>
      </c>
      <c r="Y133" s="31">
        <v>0</v>
      </c>
    </row>
    <row r="134" spans="1:25" x14ac:dyDescent="0.3">
      <c r="A134" s="19" t="s">
        <v>10</v>
      </c>
      <c r="B134" s="20" t="s">
        <v>0</v>
      </c>
      <c r="C134" s="20" t="s">
        <v>360</v>
      </c>
      <c r="D134" s="21">
        <v>9493</v>
      </c>
      <c r="E134" s="21" t="s">
        <v>1</v>
      </c>
      <c r="F134" s="22">
        <v>15889.16</v>
      </c>
      <c r="G134" s="22">
        <v>0</v>
      </c>
      <c r="H134" s="22">
        <v>0</v>
      </c>
      <c r="I134" s="22">
        <v>0</v>
      </c>
      <c r="J134" s="22">
        <v>0</v>
      </c>
      <c r="K134" s="22">
        <v>15889.16</v>
      </c>
      <c r="L134" s="22">
        <v>15889.16</v>
      </c>
      <c r="M134" s="23">
        <v>45408</v>
      </c>
      <c r="N134" s="23">
        <v>45438</v>
      </c>
      <c r="O134" s="24">
        <v>-614</v>
      </c>
      <c r="P134" s="25" t="s">
        <v>2</v>
      </c>
      <c r="Q134" s="26" t="s">
        <v>59</v>
      </c>
      <c r="R134" s="27" t="s">
        <v>74</v>
      </c>
      <c r="S134" s="28" t="s">
        <v>74</v>
      </c>
      <c r="T134" s="29">
        <v>0</v>
      </c>
      <c r="U134" s="29">
        <v>0</v>
      </c>
      <c r="V134" s="29">
        <v>0</v>
      </c>
      <c r="W134" s="29">
        <v>0</v>
      </c>
      <c r="X134" s="30">
        <v>0</v>
      </c>
      <c r="Y134" s="31">
        <v>0</v>
      </c>
    </row>
    <row r="135" spans="1:25" x14ac:dyDescent="0.3">
      <c r="A135" s="19" t="s">
        <v>268</v>
      </c>
      <c r="B135" s="20" t="s">
        <v>0</v>
      </c>
      <c r="C135" s="20" t="s">
        <v>365</v>
      </c>
      <c r="D135" s="21">
        <v>1200016040</v>
      </c>
      <c r="E135" s="21" t="s">
        <v>1</v>
      </c>
      <c r="F135" s="22">
        <v>11948.77</v>
      </c>
      <c r="G135" s="22">
        <v>0</v>
      </c>
      <c r="H135" s="22">
        <v>0</v>
      </c>
      <c r="I135" s="22">
        <v>0</v>
      </c>
      <c r="J135" s="22">
        <v>0</v>
      </c>
      <c r="K135" s="22">
        <v>11948.77</v>
      </c>
      <c r="L135" s="22">
        <v>11948.77</v>
      </c>
      <c r="M135" s="23">
        <v>45873</v>
      </c>
      <c r="N135" s="23">
        <v>45903</v>
      </c>
      <c r="O135" s="24">
        <v>-149</v>
      </c>
      <c r="P135" s="25" t="s">
        <v>269</v>
      </c>
      <c r="Q135" s="26" t="s">
        <v>59</v>
      </c>
      <c r="R135" s="27" t="s">
        <v>74</v>
      </c>
      <c r="S135" s="28" t="s">
        <v>74</v>
      </c>
      <c r="T135" s="29">
        <v>0</v>
      </c>
      <c r="U135" s="29">
        <v>0</v>
      </c>
      <c r="V135" s="29">
        <v>0</v>
      </c>
      <c r="W135" s="29">
        <v>0</v>
      </c>
      <c r="X135" s="30">
        <v>0</v>
      </c>
      <c r="Y135" s="31">
        <v>0</v>
      </c>
    </row>
    <row r="136" spans="1:25" x14ac:dyDescent="0.3">
      <c r="A136" s="19" t="s">
        <v>6</v>
      </c>
      <c r="B136" s="20" t="s">
        <v>0</v>
      </c>
      <c r="C136" s="20" t="s">
        <v>360</v>
      </c>
      <c r="D136" s="21">
        <v>1658</v>
      </c>
      <c r="E136" s="21" t="s">
        <v>1</v>
      </c>
      <c r="F136" s="22">
        <v>7964.42</v>
      </c>
      <c r="G136" s="22">
        <v>0</v>
      </c>
      <c r="H136" s="22">
        <v>0</v>
      </c>
      <c r="I136" s="22">
        <v>0</v>
      </c>
      <c r="J136" s="22">
        <v>0</v>
      </c>
      <c r="K136" s="22">
        <v>7964.42</v>
      </c>
      <c r="L136" s="22">
        <v>7964.42</v>
      </c>
      <c r="M136" s="23">
        <v>44796</v>
      </c>
      <c r="N136" s="23">
        <v>44796</v>
      </c>
      <c r="O136" s="24">
        <v>-1256</v>
      </c>
      <c r="P136" s="25" t="s">
        <v>2</v>
      </c>
      <c r="Q136" s="26" t="s">
        <v>59</v>
      </c>
      <c r="R136" s="27" t="s">
        <v>74</v>
      </c>
      <c r="S136" s="28" t="s">
        <v>74</v>
      </c>
      <c r="T136" s="29">
        <v>0</v>
      </c>
      <c r="U136" s="29">
        <v>0</v>
      </c>
      <c r="V136" s="29">
        <v>0</v>
      </c>
      <c r="W136" s="29">
        <v>0</v>
      </c>
      <c r="X136" s="30">
        <v>0</v>
      </c>
      <c r="Y136" s="31">
        <v>0</v>
      </c>
    </row>
    <row r="137" spans="1:25" x14ac:dyDescent="0.3">
      <c r="A137" s="19" t="s">
        <v>254</v>
      </c>
      <c r="B137" s="20" t="s">
        <v>0</v>
      </c>
      <c r="C137" s="20" t="s">
        <v>374</v>
      </c>
      <c r="D137" s="21">
        <v>71005</v>
      </c>
      <c r="E137" s="21" t="s">
        <v>1</v>
      </c>
      <c r="F137" s="22">
        <v>0.02</v>
      </c>
      <c r="G137" s="22">
        <v>0</v>
      </c>
      <c r="H137" s="22">
        <v>0</v>
      </c>
      <c r="I137" s="22">
        <v>0</v>
      </c>
      <c r="J137" s="22">
        <v>0</v>
      </c>
      <c r="K137" s="22">
        <v>0.02</v>
      </c>
      <c r="L137" s="22">
        <v>0.02</v>
      </c>
      <c r="M137" s="23">
        <v>45866</v>
      </c>
      <c r="N137" s="23">
        <v>45926</v>
      </c>
      <c r="O137" s="32">
        <v>-126</v>
      </c>
      <c r="P137" s="25" t="s">
        <v>60</v>
      </c>
      <c r="Q137" s="26" t="s">
        <v>72</v>
      </c>
      <c r="R137" s="27" t="s">
        <v>232</v>
      </c>
      <c r="S137" s="28" t="s">
        <v>232</v>
      </c>
      <c r="T137" s="29">
        <v>0</v>
      </c>
      <c r="U137" s="29">
        <v>0</v>
      </c>
      <c r="V137" s="29">
        <v>0</v>
      </c>
      <c r="W137" s="29">
        <v>0</v>
      </c>
      <c r="X137" s="30">
        <v>0</v>
      </c>
      <c r="Y137" s="31">
        <v>0</v>
      </c>
    </row>
    <row r="138" spans="1:25" x14ac:dyDescent="0.3">
      <c r="A138" s="19" t="s">
        <v>254</v>
      </c>
      <c r="B138" s="20" t="s">
        <v>87</v>
      </c>
      <c r="C138" s="20" t="s">
        <v>366</v>
      </c>
      <c r="D138" s="21" t="s">
        <v>310</v>
      </c>
      <c r="E138" s="21" t="s">
        <v>1</v>
      </c>
      <c r="F138" s="22">
        <v>-0.04</v>
      </c>
      <c r="G138" s="22">
        <v>0</v>
      </c>
      <c r="H138" s="22">
        <v>0</v>
      </c>
      <c r="I138" s="22">
        <v>0</v>
      </c>
      <c r="J138" s="22">
        <v>0</v>
      </c>
      <c r="K138" s="22">
        <v>-0.04</v>
      </c>
      <c r="L138" s="22">
        <v>-0.04</v>
      </c>
      <c r="M138" s="23">
        <v>45957</v>
      </c>
      <c r="N138" s="23">
        <v>45957</v>
      </c>
      <c r="O138" s="32">
        <v>-95</v>
      </c>
      <c r="P138" s="25" t="s">
        <v>60</v>
      </c>
      <c r="Q138" s="26" t="s">
        <v>72</v>
      </c>
      <c r="R138" s="27" t="s">
        <v>232</v>
      </c>
      <c r="S138" s="28" t="s">
        <v>232</v>
      </c>
      <c r="T138" s="29">
        <v>0</v>
      </c>
      <c r="U138" s="29">
        <v>0</v>
      </c>
      <c r="V138" s="29">
        <v>0</v>
      </c>
      <c r="W138" s="29">
        <v>0</v>
      </c>
      <c r="X138" s="30">
        <v>0</v>
      </c>
      <c r="Y138" s="31">
        <v>0</v>
      </c>
    </row>
    <row r="139" spans="1:25" x14ac:dyDescent="0.3">
      <c r="A139" s="19" t="s">
        <v>14</v>
      </c>
      <c r="B139" s="20" t="s">
        <v>0</v>
      </c>
      <c r="C139" s="20" t="s">
        <v>360</v>
      </c>
      <c r="D139" s="21">
        <v>61</v>
      </c>
      <c r="E139" s="21" t="s">
        <v>1</v>
      </c>
      <c r="F139" s="22">
        <v>7402.2453230000001</v>
      </c>
      <c r="G139" s="22">
        <v>0</v>
      </c>
      <c r="H139" s="22">
        <v>0</v>
      </c>
      <c r="I139" s="22">
        <v>0</v>
      </c>
      <c r="J139" s="22">
        <v>0</v>
      </c>
      <c r="K139" s="22">
        <v>7402.25</v>
      </c>
      <c r="L139" s="22">
        <v>7402.25</v>
      </c>
      <c r="M139" s="23">
        <v>44958</v>
      </c>
      <c r="N139" s="23">
        <v>44958</v>
      </c>
      <c r="O139" s="32">
        <v>-1094</v>
      </c>
      <c r="P139" s="25" t="s">
        <v>2</v>
      </c>
      <c r="Q139" s="26" t="s">
        <v>59</v>
      </c>
      <c r="R139" s="27" t="s">
        <v>74</v>
      </c>
      <c r="S139" s="28" t="s">
        <v>74</v>
      </c>
      <c r="T139" s="29">
        <v>0</v>
      </c>
      <c r="U139" s="29">
        <v>0</v>
      </c>
      <c r="V139" s="29">
        <v>0</v>
      </c>
      <c r="W139" s="29">
        <v>0</v>
      </c>
      <c r="X139" s="30">
        <v>0</v>
      </c>
      <c r="Y139" s="31">
        <v>0</v>
      </c>
    </row>
    <row r="140" spans="1:25" x14ac:dyDescent="0.3">
      <c r="A140" s="19" t="s">
        <v>11</v>
      </c>
      <c r="B140" s="20" t="s">
        <v>0</v>
      </c>
      <c r="C140" s="20" t="s">
        <v>360</v>
      </c>
      <c r="D140" s="21">
        <v>1675</v>
      </c>
      <c r="E140" s="21" t="s">
        <v>1</v>
      </c>
      <c r="F140" s="22">
        <v>7181.09</v>
      </c>
      <c r="G140" s="22">
        <v>0</v>
      </c>
      <c r="H140" s="22">
        <v>0</v>
      </c>
      <c r="I140" s="22">
        <v>0</v>
      </c>
      <c r="J140" s="22">
        <v>0</v>
      </c>
      <c r="K140" s="22">
        <v>7181.09</v>
      </c>
      <c r="L140" s="22">
        <v>7181.09</v>
      </c>
      <c r="M140" s="23">
        <v>44846</v>
      </c>
      <c r="N140" s="23">
        <v>44846</v>
      </c>
      <c r="O140" s="24">
        <v>-1206</v>
      </c>
      <c r="P140" s="25" t="s">
        <v>2</v>
      </c>
      <c r="Q140" s="26" t="s">
        <v>59</v>
      </c>
      <c r="R140" s="27" t="s">
        <v>74</v>
      </c>
      <c r="S140" s="28" t="s">
        <v>74</v>
      </c>
      <c r="T140" s="29">
        <v>0</v>
      </c>
      <c r="U140" s="29">
        <v>0</v>
      </c>
      <c r="V140" s="29">
        <v>0</v>
      </c>
      <c r="W140" s="29">
        <v>0</v>
      </c>
      <c r="X140" s="30">
        <v>0</v>
      </c>
      <c r="Y140" s="31">
        <v>0</v>
      </c>
    </row>
    <row r="141" spans="1:25" x14ac:dyDescent="0.3">
      <c r="A141" s="19" t="s">
        <v>24</v>
      </c>
      <c r="B141" s="20" t="s">
        <v>0</v>
      </c>
      <c r="C141" s="20" t="s">
        <v>360</v>
      </c>
      <c r="D141" s="21">
        <v>1645</v>
      </c>
      <c r="E141" s="21" t="s">
        <v>1</v>
      </c>
      <c r="F141" s="22">
        <v>6860</v>
      </c>
      <c r="G141" s="22">
        <v>0</v>
      </c>
      <c r="H141" s="22">
        <v>0</v>
      </c>
      <c r="I141" s="22">
        <v>0</v>
      </c>
      <c r="J141" s="22">
        <v>0</v>
      </c>
      <c r="K141" s="22">
        <v>6860</v>
      </c>
      <c r="L141" s="22">
        <v>6860</v>
      </c>
      <c r="M141" s="23">
        <v>44754</v>
      </c>
      <c r="N141" s="23">
        <v>44754</v>
      </c>
      <c r="O141" s="32">
        <v>-1298</v>
      </c>
      <c r="P141" s="25" t="s">
        <v>2</v>
      </c>
      <c r="Q141" s="26" t="s">
        <v>59</v>
      </c>
      <c r="R141" s="27" t="s">
        <v>74</v>
      </c>
      <c r="S141" s="28" t="s">
        <v>74</v>
      </c>
      <c r="T141" s="29">
        <v>0</v>
      </c>
      <c r="U141" s="29">
        <v>0</v>
      </c>
      <c r="V141" s="29">
        <v>0</v>
      </c>
      <c r="W141" s="29">
        <v>0</v>
      </c>
      <c r="X141" s="30">
        <v>0</v>
      </c>
      <c r="Y141" s="31">
        <v>0</v>
      </c>
    </row>
    <row r="142" spans="1:25" x14ac:dyDescent="0.3">
      <c r="A142" s="19" t="s">
        <v>39</v>
      </c>
      <c r="B142" s="20" t="s">
        <v>0</v>
      </c>
      <c r="C142" s="20" t="s">
        <v>360</v>
      </c>
      <c r="D142" s="21">
        <v>10624</v>
      </c>
      <c r="E142" s="21" t="s">
        <v>1</v>
      </c>
      <c r="F142" s="22">
        <v>6693.44</v>
      </c>
      <c r="G142" s="22">
        <v>0</v>
      </c>
      <c r="H142" s="22">
        <v>0</v>
      </c>
      <c r="I142" s="22">
        <v>0</v>
      </c>
      <c r="J142" s="22">
        <v>0</v>
      </c>
      <c r="K142" s="22">
        <v>6693.44</v>
      </c>
      <c r="L142" s="22">
        <v>6693.44</v>
      </c>
      <c r="M142" s="23">
        <v>45440</v>
      </c>
      <c r="N142" s="23">
        <v>45440</v>
      </c>
      <c r="O142" s="32">
        <v>-612</v>
      </c>
      <c r="P142" s="25" t="s">
        <v>2</v>
      </c>
      <c r="Q142" s="26" t="s">
        <v>59</v>
      </c>
      <c r="R142" s="27" t="s">
        <v>74</v>
      </c>
      <c r="S142" s="28" t="s">
        <v>74</v>
      </c>
      <c r="T142" s="29">
        <v>0</v>
      </c>
      <c r="U142" s="29">
        <v>0</v>
      </c>
      <c r="V142" s="29">
        <v>0</v>
      </c>
      <c r="W142" s="29">
        <v>0</v>
      </c>
      <c r="X142" s="30">
        <v>0</v>
      </c>
      <c r="Y142" s="31">
        <v>0</v>
      </c>
    </row>
    <row r="143" spans="1:25" x14ac:dyDescent="0.3">
      <c r="A143" s="19" t="s">
        <v>255</v>
      </c>
      <c r="B143" s="20" t="s">
        <v>0</v>
      </c>
      <c r="C143" s="20" t="s">
        <v>386</v>
      </c>
      <c r="D143" s="21">
        <v>2100027639</v>
      </c>
      <c r="E143" s="21" t="s">
        <v>1</v>
      </c>
      <c r="F143" s="22">
        <v>5717.8</v>
      </c>
      <c r="G143" s="22">
        <v>0</v>
      </c>
      <c r="H143" s="22">
        <v>0</v>
      </c>
      <c r="I143" s="22">
        <v>0</v>
      </c>
      <c r="J143" s="22">
        <v>0</v>
      </c>
      <c r="K143" s="22">
        <v>5717.8</v>
      </c>
      <c r="L143" s="22">
        <v>5717.8</v>
      </c>
      <c r="M143" s="23">
        <v>45852</v>
      </c>
      <c r="N143" s="23">
        <v>45853</v>
      </c>
      <c r="O143" s="24">
        <v>-199</v>
      </c>
      <c r="P143" s="25" t="s">
        <v>2</v>
      </c>
      <c r="Q143" s="26" t="s">
        <v>59</v>
      </c>
      <c r="R143" s="27" t="s">
        <v>74</v>
      </c>
      <c r="S143" s="28" t="s">
        <v>74</v>
      </c>
      <c r="T143" s="29">
        <v>0</v>
      </c>
      <c r="U143" s="29">
        <v>0</v>
      </c>
      <c r="V143" s="29">
        <v>0</v>
      </c>
      <c r="W143" s="29">
        <v>0</v>
      </c>
      <c r="X143" s="30">
        <v>0</v>
      </c>
      <c r="Y143" s="31">
        <v>0</v>
      </c>
    </row>
    <row r="144" spans="1:25" x14ac:dyDescent="0.3">
      <c r="A144" s="19" t="s">
        <v>20</v>
      </c>
      <c r="B144" s="20" t="s">
        <v>0</v>
      </c>
      <c r="C144" s="20" t="s">
        <v>360</v>
      </c>
      <c r="D144" s="21">
        <v>788</v>
      </c>
      <c r="E144" s="21" t="s">
        <v>1</v>
      </c>
      <c r="F144" s="22">
        <v>5386.21</v>
      </c>
      <c r="G144" s="22">
        <v>0</v>
      </c>
      <c r="H144" s="22">
        <v>0</v>
      </c>
      <c r="I144" s="22">
        <v>0</v>
      </c>
      <c r="J144" s="22">
        <v>0</v>
      </c>
      <c r="K144" s="22">
        <v>5386.21</v>
      </c>
      <c r="L144" s="22">
        <v>5386.21</v>
      </c>
      <c r="M144" s="23">
        <v>43089</v>
      </c>
      <c r="N144" s="23">
        <v>43089</v>
      </c>
      <c r="O144" s="32">
        <v>-2963</v>
      </c>
      <c r="P144" s="25" t="s">
        <v>2</v>
      </c>
      <c r="Q144" s="26" t="s">
        <v>59</v>
      </c>
      <c r="R144" s="27" t="s">
        <v>74</v>
      </c>
      <c r="S144" s="28" t="s">
        <v>74</v>
      </c>
      <c r="T144" s="29">
        <v>0</v>
      </c>
      <c r="U144" s="29">
        <v>0</v>
      </c>
      <c r="V144" s="29">
        <v>0</v>
      </c>
      <c r="W144" s="29">
        <v>0</v>
      </c>
      <c r="X144" s="30">
        <v>0</v>
      </c>
      <c r="Y144" s="31">
        <v>0</v>
      </c>
    </row>
    <row r="145" spans="1:25" x14ac:dyDescent="0.3">
      <c r="A145" s="19" t="s">
        <v>254</v>
      </c>
      <c r="B145" s="20" t="s">
        <v>87</v>
      </c>
      <c r="C145" s="20" t="s">
        <v>366</v>
      </c>
      <c r="D145" s="21" t="s">
        <v>349</v>
      </c>
      <c r="E145" s="21" t="s">
        <v>1</v>
      </c>
      <c r="F145" s="22">
        <v>-37.18</v>
      </c>
      <c r="G145" s="22">
        <v>0</v>
      </c>
      <c r="H145" s="22">
        <v>0</v>
      </c>
      <c r="I145" s="22">
        <v>-37.18</v>
      </c>
      <c r="J145" s="22">
        <v>0</v>
      </c>
      <c r="K145" s="22">
        <v>0</v>
      </c>
      <c r="L145" s="22">
        <v>-37.18</v>
      </c>
      <c r="M145" s="23">
        <v>46008</v>
      </c>
      <c r="N145" s="23">
        <v>46008</v>
      </c>
      <c r="O145" s="32">
        <v>-44</v>
      </c>
      <c r="P145" s="25" t="s">
        <v>60</v>
      </c>
      <c r="Q145" s="26" t="s">
        <v>72</v>
      </c>
      <c r="R145" s="27" t="s">
        <v>87</v>
      </c>
      <c r="S145" s="28" t="s">
        <v>87</v>
      </c>
      <c r="T145" s="29">
        <v>0</v>
      </c>
      <c r="U145" s="29">
        <v>0</v>
      </c>
      <c r="V145" s="29">
        <v>0</v>
      </c>
      <c r="W145" s="29">
        <v>0</v>
      </c>
      <c r="X145" s="30">
        <v>0</v>
      </c>
      <c r="Y145" s="31">
        <v>0</v>
      </c>
    </row>
    <row r="146" spans="1:25" x14ac:dyDescent="0.3">
      <c r="A146" s="19" t="s">
        <v>233</v>
      </c>
      <c r="B146" s="20" t="s">
        <v>87</v>
      </c>
      <c r="C146" s="20" t="s">
        <v>385</v>
      </c>
      <c r="D146" s="21" t="s">
        <v>169</v>
      </c>
      <c r="E146" s="21" t="s">
        <v>1</v>
      </c>
      <c r="F146" s="22">
        <v>-641.72</v>
      </c>
      <c r="G146" s="22">
        <v>0</v>
      </c>
      <c r="H146" s="22">
        <v>0</v>
      </c>
      <c r="I146" s="22">
        <v>0</v>
      </c>
      <c r="J146" s="22">
        <v>0</v>
      </c>
      <c r="K146" s="22">
        <v>-641.72</v>
      </c>
      <c r="L146" s="22">
        <v>-641.72</v>
      </c>
      <c r="M146" s="23">
        <v>43108</v>
      </c>
      <c r="N146" s="23">
        <v>43108</v>
      </c>
      <c r="O146" s="32">
        <v>-2944</v>
      </c>
      <c r="P146" s="25" t="s">
        <v>60</v>
      </c>
      <c r="Q146" s="26" t="s">
        <v>72</v>
      </c>
      <c r="R146" s="27" t="s">
        <v>87</v>
      </c>
      <c r="S146" s="28" t="s">
        <v>87</v>
      </c>
      <c r="T146" s="29">
        <v>0</v>
      </c>
      <c r="U146" s="29">
        <v>0</v>
      </c>
      <c r="V146" s="29">
        <v>0</v>
      </c>
      <c r="W146" s="29">
        <v>0</v>
      </c>
      <c r="X146" s="30">
        <v>0</v>
      </c>
      <c r="Y146" s="31">
        <v>0</v>
      </c>
    </row>
    <row r="147" spans="1:25" x14ac:dyDescent="0.3">
      <c r="A147" s="19" t="s">
        <v>91</v>
      </c>
      <c r="B147" s="20" t="s">
        <v>87</v>
      </c>
      <c r="C147" s="20" t="s">
        <v>385</v>
      </c>
      <c r="D147" s="21" t="s">
        <v>92</v>
      </c>
      <c r="E147" s="21" t="s">
        <v>1</v>
      </c>
      <c r="F147" s="22">
        <v>-22.86</v>
      </c>
      <c r="G147" s="22">
        <v>0</v>
      </c>
      <c r="H147" s="22">
        <v>0</v>
      </c>
      <c r="I147" s="22">
        <v>0</v>
      </c>
      <c r="J147" s="22">
        <v>0</v>
      </c>
      <c r="K147" s="22">
        <v>-22.86</v>
      </c>
      <c r="L147" s="22">
        <v>-22.86</v>
      </c>
      <c r="M147" s="23">
        <v>42867</v>
      </c>
      <c r="N147" s="23">
        <v>42867</v>
      </c>
      <c r="O147" s="32">
        <v>-3185</v>
      </c>
      <c r="P147" s="25" t="s">
        <v>60</v>
      </c>
      <c r="Q147" s="26" t="s">
        <v>72</v>
      </c>
      <c r="R147" s="27" t="s">
        <v>87</v>
      </c>
      <c r="S147" s="28" t="s">
        <v>87</v>
      </c>
      <c r="T147" s="29">
        <v>0</v>
      </c>
      <c r="U147" s="29">
        <v>0</v>
      </c>
      <c r="V147" s="29">
        <v>0</v>
      </c>
      <c r="W147" s="29">
        <v>0</v>
      </c>
      <c r="X147" s="30">
        <v>0</v>
      </c>
      <c r="Y147" s="31">
        <v>0</v>
      </c>
    </row>
    <row r="148" spans="1:25" x14ac:dyDescent="0.3">
      <c r="A148" s="19" t="s">
        <v>91</v>
      </c>
      <c r="B148" s="20" t="s">
        <v>87</v>
      </c>
      <c r="C148" s="20" t="s">
        <v>385</v>
      </c>
      <c r="D148" s="21" t="s">
        <v>199</v>
      </c>
      <c r="E148" s="21" t="s">
        <v>1</v>
      </c>
      <c r="F148" s="22">
        <v>-1744.4</v>
      </c>
      <c r="G148" s="22">
        <v>0</v>
      </c>
      <c r="H148" s="22">
        <v>0</v>
      </c>
      <c r="I148" s="22">
        <v>0</v>
      </c>
      <c r="J148" s="22">
        <v>0</v>
      </c>
      <c r="K148" s="22">
        <v>-1744.4</v>
      </c>
      <c r="L148" s="22">
        <v>-1744.4</v>
      </c>
      <c r="M148" s="23">
        <v>43803</v>
      </c>
      <c r="N148" s="23">
        <v>43803</v>
      </c>
      <c r="O148" s="32">
        <v>-2249</v>
      </c>
      <c r="P148" s="25" t="s">
        <v>60</v>
      </c>
      <c r="Q148" s="26" t="s">
        <v>72</v>
      </c>
      <c r="R148" s="27" t="s">
        <v>87</v>
      </c>
      <c r="S148" s="28" t="s">
        <v>87</v>
      </c>
      <c r="T148" s="29">
        <v>0</v>
      </c>
      <c r="U148" s="29">
        <v>0</v>
      </c>
      <c r="V148" s="29">
        <v>0</v>
      </c>
      <c r="W148" s="29">
        <v>0</v>
      </c>
      <c r="X148" s="30">
        <v>0</v>
      </c>
      <c r="Y148" s="31">
        <v>0</v>
      </c>
    </row>
    <row r="149" spans="1:25" x14ac:dyDescent="0.3">
      <c r="A149" s="19" t="s">
        <v>27</v>
      </c>
      <c r="B149" s="20" t="s">
        <v>0</v>
      </c>
      <c r="C149" s="20" t="s">
        <v>360</v>
      </c>
      <c r="D149" s="21">
        <v>5784</v>
      </c>
      <c r="E149" s="21" t="s">
        <v>1</v>
      </c>
      <c r="F149" s="22">
        <v>4972</v>
      </c>
      <c r="G149" s="22">
        <v>0</v>
      </c>
      <c r="H149" s="22">
        <v>0</v>
      </c>
      <c r="I149" s="22">
        <v>0</v>
      </c>
      <c r="J149" s="22">
        <v>0</v>
      </c>
      <c r="K149" s="22">
        <v>4972</v>
      </c>
      <c r="L149" s="22">
        <v>4972</v>
      </c>
      <c r="M149" s="23">
        <v>45289</v>
      </c>
      <c r="N149" s="23">
        <v>45319</v>
      </c>
      <c r="O149" s="32">
        <v>-733</v>
      </c>
      <c r="P149" s="25" t="s">
        <v>2</v>
      </c>
      <c r="Q149" s="26" t="s">
        <v>59</v>
      </c>
      <c r="R149" s="27" t="s">
        <v>74</v>
      </c>
      <c r="S149" s="28" t="s">
        <v>74</v>
      </c>
      <c r="T149" s="29">
        <v>0</v>
      </c>
      <c r="U149" s="29">
        <v>0</v>
      </c>
      <c r="V149" s="29">
        <v>0</v>
      </c>
      <c r="W149" s="29">
        <v>0</v>
      </c>
      <c r="X149" s="30">
        <v>0</v>
      </c>
      <c r="Y149" s="31">
        <v>0</v>
      </c>
    </row>
    <row r="150" spans="1:25" x14ac:dyDescent="0.3">
      <c r="A150" s="19" t="s">
        <v>11</v>
      </c>
      <c r="B150" s="20" t="s">
        <v>0</v>
      </c>
      <c r="C150" s="20" t="s">
        <v>369</v>
      </c>
      <c r="D150" s="21">
        <v>2100026995</v>
      </c>
      <c r="E150" s="21" t="s">
        <v>1</v>
      </c>
      <c r="F150" s="22">
        <v>4953.6400000000003</v>
      </c>
      <c r="G150" s="22">
        <v>0</v>
      </c>
      <c r="H150" s="22">
        <v>0</v>
      </c>
      <c r="I150" s="22">
        <v>0</v>
      </c>
      <c r="J150" s="22">
        <v>0</v>
      </c>
      <c r="K150" s="22">
        <v>4953.6400000000003</v>
      </c>
      <c r="L150" s="22">
        <v>4953.6400000000003</v>
      </c>
      <c r="M150" s="23">
        <v>45747</v>
      </c>
      <c r="N150" s="23">
        <v>45777</v>
      </c>
      <c r="O150" s="32">
        <v>-275</v>
      </c>
      <c r="P150" s="25" t="s">
        <v>2</v>
      </c>
      <c r="Q150" s="26" t="s">
        <v>59</v>
      </c>
      <c r="R150" s="27" t="s">
        <v>74</v>
      </c>
      <c r="S150" s="28" t="s">
        <v>74</v>
      </c>
      <c r="T150" s="29">
        <v>0</v>
      </c>
      <c r="U150" s="29">
        <v>0</v>
      </c>
      <c r="V150" s="29">
        <v>0</v>
      </c>
      <c r="W150" s="29">
        <v>0</v>
      </c>
      <c r="X150" s="30">
        <v>0</v>
      </c>
      <c r="Y150" s="31">
        <v>0</v>
      </c>
    </row>
    <row r="151" spans="1:25" x14ac:dyDescent="0.3">
      <c r="A151" s="19" t="s">
        <v>293</v>
      </c>
      <c r="B151" s="20" t="s">
        <v>0</v>
      </c>
      <c r="C151" s="20" t="s">
        <v>362</v>
      </c>
      <c r="D151" s="21">
        <v>2100028311</v>
      </c>
      <c r="E151" s="21" t="s">
        <v>1</v>
      </c>
      <c r="F151" s="22">
        <v>4045.27</v>
      </c>
      <c r="G151" s="22">
        <v>0</v>
      </c>
      <c r="H151" s="22">
        <v>0</v>
      </c>
      <c r="I151" s="22">
        <v>0</v>
      </c>
      <c r="J151" s="22">
        <v>4045.27</v>
      </c>
      <c r="K151" s="22">
        <v>0</v>
      </c>
      <c r="L151" s="22">
        <v>4045.27</v>
      </c>
      <c r="M151" s="23">
        <v>45959</v>
      </c>
      <c r="N151" s="23">
        <v>45989</v>
      </c>
      <c r="O151" s="24">
        <v>-63</v>
      </c>
      <c r="P151" s="25" t="s">
        <v>2</v>
      </c>
      <c r="Q151" s="26" t="s">
        <v>59</v>
      </c>
      <c r="R151" s="27" t="s">
        <v>232</v>
      </c>
      <c r="S151" s="28" t="s">
        <v>232</v>
      </c>
      <c r="T151" s="29">
        <v>0</v>
      </c>
      <c r="U151" s="29">
        <v>0</v>
      </c>
      <c r="V151" s="29">
        <v>0</v>
      </c>
      <c r="W151" s="29">
        <v>0</v>
      </c>
      <c r="X151" s="30">
        <v>0</v>
      </c>
      <c r="Y151" s="31">
        <v>0</v>
      </c>
    </row>
    <row r="152" spans="1:25" x14ac:dyDescent="0.3">
      <c r="A152" s="19" t="s">
        <v>249</v>
      </c>
      <c r="B152" s="20" t="s">
        <v>0</v>
      </c>
      <c r="C152" s="20" t="s">
        <v>376</v>
      </c>
      <c r="D152" s="21">
        <v>2100027950</v>
      </c>
      <c r="E152" s="21" t="s">
        <v>1</v>
      </c>
      <c r="F152" s="22">
        <v>3860.87</v>
      </c>
      <c r="G152" s="22">
        <v>0</v>
      </c>
      <c r="H152" s="22">
        <v>0</v>
      </c>
      <c r="I152" s="22">
        <v>0</v>
      </c>
      <c r="J152" s="22">
        <v>0</v>
      </c>
      <c r="K152" s="22">
        <v>3860.87</v>
      </c>
      <c r="L152" s="22">
        <v>3860.87</v>
      </c>
      <c r="M152" s="23">
        <v>45905</v>
      </c>
      <c r="N152" s="23">
        <v>45935</v>
      </c>
      <c r="O152" s="32">
        <v>-117</v>
      </c>
      <c r="P152" s="25" t="s">
        <v>2</v>
      </c>
      <c r="Q152" s="26" t="s">
        <v>59</v>
      </c>
      <c r="R152" s="27" t="s">
        <v>232</v>
      </c>
      <c r="S152" s="28" t="s">
        <v>232</v>
      </c>
      <c r="T152" s="29">
        <v>0</v>
      </c>
      <c r="U152" s="29">
        <v>0</v>
      </c>
      <c r="V152" s="29">
        <v>0</v>
      </c>
      <c r="W152" s="29">
        <v>0</v>
      </c>
      <c r="X152" s="30">
        <v>0</v>
      </c>
      <c r="Y152" s="31">
        <v>0</v>
      </c>
    </row>
    <row r="153" spans="1:25" x14ac:dyDescent="0.3">
      <c r="A153" s="19" t="s">
        <v>89</v>
      </c>
      <c r="B153" s="20" t="s">
        <v>0</v>
      </c>
      <c r="C153" s="20" t="s">
        <v>369</v>
      </c>
      <c r="D153" s="21">
        <v>2100026956</v>
      </c>
      <c r="E153" s="21" t="s">
        <v>1</v>
      </c>
      <c r="F153" s="22">
        <v>3191.12</v>
      </c>
      <c r="G153" s="22">
        <v>0</v>
      </c>
      <c r="H153" s="22">
        <v>0</v>
      </c>
      <c r="I153" s="22">
        <v>0</v>
      </c>
      <c r="J153" s="22">
        <v>0</v>
      </c>
      <c r="K153" s="22">
        <v>3191.12</v>
      </c>
      <c r="L153" s="22">
        <v>3191.12</v>
      </c>
      <c r="M153" s="23">
        <v>45743</v>
      </c>
      <c r="N153" s="23">
        <v>45748</v>
      </c>
      <c r="O153" s="32">
        <v>-304</v>
      </c>
      <c r="P153" s="25" t="s">
        <v>2</v>
      </c>
      <c r="Q153" s="26" t="s">
        <v>59</v>
      </c>
      <c r="R153" s="27" t="s">
        <v>74</v>
      </c>
      <c r="S153" s="28" t="s">
        <v>74</v>
      </c>
      <c r="T153" s="29">
        <v>0</v>
      </c>
      <c r="U153" s="29">
        <v>0</v>
      </c>
      <c r="V153" s="29">
        <v>0</v>
      </c>
      <c r="W153" s="29">
        <v>0</v>
      </c>
      <c r="X153" s="30">
        <v>0</v>
      </c>
      <c r="Y153" s="31">
        <v>0</v>
      </c>
    </row>
    <row r="154" spans="1:25" x14ac:dyDescent="0.3">
      <c r="A154" s="19" t="s">
        <v>3</v>
      </c>
      <c r="B154" s="20" t="s">
        <v>0</v>
      </c>
      <c r="C154" s="20" t="s">
        <v>360</v>
      </c>
      <c r="D154" s="21">
        <v>4713</v>
      </c>
      <c r="E154" s="21" t="s">
        <v>1</v>
      </c>
      <c r="F154" s="22">
        <v>2821.72</v>
      </c>
      <c r="G154" s="22">
        <v>0</v>
      </c>
      <c r="H154" s="22">
        <v>0</v>
      </c>
      <c r="I154" s="22">
        <v>0</v>
      </c>
      <c r="J154" s="22">
        <v>0</v>
      </c>
      <c r="K154" s="22">
        <v>2821.72</v>
      </c>
      <c r="L154" s="22">
        <v>2821.72</v>
      </c>
      <c r="M154" s="23">
        <v>45253</v>
      </c>
      <c r="N154" s="23">
        <v>45253</v>
      </c>
      <c r="O154" s="24">
        <v>-799</v>
      </c>
      <c r="P154" s="25" t="s">
        <v>2</v>
      </c>
      <c r="Q154" s="26" t="s">
        <v>59</v>
      </c>
      <c r="R154" s="27" t="s">
        <v>74</v>
      </c>
      <c r="S154" s="28" t="s">
        <v>74</v>
      </c>
      <c r="T154" s="29">
        <v>0</v>
      </c>
      <c r="U154" s="29">
        <v>0</v>
      </c>
      <c r="V154" s="29">
        <v>0</v>
      </c>
      <c r="W154" s="29">
        <v>0</v>
      </c>
      <c r="X154" s="30">
        <v>0</v>
      </c>
      <c r="Y154" s="31">
        <v>0</v>
      </c>
    </row>
    <row r="155" spans="1:25" x14ac:dyDescent="0.3">
      <c r="A155" s="19" t="s">
        <v>13</v>
      </c>
      <c r="B155" s="20" t="s">
        <v>0</v>
      </c>
      <c r="C155" s="20" t="s">
        <v>388</v>
      </c>
      <c r="D155" s="21">
        <v>2100026861</v>
      </c>
      <c r="E155" s="21" t="s">
        <v>1</v>
      </c>
      <c r="F155" s="22">
        <v>2629.16</v>
      </c>
      <c r="G155" s="22">
        <v>0</v>
      </c>
      <c r="H155" s="22">
        <v>0</v>
      </c>
      <c r="I155" s="22">
        <v>0</v>
      </c>
      <c r="J155" s="22">
        <v>0</v>
      </c>
      <c r="K155" s="22">
        <v>2629.16</v>
      </c>
      <c r="L155" s="22">
        <v>2629.16</v>
      </c>
      <c r="M155" s="23">
        <v>45720</v>
      </c>
      <c r="N155" s="23">
        <v>45721</v>
      </c>
      <c r="O155" s="24">
        <v>-331</v>
      </c>
      <c r="P155" s="25" t="s">
        <v>2</v>
      </c>
      <c r="Q155" s="26" t="s">
        <v>59</v>
      </c>
      <c r="R155" s="27" t="s">
        <v>74</v>
      </c>
      <c r="S155" s="28" t="s">
        <v>74</v>
      </c>
      <c r="T155" s="29">
        <v>0</v>
      </c>
      <c r="U155" s="29">
        <v>0</v>
      </c>
      <c r="V155" s="29">
        <v>0</v>
      </c>
      <c r="W155" s="29">
        <v>0</v>
      </c>
      <c r="X155" s="30">
        <v>0</v>
      </c>
      <c r="Y155" s="31">
        <v>0</v>
      </c>
    </row>
    <row r="156" spans="1:25" x14ac:dyDescent="0.3">
      <c r="A156" s="19" t="s">
        <v>23</v>
      </c>
      <c r="B156" s="20" t="s">
        <v>0</v>
      </c>
      <c r="C156" s="20" t="s">
        <v>360</v>
      </c>
      <c r="D156" s="21">
        <v>1491</v>
      </c>
      <c r="E156" s="21" t="s">
        <v>1</v>
      </c>
      <c r="F156" s="22">
        <v>2588.11</v>
      </c>
      <c r="G156" s="22">
        <v>0</v>
      </c>
      <c r="H156" s="22">
        <v>0</v>
      </c>
      <c r="I156" s="22">
        <v>0</v>
      </c>
      <c r="J156" s="22">
        <v>0</v>
      </c>
      <c r="K156" s="22">
        <v>2588.11</v>
      </c>
      <c r="L156" s="22">
        <v>2588.11</v>
      </c>
      <c r="M156" s="23">
        <v>44274</v>
      </c>
      <c r="N156" s="23">
        <v>44274</v>
      </c>
      <c r="O156" s="32">
        <v>-1778</v>
      </c>
      <c r="P156" s="25" t="s">
        <v>2</v>
      </c>
      <c r="Q156" s="26" t="s">
        <v>59</v>
      </c>
      <c r="R156" s="27" t="s">
        <v>74</v>
      </c>
      <c r="S156" s="28" t="s">
        <v>74</v>
      </c>
      <c r="T156" s="29">
        <v>0</v>
      </c>
      <c r="U156" s="29">
        <v>0</v>
      </c>
      <c r="V156" s="29">
        <v>0</v>
      </c>
      <c r="W156" s="29">
        <v>0</v>
      </c>
      <c r="X156" s="30">
        <v>0</v>
      </c>
      <c r="Y156" s="31">
        <v>0</v>
      </c>
    </row>
    <row r="157" spans="1:25" x14ac:dyDescent="0.3">
      <c r="A157" s="19" t="s">
        <v>33</v>
      </c>
      <c r="B157" s="20" t="s">
        <v>0</v>
      </c>
      <c r="C157" s="20" t="s">
        <v>360</v>
      </c>
      <c r="D157" s="21">
        <v>3969</v>
      </c>
      <c r="E157" s="21" t="s">
        <v>1</v>
      </c>
      <c r="F157" s="22">
        <v>2569.79</v>
      </c>
      <c r="G157" s="22">
        <v>0</v>
      </c>
      <c r="H157" s="22">
        <v>0</v>
      </c>
      <c r="I157" s="22">
        <v>0</v>
      </c>
      <c r="J157" s="22">
        <v>0</v>
      </c>
      <c r="K157" s="22">
        <v>2569.79</v>
      </c>
      <c r="L157" s="22">
        <v>2569.79</v>
      </c>
      <c r="M157" s="23">
        <v>45229</v>
      </c>
      <c r="N157" s="23">
        <v>45230</v>
      </c>
      <c r="O157" s="32">
        <v>-822</v>
      </c>
      <c r="P157" s="25" t="s">
        <v>2</v>
      </c>
      <c r="Q157" s="26" t="s">
        <v>59</v>
      </c>
      <c r="R157" s="27" t="s">
        <v>74</v>
      </c>
      <c r="S157" s="28" t="s">
        <v>74</v>
      </c>
      <c r="T157" s="29">
        <v>0</v>
      </c>
      <c r="U157" s="29">
        <v>0</v>
      </c>
      <c r="V157" s="29">
        <v>0</v>
      </c>
      <c r="W157" s="29">
        <v>0</v>
      </c>
      <c r="X157" s="30">
        <v>0</v>
      </c>
      <c r="Y157" s="31">
        <v>0</v>
      </c>
    </row>
    <row r="158" spans="1:25" x14ac:dyDescent="0.3">
      <c r="A158" s="19" t="s">
        <v>4</v>
      </c>
      <c r="B158" s="20" t="s">
        <v>0</v>
      </c>
      <c r="C158" s="20" t="s">
        <v>360</v>
      </c>
      <c r="D158" s="21">
        <v>8442</v>
      </c>
      <c r="E158" s="21" t="s">
        <v>1</v>
      </c>
      <c r="F158" s="22">
        <v>2002.14</v>
      </c>
      <c r="G158" s="22">
        <v>0</v>
      </c>
      <c r="H158" s="22">
        <v>0</v>
      </c>
      <c r="I158" s="22">
        <v>0</v>
      </c>
      <c r="J158" s="22">
        <v>0</v>
      </c>
      <c r="K158" s="22">
        <v>2002.14</v>
      </c>
      <c r="L158" s="22">
        <v>2002.14</v>
      </c>
      <c r="M158" s="23">
        <v>45366</v>
      </c>
      <c r="N158" s="23">
        <v>45366</v>
      </c>
      <c r="O158" s="24">
        <v>-686</v>
      </c>
      <c r="P158" s="25" t="s">
        <v>2</v>
      </c>
      <c r="Q158" s="26" t="s">
        <v>59</v>
      </c>
      <c r="R158" s="27" t="s">
        <v>74</v>
      </c>
      <c r="S158" s="28" t="s">
        <v>74</v>
      </c>
      <c r="T158" s="29">
        <v>0</v>
      </c>
      <c r="U158" s="29">
        <v>0</v>
      </c>
      <c r="V158" s="29">
        <v>0</v>
      </c>
      <c r="W158" s="29">
        <v>0</v>
      </c>
      <c r="X158" s="30">
        <v>0</v>
      </c>
      <c r="Y158" s="31">
        <v>0</v>
      </c>
    </row>
    <row r="159" spans="1:25" x14ac:dyDescent="0.3">
      <c r="A159" s="19" t="s">
        <v>19</v>
      </c>
      <c r="B159" s="20" t="s">
        <v>0</v>
      </c>
      <c r="C159" s="20" t="s">
        <v>369</v>
      </c>
      <c r="D159" s="21">
        <v>2100025303</v>
      </c>
      <c r="E159" s="21" t="s">
        <v>1</v>
      </c>
      <c r="F159" s="22">
        <v>1879.72</v>
      </c>
      <c r="G159" s="22">
        <v>0</v>
      </c>
      <c r="H159" s="22">
        <v>0</v>
      </c>
      <c r="I159" s="22">
        <v>0</v>
      </c>
      <c r="J159" s="22">
        <v>0</v>
      </c>
      <c r="K159" s="22">
        <v>1879.72</v>
      </c>
      <c r="L159" s="22">
        <v>1879.72</v>
      </c>
      <c r="M159" s="23">
        <v>45499</v>
      </c>
      <c r="N159" s="23">
        <v>45529</v>
      </c>
      <c r="O159" s="32">
        <v>-523</v>
      </c>
      <c r="P159" s="25" t="s">
        <v>2</v>
      </c>
      <c r="Q159" s="26" t="s">
        <v>59</v>
      </c>
      <c r="R159" s="27" t="s">
        <v>74</v>
      </c>
      <c r="S159" s="28" t="s">
        <v>74</v>
      </c>
      <c r="T159" s="29">
        <v>0</v>
      </c>
      <c r="U159" s="29">
        <v>0</v>
      </c>
      <c r="V159" s="29">
        <v>0</v>
      </c>
      <c r="W159" s="29">
        <v>0</v>
      </c>
      <c r="X159" s="30">
        <v>0</v>
      </c>
      <c r="Y159" s="31">
        <v>0</v>
      </c>
    </row>
    <row r="160" spans="1:25" x14ac:dyDescent="0.3">
      <c r="A160" s="19" t="s">
        <v>6</v>
      </c>
      <c r="B160" s="20" t="s">
        <v>0</v>
      </c>
      <c r="C160" s="20" t="s">
        <v>360</v>
      </c>
      <c r="D160" s="21">
        <v>1907</v>
      </c>
      <c r="E160" s="21" t="s">
        <v>1</v>
      </c>
      <c r="F160" s="22">
        <v>1802.35</v>
      </c>
      <c r="G160" s="22">
        <v>0</v>
      </c>
      <c r="H160" s="22">
        <v>0</v>
      </c>
      <c r="I160" s="22">
        <v>0</v>
      </c>
      <c r="J160" s="22">
        <v>0</v>
      </c>
      <c r="K160" s="22">
        <v>1802.35</v>
      </c>
      <c r="L160" s="22">
        <v>1802.35</v>
      </c>
      <c r="M160" s="23">
        <v>45162</v>
      </c>
      <c r="N160" s="23">
        <v>45162</v>
      </c>
      <c r="O160" s="24">
        <v>-890</v>
      </c>
      <c r="P160" s="25" t="s">
        <v>2</v>
      </c>
      <c r="Q160" s="26" t="s">
        <v>59</v>
      </c>
      <c r="R160" s="27" t="s">
        <v>74</v>
      </c>
      <c r="S160" s="28" t="s">
        <v>74</v>
      </c>
      <c r="T160" s="29">
        <v>0</v>
      </c>
      <c r="U160" s="29">
        <v>0</v>
      </c>
      <c r="V160" s="29">
        <v>0</v>
      </c>
      <c r="W160" s="29">
        <v>0</v>
      </c>
      <c r="X160" s="30">
        <v>0</v>
      </c>
      <c r="Y160" s="31">
        <v>0</v>
      </c>
    </row>
    <row r="161" spans="1:25" x14ac:dyDescent="0.3">
      <c r="A161" s="19" t="s">
        <v>39</v>
      </c>
      <c r="B161" s="20" t="s">
        <v>0</v>
      </c>
      <c r="C161" s="20" t="s">
        <v>369</v>
      </c>
      <c r="D161" s="21">
        <v>2100025072</v>
      </c>
      <c r="E161" s="21" t="s">
        <v>1</v>
      </c>
      <c r="F161" s="22">
        <v>1652.87</v>
      </c>
      <c r="G161" s="22">
        <v>0</v>
      </c>
      <c r="H161" s="22">
        <v>0</v>
      </c>
      <c r="I161" s="22">
        <v>0</v>
      </c>
      <c r="J161" s="22">
        <v>0</v>
      </c>
      <c r="K161" s="22">
        <v>1652.87</v>
      </c>
      <c r="L161" s="22">
        <v>1652.87</v>
      </c>
      <c r="M161" s="23">
        <v>45468</v>
      </c>
      <c r="N161" s="23">
        <v>45498</v>
      </c>
      <c r="O161" s="32">
        <v>-554</v>
      </c>
      <c r="P161" s="25" t="s">
        <v>2</v>
      </c>
      <c r="Q161" s="26" t="s">
        <v>59</v>
      </c>
      <c r="R161" s="27" t="s">
        <v>74</v>
      </c>
      <c r="S161" s="28" t="s">
        <v>74</v>
      </c>
      <c r="T161" s="29">
        <v>0</v>
      </c>
      <c r="U161" s="29">
        <v>0</v>
      </c>
      <c r="V161" s="29">
        <v>0</v>
      </c>
      <c r="W161" s="29">
        <v>0</v>
      </c>
      <c r="X161" s="30">
        <v>0</v>
      </c>
      <c r="Y161" s="31">
        <v>0</v>
      </c>
    </row>
    <row r="162" spans="1:25" x14ac:dyDescent="0.3">
      <c r="A162" s="19" t="s">
        <v>13</v>
      </c>
      <c r="B162" s="20" t="s">
        <v>0</v>
      </c>
      <c r="C162" s="20" t="s">
        <v>388</v>
      </c>
      <c r="D162" s="21">
        <v>2100026829</v>
      </c>
      <c r="E162" s="21" t="s">
        <v>1</v>
      </c>
      <c r="F162" s="22">
        <v>1582</v>
      </c>
      <c r="G162" s="22">
        <v>0</v>
      </c>
      <c r="H162" s="22">
        <v>0</v>
      </c>
      <c r="I162" s="22">
        <v>0</v>
      </c>
      <c r="J162" s="22">
        <v>0</v>
      </c>
      <c r="K162" s="22">
        <v>1582</v>
      </c>
      <c r="L162" s="22">
        <v>1582</v>
      </c>
      <c r="M162" s="23">
        <v>45715</v>
      </c>
      <c r="N162" s="23">
        <v>45716</v>
      </c>
      <c r="O162" s="32">
        <v>-336</v>
      </c>
      <c r="P162" s="25" t="s">
        <v>2</v>
      </c>
      <c r="Q162" s="26" t="s">
        <v>59</v>
      </c>
      <c r="R162" s="27" t="s">
        <v>74</v>
      </c>
      <c r="S162" s="28" t="s">
        <v>74</v>
      </c>
      <c r="T162" s="29">
        <v>0</v>
      </c>
      <c r="U162" s="29">
        <v>0</v>
      </c>
      <c r="V162" s="29">
        <v>0</v>
      </c>
      <c r="W162" s="29">
        <v>0</v>
      </c>
      <c r="X162" s="30">
        <v>0</v>
      </c>
      <c r="Y162" s="31">
        <v>0</v>
      </c>
    </row>
    <row r="163" spans="1:25" x14ac:dyDescent="0.3">
      <c r="A163" s="19" t="s">
        <v>11</v>
      </c>
      <c r="B163" s="20" t="s">
        <v>0</v>
      </c>
      <c r="C163" s="20" t="s">
        <v>360</v>
      </c>
      <c r="D163" s="21">
        <v>1777</v>
      </c>
      <c r="E163" s="21" t="s">
        <v>1</v>
      </c>
      <c r="F163" s="22">
        <v>1556.01</v>
      </c>
      <c r="G163" s="22">
        <v>0</v>
      </c>
      <c r="H163" s="22">
        <v>0</v>
      </c>
      <c r="I163" s="22">
        <v>0</v>
      </c>
      <c r="J163" s="22">
        <v>0</v>
      </c>
      <c r="K163" s="22">
        <v>1556.01</v>
      </c>
      <c r="L163" s="22">
        <v>1556.01</v>
      </c>
      <c r="M163" s="33">
        <v>45076</v>
      </c>
      <c r="N163" s="23">
        <v>45076</v>
      </c>
      <c r="O163" s="32">
        <v>-976</v>
      </c>
      <c r="P163" s="25" t="s">
        <v>2</v>
      </c>
      <c r="Q163" s="26" t="s">
        <v>59</v>
      </c>
      <c r="R163" s="27" t="s">
        <v>74</v>
      </c>
      <c r="S163" s="28" t="s">
        <v>74</v>
      </c>
      <c r="T163" s="29">
        <v>0</v>
      </c>
      <c r="U163" s="29">
        <v>0</v>
      </c>
      <c r="V163" s="29">
        <v>0</v>
      </c>
      <c r="W163" s="29">
        <v>0</v>
      </c>
      <c r="X163" s="30">
        <v>0</v>
      </c>
      <c r="Y163" s="31">
        <v>0</v>
      </c>
    </row>
    <row r="164" spans="1:25" x14ac:dyDescent="0.3">
      <c r="A164" s="19" t="s">
        <v>91</v>
      </c>
      <c r="B164" s="20" t="s">
        <v>87</v>
      </c>
      <c r="C164" s="20" t="s">
        <v>385</v>
      </c>
      <c r="D164" s="21" t="s">
        <v>185</v>
      </c>
      <c r="E164" s="21" t="s">
        <v>1</v>
      </c>
      <c r="F164" s="22">
        <v>-1017.77</v>
      </c>
      <c r="G164" s="22">
        <v>0</v>
      </c>
      <c r="H164" s="22">
        <v>0</v>
      </c>
      <c r="I164" s="22">
        <v>0</v>
      </c>
      <c r="J164" s="22">
        <v>0</v>
      </c>
      <c r="K164" s="22">
        <v>-1017.77</v>
      </c>
      <c r="L164" s="22">
        <v>-1017.77</v>
      </c>
      <c r="M164" s="23">
        <v>44162</v>
      </c>
      <c r="N164" s="23">
        <v>44162</v>
      </c>
      <c r="O164" s="32">
        <v>-1890</v>
      </c>
      <c r="P164" s="25" t="s">
        <v>60</v>
      </c>
      <c r="Q164" s="26" t="s">
        <v>72</v>
      </c>
      <c r="R164" s="27" t="s">
        <v>87</v>
      </c>
      <c r="S164" s="28" t="s">
        <v>87</v>
      </c>
      <c r="T164" s="29">
        <v>0</v>
      </c>
      <c r="U164" s="29">
        <v>0</v>
      </c>
      <c r="V164" s="29">
        <v>0</v>
      </c>
      <c r="W164" s="29">
        <v>0</v>
      </c>
      <c r="X164" s="30">
        <v>0</v>
      </c>
      <c r="Y164" s="31">
        <v>0</v>
      </c>
    </row>
    <row r="165" spans="1:25" x14ac:dyDescent="0.3">
      <c r="A165" s="19" t="s">
        <v>173</v>
      </c>
      <c r="B165" s="20" t="s">
        <v>87</v>
      </c>
      <c r="C165" s="20" t="s">
        <v>381</v>
      </c>
      <c r="D165" s="21">
        <v>1520</v>
      </c>
      <c r="E165" s="21" t="s">
        <v>1</v>
      </c>
      <c r="F165" s="22">
        <v>-683.65</v>
      </c>
      <c r="G165" s="22">
        <v>0</v>
      </c>
      <c r="H165" s="22">
        <v>0</v>
      </c>
      <c r="I165" s="22">
        <v>0</v>
      </c>
      <c r="J165" s="22">
        <v>0</v>
      </c>
      <c r="K165" s="22">
        <v>-683.65</v>
      </c>
      <c r="L165" s="22">
        <v>-683.65</v>
      </c>
      <c r="M165" s="23">
        <v>45559</v>
      </c>
      <c r="N165" s="23">
        <v>45560</v>
      </c>
      <c r="O165" s="32">
        <v>-492</v>
      </c>
      <c r="P165" s="25" t="s">
        <v>60</v>
      </c>
      <c r="Q165" s="26" t="s">
        <v>72</v>
      </c>
      <c r="R165" s="27" t="s">
        <v>87</v>
      </c>
      <c r="S165" s="28" t="s">
        <v>87</v>
      </c>
      <c r="T165" s="29">
        <v>0</v>
      </c>
      <c r="U165" s="29">
        <v>0</v>
      </c>
      <c r="V165" s="29">
        <v>0</v>
      </c>
      <c r="W165" s="29">
        <v>0</v>
      </c>
      <c r="X165" s="30">
        <v>0</v>
      </c>
      <c r="Y165" s="31">
        <v>0</v>
      </c>
    </row>
    <row r="166" spans="1:25" x14ac:dyDescent="0.3">
      <c r="A166" s="19" t="s">
        <v>24</v>
      </c>
      <c r="B166" s="20" t="s">
        <v>0</v>
      </c>
      <c r="C166" s="20" t="s">
        <v>360</v>
      </c>
      <c r="D166" s="21">
        <v>1621</v>
      </c>
      <c r="E166" s="21" t="s">
        <v>1</v>
      </c>
      <c r="F166" s="22">
        <v>1373.85</v>
      </c>
      <c r="G166" s="22">
        <v>0</v>
      </c>
      <c r="H166" s="22">
        <v>0</v>
      </c>
      <c r="I166" s="22">
        <v>0</v>
      </c>
      <c r="J166" s="22">
        <v>0</v>
      </c>
      <c r="K166" s="22">
        <v>1373.85</v>
      </c>
      <c r="L166" s="22">
        <v>1373.85</v>
      </c>
      <c r="M166" s="23">
        <v>44636</v>
      </c>
      <c r="N166" s="23">
        <v>44636</v>
      </c>
      <c r="O166" s="24">
        <v>-1416</v>
      </c>
      <c r="P166" s="25" t="s">
        <v>2</v>
      </c>
      <c r="Q166" s="26" t="s">
        <v>59</v>
      </c>
      <c r="R166" s="27" t="s">
        <v>74</v>
      </c>
      <c r="S166" s="28" t="s">
        <v>74</v>
      </c>
      <c r="T166" s="29">
        <v>0</v>
      </c>
      <c r="U166" s="29">
        <v>0</v>
      </c>
      <c r="V166" s="29">
        <v>0</v>
      </c>
      <c r="W166" s="29">
        <v>0</v>
      </c>
      <c r="X166" s="30">
        <v>0</v>
      </c>
      <c r="Y166" s="31">
        <v>0</v>
      </c>
    </row>
    <row r="167" spans="1:25" x14ac:dyDescent="0.3">
      <c r="A167" s="19" t="s">
        <v>9</v>
      </c>
      <c r="B167" s="20" t="s">
        <v>0</v>
      </c>
      <c r="C167" s="20" t="s">
        <v>360</v>
      </c>
      <c r="D167" s="21">
        <v>3953</v>
      </c>
      <c r="E167" s="21" t="s">
        <v>1</v>
      </c>
      <c r="F167" s="22">
        <v>1334.94</v>
      </c>
      <c r="G167" s="22">
        <v>0</v>
      </c>
      <c r="H167" s="22">
        <v>0</v>
      </c>
      <c r="I167" s="22">
        <v>0</v>
      </c>
      <c r="J167" s="22">
        <v>0</v>
      </c>
      <c r="K167" s="22">
        <v>1334.94</v>
      </c>
      <c r="L167" s="22">
        <v>1334.94</v>
      </c>
      <c r="M167" s="23">
        <v>45229</v>
      </c>
      <c r="N167" s="23">
        <v>45259</v>
      </c>
      <c r="O167" s="24">
        <v>-793</v>
      </c>
      <c r="P167" s="25" t="s">
        <v>2</v>
      </c>
      <c r="Q167" s="26" t="s">
        <v>59</v>
      </c>
      <c r="R167" s="27" t="s">
        <v>74</v>
      </c>
      <c r="S167" s="28" t="s">
        <v>74</v>
      </c>
      <c r="T167" s="29">
        <v>0</v>
      </c>
      <c r="U167" s="29">
        <v>0</v>
      </c>
      <c r="V167" s="29">
        <v>0</v>
      </c>
      <c r="W167" s="29">
        <v>0</v>
      </c>
      <c r="X167" s="30">
        <v>0</v>
      </c>
      <c r="Y167" s="31">
        <v>0</v>
      </c>
    </row>
    <row r="168" spans="1:25" x14ac:dyDescent="0.3">
      <c r="A168" s="19" t="s">
        <v>175</v>
      </c>
      <c r="B168" s="20" t="s">
        <v>87</v>
      </c>
      <c r="C168" s="20" t="s">
        <v>390</v>
      </c>
      <c r="D168" s="21" t="s">
        <v>176</v>
      </c>
      <c r="E168" s="21" t="s">
        <v>1</v>
      </c>
      <c r="F168" s="22">
        <v>-709.16</v>
      </c>
      <c r="G168" s="22">
        <v>0</v>
      </c>
      <c r="H168" s="22">
        <v>0</v>
      </c>
      <c r="I168" s="22">
        <v>0</v>
      </c>
      <c r="J168" s="22">
        <v>0</v>
      </c>
      <c r="K168" s="22">
        <v>-709.16</v>
      </c>
      <c r="L168" s="22">
        <v>-709.16</v>
      </c>
      <c r="M168" s="23">
        <v>45002</v>
      </c>
      <c r="N168" s="23">
        <v>45002</v>
      </c>
      <c r="O168" s="32">
        <v>-1050</v>
      </c>
      <c r="P168" s="25" t="s">
        <v>61</v>
      </c>
      <c r="Q168" s="26" t="s">
        <v>72</v>
      </c>
      <c r="R168" s="27" t="s">
        <v>87</v>
      </c>
      <c r="S168" s="28" t="s">
        <v>87</v>
      </c>
      <c r="T168" s="29">
        <v>0</v>
      </c>
      <c r="U168" s="29">
        <v>0</v>
      </c>
      <c r="V168" s="29">
        <v>0</v>
      </c>
      <c r="W168" s="29">
        <v>0</v>
      </c>
      <c r="X168" s="30">
        <v>0</v>
      </c>
      <c r="Y168" s="31">
        <v>0</v>
      </c>
    </row>
    <row r="169" spans="1:25" x14ac:dyDescent="0.3">
      <c r="A169" s="19" t="s">
        <v>135</v>
      </c>
      <c r="B169" s="20" t="s">
        <v>87</v>
      </c>
      <c r="C169" s="20" t="s">
        <v>372</v>
      </c>
      <c r="D169" s="21">
        <v>1424</v>
      </c>
      <c r="E169" s="21" t="s">
        <v>1</v>
      </c>
      <c r="F169" s="22">
        <v>-306.66429299999999</v>
      </c>
      <c r="G169" s="22">
        <v>0</v>
      </c>
      <c r="H169" s="22">
        <v>0</v>
      </c>
      <c r="I169" s="22">
        <v>0</v>
      </c>
      <c r="J169" s="22">
        <v>0</v>
      </c>
      <c r="K169" s="22">
        <v>-306.66000000000003</v>
      </c>
      <c r="L169" s="22">
        <v>-306.66000000000003</v>
      </c>
      <c r="M169" s="23">
        <v>44945</v>
      </c>
      <c r="N169" s="23">
        <v>44945</v>
      </c>
      <c r="O169" s="32">
        <v>-1107</v>
      </c>
      <c r="P169" s="25" t="s">
        <v>61</v>
      </c>
      <c r="Q169" s="26" t="s">
        <v>72</v>
      </c>
      <c r="R169" s="27" t="s">
        <v>87</v>
      </c>
      <c r="S169" s="28" t="s">
        <v>87</v>
      </c>
      <c r="T169" s="29">
        <v>0</v>
      </c>
      <c r="U169" s="29">
        <v>0</v>
      </c>
      <c r="V169" s="29">
        <v>0</v>
      </c>
      <c r="W169" s="29">
        <v>0</v>
      </c>
      <c r="X169" s="30">
        <v>0</v>
      </c>
      <c r="Y169" s="31">
        <v>0</v>
      </c>
    </row>
    <row r="170" spans="1:25" x14ac:dyDescent="0.3">
      <c r="A170" s="19" t="s">
        <v>235</v>
      </c>
      <c r="B170" s="20" t="s">
        <v>0</v>
      </c>
      <c r="C170" s="20" t="s">
        <v>381</v>
      </c>
      <c r="D170" s="21">
        <v>70938</v>
      </c>
      <c r="E170" s="21" t="s">
        <v>1</v>
      </c>
      <c r="F170" s="22">
        <v>593.85</v>
      </c>
      <c r="G170" s="22">
        <v>0</v>
      </c>
      <c r="H170" s="22">
        <v>0</v>
      </c>
      <c r="I170" s="22">
        <v>0</v>
      </c>
      <c r="J170" s="22">
        <v>0</v>
      </c>
      <c r="K170" s="22">
        <v>593.85</v>
      </c>
      <c r="L170" s="22">
        <v>593.85</v>
      </c>
      <c r="M170" s="23">
        <v>45799</v>
      </c>
      <c r="N170" s="23">
        <v>45829</v>
      </c>
      <c r="O170" s="32">
        <v>-223</v>
      </c>
      <c r="P170" s="25" t="s">
        <v>60</v>
      </c>
      <c r="Q170" s="26" t="s">
        <v>72</v>
      </c>
      <c r="R170" s="27" t="s">
        <v>74</v>
      </c>
      <c r="S170" s="28" t="s">
        <v>74</v>
      </c>
      <c r="T170" s="29">
        <v>0</v>
      </c>
      <c r="U170" s="29">
        <v>0</v>
      </c>
      <c r="V170" s="29">
        <v>0</v>
      </c>
      <c r="W170" s="29">
        <v>0</v>
      </c>
      <c r="X170" s="30">
        <v>0</v>
      </c>
      <c r="Y170" s="31">
        <v>0</v>
      </c>
    </row>
    <row r="171" spans="1:25" x14ac:dyDescent="0.3">
      <c r="A171" s="19" t="s">
        <v>28</v>
      </c>
      <c r="B171" s="20" t="s">
        <v>0</v>
      </c>
      <c r="C171" s="20" t="s">
        <v>360</v>
      </c>
      <c r="D171" s="21">
        <v>6960</v>
      </c>
      <c r="E171" s="21" t="s">
        <v>1</v>
      </c>
      <c r="F171" s="22">
        <v>1286.5</v>
      </c>
      <c r="G171" s="22">
        <v>0</v>
      </c>
      <c r="H171" s="22">
        <v>0</v>
      </c>
      <c r="I171" s="22">
        <v>0</v>
      </c>
      <c r="J171" s="22">
        <v>0</v>
      </c>
      <c r="K171" s="22">
        <v>1286.5</v>
      </c>
      <c r="L171" s="22">
        <v>1286.5</v>
      </c>
      <c r="M171" s="23">
        <v>45322</v>
      </c>
      <c r="N171" s="23">
        <v>45352</v>
      </c>
      <c r="O171" s="24">
        <v>-700</v>
      </c>
      <c r="P171" s="25" t="s">
        <v>2</v>
      </c>
      <c r="Q171" s="26" t="s">
        <v>59</v>
      </c>
      <c r="R171" s="27" t="s">
        <v>74</v>
      </c>
      <c r="S171" s="28" t="s">
        <v>74</v>
      </c>
      <c r="T171" s="29">
        <v>0</v>
      </c>
      <c r="U171" s="29">
        <v>0</v>
      </c>
      <c r="V171" s="29">
        <v>0</v>
      </c>
      <c r="W171" s="29">
        <v>0</v>
      </c>
      <c r="X171" s="30">
        <v>0</v>
      </c>
      <c r="Y171" s="31">
        <v>0</v>
      </c>
    </row>
    <row r="172" spans="1:25" x14ac:dyDescent="0.3">
      <c r="A172" s="19" t="s">
        <v>235</v>
      </c>
      <c r="B172" s="20" t="s">
        <v>0</v>
      </c>
      <c r="C172" s="20" t="s">
        <v>374</v>
      </c>
      <c r="D172" s="21">
        <v>70924</v>
      </c>
      <c r="E172" s="21" t="s">
        <v>1</v>
      </c>
      <c r="F172" s="22">
        <v>149.16</v>
      </c>
      <c r="G172" s="22">
        <v>0</v>
      </c>
      <c r="H172" s="22">
        <v>0</v>
      </c>
      <c r="I172" s="22">
        <v>0</v>
      </c>
      <c r="J172" s="22">
        <v>0</v>
      </c>
      <c r="K172" s="22">
        <v>149.16</v>
      </c>
      <c r="L172" s="22">
        <v>149.16</v>
      </c>
      <c r="M172" s="23">
        <v>45789</v>
      </c>
      <c r="N172" s="23">
        <v>45819</v>
      </c>
      <c r="O172" s="32">
        <v>-233</v>
      </c>
      <c r="P172" s="25" t="s">
        <v>60</v>
      </c>
      <c r="Q172" s="26" t="s">
        <v>72</v>
      </c>
      <c r="R172" s="27" t="s">
        <v>74</v>
      </c>
      <c r="S172" s="28" t="s">
        <v>74</v>
      </c>
      <c r="T172" s="29">
        <v>0</v>
      </c>
      <c r="U172" s="29">
        <v>0</v>
      </c>
      <c r="V172" s="29">
        <v>0</v>
      </c>
      <c r="W172" s="29">
        <v>0</v>
      </c>
      <c r="X172" s="30">
        <v>0</v>
      </c>
      <c r="Y172" s="31">
        <v>0</v>
      </c>
    </row>
    <row r="173" spans="1:25" x14ac:dyDescent="0.3">
      <c r="A173" s="19" t="s">
        <v>6</v>
      </c>
      <c r="B173" s="20" t="s">
        <v>0</v>
      </c>
      <c r="C173" s="20" t="s">
        <v>360</v>
      </c>
      <c r="D173" s="21">
        <v>55</v>
      </c>
      <c r="E173" s="21" t="s">
        <v>1</v>
      </c>
      <c r="F173" s="22">
        <v>1278.3876780000001</v>
      </c>
      <c r="G173" s="22">
        <v>0</v>
      </c>
      <c r="H173" s="22">
        <v>0</v>
      </c>
      <c r="I173" s="22">
        <v>0</v>
      </c>
      <c r="J173" s="22">
        <v>0</v>
      </c>
      <c r="K173" s="22">
        <v>1278.3900000000001</v>
      </c>
      <c r="L173" s="22">
        <v>1278.3900000000001</v>
      </c>
      <c r="M173" s="23">
        <v>43196</v>
      </c>
      <c r="N173" s="23">
        <v>43196</v>
      </c>
      <c r="O173" s="24">
        <v>-2856</v>
      </c>
      <c r="P173" s="25" t="s">
        <v>2</v>
      </c>
      <c r="Q173" s="26" t="s">
        <v>59</v>
      </c>
      <c r="R173" s="27" t="s">
        <v>74</v>
      </c>
      <c r="S173" s="28" t="s">
        <v>74</v>
      </c>
      <c r="T173" s="29">
        <v>0</v>
      </c>
      <c r="U173" s="29">
        <v>0</v>
      </c>
      <c r="V173" s="29">
        <v>0</v>
      </c>
      <c r="W173" s="29">
        <v>0</v>
      </c>
      <c r="X173" s="30">
        <v>0</v>
      </c>
      <c r="Y173" s="31">
        <v>0</v>
      </c>
    </row>
    <row r="174" spans="1:25" x14ac:dyDescent="0.3">
      <c r="A174" s="19" t="s">
        <v>246</v>
      </c>
      <c r="B174" s="20" t="s">
        <v>0</v>
      </c>
      <c r="C174" s="20" t="s">
        <v>374</v>
      </c>
      <c r="D174" s="21">
        <v>71085</v>
      </c>
      <c r="E174" s="21" t="s">
        <v>1</v>
      </c>
      <c r="F174" s="22">
        <v>26673.1</v>
      </c>
      <c r="G174" s="22">
        <v>0</v>
      </c>
      <c r="H174" s="22">
        <v>0</v>
      </c>
      <c r="I174" s="22">
        <v>26673.1</v>
      </c>
      <c r="J174" s="22">
        <v>0</v>
      </c>
      <c r="K174" s="22">
        <v>0</v>
      </c>
      <c r="L174" s="22">
        <v>26673.1</v>
      </c>
      <c r="M174" s="23">
        <v>45988</v>
      </c>
      <c r="N174" s="23">
        <v>46003</v>
      </c>
      <c r="O174" s="24">
        <v>-49</v>
      </c>
      <c r="P174" s="25" t="s">
        <v>61</v>
      </c>
      <c r="Q174" s="26" t="s">
        <v>72</v>
      </c>
      <c r="R174" s="27" t="s">
        <v>232</v>
      </c>
      <c r="S174" s="28" t="s">
        <v>232</v>
      </c>
      <c r="T174" s="29">
        <v>0</v>
      </c>
      <c r="U174" s="29">
        <v>0</v>
      </c>
      <c r="V174" s="29">
        <v>0</v>
      </c>
      <c r="W174" s="29">
        <v>0</v>
      </c>
      <c r="X174" s="30">
        <v>0</v>
      </c>
      <c r="Y174" s="31">
        <v>0</v>
      </c>
    </row>
    <row r="175" spans="1:25" x14ac:dyDescent="0.3">
      <c r="A175" s="19" t="s">
        <v>31</v>
      </c>
      <c r="B175" s="20" t="s">
        <v>0</v>
      </c>
      <c r="C175" s="20" t="s">
        <v>360</v>
      </c>
      <c r="D175" s="21">
        <v>1933</v>
      </c>
      <c r="E175" s="21" t="s">
        <v>1</v>
      </c>
      <c r="F175" s="22">
        <v>1220.4000000000001</v>
      </c>
      <c r="G175" s="22">
        <v>0</v>
      </c>
      <c r="H175" s="22">
        <v>0</v>
      </c>
      <c r="I175" s="22">
        <v>0</v>
      </c>
      <c r="J175" s="22">
        <v>0</v>
      </c>
      <c r="K175" s="22">
        <v>1220.4000000000001</v>
      </c>
      <c r="L175" s="22">
        <v>1220.4000000000001</v>
      </c>
      <c r="M175" s="23">
        <v>45163</v>
      </c>
      <c r="N175" s="23">
        <v>45163</v>
      </c>
      <c r="O175" s="32">
        <v>-889</v>
      </c>
      <c r="P175" s="25" t="s">
        <v>2</v>
      </c>
      <c r="Q175" s="26" t="s">
        <v>59</v>
      </c>
      <c r="R175" s="27" t="s">
        <v>74</v>
      </c>
      <c r="S175" s="28" t="s">
        <v>74</v>
      </c>
      <c r="T175" s="29">
        <v>0</v>
      </c>
      <c r="U175" s="29">
        <v>0</v>
      </c>
      <c r="V175" s="29">
        <v>0</v>
      </c>
      <c r="W175" s="29">
        <v>0</v>
      </c>
      <c r="X175" s="30">
        <v>0</v>
      </c>
      <c r="Y175" s="31">
        <v>0</v>
      </c>
    </row>
    <row r="176" spans="1:25" x14ac:dyDescent="0.3">
      <c r="A176" s="19" t="s">
        <v>21</v>
      </c>
      <c r="B176" s="20" t="s">
        <v>0</v>
      </c>
      <c r="C176" s="20" t="s">
        <v>392</v>
      </c>
      <c r="D176" s="21">
        <v>2100025566</v>
      </c>
      <c r="E176" s="21" t="s">
        <v>1</v>
      </c>
      <c r="F176" s="22">
        <v>1130.47</v>
      </c>
      <c r="G176" s="22">
        <v>0</v>
      </c>
      <c r="H176" s="22">
        <v>0</v>
      </c>
      <c r="I176" s="22">
        <v>0</v>
      </c>
      <c r="J176" s="22">
        <v>0</v>
      </c>
      <c r="K176" s="22">
        <v>1130.47</v>
      </c>
      <c r="L176" s="22">
        <v>1130.47</v>
      </c>
      <c r="M176" s="23">
        <v>45538</v>
      </c>
      <c r="N176" s="23">
        <v>45568</v>
      </c>
      <c r="O176" s="32">
        <v>-484</v>
      </c>
      <c r="P176" s="25" t="s">
        <v>2</v>
      </c>
      <c r="Q176" s="26" t="s">
        <v>59</v>
      </c>
      <c r="R176" s="27" t="s">
        <v>74</v>
      </c>
      <c r="S176" s="28" t="s">
        <v>74</v>
      </c>
      <c r="T176" s="29">
        <v>0</v>
      </c>
      <c r="U176" s="29">
        <v>0</v>
      </c>
      <c r="V176" s="29">
        <v>0</v>
      </c>
      <c r="W176" s="29">
        <v>0</v>
      </c>
      <c r="X176" s="30">
        <v>0</v>
      </c>
      <c r="Y176" s="31">
        <v>0</v>
      </c>
    </row>
    <row r="177" spans="1:25" x14ac:dyDescent="0.3">
      <c r="A177" s="19" t="s">
        <v>246</v>
      </c>
      <c r="B177" s="20" t="s">
        <v>0</v>
      </c>
      <c r="C177" s="20" t="s">
        <v>374</v>
      </c>
      <c r="D177" s="21">
        <v>71084</v>
      </c>
      <c r="E177" s="21" t="s">
        <v>1</v>
      </c>
      <c r="F177" s="22">
        <v>21996.11</v>
      </c>
      <c r="G177" s="22">
        <v>0</v>
      </c>
      <c r="H177" s="22">
        <v>0</v>
      </c>
      <c r="I177" s="22">
        <v>21996.11</v>
      </c>
      <c r="J177" s="22">
        <v>0</v>
      </c>
      <c r="K177" s="22">
        <v>0</v>
      </c>
      <c r="L177" s="22">
        <v>21996.11</v>
      </c>
      <c r="M177" s="23">
        <v>45988</v>
      </c>
      <c r="N177" s="23">
        <v>46003</v>
      </c>
      <c r="O177" s="32">
        <v>-49</v>
      </c>
      <c r="P177" s="25" t="s">
        <v>61</v>
      </c>
      <c r="Q177" s="26" t="s">
        <v>72</v>
      </c>
      <c r="R177" s="27" t="s">
        <v>232</v>
      </c>
      <c r="S177" s="28" t="s">
        <v>232</v>
      </c>
      <c r="T177" s="29">
        <v>0</v>
      </c>
      <c r="U177" s="29">
        <v>0</v>
      </c>
      <c r="V177" s="29">
        <v>0</v>
      </c>
      <c r="W177" s="29">
        <v>0</v>
      </c>
      <c r="X177" s="30">
        <v>0</v>
      </c>
      <c r="Y177" s="31">
        <v>0</v>
      </c>
    </row>
    <row r="178" spans="1:25" x14ac:dyDescent="0.3">
      <c r="A178" s="19" t="s">
        <v>39</v>
      </c>
      <c r="B178" s="20" t="s">
        <v>0</v>
      </c>
      <c r="C178" s="20" t="s">
        <v>369</v>
      </c>
      <c r="D178" s="21">
        <v>2100026159</v>
      </c>
      <c r="E178" s="21" t="s">
        <v>1</v>
      </c>
      <c r="F178" s="22">
        <v>1102.72</v>
      </c>
      <c r="G178" s="22">
        <v>0</v>
      </c>
      <c r="H178" s="22">
        <v>0</v>
      </c>
      <c r="I178" s="22">
        <v>0</v>
      </c>
      <c r="J178" s="22">
        <v>0</v>
      </c>
      <c r="K178" s="22">
        <v>1102.72</v>
      </c>
      <c r="L178" s="22">
        <v>1102.72</v>
      </c>
      <c r="M178" s="23">
        <v>45610</v>
      </c>
      <c r="N178" s="23">
        <v>45640</v>
      </c>
      <c r="O178" s="32">
        <v>-412</v>
      </c>
      <c r="P178" s="25" t="s">
        <v>2</v>
      </c>
      <c r="Q178" s="26" t="s">
        <v>59</v>
      </c>
      <c r="R178" s="27" t="s">
        <v>74</v>
      </c>
      <c r="S178" s="28" t="s">
        <v>74</v>
      </c>
      <c r="T178" s="29">
        <v>0</v>
      </c>
      <c r="U178" s="29">
        <v>0</v>
      </c>
      <c r="V178" s="29">
        <v>0</v>
      </c>
      <c r="W178" s="29">
        <v>0</v>
      </c>
      <c r="X178" s="30">
        <v>0</v>
      </c>
      <c r="Y178" s="31">
        <v>0</v>
      </c>
    </row>
    <row r="179" spans="1:25" x14ac:dyDescent="0.3">
      <c r="A179" s="19" t="s">
        <v>246</v>
      </c>
      <c r="B179" s="20" t="s">
        <v>87</v>
      </c>
      <c r="C179" s="20" t="s">
        <v>374</v>
      </c>
      <c r="D179" s="21">
        <v>1604</v>
      </c>
      <c r="E179" s="21" t="s">
        <v>1</v>
      </c>
      <c r="F179" s="22">
        <v>-25775.21</v>
      </c>
      <c r="G179" s="22">
        <v>0</v>
      </c>
      <c r="H179" s="22">
        <v>0</v>
      </c>
      <c r="I179" s="22">
        <v>0</v>
      </c>
      <c r="J179" s="22">
        <v>0</v>
      </c>
      <c r="K179" s="22">
        <v>-25775.21</v>
      </c>
      <c r="L179" s="22">
        <v>-25775.21</v>
      </c>
      <c r="M179" s="23">
        <v>45900</v>
      </c>
      <c r="N179" s="23">
        <v>45915</v>
      </c>
      <c r="O179" s="32">
        <v>-137</v>
      </c>
      <c r="P179" s="25" t="s">
        <v>60</v>
      </c>
      <c r="Q179" s="26" t="s">
        <v>72</v>
      </c>
      <c r="R179" s="27" t="s">
        <v>225</v>
      </c>
      <c r="S179" s="28" t="s">
        <v>225</v>
      </c>
      <c r="T179" s="29">
        <v>0</v>
      </c>
      <c r="U179" s="29">
        <v>0</v>
      </c>
      <c r="V179" s="29">
        <v>0</v>
      </c>
      <c r="W179" s="29">
        <v>0</v>
      </c>
      <c r="X179" s="30">
        <v>0</v>
      </c>
      <c r="Y179" s="31">
        <v>0</v>
      </c>
    </row>
    <row r="180" spans="1:25" x14ac:dyDescent="0.3">
      <c r="A180" s="19" t="s">
        <v>246</v>
      </c>
      <c r="B180" s="20" t="s">
        <v>87</v>
      </c>
      <c r="C180" s="20" t="s">
        <v>374</v>
      </c>
      <c r="D180" s="21" t="s">
        <v>284</v>
      </c>
      <c r="E180" s="21" t="s">
        <v>1</v>
      </c>
      <c r="F180" s="22">
        <v>-24140</v>
      </c>
      <c r="G180" s="22">
        <v>0</v>
      </c>
      <c r="H180" s="22">
        <v>0</v>
      </c>
      <c r="I180" s="22">
        <v>0</v>
      </c>
      <c r="J180" s="22">
        <v>0</v>
      </c>
      <c r="K180" s="22">
        <v>-24140</v>
      </c>
      <c r="L180" s="22">
        <v>-24140</v>
      </c>
      <c r="M180" s="23">
        <v>45905</v>
      </c>
      <c r="N180" s="23">
        <v>45905</v>
      </c>
      <c r="O180" s="32">
        <v>-147</v>
      </c>
      <c r="P180" s="25" t="s">
        <v>60</v>
      </c>
      <c r="Q180" s="26" t="s">
        <v>72</v>
      </c>
      <c r="R180" s="27" t="s">
        <v>225</v>
      </c>
      <c r="S180" s="28" t="s">
        <v>225</v>
      </c>
      <c r="T180" s="29">
        <v>0</v>
      </c>
      <c r="U180" s="29">
        <v>0</v>
      </c>
      <c r="V180" s="29">
        <v>0</v>
      </c>
      <c r="W180" s="29">
        <v>0</v>
      </c>
      <c r="X180" s="30">
        <v>0</v>
      </c>
      <c r="Y180" s="31">
        <v>0</v>
      </c>
    </row>
    <row r="181" spans="1:25" x14ac:dyDescent="0.3">
      <c r="A181" s="19" t="s">
        <v>246</v>
      </c>
      <c r="B181" s="20" t="s">
        <v>87</v>
      </c>
      <c r="C181" s="20" t="s">
        <v>374</v>
      </c>
      <c r="D181" s="21">
        <v>1607</v>
      </c>
      <c r="E181" s="21" t="s">
        <v>1</v>
      </c>
      <c r="F181" s="22">
        <v>-4800.6000000000004</v>
      </c>
      <c r="G181" s="22">
        <v>0</v>
      </c>
      <c r="H181" s="22">
        <v>0</v>
      </c>
      <c r="I181" s="22">
        <v>0</v>
      </c>
      <c r="J181" s="22">
        <v>0</v>
      </c>
      <c r="K181" s="22">
        <v>-4800.6000000000004</v>
      </c>
      <c r="L181" s="22">
        <v>-4800.6000000000004</v>
      </c>
      <c r="M181" s="23">
        <v>45931</v>
      </c>
      <c r="N181" s="23">
        <v>45946</v>
      </c>
      <c r="O181" s="32">
        <v>-106</v>
      </c>
      <c r="P181" s="25" t="s">
        <v>60</v>
      </c>
      <c r="Q181" s="26" t="s">
        <v>72</v>
      </c>
      <c r="R181" s="27" t="s">
        <v>225</v>
      </c>
      <c r="S181" s="28" t="s">
        <v>225</v>
      </c>
      <c r="T181" s="29">
        <v>0</v>
      </c>
      <c r="U181" s="29">
        <v>0</v>
      </c>
      <c r="V181" s="29">
        <v>0</v>
      </c>
      <c r="W181" s="29">
        <v>0</v>
      </c>
      <c r="X181" s="30">
        <v>0</v>
      </c>
      <c r="Y181" s="31">
        <v>0</v>
      </c>
    </row>
    <row r="182" spans="1:25" x14ac:dyDescent="0.3">
      <c r="A182" s="19" t="s">
        <v>226</v>
      </c>
      <c r="B182" s="20" t="s">
        <v>0</v>
      </c>
      <c r="C182" s="20" t="s">
        <v>369</v>
      </c>
      <c r="D182" s="21">
        <v>2100026930</v>
      </c>
      <c r="E182" s="21" t="s">
        <v>1</v>
      </c>
      <c r="F182" s="22">
        <v>1098.71</v>
      </c>
      <c r="G182" s="22">
        <v>0</v>
      </c>
      <c r="H182" s="22">
        <v>0</v>
      </c>
      <c r="I182" s="22">
        <v>0</v>
      </c>
      <c r="J182" s="22">
        <v>0</v>
      </c>
      <c r="K182" s="22">
        <v>1098.71</v>
      </c>
      <c r="L182" s="22">
        <v>1098.71</v>
      </c>
      <c r="M182" s="23">
        <v>45740</v>
      </c>
      <c r="N182" s="23">
        <v>45741</v>
      </c>
      <c r="O182" s="32">
        <v>-311</v>
      </c>
      <c r="P182" s="25" t="s">
        <v>2</v>
      </c>
      <c r="Q182" s="26" t="s">
        <v>59</v>
      </c>
      <c r="R182" s="27" t="s">
        <v>74</v>
      </c>
      <c r="S182" s="28" t="s">
        <v>74</v>
      </c>
      <c r="T182" s="29">
        <v>0</v>
      </c>
      <c r="U182" s="29">
        <v>0</v>
      </c>
      <c r="V182" s="29">
        <v>0</v>
      </c>
      <c r="W182" s="29">
        <v>0</v>
      </c>
      <c r="X182" s="30">
        <v>0</v>
      </c>
      <c r="Y182" s="31">
        <v>0</v>
      </c>
    </row>
    <row r="183" spans="1:25" x14ac:dyDescent="0.3">
      <c r="A183" s="19" t="s">
        <v>218</v>
      </c>
      <c r="B183" s="20" t="s">
        <v>0</v>
      </c>
      <c r="C183" s="20" t="s">
        <v>367</v>
      </c>
      <c r="D183" s="21">
        <v>2100028297</v>
      </c>
      <c r="E183" s="21" t="s">
        <v>1</v>
      </c>
      <c r="F183" s="22">
        <v>898.81</v>
      </c>
      <c r="G183" s="22">
        <v>0</v>
      </c>
      <c r="H183" s="22">
        <v>0</v>
      </c>
      <c r="I183" s="22">
        <v>0</v>
      </c>
      <c r="J183" s="22">
        <v>0</v>
      </c>
      <c r="K183" s="22">
        <v>898.81</v>
      </c>
      <c r="L183" s="22">
        <v>898.81</v>
      </c>
      <c r="M183" s="23">
        <v>45958</v>
      </c>
      <c r="N183" s="23">
        <v>45959</v>
      </c>
      <c r="O183" s="32">
        <v>-93</v>
      </c>
      <c r="P183" s="25" t="s">
        <v>2</v>
      </c>
      <c r="Q183" s="26" t="s">
        <v>59</v>
      </c>
      <c r="R183" s="27" t="s">
        <v>232</v>
      </c>
      <c r="S183" s="28" t="s">
        <v>232</v>
      </c>
      <c r="T183" s="29">
        <v>0</v>
      </c>
      <c r="U183" s="29">
        <v>0</v>
      </c>
      <c r="V183" s="29">
        <v>0</v>
      </c>
      <c r="W183" s="29">
        <v>0</v>
      </c>
      <c r="X183" s="30">
        <v>0</v>
      </c>
      <c r="Y183" s="31">
        <v>0</v>
      </c>
    </row>
    <row r="184" spans="1:25" x14ac:dyDescent="0.3">
      <c r="A184" s="19" t="s">
        <v>28</v>
      </c>
      <c r="B184" s="20" t="s">
        <v>0</v>
      </c>
      <c r="C184" s="20" t="s">
        <v>360</v>
      </c>
      <c r="D184" s="21">
        <v>6974</v>
      </c>
      <c r="E184" s="21" t="s">
        <v>1</v>
      </c>
      <c r="F184" s="22">
        <v>880</v>
      </c>
      <c r="G184" s="22">
        <v>0</v>
      </c>
      <c r="H184" s="22">
        <v>0</v>
      </c>
      <c r="I184" s="22">
        <v>0</v>
      </c>
      <c r="J184" s="22">
        <v>0</v>
      </c>
      <c r="K184" s="22">
        <v>880</v>
      </c>
      <c r="L184" s="22">
        <v>880</v>
      </c>
      <c r="M184" s="23">
        <v>45322</v>
      </c>
      <c r="N184" s="23">
        <v>45352</v>
      </c>
      <c r="O184" s="32">
        <v>-700</v>
      </c>
      <c r="P184" s="25" t="s">
        <v>2</v>
      </c>
      <c r="Q184" s="26" t="s">
        <v>59</v>
      </c>
      <c r="R184" s="27" t="s">
        <v>74</v>
      </c>
      <c r="S184" s="28" t="s">
        <v>74</v>
      </c>
      <c r="T184" s="29">
        <v>0</v>
      </c>
      <c r="U184" s="29">
        <v>0</v>
      </c>
      <c r="V184" s="29">
        <v>0</v>
      </c>
      <c r="W184" s="29">
        <v>0</v>
      </c>
      <c r="X184" s="30">
        <v>0</v>
      </c>
      <c r="Y184" s="31">
        <v>0</v>
      </c>
    </row>
    <row r="185" spans="1:25" x14ac:dyDescent="0.3">
      <c r="A185" s="19" t="s">
        <v>237</v>
      </c>
      <c r="B185" s="20" t="s">
        <v>87</v>
      </c>
      <c r="C185" s="20" t="s">
        <v>381</v>
      </c>
      <c r="D185" s="21" t="s">
        <v>318</v>
      </c>
      <c r="E185" s="21" t="s">
        <v>1</v>
      </c>
      <c r="F185" s="22">
        <v>-5716.82</v>
      </c>
      <c r="G185" s="22">
        <v>0</v>
      </c>
      <c r="H185" s="22">
        <v>0</v>
      </c>
      <c r="I185" s="22">
        <v>0</v>
      </c>
      <c r="J185" s="22">
        <v>-5716.82</v>
      </c>
      <c r="K185" s="22">
        <v>0</v>
      </c>
      <c r="L185" s="22">
        <v>-5716.82</v>
      </c>
      <c r="M185" s="23">
        <v>45989</v>
      </c>
      <c r="N185" s="23">
        <v>45989</v>
      </c>
      <c r="O185" s="24">
        <v>-63</v>
      </c>
      <c r="P185" s="25" t="s">
        <v>60</v>
      </c>
      <c r="Q185" s="26" t="s">
        <v>72</v>
      </c>
      <c r="R185" s="27" t="s">
        <v>225</v>
      </c>
      <c r="S185" s="28" t="s">
        <v>225</v>
      </c>
      <c r="T185" s="29">
        <v>0</v>
      </c>
      <c r="U185" s="29">
        <v>0</v>
      </c>
      <c r="V185" s="29">
        <v>0</v>
      </c>
      <c r="W185" s="29">
        <v>0</v>
      </c>
      <c r="X185" s="30">
        <v>0</v>
      </c>
      <c r="Y185" s="31">
        <v>0</v>
      </c>
    </row>
    <row r="186" spans="1:25" x14ac:dyDescent="0.3">
      <c r="A186" s="19" t="s">
        <v>237</v>
      </c>
      <c r="B186" s="20" t="s">
        <v>87</v>
      </c>
      <c r="C186" s="20" t="s">
        <v>381</v>
      </c>
      <c r="D186" s="21" t="s">
        <v>238</v>
      </c>
      <c r="E186" s="21" t="s">
        <v>1</v>
      </c>
      <c r="F186" s="22">
        <v>-1813.05</v>
      </c>
      <c r="G186" s="22">
        <v>0</v>
      </c>
      <c r="H186" s="22">
        <v>0</v>
      </c>
      <c r="I186" s="22">
        <v>0</v>
      </c>
      <c r="J186" s="22">
        <v>0</v>
      </c>
      <c r="K186" s="22">
        <v>-1813.05</v>
      </c>
      <c r="L186" s="22">
        <v>-1813.05</v>
      </c>
      <c r="M186" s="23">
        <v>45777</v>
      </c>
      <c r="N186" s="23">
        <v>45777</v>
      </c>
      <c r="O186" s="32">
        <v>-275</v>
      </c>
      <c r="P186" s="25" t="s">
        <v>60</v>
      </c>
      <c r="Q186" s="26" t="s">
        <v>72</v>
      </c>
      <c r="R186" s="27" t="s">
        <v>225</v>
      </c>
      <c r="S186" s="28" t="s">
        <v>225</v>
      </c>
      <c r="T186" s="29">
        <v>0</v>
      </c>
      <c r="U186" s="29">
        <v>0</v>
      </c>
      <c r="V186" s="29">
        <v>0</v>
      </c>
      <c r="W186" s="29">
        <v>0</v>
      </c>
      <c r="X186" s="30">
        <v>0</v>
      </c>
      <c r="Y186" s="31">
        <v>0</v>
      </c>
    </row>
    <row r="187" spans="1:25" x14ac:dyDescent="0.3">
      <c r="A187" s="19" t="s">
        <v>237</v>
      </c>
      <c r="B187" s="20" t="s">
        <v>87</v>
      </c>
      <c r="C187" s="20" t="s">
        <v>381</v>
      </c>
      <c r="D187" s="21" t="s">
        <v>317</v>
      </c>
      <c r="E187" s="21" t="s">
        <v>1</v>
      </c>
      <c r="F187" s="22">
        <v>-1091.18</v>
      </c>
      <c r="G187" s="22">
        <v>0</v>
      </c>
      <c r="H187" s="22">
        <v>0</v>
      </c>
      <c r="I187" s="22">
        <v>0</v>
      </c>
      <c r="J187" s="22">
        <v>-1091.18</v>
      </c>
      <c r="K187" s="22">
        <v>0</v>
      </c>
      <c r="L187" s="22">
        <v>-1091.18</v>
      </c>
      <c r="M187" s="23">
        <v>45989</v>
      </c>
      <c r="N187" s="23">
        <v>45989</v>
      </c>
      <c r="O187" s="24">
        <v>-63</v>
      </c>
      <c r="P187" s="25" t="s">
        <v>60</v>
      </c>
      <c r="Q187" s="26" t="s">
        <v>72</v>
      </c>
      <c r="R187" s="27" t="s">
        <v>225</v>
      </c>
      <c r="S187" s="28" t="s">
        <v>225</v>
      </c>
      <c r="T187" s="29">
        <v>0</v>
      </c>
      <c r="U187" s="29">
        <v>0</v>
      </c>
      <c r="V187" s="29">
        <v>0</v>
      </c>
      <c r="W187" s="29">
        <v>0</v>
      </c>
      <c r="X187" s="30">
        <v>0</v>
      </c>
      <c r="Y187" s="31">
        <v>0</v>
      </c>
    </row>
    <row r="188" spans="1:25" x14ac:dyDescent="0.3">
      <c r="A188" s="19" t="s">
        <v>190</v>
      </c>
      <c r="B188" s="20" t="s">
        <v>87</v>
      </c>
      <c r="C188" s="20" t="s">
        <v>385</v>
      </c>
      <c r="D188" s="21" t="s">
        <v>191</v>
      </c>
      <c r="E188" s="21" t="s">
        <v>1</v>
      </c>
      <c r="F188" s="22">
        <v>-1150</v>
      </c>
      <c r="G188" s="22">
        <v>0</v>
      </c>
      <c r="H188" s="22">
        <v>0</v>
      </c>
      <c r="I188" s="22">
        <v>0</v>
      </c>
      <c r="J188" s="22">
        <v>0</v>
      </c>
      <c r="K188" s="22">
        <v>-1150</v>
      </c>
      <c r="L188" s="22">
        <v>-1150</v>
      </c>
      <c r="M188" s="23">
        <v>43580</v>
      </c>
      <c r="N188" s="23">
        <v>43580</v>
      </c>
      <c r="O188" s="32">
        <v>-2472</v>
      </c>
      <c r="P188" s="25" t="s">
        <v>60</v>
      </c>
      <c r="Q188" s="26" t="s">
        <v>72</v>
      </c>
      <c r="R188" s="27" t="s">
        <v>87</v>
      </c>
      <c r="S188" s="28" t="s">
        <v>87</v>
      </c>
      <c r="T188" s="29">
        <v>0</v>
      </c>
      <c r="U188" s="29">
        <v>0</v>
      </c>
      <c r="V188" s="29">
        <v>0</v>
      </c>
      <c r="W188" s="29">
        <v>0</v>
      </c>
      <c r="X188" s="30">
        <v>0</v>
      </c>
      <c r="Y188" s="31">
        <v>0</v>
      </c>
    </row>
    <row r="189" spans="1:25" x14ac:dyDescent="0.3">
      <c r="A189" s="19" t="s">
        <v>36</v>
      </c>
      <c r="B189" s="20" t="s">
        <v>0</v>
      </c>
      <c r="C189" s="20" t="s">
        <v>360</v>
      </c>
      <c r="D189" s="21">
        <v>9129</v>
      </c>
      <c r="E189" s="21" t="s">
        <v>1</v>
      </c>
      <c r="F189" s="22">
        <v>845.82</v>
      </c>
      <c r="G189" s="22">
        <v>0</v>
      </c>
      <c r="H189" s="22">
        <v>0</v>
      </c>
      <c r="I189" s="22">
        <v>0</v>
      </c>
      <c r="J189" s="22">
        <v>0</v>
      </c>
      <c r="K189" s="22">
        <v>845.82</v>
      </c>
      <c r="L189" s="22">
        <v>845.82</v>
      </c>
      <c r="M189" s="23">
        <v>45394</v>
      </c>
      <c r="N189" s="23">
        <v>45394</v>
      </c>
      <c r="O189" s="32">
        <v>-658</v>
      </c>
      <c r="P189" s="25" t="s">
        <v>2</v>
      </c>
      <c r="Q189" s="26" t="s">
        <v>59</v>
      </c>
      <c r="R189" s="27" t="s">
        <v>74</v>
      </c>
      <c r="S189" s="28" t="s">
        <v>74</v>
      </c>
      <c r="T189" s="29">
        <v>0</v>
      </c>
      <c r="U189" s="29">
        <v>0</v>
      </c>
      <c r="V189" s="29">
        <v>0</v>
      </c>
      <c r="W189" s="29">
        <v>0</v>
      </c>
      <c r="X189" s="30">
        <v>0</v>
      </c>
      <c r="Y189" s="31">
        <v>0</v>
      </c>
    </row>
    <row r="190" spans="1:25" x14ac:dyDescent="0.3">
      <c r="A190" s="19" t="s">
        <v>11</v>
      </c>
      <c r="B190" s="20" t="s">
        <v>0</v>
      </c>
      <c r="C190" s="20" t="s">
        <v>360</v>
      </c>
      <c r="D190" s="21">
        <v>5867</v>
      </c>
      <c r="E190" s="21" t="s">
        <v>1</v>
      </c>
      <c r="F190" s="22">
        <v>765.25</v>
      </c>
      <c r="G190" s="22">
        <v>0</v>
      </c>
      <c r="H190" s="22">
        <v>0</v>
      </c>
      <c r="I190" s="22">
        <v>0</v>
      </c>
      <c r="J190" s="22">
        <v>0</v>
      </c>
      <c r="K190" s="22">
        <v>765.25</v>
      </c>
      <c r="L190" s="22">
        <v>765.25</v>
      </c>
      <c r="M190" s="23">
        <v>45289</v>
      </c>
      <c r="N190" s="23">
        <v>45304</v>
      </c>
      <c r="O190" s="32">
        <v>-748</v>
      </c>
      <c r="P190" s="25" t="s">
        <v>2</v>
      </c>
      <c r="Q190" s="26" t="s">
        <v>59</v>
      </c>
      <c r="R190" s="27" t="s">
        <v>74</v>
      </c>
      <c r="S190" s="28" t="s">
        <v>74</v>
      </c>
      <c r="T190" s="29">
        <v>0</v>
      </c>
      <c r="U190" s="29">
        <v>0</v>
      </c>
      <c r="V190" s="29">
        <v>0</v>
      </c>
      <c r="W190" s="29">
        <v>0</v>
      </c>
      <c r="X190" s="30">
        <v>0</v>
      </c>
      <c r="Y190" s="31">
        <v>0</v>
      </c>
    </row>
    <row r="191" spans="1:25" x14ac:dyDescent="0.3">
      <c r="A191" s="19" t="s">
        <v>37</v>
      </c>
      <c r="B191" s="20" t="s">
        <v>0</v>
      </c>
      <c r="C191" s="20" t="s">
        <v>360</v>
      </c>
      <c r="D191" s="21">
        <v>1714</v>
      </c>
      <c r="E191" s="21" t="s">
        <v>1</v>
      </c>
      <c r="F191" s="22">
        <v>691.08</v>
      </c>
      <c r="G191" s="22">
        <v>0</v>
      </c>
      <c r="H191" s="22">
        <v>0</v>
      </c>
      <c r="I191" s="22">
        <v>0</v>
      </c>
      <c r="J191" s="22">
        <v>0</v>
      </c>
      <c r="K191" s="22">
        <v>691.08</v>
      </c>
      <c r="L191" s="22">
        <v>691.08</v>
      </c>
      <c r="M191" s="23">
        <v>44985</v>
      </c>
      <c r="N191" s="23">
        <v>44985</v>
      </c>
      <c r="O191" s="32">
        <v>-1067</v>
      </c>
      <c r="P191" s="25" t="s">
        <v>2</v>
      </c>
      <c r="Q191" s="26" t="s">
        <v>59</v>
      </c>
      <c r="R191" s="27" t="s">
        <v>74</v>
      </c>
      <c r="S191" s="28" t="s">
        <v>74</v>
      </c>
      <c r="T191" s="29">
        <v>0</v>
      </c>
      <c r="U191" s="29">
        <v>0</v>
      </c>
      <c r="V191" s="29">
        <v>0</v>
      </c>
      <c r="W191" s="29">
        <v>0</v>
      </c>
      <c r="X191" s="30">
        <v>0</v>
      </c>
      <c r="Y191" s="31">
        <v>0</v>
      </c>
    </row>
    <row r="192" spans="1:25" x14ac:dyDescent="0.3">
      <c r="A192" s="19" t="s">
        <v>91</v>
      </c>
      <c r="B192" s="20" t="s">
        <v>0</v>
      </c>
      <c r="C192" s="20" t="s">
        <v>365</v>
      </c>
      <c r="D192" s="21">
        <v>2100028334</v>
      </c>
      <c r="E192" s="21" t="s">
        <v>1</v>
      </c>
      <c r="F192" s="22">
        <v>621.5</v>
      </c>
      <c r="G192" s="22">
        <v>0</v>
      </c>
      <c r="H192" s="22">
        <v>0</v>
      </c>
      <c r="I192" s="22">
        <v>0</v>
      </c>
      <c r="J192" s="22">
        <v>621.5</v>
      </c>
      <c r="K192" s="22">
        <v>0</v>
      </c>
      <c r="L192" s="22">
        <v>621.5</v>
      </c>
      <c r="M192" s="23">
        <v>45960</v>
      </c>
      <c r="N192" s="23">
        <v>45990</v>
      </c>
      <c r="O192" s="32">
        <v>-62</v>
      </c>
      <c r="P192" s="25" t="s">
        <v>2</v>
      </c>
      <c r="Q192" s="26" t="s">
        <v>59</v>
      </c>
      <c r="R192" s="27" t="s">
        <v>232</v>
      </c>
      <c r="S192" s="28" t="s">
        <v>232</v>
      </c>
      <c r="T192" s="29">
        <v>0</v>
      </c>
      <c r="U192" s="29">
        <v>0</v>
      </c>
      <c r="V192" s="29">
        <v>0</v>
      </c>
      <c r="W192" s="29">
        <v>0</v>
      </c>
      <c r="X192" s="30">
        <v>0</v>
      </c>
      <c r="Y192" s="31">
        <v>0</v>
      </c>
    </row>
    <row r="193" spans="1:25" x14ac:dyDescent="0.3">
      <c r="A193" s="19" t="s">
        <v>38</v>
      </c>
      <c r="B193" s="20" t="s">
        <v>0</v>
      </c>
      <c r="C193" s="20" t="s">
        <v>360</v>
      </c>
      <c r="D193" s="21">
        <v>1735</v>
      </c>
      <c r="E193" s="21" t="s">
        <v>1</v>
      </c>
      <c r="F193" s="22">
        <v>594.13</v>
      </c>
      <c r="G193" s="22">
        <v>0</v>
      </c>
      <c r="H193" s="22">
        <v>0</v>
      </c>
      <c r="I193" s="22">
        <v>0</v>
      </c>
      <c r="J193" s="22">
        <v>0</v>
      </c>
      <c r="K193" s="22">
        <v>594.13</v>
      </c>
      <c r="L193" s="22">
        <v>594.13</v>
      </c>
      <c r="M193" s="23">
        <v>45029</v>
      </c>
      <c r="N193" s="23">
        <v>45029</v>
      </c>
      <c r="O193" s="24">
        <v>-1023</v>
      </c>
      <c r="P193" s="25" t="s">
        <v>2</v>
      </c>
      <c r="Q193" s="26" t="s">
        <v>59</v>
      </c>
      <c r="R193" s="27" t="s">
        <v>74</v>
      </c>
      <c r="S193" s="28" t="s">
        <v>74</v>
      </c>
      <c r="T193" s="29">
        <v>0</v>
      </c>
      <c r="U193" s="29">
        <v>0</v>
      </c>
      <c r="V193" s="29">
        <v>0</v>
      </c>
      <c r="W193" s="29">
        <v>0</v>
      </c>
      <c r="X193" s="30">
        <v>0</v>
      </c>
      <c r="Y193" s="31">
        <v>0</v>
      </c>
    </row>
    <row r="194" spans="1:25" x14ac:dyDescent="0.3">
      <c r="A194" s="19" t="s">
        <v>202</v>
      </c>
      <c r="B194" s="20" t="s">
        <v>87</v>
      </c>
      <c r="C194" s="20" t="s">
        <v>391</v>
      </c>
      <c r="D194" s="21">
        <v>50985</v>
      </c>
      <c r="E194" s="21" t="s">
        <v>1</v>
      </c>
      <c r="F194" s="22">
        <v>-2545.79</v>
      </c>
      <c r="G194" s="22">
        <v>0</v>
      </c>
      <c r="H194" s="22">
        <v>0</v>
      </c>
      <c r="I194" s="22">
        <v>0</v>
      </c>
      <c r="J194" s="22">
        <v>0</v>
      </c>
      <c r="K194" s="22">
        <v>-2545.79</v>
      </c>
      <c r="L194" s="22">
        <v>-2545.79</v>
      </c>
      <c r="M194" s="23">
        <v>44977</v>
      </c>
      <c r="N194" s="23">
        <v>44977</v>
      </c>
      <c r="O194" s="32">
        <v>-1075</v>
      </c>
      <c r="P194" s="25" t="s">
        <v>61</v>
      </c>
      <c r="Q194" s="26" t="s">
        <v>72</v>
      </c>
      <c r="R194" s="27" t="s">
        <v>87</v>
      </c>
      <c r="S194" s="28" t="s">
        <v>87</v>
      </c>
      <c r="T194" s="29">
        <v>0</v>
      </c>
      <c r="U194" s="29">
        <v>0</v>
      </c>
      <c r="V194" s="29">
        <v>0</v>
      </c>
      <c r="W194" s="29">
        <v>0</v>
      </c>
      <c r="X194" s="30">
        <v>0</v>
      </c>
      <c r="Y194" s="31">
        <v>0</v>
      </c>
    </row>
    <row r="195" spans="1:25" x14ac:dyDescent="0.3">
      <c r="A195" s="19" t="s">
        <v>202</v>
      </c>
      <c r="B195" s="20" t="s">
        <v>87</v>
      </c>
      <c r="C195" s="20" t="s">
        <v>384</v>
      </c>
      <c r="D195" s="21" t="s">
        <v>206</v>
      </c>
      <c r="E195" s="21" t="s">
        <v>1</v>
      </c>
      <c r="F195" s="22">
        <v>-3155.04</v>
      </c>
      <c r="G195" s="22">
        <v>0</v>
      </c>
      <c r="H195" s="22">
        <v>0</v>
      </c>
      <c r="I195" s="22">
        <v>0</v>
      </c>
      <c r="J195" s="22">
        <v>0</v>
      </c>
      <c r="K195" s="22">
        <v>-3155.04</v>
      </c>
      <c r="L195" s="22">
        <v>-3155.04</v>
      </c>
      <c r="M195" s="23">
        <v>45096</v>
      </c>
      <c r="N195" s="23">
        <v>45096</v>
      </c>
      <c r="O195" s="24">
        <v>-956</v>
      </c>
      <c r="P195" s="25" t="s">
        <v>60</v>
      </c>
      <c r="Q195" s="26" t="s">
        <v>72</v>
      </c>
      <c r="R195" s="27" t="s">
        <v>87</v>
      </c>
      <c r="S195" s="28" t="s">
        <v>87</v>
      </c>
      <c r="T195" s="29">
        <v>0</v>
      </c>
      <c r="U195" s="29">
        <v>0</v>
      </c>
      <c r="V195" s="29">
        <v>0</v>
      </c>
      <c r="W195" s="29">
        <v>0</v>
      </c>
      <c r="X195" s="30">
        <v>0</v>
      </c>
      <c r="Y195" s="31">
        <v>0</v>
      </c>
    </row>
    <row r="196" spans="1:25" x14ac:dyDescent="0.3">
      <c r="A196" s="19" t="s">
        <v>66</v>
      </c>
      <c r="B196" s="20" t="s">
        <v>87</v>
      </c>
      <c r="C196" s="20" t="s">
        <v>374</v>
      </c>
      <c r="D196" s="21" t="s">
        <v>97</v>
      </c>
      <c r="E196" s="21" t="s">
        <v>1</v>
      </c>
      <c r="F196" s="22">
        <v>-56.71</v>
      </c>
      <c r="G196" s="22">
        <v>0</v>
      </c>
      <c r="H196" s="22">
        <v>0</v>
      </c>
      <c r="I196" s="22">
        <v>0</v>
      </c>
      <c r="J196" s="22">
        <v>0</v>
      </c>
      <c r="K196" s="22">
        <v>-56.71</v>
      </c>
      <c r="L196" s="22">
        <v>-56.71</v>
      </c>
      <c r="M196" s="23">
        <v>45643</v>
      </c>
      <c r="N196" s="23">
        <v>45643</v>
      </c>
      <c r="O196" s="32">
        <v>-409</v>
      </c>
      <c r="P196" s="25" t="s">
        <v>60</v>
      </c>
      <c r="Q196" s="26" t="s">
        <v>72</v>
      </c>
      <c r="R196" s="27" t="s">
        <v>87</v>
      </c>
      <c r="S196" s="28" t="s">
        <v>87</v>
      </c>
      <c r="T196" s="29">
        <v>0</v>
      </c>
      <c r="U196" s="29">
        <v>0</v>
      </c>
      <c r="V196" s="29">
        <v>0</v>
      </c>
      <c r="W196" s="29">
        <v>0</v>
      </c>
      <c r="X196" s="30">
        <v>0</v>
      </c>
      <c r="Y196" s="31">
        <v>0</v>
      </c>
    </row>
    <row r="197" spans="1:25" x14ac:dyDescent="0.3">
      <c r="A197" s="19" t="s">
        <v>29</v>
      </c>
      <c r="B197" s="20" t="s">
        <v>0</v>
      </c>
      <c r="C197" s="20" t="s">
        <v>360</v>
      </c>
      <c r="D197" s="21">
        <v>10400</v>
      </c>
      <c r="E197" s="21" t="s">
        <v>1</v>
      </c>
      <c r="F197" s="22">
        <v>523.44000000000005</v>
      </c>
      <c r="G197" s="22">
        <v>0</v>
      </c>
      <c r="H197" s="22">
        <v>0</v>
      </c>
      <c r="I197" s="22">
        <v>0</v>
      </c>
      <c r="J197" s="22">
        <v>0</v>
      </c>
      <c r="K197" s="22">
        <v>523.44000000000005</v>
      </c>
      <c r="L197" s="22">
        <v>523.44000000000005</v>
      </c>
      <c r="M197" s="23">
        <v>45433</v>
      </c>
      <c r="N197" s="23">
        <v>45463</v>
      </c>
      <c r="O197" s="32">
        <v>-589</v>
      </c>
      <c r="P197" s="25" t="s">
        <v>2</v>
      </c>
      <c r="Q197" s="26" t="s">
        <v>59</v>
      </c>
      <c r="R197" s="27" t="s">
        <v>74</v>
      </c>
      <c r="S197" s="28" t="s">
        <v>74</v>
      </c>
      <c r="T197" s="29">
        <v>0</v>
      </c>
      <c r="U197" s="29">
        <v>0</v>
      </c>
      <c r="V197" s="29">
        <v>0</v>
      </c>
      <c r="W197" s="29">
        <v>0</v>
      </c>
      <c r="X197" s="30">
        <v>0</v>
      </c>
      <c r="Y197" s="31">
        <v>0</v>
      </c>
    </row>
    <row r="198" spans="1:25" x14ac:dyDescent="0.3">
      <c r="A198" s="19" t="s">
        <v>28</v>
      </c>
      <c r="B198" s="20" t="s">
        <v>0</v>
      </c>
      <c r="C198" s="20" t="s">
        <v>360</v>
      </c>
      <c r="D198" s="21">
        <v>6013</v>
      </c>
      <c r="E198" s="21" t="s">
        <v>1</v>
      </c>
      <c r="F198" s="22">
        <v>465</v>
      </c>
      <c r="G198" s="22">
        <v>0</v>
      </c>
      <c r="H198" s="22">
        <v>0</v>
      </c>
      <c r="I198" s="22">
        <v>0</v>
      </c>
      <c r="J198" s="22">
        <v>0</v>
      </c>
      <c r="K198" s="22">
        <v>465</v>
      </c>
      <c r="L198" s="22">
        <v>465</v>
      </c>
      <c r="M198" s="23">
        <v>45301</v>
      </c>
      <c r="N198" s="23">
        <v>45331</v>
      </c>
      <c r="O198" s="24">
        <v>-721</v>
      </c>
      <c r="P198" s="25" t="s">
        <v>2</v>
      </c>
      <c r="Q198" s="26" t="s">
        <v>59</v>
      </c>
      <c r="R198" s="27" t="s">
        <v>74</v>
      </c>
      <c r="S198" s="28" t="s">
        <v>74</v>
      </c>
      <c r="T198" s="29">
        <v>0</v>
      </c>
      <c r="U198" s="29">
        <v>0</v>
      </c>
      <c r="V198" s="29">
        <v>0</v>
      </c>
      <c r="W198" s="29">
        <v>0</v>
      </c>
      <c r="X198" s="30">
        <v>0</v>
      </c>
      <c r="Y198" s="31">
        <v>0</v>
      </c>
    </row>
    <row r="199" spans="1:25" x14ac:dyDescent="0.3">
      <c r="A199" s="19" t="s">
        <v>66</v>
      </c>
      <c r="B199" s="20" t="s">
        <v>87</v>
      </c>
      <c r="C199" s="20" t="s">
        <v>374</v>
      </c>
      <c r="D199" s="21">
        <v>1602</v>
      </c>
      <c r="E199" s="21" t="s">
        <v>1</v>
      </c>
      <c r="F199" s="22">
        <v>-2500</v>
      </c>
      <c r="G199" s="22">
        <v>0</v>
      </c>
      <c r="H199" s="22">
        <v>0</v>
      </c>
      <c r="I199" s="22">
        <v>0</v>
      </c>
      <c r="J199" s="22">
        <v>0</v>
      </c>
      <c r="K199" s="22">
        <v>-2500</v>
      </c>
      <c r="L199" s="22">
        <v>-2500</v>
      </c>
      <c r="M199" s="23">
        <v>45898</v>
      </c>
      <c r="N199" s="23">
        <v>45898</v>
      </c>
      <c r="O199" s="32">
        <v>-154</v>
      </c>
      <c r="P199" s="25" t="s">
        <v>61</v>
      </c>
      <c r="Q199" s="26" t="s">
        <v>72</v>
      </c>
      <c r="R199" s="27" t="s">
        <v>87</v>
      </c>
      <c r="S199" s="28" t="s">
        <v>87</v>
      </c>
      <c r="T199" s="29">
        <v>0</v>
      </c>
      <c r="U199" s="29">
        <v>0</v>
      </c>
      <c r="V199" s="29">
        <v>0</v>
      </c>
      <c r="W199" s="29">
        <v>0</v>
      </c>
      <c r="X199" s="30">
        <v>0</v>
      </c>
      <c r="Y199" s="31">
        <v>0</v>
      </c>
    </row>
    <row r="200" spans="1:25" x14ac:dyDescent="0.3">
      <c r="A200" s="19" t="s">
        <v>66</v>
      </c>
      <c r="B200" s="20" t="s">
        <v>0</v>
      </c>
      <c r="C200" s="20" t="s">
        <v>374</v>
      </c>
      <c r="D200" s="21">
        <v>70697</v>
      </c>
      <c r="E200" s="21" t="s">
        <v>1</v>
      </c>
      <c r="F200" s="22">
        <v>2556.71</v>
      </c>
      <c r="G200" s="22">
        <v>0</v>
      </c>
      <c r="H200" s="22">
        <v>0</v>
      </c>
      <c r="I200" s="22">
        <v>0</v>
      </c>
      <c r="J200" s="22">
        <v>0</v>
      </c>
      <c r="K200" s="22">
        <v>2556.71</v>
      </c>
      <c r="L200" s="22">
        <v>2556.71</v>
      </c>
      <c r="M200" s="23">
        <v>45443</v>
      </c>
      <c r="N200" s="23">
        <v>45473</v>
      </c>
      <c r="O200" s="32">
        <v>-579</v>
      </c>
      <c r="P200" s="25" t="s">
        <v>60</v>
      </c>
      <c r="Q200" s="26" t="s">
        <v>72</v>
      </c>
      <c r="R200" s="27" t="s">
        <v>74</v>
      </c>
      <c r="S200" s="28" t="s">
        <v>74</v>
      </c>
      <c r="T200" s="29">
        <v>0</v>
      </c>
      <c r="U200" s="29">
        <v>0</v>
      </c>
      <c r="V200" s="29">
        <v>0</v>
      </c>
      <c r="W200" s="29">
        <v>0</v>
      </c>
      <c r="X200" s="30">
        <v>0</v>
      </c>
      <c r="Y200" s="31">
        <v>0</v>
      </c>
    </row>
    <row r="201" spans="1:25" x14ac:dyDescent="0.3">
      <c r="A201" s="19" t="s">
        <v>125</v>
      </c>
      <c r="B201" s="20" t="s">
        <v>87</v>
      </c>
      <c r="C201" s="20" t="s">
        <v>371</v>
      </c>
      <c r="D201" s="21" t="s">
        <v>126</v>
      </c>
      <c r="E201" s="21" t="s">
        <v>1</v>
      </c>
      <c r="F201" s="22">
        <v>-250</v>
      </c>
      <c r="G201" s="22">
        <v>0</v>
      </c>
      <c r="H201" s="22">
        <v>0</v>
      </c>
      <c r="I201" s="22">
        <v>0</v>
      </c>
      <c r="J201" s="22">
        <v>0</v>
      </c>
      <c r="K201" s="22">
        <v>-250</v>
      </c>
      <c r="L201" s="22">
        <v>-250</v>
      </c>
      <c r="M201" s="23">
        <v>45073</v>
      </c>
      <c r="N201" s="23">
        <v>45073</v>
      </c>
      <c r="O201" s="24">
        <v>-979</v>
      </c>
      <c r="P201" s="25" t="s">
        <v>60</v>
      </c>
      <c r="Q201" s="26" t="s">
        <v>72</v>
      </c>
      <c r="R201" s="27" t="s">
        <v>87</v>
      </c>
      <c r="S201" s="28" t="s">
        <v>87</v>
      </c>
      <c r="T201" s="29">
        <v>0</v>
      </c>
      <c r="U201" s="29">
        <v>0</v>
      </c>
      <c r="V201" s="29">
        <v>0</v>
      </c>
      <c r="W201" s="29">
        <v>0</v>
      </c>
      <c r="X201" s="30">
        <v>0</v>
      </c>
      <c r="Y201" s="31">
        <v>0</v>
      </c>
    </row>
    <row r="202" spans="1:25" x14ac:dyDescent="0.3">
      <c r="A202" s="19" t="s">
        <v>303</v>
      </c>
      <c r="B202" s="20" t="s">
        <v>87</v>
      </c>
      <c r="C202" s="20" t="s">
        <v>368</v>
      </c>
      <c r="D202" s="21" t="s">
        <v>319</v>
      </c>
      <c r="E202" s="21" t="s">
        <v>1</v>
      </c>
      <c r="F202" s="22">
        <v>-10611.71</v>
      </c>
      <c r="G202" s="22">
        <v>0</v>
      </c>
      <c r="H202" s="22">
        <v>0</v>
      </c>
      <c r="I202" s="22">
        <v>0</v>
      </c>
      <c r="J202" s="22">
        <v>-10611.71</v>
      </c>
      <c r="K202" s="22">
        <v>0</v>
      </c>
      <c r="L202" s="22">
        <v>-10611.71</v>
      </c>
      <c r="M202" s="23">
        <v>45980</v>
      </c>
      <c r="N202" s="23">
        <v>45980</v>
      </c>
      <c r="O202" s="32">
        <v>-72</v>
      </c>
      <c r="P202" s="25" t="s">
        <v>60</v>
      </c>
      <c r="Q202" s="26" t="s">
        <v>72</v>
      </c>
      <c r="R202" s="27" t="s">
        <v>225</v>
      </c>
      <c r="S202" s="28" t="s">
        <v>225</v>
      </c>
      <c r="T202" s="29">
        <v>0</v>
      </c>
      <c r="U202" s="29">
        <v>0</v>
      </c>
      <c r="V202" s="29">
        <v>0</v>
      </c>
      <c r="W202" s="29">
        <v>0</v>
      </c>
      <c r="X202" s="30">
        <v>0</v>
      </c>
      <c r="Y202" s="31">
        <v>0</v>
      </c>
    </row>
    <row r="203" spans="1:25" x14ac:dyDescent="0.3">
      <c r="A203" s="19" t="s">
        <v>303</v>
      </c>
      <c r="B203" s="20" t="s">
        <v>87</v>
      </c>
      <c r="C203" s="20" t="s">
        <v>368</v>
      </c>
      <c r="D203" s="21" t="s">
        <v>305</v>
      </c>
      <c r="E203" s="21" t="s">
        <v>1</v>
      </c>
      <c r="F203" s="22">
        <v>-9865.66</v>
      </c>
      <c r="G203" s="22">
        <v>0</v>
      </c>
      <c r="H203" s="22">
        <v>0</v>
      </c>
      <c r="I203" s="22">
        <v>0</v>
      </c>
      <c r="J203" s="22">
        <v>0</v>
      </c>
      <c r="K203" s="22">
        <v>-9865.66</v>
      </c>
      <c r="L203" s="22">
        <v>-9865.66</v>
      </c>
      <c r="M203" s="23">
        <v>45957</v>
      </c>
      <c r="N203" s="23">
        <v>45957</v>
      </c>
      <c r="O203" s="32">
        <v>-95</v>
      </c>
      <c r="P203" s="25" t="s">
        <v>60</v>
      </c>
      <c r="Q203" s="26" t="s">
        <v>72</v>
      </c>
      <c r="R203" s="27" t="s">
        <v>225</v>
      </c>
      <c r="S203" s="28" t="s">
        <v>225</v>
      </c>
      <c r="T203" s="29">
        <v>0</v>
      </c>
      <c r="U203" s="29">
        <v>0</v>
      </c>
      <c r="V203" s="29">
        <v>0</v>
      </c>
      <c r="W203" s="29">
        <v>0</v>
      </c>
      <c r="X203" s="30">
        <v>0</v>
      </c>
      <c r="Y203" s="31">
        <v>0</v>
      </c>
    </row>
    <row r="204" spans="1:25" x14ac:dyDescent="0.3">
      <c r="A204" s="19" t="s">
        <v>303</v>
      </c>
      <c r="B204" s="20" t="s">
        <v>87</v>
      </c>
      <c r="C204" s="20" t="s">
        <v>368</v>
      </c>
      <c r="D204" s="21" t="s">
        <v>304</v>
      </c>
      <c r="E204" s="21" t="s">
        <v>1</v>
      </c>
      <c r="F204" s="22">
        <v>-4897.43</v>
      </c>
      <c r="G204" s="22">
        <v>0</v>
      </c>
      <c r="H204" s="22">
        <v>0</v>
      </c>
      <c r="I204" s="22">
        <v>0</v>
      </c>
      <c r="J204" s="22">
        <v>0</v>
      </c>
      <c r="K204" s="22">
        <v>-4897.43</v>
      </c>
      <c r="L204" s="22">
        <v>-4897.43</v>
      </c>
      <c r="M204" s="23">
        <v>45957</v>
      </c>
      <c r="N204" s="23">
        <v>45957</v>
      </c>
      <c r="O204" s="24">
        <v>-95</v>
      </c>
      <c r="P204" s="25" t="s">
        <v>60</v>
      </c>
      <c r="Q204" s="26" t="s">
        <v>72</v>
      </c>
      <c r="R204" s="27" t="s">
        <v>225</v>
      </c>
      <c r="S204" s="28" t="s">
        <v>225</v>
      </c>
      <c r="T204" s="29">
        <v>0</v>
      </c>
      <c r="U204" s="29">
        <v>0</v>
      </c>
      <c r="V204" s="29">
        <v>0</v>
      </c>
      <c r="W204" s="29">
        <v>0</v>
      </c>
      <c r="X204" s="30">
        <v>0</v>
      </c>
      <c r="Y204" s="31">
        <v>0</v>
      </c>
    </row>
    <row r="205" spans="1:25" x14ac:dyDescent="0.3">
      <c r="A205" s="19" t="s">
        <v>224</v>
      </c>
      <c r="B205" s="20" t="s">
        <v>0</v>
      </c>
      <c r="C205" s="20" t="s">
        <v>367</v>
      </c>
      <c r="D205" s="21">
        <v>2100026889</v>
      </c>
      <c r="E205" s="21" t="s">
        <v>1</v>
      </c>
      <c r="F205" s="22">
        <v>456.89194600000002</v>
      </c>
      <c r="G205" s="22">
        <v>0</v>
      </c>
      <c r="H205" s="22">
        <v>0</v>
      </c>
      <c r="I205" s="22">
        <v>0</v>
      </c>
      <c r="J205" s="22">
        <v>0</v>
      </c>
      <c r="K205" s="22">
        <v>456.89</v>
      </c>
      <c r="L205" s="22">
        <v>456.89</v>
      </c>
      <c r="M205" s="23">
        <v>45729</v>
      </c>
      <c r="N205" s="23">
        <v>45730</v>
      </c>
      <c r="O205" s="32">
        <v>-322</v>
      </c>
      <c r="P205" s="25" t="s">
        <v>2</v>
      </c>
      <c r="Q205" s="26" t="s">
        <v>59</v>
      </c>
      <c r="R205" s="27" t="s">
        <v>74</v>
      </c>
      <c r="S205" s="28" t="s">
        <v>74</v>
      </c>
      <c r="T205" s="29">
        <v>0</v>
      </c>
      <c r="U205" s="29">
        <v>0</v>
      </c>
      <c r="V205" s="29">
        <v>0</v>
      </c>
      <c r="W205" s="29">
        <v>0</v>
      </c>
      <c r="X205" s="30">
        <v>0</v>
      </c>
      <c r="Y205" s="31">
        <v>0</v>
      </c>
    </row>
    <row r="206" spans="1:25" x14ac:dyDescent="0.3">
      <c r="A206" s="19" t="s">
        <v>303</v>
      </c>
      <c r="B206" s="20" t="s">
        <v>87</v>
      </c>
      <c r="C206" s="20" t="s">
        <v>368</v>
      </c>
      <c r="D206" s="21" t="s">
        <v>320</v>
      </c>
      <c r="E206" s="21" t="s">
        <v>1</v>
      </c>
      <c r="F206" s="22">
        <v>-4897.43</v>
      </c>
      <c r="G206" s="22">
        <v>0</v>
      </c>
      <c r="H206" s="22">
        <v>0</v>
      </c>
      <c r="I206" s="22">
        <v>0</v>
      </c>
      <c r="J206" s="22">
        <v>-4897.43</v>
      </c>
      <c r="K206" s="22">
        <v>0</v>
      </c>
      <c r="L206" s="22">
        <v>-4897.43</v>
      </c>
      <c r="M206" s="23">
        <v>45966</v>
      </c>
      <c r="N206" s="23">
        <v>45966</v>
      </c>
      <c r="O206" s="24">
        <v>-86</v>
      </c>
      <c r="P206" s="25" t="s">
        <v>60</v>
      </c>
      <c r="Q206" s="26" t="s">
        <v>72</v>
      </c>
      <c r="R206" s="27" t="s">
        <v>225</v>
      </c>
      <c r="S206" s="28" t="s">
        <v>225</v>
      </c>
      <c r="T206" s="29">
        <v>0</v>
      </c>
      <c r="U206" s="29">
        <v>0</v>
      </c>
      <c r="V206" s="29">
        <v>0</v>
      </c>
      <c r="W206" s="29">
        <v>0</v>
      </c>
      <c r="X206" s="30">
        <v>0</v>
      </c>
      <c r="Y206" s="31">
        <v>0</v>
      </c>
    </row>
    <row r="207" spans="1:25" x14ac:dyDescent="0.3">
      <c r="A207" s="19" t="s">
        <v>39</v>
      </c>
      <c r="B207" s="20" t="s">
        <v>0</v>
      </c>
      <c r="C207" s="20" t="s">
        <v>369</v>
      </c>
      <c r="D207" s="21">
        <v>2100025071</v>
      </c>
      <c r="E207" s="21" t="s">
        <v>1</v>
      </c>
      <c r="F207" s="22">
        <v>406.15</v>
      </c>
      <c r="G207" s="22">
        <v>0</v>
      </c>
      <c r="H207" s="22">
        <v>0</v>
      </c>
      <c r="I207" s="22">
        <v>0</v>
      </c>
      <c r="J207" s="22">
        <v>0</v>
      </c>
      <c r="K207" s="22">
        <v>406.15</v>
      </c>
      <c r="L207" s="22">
        <v>406.15</v>
      </c>
      <c r="M207" s="23">
        <v>45468</v>
      </c>
      <c r="N207" s="23">
        <v>45498</v>
      </c>
      <c r="O207" s="32">
        <v>-554</v>
      </c>
      <c r="P207" s="25" t="s">
        <v>2</v>
      </c>
      <c r="Q207" s="26" t="s">
        <v>59</v>
      </c>
      <c r="R207" s="27" t="s">
        <v>74</v>
      </c>
      <c r="S207" s="28" t="s">
        <v>74</v>
      </c>
      <c r="T207" s="29">
        <v>0</v>
      </c>
      <c r="U207" s="29">
        <v>0</v>
      </c>
      <c r="V207" s="29">
        <v>0</v>
      </c>
      <c r="W207" s="29">
        <v>0</v>
      </c>
      <c r="X207" s="30">
        <v>0</v>
      </c>
      <c r="Y207" s="31">
        <v>0</v>
      </c>
    </row>
    <row r="208" spans="1:25" x14ac:dyDescent="0.3">
      <c r="A208" s="19" t="s">
        <v>89</v>
      </c>
      <c r="B208" s="20" t="s">
        <v>0</v>
      </c>
      <c r="C208" s="20" t="s">
        <v>369</v>
      </c>
      <c r="D208" s="21">
        <v>2100028681</v>
      </c>
      <c r="E208" s="21" t="s">
        <v>1</v>
      </c>
      <c r="F208" s="22">
        <v>378.55</v>
      </c>
      <c r="G208" s="22">
        <v>0</v>
      </c>
      <c r="H208" s="22">
        <v>378.55</v>
      </c>
      <c r="I208" s="22">
        <v>0</v>
      </c>
      <c r="J208" s="22">
        <v>0</v>
      </c>
      <c r="K208" s="22">
        <v>0</v>
      </c>
      <c r="L208" s="22">
        <v>378.55</v>
      </c>
      <c r="M208" s="23">
        <v>46031</v>
      </c>
      <c r="N208" s="23">
        <v>46036</v>
      </c>
      <c r="O208" s="24">
        <v>-16</v>
      </c>
      <c r="P208" s="25" t="s">
        <v>2</v>
      </c>
      <c r="Q208" s="26" t="s">
        <v>59</v>
      </c>
      <c r="R208" s="27" t="s">
        <v>74</v>
      </c>
      <c r="S208" s="28" t="s">
        <v>74</v>
      </c>
      <c r="T208" s="29">
        <v>0</v>
      </c>
      <c r="U208" s="29">
        <v>0</v>
      </c>
      <c r="V208" s="29">
        <v>0</v>
      </c>
      <c r="W208" s="29">
        <v>0</v>
      </c>
      <c r="X208" s="30">
        <v>0</v>
      </c>
      <c r="Y208" s="31">
        <v>0</v>
      </c>
    </row>
    <row r="209" spans="1:25" x14ac:dyDescent="0.3">
      <c r="A209" s="19" t="s">
        <v>13</v>
      </c>
      <c r="B209" s="20" t="s">
        <v>0</v>
      </c>
      <c r="C209" s="20" t="s">
        <v>388</v>
      </c>
      <c r="D209" s="21">
        <v>2100026873</v>
      </c>
      <c r="E209" s="21" t="s">
        <v>1</v>
      </c>
      <c r="F209" s="22">
        <v>362.74</v>
      </c>
      <c r="G209" s="22">
        <v>0</v>
      </c>
      <c r="H209" s="22">
        <v>0</v>
      </c>
      <c r="I209" s="22">
        <v>0</v>
      </c>
      <c r="J209" s="22">
        <v>0</v>
      </c>
      <c r="K209" s="22">
        <v>362.74</v>
      </c>
      <c r="L209" s="22">
        <v>362.74</v>
      </c>
      <c r="M209" s="23">
        <v>45722</v>
      </c>
      <c r="N209" s="23">
        <v>45723</v>
      </c>
      <c r="O209" s="32">
        <v>-329</v>
      </c>
      <c r="P209" s="25" t="s">
        <v>2</v>
      </c>
      <c r="Q209" s="26" t="s">
        <v>59</v>
      </c>
      <c r="R209" s="27" t="s">
        <v>74</v>
      </c>
      <c r="S209" s="28" t="s">
        <v>74</v>
      </c>
      <c r="T209" s="29">
        <v>0</v>
      </c>
      <c r="U209" s="29">
        <v>0</v>
      </c>
      <c r="V209" s="29">
        <v>0</v>
      </c>
      <c r="W209" s="29">
        <v>0</v>
      </c>
      <c r="X209" s="30">
        <v>0</v>
      </c>
      <c r="Y209" s="31">
        <v>0</v>
      </c>
    </row>
    <row r="210" spans="1:25" x14ac:dyDescent="0.3">
      <c r="A210" s="19" t="s">
        <v>18</v>
      </c>
      <c r="B210" s="20" t="s">
        <v>0</v>
      </c>
      <c r="C210" s="20" t="s">
        <v>367</v>
      </c>
      <c r="D210" s="21">
        <v>2100026119</v>
      </c>
      <c r="E210" s="21" t="s">
        <v>1</v>
      </c>
      <c r="F210" s="22">
        <v>271.2</v>
      </c>
      <c r="G210" s="22">
        <v>0</v>
      </c>
      <c r="H210" s="22">
        <v>0</v>
      </c>
      <c r="I210" s="22">
        <v>0</v>
      </c>
      <c r="J210" s="22">
        <v>0</v>
      </c>
      <c r="K210" s="22">
        <v>271.2</v>
      </c>
      <c r="L210" s="22">
        <v>271.2</v>
      </c>
      <c r="M210" s="23">
        <v>45604</v>
      </c>
      <c r="N210" s="23">
        <v>45612</v>
      </c>
      <c r="O210" s="32">
        <v>-440</v>
      </c>
      <c r="P210" s="25" t="s">
        <v>2</v>
      </c>
      <c r="Q210" s="26" t="s">
        <v>59</v>
      </c>
      <c r="R210" s="27" t="s">
        <v>74</v>
      </c>
      <c r="S210" s="28" t="s">
        <v>74</v>
      </c>
      <c r="T210" s="29">
        <v>0</v>
      </c>
      <c r="U210" s="29">
        <v>0</v>
      </c>
      <c r="V210" s="29">
        <v>0</v>
      </c>
      <c r="W210" s="29">
        <v>0</v>
      </c>
      <c r="X210" s="30">
        <v>0</v>
      </c>
      <c r="Y210" s="31">
        <v>0</v>
      </c>
    </row>
    <row r="211" spans="1:25" x14ac:dyDescent="0.3">
      <c r="A211" s="19" t="s">
        <v>303</v>
      </c>
      <c r="B211" s="20" t="s">
        <v>87</v>
      </c>
      <c r="C211" s="20" t="s">
        <v>368</v>
      </c>
      <c r="D211" s="21" t="s">
        <v>337</v>
      </c>
      <c r="E211" s="21" t="s">
        <v>1</v>
      </c>
      <c r="F211" s="22">
        <v>-4435.96</v>
      </c>
      <c r="G211" s="22">
        <v>0</v>
      </c>
      <c r="H211" s="22">
        <v>0</v>
      </c>
      <c r="I211" s="22">
        <v>-4435.96</v>
      </c>
      <c r="J211" s="22">
        <v>0</v>
      </c>
      <c r="K211" s="22">
        <v>0</v>
      </c>
      <c r="L211" s="22">
        <v>-4435.96</v>
      </c>
      <c r="M211" s="23">
        <v>46008</v>
      </c>
      <c r="N211" s="23">
        <v>46008</v>
      </c>
      <c r="O211" s="24">
        <v>-44</v>
      </c>
      <c r="P211" s="25" t="s">
        <v>60</v>
      </c>
      <c r="Q211" s="26" t="s">
        <v>72</v>
      </c>
      <c r="R211" s="27" t="s">
        <v>225</v>
      </c>
      <c r="S211" s="28" t="s">
        <v>225</v>
      </c>
      <c r="T211" s="29">
        <v>0</v>
      </c>
      <c r="U211" s="29">
        <v>0</v>
      </c>
      <c r="V211" s="29">
        <v>0</v>
      </c>
      <c r="W211" s="29">
        <v>0</v>
      </c>
      <c r="X211" s="30">
        <v>0</v>
      </c>
      <c r="Y211" s="31">
        <v>0</v>
      </c>
    </row>
    <row r="212" spans="1:25" x14ac:dyDescent="0.3">
      <c r="A212" s="19" t="s">
        <v>303</v>
      </c>
      <c r="B212" s="20" t="s">
        <v>87</v>
      </c>
      <c r="C212" s="20" t="s">
        <v>368</v>
      </c>
      <c r="D212" s="21" t="s">
        <v>336</v>
      </c>
      <c r="E212" s="21" t="s">
        <v>1</v>
      </c>
      <c r="F212" s="22">
        <v>-4435.96</v>
      </c>
      <c r="G212" s="22">
        <v>0</v>
      </c>
      <c r="H212" s="22">
        <v>0</v>
      </c>
      <c r="I212" s="22">
        <v>-4435.96</v>
      </c>
      <c r="J212" s="22">
        <v>0</v>
      </c>
      <c r="K212" s="22">
        <v>0</v>
      </c>
      <c r="L212" s="22">
        <v>-4435.96</v>
      </c>
      <c r="M212" s="23">
        <v>46020</v>
      </c>
      <c r="N212" s="23">
        <v>46020</v>
      </c>
      <c r="O212" s="32">
        <v>-32</v>
      </c>
      <c r="P212" s="25" t="s">
        <v>60</v>
      </c>
      <c r="Q212" s="26" t="s">
        <v>72</v>
      </c>
      <c r="R212" s="27" t="s">
        <v>225</v>
      </c>
      <c r="S212" s="28" t="s">
        <v>225</v>
      </c>
      <c r="T212" s="29">
        <v>0</v>
      </c>
      <c r="U212" s="29">
        <v>0</v>
      </c>
      <c r="V212" s="29">
        <v>0</v>
      </c>
      <c r="W212" s="29">
        <v>0</v>
      </c>
      <c r="X212" s="30">
        <v>0</v>
      </c>
      <c r="Y212" s="31">
        <v>0</v>
      </c>
    </row>
    <row r="213" spans="1:25" x14ac:dyDescent="0.3">
      <c r="A213" s="19" t="s">
        <v>122</v>
      </c>
      <c r="B213" s="20" t="s">
        <v>87</v>
      </c>
      <c r="C213" s="20" t="s">
        <v>366</v>
      </c>
      <c r="D213" s="21" t="s">
        <v>123</v>
      </c>
      <c r="E213" s="21" t="s">
        <v>1</v>
      </c>
      <c r="F213" s="22">
        <v>-235.04</v>
      </c>
      <c r="G213" s="22">
        <v>0</v>
      </c>
      <c r="H213" s="22">
        <v>0</v>
      </c>
      <c r="I213" s="22">
        <v>0</v>
      </c>
      <c r="J213" s="22">
        <v>0</v>
      </c>
      <c r="K213" s="22">
        <v>-235.04</v>
      </c>
      <c r="L213" s="22">
        <v>-235.04</v>
      </c>
      <c r="M213" s="23">
        <v>45133</v>
      </c>
      <c r="N213" s="23">
        <v>45133</v>
      </c>
      <c r="O213" s="24">
        <v>-919</v>
      </c>
      <c r="P213" s="25" t="s">
        <v>60</v>
      </c>
      <c r="Q213" s="26" t="s">
        <v>72</v>
      </c>
      <c r="R213" s="27" t="s">
        <v>87</v>
      </c>
      <c r="S213" s="28" t="s">
        <v>87</v>
      </c>
      <c r="T213" s="29">
        <v>0</v>
      </c>
      <c r="U213" s="29">
        <v>0</v>
      </c>
      <c r="V213" s="29">
        <v>0</v>
      </c>
      <c r="W213" s="29">
        <v>0</v>
      </c>
      <c r="X213" s="30">
        <v>0</v>
      </c>
      <c r="Y213" s="31">
        <v>0</v>
      </c>
    </row>
    <row r="214" spans="1:25" x14ac:dyDescent="0.3">
      <c r="A214" s="19" t="s">
        <v>196</v>
      </c>
      <c r="B214" s="20" t="s">
        <v>87</v>
      </c>
      <c r="C214" s="20" t="s">
        <v>374</v>
      </c>
      <c r="D214" s="21" t="s">
        <v>197</v>
      </c>
      <c r="E214" s="21" t="s">
        <v>1</v>
      </c>
      <c r="F214" s="22">
        <v>-1378.4201660000001</v>
      </c>
      <c r="G214" s="22">
        <v>0</v>
      </c>
      <c r="H214" s="22">
        <v>0</v>
      </c>
      <c r="I214" s="22">
        <v>0</v>
      </c>
      <c r="J214" s="22">
        <v>0</v>
      </c>
      <c r="K214" s="22">
        <v>-1378.42</v>
      </c>
      <c r="L214" s="22">
        <v>-1378.42</v>
      </c>
      <c r="M214" s="23">
        <v>45441</v>
      </c>
      <c r="N214" s="23">
        <v>45441</v>
      </c>
      <c r="O214" s="32">
        <v>-611</v>
      </c>
      <c r="P214" s="25" t="s">
        <v>60</v>
      </c>
      <c r="Q214" s="26" t="s">
        <v>72</v>
      </c>
      <c r="R214" s="27" t="s">
        <v>225</v>
      </c>
      <c r="S214" s="28" t="s">
        <v>225</v>
      </c>
      <c r="T214" s="29">
        <v>0</v>
      </c>
      <c r="U214" s="29">
        <v>0</v>
      </c>
      <c r="V214" s="29">
        <v>0</v>
      </c>
      <c r="W214" s="29">
        <v>0</v>
      </c>
      <c r="X214" s="30">
        <v>0</v>
      </c>
      <c r="Y214" s="31">
        <v>0</v>
      </c>
    </row>
    <row r="215" spans="1:25" x14ac:dyDescent="0.3">
      <c r="A215" s="19" t="s">
        <v>25</v>
      </c>
      <c r="B215" s="20" t="s">
        <v>0</v>
      </c>
      <c r="C215" s="20" t="s">
        <v>360</v>
      </c>
      <c r="D215" s="21">
        <v>5859</v>
      </c>
      <c r="E215" s="21" t="s">
        <v>1</v>
      </c>
      <c r="F215" s="22">
        <v>262.27999999999997</v>
      </c>
      <c r="G215" s="22">
        <v>0</v>
      </c>
      <c r="H215" s="22">
        <v>0</v>
      </c>
      <c r="I215" s="22">
        <v>0</v>
      </c>
      <c r="J215" s="22">
        <v>0</v>
      </c>
      <c r="K215" s="22">
        <v>262.27999999999997</v>
      </c>
      <c r="L215" s="22">
        <v>262.27999999999997</v>
      </c>
      <c r="M215" s="23">
        <v>45289</v>
      </c>
      <c r="N215" s="23">
        <v>45319</v>
      </c>
      <c r="O215" s="24">
        <v>-733</v>
      </c>
      <c r="P215" s="25" t="s">
        <v>2</v>
      </c>
      <c r="Q215" s="26" t="s">
        <v>59</v>
      </c>
      <c r="R215" s="27" t="s">
        <v>74</v>
      </c>
      <c r="S215" s="28" t="s">
        <v>74</v>
      </c>
      <c r="T215" s="29">
        <v>0</v>
      </c>
      <c r="U215" s="29">
        <v>0</v>
      </c>
      <c r="V215" s="29">
        <v>0</v>
      </c>
      <c r="W215" s="29">
        <v>0</v>
      </c>
      <c r="X215" s="30">
        <v>0</v>
      </c>
      <c r="Y215" s="31">
        <v>0</v>
      </c>
    </row>
    <row r="216" spans="1:25" x14ac:dyDescent="0.3">
      <c r="A216" s="19" t="s">
        <v>256</v>
      </c>
      <c r="B216" s="20" t="s">
        <v>0</v>
      </c>
      <c r="C216" s="20" t="s">
        <v>369</v>
      </c>
      <c r="D216" s="21">
        <v>2100028497</v>
      </c>
      <c r="E216" s="21" t="s">
        <v>1</v>
      </c>
      <c r="F216" s="22">
        <v>184.24</v>
      </c>
      <c r="G216" s="22">
        <v>0</v>
      </c>
      <c r="H216" s="22">
        <v>184.24</v>
      </c>
      <c r="I216" s="22">
        <v>0</v>
      </c>
      <c r="J216" s="22">
        <v>0</v>
      </c>
      <c r="K216" s="22">
        <v>0</v>
      </c>
      <c r="L216" s="22">
        <v>184.24</v>
      </c>
      <c r="M216" s="23">
        <v>45995</v>
      </c>
      <c r="N216" s="23">
        <v>46025</v>
      </c>
      <c r="O216" s="32">
        <v>-27</v>
      </c>
      <c r="P216" s="25" t="s">
        <v>2</v>
      </c>
      <c r="Q216" s="26" t="s">
        <v>59</v>
      </c>
      <c r="R216" s="27" t="s">
        <v>232</v>
      </c>
      <c r="S216" s="28" t="s">
        <v>232</v>
      </c>
      <c r="T216" s="29">
        <v>0</v>
      </c>
      <c r="U216" s="29">
        <v>0</v>
      </c>
      <c r="V216" s="29">
        <v>0</v>
      </c>
      <c r="W216" s="29">
        <v>0</v>
      </c>
      <c r="X216" s="30">
        <v>0</v>
      </c>
      <c r="Y216" s="31">
        <v>0</v>
      </c>
    </row>
    <row r="217" spans="1:25" x14ac:dyDescent="0.3">
      <c r="A217" s="19" t="s">
        <v>35</v>
      </c>
      <c r="B217" s="20" t="s">
        <v>0</v>
      </c>
      <c r="C217" s="20" t="s">
        <v>369</v>
      </c>
      <c r="D217" s="21">
        <v>2100025599</v>
      </c>
      <c r="E217" s="21" t="s">
        <v>1</v>
      </c>
      <c r="F217" s="22">
        <v>203.4</v>
      </c>
      <c r="G217" s="22">
        <v>0</v>
      </c>
      <c r="H217" s="22">
        <v>0</v>
      </c>
      <c r="I217" s="22">
        <v>0</v>
      </c>
      <c r="J217" s="22">
        <v>0</v>
      </c>
      <c r="K217" s="22">
        <v>203.4</v>
      </c>
      <c r="L217" s="22">
        <v>203.4</v>
      </c>
      <c r="M217" s="23">
        <v>45546</v>
      </c>
      <c r="N217" s="23">
        <v>45547</v>
      </c>
      <c r="O217" s="32">
        <v>-505</v>
      </c>
      <c r="P217" s="25" t="s">
        <v>2</v>
      </c>
      <c r="Q217" s="26" t="s">
        <v>59</v>
      </c>
      <c r="R217" s="27" t="s">
        <v>74</v>
      </c>
      <c r="S217" s="28" t="s">
        <v>74</v>
      </c>
      <c r="T217" s="29">
        <v>0</v>
      </c>
      <c r="U217" s="29">
        <v>0</v>
      </c>
      <c r="V217" s="29">
        <v>0</v>
      </c>
      <c r="W217" s="29">
        <v>0</v>
      </c>
      <c r="X217" s="30">
        <v>0</v>
      </c>
      <c r="Y217" s="31">
        <v>0</v>
      </c>
    </row>
    <row r="218" spans="1:25" x14ac:dyDescent="0.3">
      <c r="A218" s="19" t="s">
        <v>28</v>
      </c>
      <c r="B218" s="20" t="s">
        <v>0</v>
      </c>
      <c r="C218" s="20" t="s">
        <v>360</v>
      </c>
      <c r="D218" s="21">
        <v>1935</v>
      </c>
      <c r="E218" s="21" t="s">
        <v>1</v>
      </c>
      <c r="F218" s="22">
        <v>122.64</v>
      </c>
      <c r="G218" s="22">
        <v>0</v>
      </c>
      <c r="H218" s="22">
        <v>0</v>
      </c>
      <c r="I218" s="22">
        <v>0</v>
      </c>
      <c r="J218" s="22">
        <v>0</v>
      </c>
      <c r="K218" s="22">
        <v>122.64</v>
      </c>
      <c r="L218" s="22">
        <v>122.64</v>
      </c>
      <c r="M218" s="23">
        <v>45161</v>
      </c>
      <c r="N218" s="23">
        <v>45161</v>
      </c>
      <c r="O218" s="32">
        <v>-891</v>
      </c>
      <c r="P218" s="25" t="s">
        <v>2</v>
      </c>
      <c r="Q218" s="26" t="s">
        <v>59</v>
      </c>
      <c r="R218" s="27" t="s">
        <v>74</v>
      </c>
      <c r="S218" s="28" t="s">
        <v>74</v>
      </c>
      <c r="T218" s="29">
        <v>0</v>
      </c>
      <c r="U218" s="29">
        <v>0</v>
      </c>
      <c r="V218" s="29">
        <v>0</v>
      </c>
      <c r="W218" s="29">
        <v>0</v>
      </c>
      <c r="X218" s="30">
        <v>0</v>
      </c>
      <c r="Y218" s="31">
        <v>0</v>
      </c>
    </row>
    <row r="219" spans="1:25" x14ac:dyDescent="0.3">
      <c r="A219" s="19" t="s">
        <v>145</v>
      </c>
      <c r="B219" s="20" t="s">
        <v>87</v>
      </c>
      <c r="C219" s="20" t="s">
        <v>374</v>
      </c>
      <c r="D219" s="21" t="s">
        <v>146</v>
      </c>
      <c r="E219" s="21" t="s">
        <v>1</v>
      </c>
      <c r="F219" s="22">
        <v>-406.8</v>
      </c>
      <c r="G219" s="22">
        <v>0</v>
      </c>
      <c r="H219" s="22">
        <v>0</v>
      </c>
      <c r="I219" s="22">
        <v>0</v>
      </c>
      <c r="J219" s="22">
        <v>0</v>
      </c>
      <c r="K219" s="22">
        <v>-406.8</v>
      </c>
      <c r="L219" s="22">
        <v>-406.8</v>
      </c>
      <c r="M219" s="23">
        <v>44852</v>
      </c>
      <c r="N219" s="23">
        <v>44852</v>
      </c>
      <c r="O219" s="32">
        <v>-1200</v>
      </c>
      <c r="P219" s="25" t="s">
        <v>61</v>
      </c>
      <c r="Q219" s="26" t="s">
        <v>72</v>
      </c>
      <c r="R219" s="27" t="s">
        <v>87</v>
      </c>
      <c r="S219" s="28" t="s">
        <v>87</v>
      </c>
      <c r="T219" s="29">
        <v>0</v>
      </c>
      <c r="U219" s="29">
        <v>0</v>
      </c>
      <c r="V219" s="29">
        <v>0</v>
      </c>
      <c r="W219" s="29">
        <v>0</v>
      </c>
      <c r="X219" s="30">
        <v>0</v>
      </c>
      <c r="Y219" s="31">
        <v>0</v>
      </c>
    </row>
    <row r="220" spans="1:25" x14ac:dyDescent="0.3">
      <c r="A220" s="19" t="s">
        <v>178</v>
      </c>
      <c r="B220" s="20" t="s">
        <v>87</v>
      </c>
      <c r="C220" s="20" t="s">
        <v>373</v>
      </c>
      <c r="D220" s="21">
        <v>879</v>
      </c>
      <c r="E220" s="21" t="s">
        <v>1</v>
      </c>
      <c r="F220" s="22">
        <v>-855.84</v>
      </c>
      <c r="G220" s="22">
        <v>0</v>
      </c>
      <c r="H220" s="22">
        <v>0</v>
      </c>
      <c r="I220" s="22">
        <v>0</v>
      </c>
      <c r="J220" s="22">
        <v>0</v>
      </c>
      <c r="K220" s="22">
        <v>-855.84</v>
      </c>
      <c r="L220" s="22">
        <v>-855.84</v>
      </c>
      <c r="M220" s="23">
        <v>42580</v>
      </c>
      <c r="N220" s="23">
        <v>42595</v>
      </c>
      <c r="O220" s="32">
        <v>-3457</v>
      </c>
      <c r="P220" s="25" t="s">
        <v>60</v>
      </c>
      <c r="Q220" s="26" t="s">
        <v>72</v>
      </c>
      <c r="R220" s="27" t="s">
        <v>87</v>
      </c>
      <c r="S220" s="28" t="s">
        <v>87</v>
      </c>
      <c r="T220" s="29">
        <v>0</v>
      </c>
      <c r="U220" s="29">
        <v>0</v>
      </c>
      <c r="V220" s="29">
        <v>0</v>
      </c>
      <c r="W220" s="29">
        <v>0</v>
      </c>
      <c r="X220" s="30">
        <v>0</v>
      </c>
      <c r="Y220" s="31">
        <v>0</v>
      </c>
    </row>
    <row r="221" spans="1:25" x14ac:dyDescent="0.3">
      <c r="A221" s="19" t="s">
        <v>170</v>
      </c>
      <c r="B221" s="20" t="s">
        <v>0</v>
      </c>
      <c r="C221" s="20" t="s">
        <v>367</v>
      </c>
      <c r="D221" s="21">
        <v>2100028371</v>
      </c>
      <c r="E221" s="21" t="s">
        <v>1</v>
      </c>
      <c r="F221" s="22">
        <v>101.91</v>
      </c>
      <c r="G221" s="22">
        <v>0</v>
      </c>
      <c r="H221" s="22">
        <v>0</v>
      </c>
      <c r="I221" s="22">
        <v>101.91</v>
      </c>
      <c r="J221" s="22">
        <v>0</v>
      </c>
      <c r="K221" s="22">
        <v>0</v>
      </c>
      <c r="L221" s="22">
        <v>101.91</v>
      </c>
      <c r="M221" s="23">
        <v>45967</v>
      </c>
      <c r="N221" s="23">
        <v>45997</v>
      </c>
      <c r="O221" s="24">
        <v>-55</v>
      </c>
      <c r="P221" s="25" t="s">
        <v>2</v>
      </c>
      <c r="Q221" s="26" t="s">
        <v>59</v>
      </c>
      <c r="R221" s="27" t="s">
        <v>232</v>
      </c>
      <c r="S221" s="28" t="s">
        <v>232</v>
      </c>
      <c r="T221" s="29">
        <v>0</v>
      </c>
      <c r="U221" s="29">
        <v>0</v>
      </c>
      <c r="V221" s="29">
        <v>0</v>
      </c>
      <c r="W221" s="29">
        <v>0</v>
      </c>
      <c r="X221" s="30">
        <v>0</v>
      </c>
      <c r="Y221" s="31">
        <v>0</v>
      </c>
    </row>
    <row r="222" spans="1:25" x14ac:dyDescent="0.3">
      <c r="A222" s="19" t="s">
        <v>32</v>
      </c>
      <c r="B222" s="20" t="s">
        <v>0</v>
      </c>
      <c r="C222" s="20" t="s">
        <v>376</v>
      </c>
      <c r="D222" s="21">
        <v>2100026366</v>
      </c>
      <c r="E222" s="21" t="s">
        <v>1</v>
      </c>
      <c r="F222" s="22">
        <v>111.97</v>
      </c>
      <c r="G222" s="22">
        <v>0</v>
      </c>
      <c r="H222" s="22">
        <v>0</v>
      </c>
      <c r="I222" s="22">
        <v>0</v>
      </c>
      <c r="J222" s="22">
        <v>0</v>
      </c>
      <c r="K222" s="22">
        <v>111.97</v>
      </c>
      <c r="L222" s="22">
        <v>111.97</v>
      </c>
      <c r="M222" s="23">
        <v>45631</v>
      </c>
      <c r="N222" s="23">
        <v>45661</v>
      </c>
      <c r="O222" s="32">
        <v>-391</v>
      </c>
      <c r="P222" s="25" t="s">
        <v>2</v>
      </c>
      <c r="Q222" s="26" t="s">
        <v>59</v>
      </c>
      <c r="R222" s="27" t="s">
        <v>74</v>
      </c>
      <c r="S222" s="28" t="s">
        <v>74</v>
      </c>
      <c r="T222" s="29">
        <v>0</v>
      </c>
      <c r="U222" s="29">
        <v>0</v>
      </c>
      <c r="V222" s="29">
        <v>0</v>
      </c>
      <c r="W222" s="29">
        <v>0</v>
      </c>
      <c r="X222" s="30">
        <v>0</v>
      </c>
      <c r="Y222" s="31">
        <v>0</v>
      </c>
    </row>
    <row r="223" spans="1:25" x14ac:dyDescent="0.3">
      <c r="A223" s="19" t="s">
        <v>311</v>
      </c>
      <c r="B223" s="20" t="s">
        <v>0</v>
      </c>
      <c r="C223" s="20" t="s">
        <v>369</v>
      </c>
      <c r="D223" s="21">
        <v>2100028494</v>
      </c>
      <c r="E223" s="21" t="s">
        <v>1</v>
      </c>
      <c r="F223" s="22">
        <v>35</v>
      </c>
      <c r="G223" s="22">
        <v>0</v>
      </c>
      <c r="H223" s="22">
        <v>35</v>
      </c>
      <c r="I223" s="22">
        <v>0</v>
      </c>
      <c r="J223" s="22">
        <v>0</v>
      </c>
      <c r="K223" s="22">
        <v>0</v>
      </c>
      <c r="L223" s="22">
        <v>35</v>
      </c>
      <c r="M223" s="23">
        <v>45993</v>
      </c>
      <c r="N223" s="23">
        <v>46038</v>
      </c>
      <c r="O223" s="24">
        <v>-14</v>
      </c>
      <c r="P223" s="25" t="s">
        <v>2</v>
      </c>
      <c r="Q223" s="26" t="s">
        <v>59</v>
      </c>
      <c r="R223" s="27" t="s">
        <v>232</v>
      </c>
      <c r="S223" s="28" t="s">
        <v>232</v>
      </c>
      <c r="T223" s="29">
        <v>0</v>
      </c>
      <c r="U223" s="29">
        <v>0</v>
      </c>
      <c r="V223" s="29">
        <v>0</v>
      </c>
      <c r="W223" s="29">
        <v>0</v>
      </c>
      <c r="X223" s="30">
        <v>0</v>
      </c>
      <c r="Y223" s="31">
        <v>0</v>
      </c>
    </row>
    <row r="224" spans="1:25" x14ac:dyDescent="0.3">
      <c r="A224" s="19" t="s">
        <v>158</v>
      </c>
      <c r="B224" s="20" t="s">
        <v>87</v>
      </c>
      <c r="C224" s="20" t="s">
        <v>371</v>
      </c>
      <c r="D224" s="21" t="s">
        <v>159</v>
      </c>
      <c r="E224" s="21" t="s">
        <v>1</v>
      </c>
      <c r="F224" s="22">
        <v>-480.61</v>
      </c>
      <c r="G224" s="22">
        <v>0</v>
      </c>
      <c r="H224" s="22">
        <v>0</v>
      </c>
      <c r="I224" s="22">
        <v>0</v>
      </c>
      <c r="J224" s="22">
        <v>0</v>
      </c>
      <c r="K224" s="22">
        <v>-480.61</v>
      </c>
      <c r="L224" s="22">
        <v>-480.61</v>
      </c>
      <c r="M224" s="23">
        <v>43657</v>
      </c>
      <c r="N224" s="23">
        <v>43657</v>
      </c>
      <c r="O224" s="32">
        <v>-2395</v>
      </c>
      <c r="P224" s="25" t="s">
        <v>60</v>
      </c>
      <c r="Q224" s="26" t="s">
        <v>72</v>
      </c>
      <c r="R224" s="27" t="s">
        <v>87</v>
      </c>
      <c r="S224" s="28" t="s">
        <v>87</v>
      </c>
      <c r="T224" s="29">
        <v>0</v>
      </c>
      <c r="U224" s="29">
        <v>0</v>
      </c>
      <c r="V224" s="29">
        <v>0</v>
      </c>
      <c r="W224" s="29">
        <v>0</v>
      </c>
      <c r="X224" s="30">
        <v>0</v>
      </c>
      <c r="Y224" s="31">
        <v>0</v>
      </c>
    </row>
    <row r="225" spans="1:25" x14ac:dyDescent="0.3">
      <c r="A225" s="19" t="s">
        <v>156</v>
      </c>
      <c r="B225" s="20" t="s">
        <v>87</v>
      </c>
      <c r="C225" s="20" t="s">
        <v>368</v>
      </c>
      <c r="D225" s="21" t="s">
        <v>157</v>
      </c>
      <c r="E225" s="21" t="s">
        <v>1</v>
      </c>
      <c r="F225" s="22">
        <v>-477.94</v>
      </c>
      <c r="G225" s="22">
        <v>0</v>
      </c>
      <c r="H225" s="22">
        <v>0</v>
      </c>
      <c r="I225" s="22">
        <v>0</v>
      </c>
      <c r="J225" s="22">
        <v>0</v>
      </c>
      <c r="K225" s="22">
        <v>-477.94</v>
      </c>
      <c r="L225" s="22">
        <v>-477.94</v>
      </c>
      <c r="M225" s="23">
        <v>45548</v>
      </c>
      <c r="N225" s="23">
        <v>45548</v>
      </c>
      <c r="O225" s="32">
        <v>-504</v>
      </c>
      <c r="P225" s="25" t="s">
        <v>60</v>
      </c>
      <c r="Q225" s="26" t="s">
        <v>72</v>
      </c>
      <c r="R225" s="27" t="s">
        <v>87</v>
      </c>
      <c r="S225" s="28" t="s">
        <v>87</v>
      </c>
      <c r="T225" s="29">
        <v>0</v>
      </c>
      <c r="U225" s="29">
        <v>0</v>
      </c>
      <c r="V225" s="29">
        <v>0</v>
      </c>
      <c r="W225" s="29">
        <v>0</v>
      </c>
      <c r="X225" s="30">
        <v>0</v>
      </c>
      <c r="Y225" s="31">
        <v>0</v>
      </c>
    </row>
    <row r="226" spans="1:25" x14ac:dyDescent="0.3">
      <c r="A226" s="19" t="s">
        <v>116</v>
      </c>
      <c r="B226" s="20" t="s">
        <v>87</v>
      </c>
      <c r="C226" s="20" t="s">
        <v>391</v>
      </c>
      <c r="D226" s="21" t="s">
        <v>117</v>
      </c>
      <c r="E226" s="21" t="s">
        <v>1</v>
      </c>
      <c r="F226" s="22">
        <v>-193.23</v>
      </c>
      <c r="G226" s="22">
        <v>0</v>
      </c>
      <c r="H226" s="22">
        <v>0</v>
      </c>
      <c r="I226" s="22">
        <v>0</v>
      </c>
      <c r="J226" s="22">
        <v>0</v>
      </c>
      <c r="K226" s="22">
        <v>-193.23</v>
      </c>
      <c r="L226" s="22">
        <v>-193.23</v>
      </c>
      <c r="M226" s="23">
        <v>44938</v>
      </c>
      <c r="N226" s="23">
        <v>44938</v>
      </c>
      <c r="O226" s="32">
        <v>-1114</v>
      </c>
      <c r="P226" s="25" t="s">
        <v>61</v>
      </c>
      <c r="Q226" s="26" t="s">
        <v>72</v>
      </c>
      <c r="R226" s="27" t="s">
        <v>87</v>
      </c>
      <c r="S226" s="28" t="s">
        <v>87</v>
      </c>
      <c r="T226" s="29">
        <v>0</v>
      </c>
      <c r="U226" s="29">
        <v>0</v>
      </c>
      <c r="V226" s="29">
        <v>0</v>
      </c>
      <c r="W226" s="29">
        <v>0</v>
      </c>
      <c r="X226" s="30">
        <v>0</v>
      </c>
      <c r="Y226" s="31">
        <v>0</v>
      </c>
    </row>
    <row r="227" spans="1:25" x14ac:dyDescent="0.3">
      <c r="A227" s="19" t="s">
        <v>131</v>
      </c>
      <c r="B227" s="20" t="s">
        <v>87</v>
      </c>
      <c r="C227" s="20" t="s">
        <v>366</v>
      </c>
      <c r="D227" s="21" t="s">
        <v>132</v>
      </c>
      <c r="E227" s="21" t="s">
        <v>1</v>
      </c>
      <c r="F227" s="22">
        <v>-293.8</v>
      </c>
      <c r="G227" s="22">
        <v>0</v>
      </c>
      <c r="H227" s="22">
        <v>0</v>
      </c>
      <c r="I227" s="22">
        <v>0</v>
      </c>
      <c r="J227" s="22">
        <v>0</v>
      </c>
      <c r="K227" s="22">
        <v>-293.8</v>
      </c>
      <c r="L227" s="22">
        <v>-293.8</v>
      </c>
      <c r="M227" s="23">
        <v>44890</v>
      </c>
      <c r="N227" s="23">
        <v>44890</v>
      </c>
      <c r="O227" s="32">
        <v>-1162</v>
      </c>
      <c r="P227" s="25" t="s">
        <v>61</v>
      </c>
      <c r="Q227" s="26" t="s">
        <v>72</v>
      </c>
      <c r="R227" s="27" t="s">
        <v>87</v>
      </c>
      <c r="S227" s="28" t="s">
        <v>87</v>
      </c>
      <c r="T227" s="29">
        <v>0</v>
      </c>
      <c r="U227" s="29">
        <v>0</v>
      </c>
      <c r="V227" s="29">
        <v>0</v>
      </c>
      <c r="W227" s="29">
        <v>0</v>
      </c>
      <c r="X227" s="30">
        <v>0</v>
      </c>
      <c r="Y227" s="31">
        <v>0</v>
      </c>
    </row>
    <row r="228" spans="1:25" x14ac:dyDescent="0.3">
      <c r="A228" s="19" t="s">
        <v>311</v>
      </c>
      <c r="B228" s="20" t="s">
        <v>0</v>
      </c>
      <c r="C228" s="20" t="s">
        <v>369</v>
      </c>
      <c r="D228" s="21">
        <v>2100028244</v>
      </c>
      <c r="E228" s="21" t="s">
        <v>1</v>
      </c>
      <c r="F228" s="22">
        <v>35</v>
      </c>
      <c r="G228" s="22">
        <v>0</v>
      </c>
      <c r="H228" s="22">
        <v>0</v>
      </c>
      <c r="I228" s="22">
        <v>0</v>
      </c>
      <c r="J228" s="22">
        <v>35</v>
      </c>
      <c r="K228" s="22">
        <v>0</v>
      </c>
      <c r="L228" s="22">
        <v>35</v>
      </c>
      <c r="M228" s="23">
        <v>45944</v>
      </c>
      <c r="N228" s="23">
        <v>45974</v>
      </c>
      <c r="O228" s="32">
        <v>-78</v>
      </c>
      <c r="P228" s="25" t="s">
        <v>2</v>
      </c>
      <c r="Q228" s="26" t="s">
        <v>59</v>
      </c>
      <c r="R228" s="27" t="s">
        <v>232</v>
      </c>
      <c r="S228" s="28" t="s">
        <v>232</v>
      </c>
      <c r="T228" s="29">
        <v>0</v>
      </c>
      <c r="U228" s="29">
        <v>0</v>
      </c>
      <c r="V228" s="29">
        <v>0</v>
      </c>
      <c r="W228" s="29">
        <v>0</v>
      </c>
      <c r="X228" s="30">
        <v>0</v>
      </c>
      <c r="Y228" s="31">
        <v>0</v>
      </c>
    </row>
    <row r="229" spans="1:25" x14ac:dyDescent="0.3">
      <c r="A229" s="19" t="s">
        <v>154</v>
      </c>
      <c r="B229" s="20" t="s">
        <v>87</v>
      </c>
      <c r="C229" s="20" t="s">
        <v>395</v>
      </c>
      <c r="D229" s="21" t="s">
        <v>155</v>
      </c>
      <c r="E229" s="21" t="s">
        <v>1</v>
      </c>
      <c r="F229" s="22">
        <v>-475.29</v>
      </c>
      <c r="G229" s="22">
        <v>0</v>
      </c>
      <c r="H229" s="22">
        <v>0</v>
      </c>
      <c r="I229" s="22">
        <v>0</v>
      </c>
      <c r="J229" s="22">
        <v>0</v>
      </c>
      <c r="K229" s="22">
        <v>-475.29</v>
      </c>
      <c r="L229" s="22">
        <v>-475.29</v>
      </c>
      <c r="M229" s="23">
        <v>43312</v>
      </c>
      <c r="N229" s="23">
        <v>43312</v>
      </c>
      <c r="O229" s="32">
        <v>-2740</v>
      </c>
      <c r="P229" s="25" t="s">
        <v>60</v>
      </c>
      <c r="Q229" s="26" t="s">
        <v>72</v>
      </c>
      <c r="R229" s="27" t="s">
        <v>87</v>
      </c>
      <c r="S229" s="28" t="s">
        <v>87</v>
      </c>
      <c r="T229" s="29">
        <v>0</v>
      </c>
      <c r="U229" s="29">
        <v>0</v>
      </c>
      <c r="V229" s="29">
        <v>0</v>
      </c>
      <c r="W229" s="29">
        <v>0</v>
      </c>
      <c r="X229" s="30">
        <v>0</v>
      </c>
      <c r="Y229" s="31">
        <v>0</v>
      </c>
    </row>
    <row r="230" spans="1:25" x14ac:dyDescent="0.3">
      <c r="A230" s="19" t="s">
        <v>67</v>
      </c>
      <c r="B230" s="20" t="s">
        <v>0</v>
      </c>
      <c r="C230" s="20" t="s">
        <v>372</v>
      </c>
      <c r="D230" s="21">
        <v>70844</v>
      </c>
      <c r="E230" s="21" t="s">
        <v>1</v>
      </c>
      <c r="F230" s="22">
        <v>559.20278399999995</v>
      </c>
      <c r="G230" s="22">
        <v>0</v>
      </c>
      <c r="H230" s="22">
        <v>0</v>
      </c>
      <c r="I230" s="22">
        <v>0</v>
      </c>
      <c r="J230" s="22">
        <v>0</v>
      </c>
      <c r="K230" s="22">
        <v>559.20000000000005</v>
      </c>
      <c r="L230" s="22">
        <v>559.20000000000005</v>
      </c>
      <c r="M230" s="23">
        <v>45653</v>
      </c>
      <c r="N230" s="23">
        <v>45668</v>
      </c>
      <c r="O230" s="24">
        <v>-384</v>
      </c>
      <c r="P230" s="25" t="s">
        <v>60</v>
      </c>
      <c r="Q230" s="26" t="s">
        <v>72</v>
      </c>
      <c r="R230" s="27" t="s">
        <v>74</v>
      </c>
      <c r="S230" s="28" t="s">
        <v>74</v>
      </c>
      <c r="T230" s="29">
        <v>0</v>
      </c>
      <c r="U230" s="29">
        <v>0</v>
      </c>
      <c r="V230" s="29">
        <v>0</v>
      </c>
      <c r="W230" s="29">
        <v>0</v>
      </c>
      <c r="X230" s="30">
        <v>0</v>
      </c>
      <c r="Y230" s="31">
        <v>0</v>
      </c>
    </row>
    <row r="231" spans="1:25" x14ac:dyDescent="0.3">
      <c r="A231" s="19" t="s">
        <v>179</v>
      </c>
      <c r="B231" s="20" t="s">
        <v>87</v>
      </c>
      <c r="C231" s="20" t="s">
        <v>381</v>
      </c>
      <c r="D231" s="21" t="s">
        <v>211</v>
      </c>
      <c r="E231" s="21" t="s">
        <v>1</v>
      </c>
      <c r="F231" s="22">
        <v>-5000</v>
      </c>
      <c r="G231" s="22">
        <v>0</v>
      </c>
      <c r="H231" s="22">
        <v>0</v>
      </c>
      <c r="I231" s="22">
        <v>0</v>
      </c>
      <c r="J231" s="22">
        <v>0</v>
      </c>
      <c r="K231" s="22">
        <v>-5000</v>
      </c>
      <c r="L231" s="22">
        <v>-5000</v>
      </c>
      <c r="M231" s="23">
        <v>45503</v>
      </c>
      <c r="N231" s="23">
        <v>45503</v>
      </c>
      <c r="O231" s="24">
        <v>-549</v>
      </c>
      <c r="P231" s="25" t="s">
        <v>60</v>
      </c>
      <c r="Q231" s="26" t="s">
        <v>72</v>
      </c>
      <c r="R231" s="27" t="s">
        <v>225</v>
      </c>
      <c r="S231" s="28" t="s">
        <v>225</v>
      </c>
      <c r="T231" s="29">
        <v>0</v>
      </c>
      <c r="U231" s="29">
        <v>0</v>
      </c>
      <c r="V231" s="29">
        <v>0</v>
      </c>
      <c r="W231" s="29">
        <v>0</v>
      </c>
      <c r="X231" s="30">
        <v>0</v>
      </c>
      <c r="Y231" s="31">
        <v>0</v>
      </c>
    </row>
    <row r="232" spans="1:25" x14ac:dyDescent="0.3">
      <c r="A232" s="19" t="s">
        <v>179</v>
      </c>
      <c r="B232" s="20" t="s">
        <v>87</v>
      </c>
      <c r="C232" s="20" t="s">
        <v>381</v>
      </c>
      <c r="D232" s="21" t="s">
        <v>212</v>
      </c>
      <c r="E232" s="21" t="s">
        <v>1</v>
      </c>
      <c r="F232" s="22">
        <v>-5000</v>
      </c>
      <c r="G232" s="22">
        <v>0</v>
      </c>
      <c r="H232" s="22">
        <v>0</v>
      </c>
      <c r="I232" s="22">
        <v>0</v>
      </c>
      <c r="J232" s="22">
        <v>0</v>
      </c>
      <c r="K232" s="22">
        <v>-5000</v>
      </c>
      <c r="L232" s="22">
        <v>-5000</v>
      </c>
      <c r="M232" s="23">
        <v>45531</v>
      </c>
      <c r="N232" s="23">
        <v>45531</v>
      </c>
      <c r="O232" s="32">
        <v>-521</v>
      </c>
      <c r="P232" s="25" t="s">
        <v>60</v>
      </c>
      <c r="Q232" s="26" t="s">
        <v>72</v>
      </c>
      <c r="R232" s="27" t="s">
        <v>225</v>
      </c>
      <c r="S232" s="28" t="s">
        <v>225</v>
      </c>
      <c r="T232" s="29">
        <v>0</v>
      </c>
      <c r="U232" s="29">
        <v>0</v>
      </c>
      <c r="V232" s="29">
        <v>0</v>
      </c>
      <c r="W232" s="29">
        <v>0</v>
      </c>
      <c r="X232" s="30">
        <v>0</v>
      </c>
      <c r="Y232" s="31">
        <v>0</v>
      </c>
    </row>
    <row r="233" spans="1:25" x14ac:dyDescent="0.3">
      <c r="A233" s="19" t="s">
        <v>179</v>
      </c>
      <c r="B233" s="20" t="s">
        <v>87</v>
      </c>
      <c r="C233" s="20" t="s">
        <v>381</v>
      </c>
      <c r="D233" s="21" t="s">
        <v>180</v>
      </c>
      <c r="E233" s="21" t="s">
        <v>1</v>
      </c>
      <c r="F233" s="22">
        <v>-1000</v>
      </c>
      <c r="G233" s="22">
        <v>0</v>
      </c>
      <c r="H233" s="22">
        <v>0</v>
      </c>
      <c r="I233" s="22">
        <v>0</v>
      </c>
      <c r="J233" s="22">
        <v>0</v>
      </c>
      <c r="K233" s="22">
        <v>-1000</v>
      </c>
      <c r="L233" s="22">
        <v>-1000</v>
      </c>
      <c r="M233" s="23">
        <v>45422</v>
      </c>
      <c r="N233" s="23">
        <v>45422</v>
      </c>
      <c r="O233" s="32">
        <v>-630</v>
      </c>
      <c r="P233" s="25" t="s">
        <v>60</v>
      </c>
      <c r="Q233" s="26" t="s">
        <v>72</v>
      </c>
      <c r="R233" s="27" t="s">
        <v>225</v>
      </c>
      <c r="S233" s="28" t="s">
        <v>225</v>
      </c>
      <c r="T233" s="29">
        <v>0</v>
      </c>
      <c r="U233" s="29">
        <v>0</v>
      </c>
      <c r="V233" s="29">
        <v>0</v>
      </c>
      <c r="W233" s="29">
        <v>0</v>
      </c>
      <c r="X233" s="30">
        <v>0</v>
      </c>
      <c r="Y233" s="31">
        <v>0</v>
      </c>
    </row>
    <row r="234" spans="1:25" x14ac:dyDescent="0.3">
      <c r="A234" s="19" t="s">
        <v>133</v>
      </c>
      <c r="B234" s="20" t="s">
        <v>87</v>
      </c>
      <c r="C234" s="20" t="s">
        <v>397</v>
      </c>
      <c r="D234" s="21" t="s">
        <v>134</v>
      </c>
      <c r="E234" s="21" t="s">
        <v>1</v>
      </c>
      <c r="F234" s="22">
        <v>-296</v>
      </c>
      <c r="G234" s="22">
        <v>0</v>
      </c>
      <c r="H234" s="22">
        <v>0</v>
      </c>
      <c r="I234" s="22">
        <v>0</v>
      </c>
      <c r="J234" s="22">
        <v>0</v>
      </c>
      <c r="K234" s="22">
        <v>-296</v>
      </c>
      <c r="L234" s="22">
        <v>-296</v>
      </c>
      <c r="M234" s="23">
        <v>44238</v>
      </c>
      <c r="N234" s="23">
        <v>44238</v>
      </c>
      <c r="O234" s="24">
        <v>-1814</v>
      </c>
      <c r="P234" s="25" t="s">
        <v>60</v>
      </c>
      <c r="Q234" s="26" t="s">
        <v>72</v>
      </c>
      <c r="R234" s="27" t="s">
        <v>87</v>
      </c>
      <c r="S234" s="28" t="s">
        <v>87</v>
      </c>
      <c r="T234" s="29">
        <v>0</v>
      </c>
      <c r="U234" s="29">
        <v>0</v>
      </c>
      <c r="V234" s="29">
        <v>0</v>
      </c>
      <c r="W234" s="29">
        <v>0</v>
      </c>
      <c r="X234" s="30">
        <v>0</v>
      </c>
      <c r="Y234" s="31">
        <v>0</v>
      </c>
    </row>
    <row r="235" spans="1:25" x14ac:dyDescent="0.3">
      <c r="A235" s="19" t="s">
        <v>68</v>
      </c>
      <c r="B235" s="20" t="s">
        <v>0</v>
      </c>
      <c r="C235" s="20" t="s">
        <v>374</v>
      </c>
      <c r="D235" s="21">
        <v>70467</v>
      </c>
      <c r="E235" s="21" t="s">
        <v>1</v>
      </c>
      <c r="F235" s="22">
        <v>914.62</v>
      </c>
      <c r="G235" s="22">
        <v>0</v>
      </c>
      <c r="H235" s="22">
        <v>0</v>
      </c>
      <c r="I235" s="22">
        <v>0</v>
      </c>
      <c r="J235" s="22">
        <v>0</v>
      </c>
      <c r="K235" s="22">
        <v>914.62</v>
      </c>
      <c r="L235" s="22">
        <v>914.62</v>
      </c>
      <c r="M235" s="23">
        <v>45154</v>
      </c>
      <c r="N235" s="23">
        <v>45155</v>
      </c>
      <c r="O235" s="32">
        <v>-897</v>
      </c>
      <c r="P235" s="25" t="s">
        <v>61</v>
      </c>
      <c r="Q235" s="26" t="s">
        <v>72</v>
      </c>
      <c r="R235" s="27" t="s">
        <v>74</v>
      </c>
      <c r="S235" s="28" t="s">
        <v>74</v>
      </c>
      <c r="T235" s="29">
        <v>0</v>
      </c>
      <c r="U235" s="29">
        <v>0</v>
      </c>
      <c r="V235" s="29">
        <v>0</v>
      </c>
      <c r="W235" s="29">
        <v>0</v>
      </c>
      <c r="X235" s="30">
        <v>0</v>
      </c>
      <c r="Y235" s="31">
        <v>0</v>
      </c>
    </row>
    <row r="236" spans="1:25" x14ac:dyDescent="0.3">
      <c r="A236" s="19" t="s">
        <v>311</v>
      </c>
      <c r="B236" s="20" t="s">
        <v>0</v>
      </c>
      <c r="C236" s="20" t="s">
        <v>369</v>
      </c>
      <c r="D236" s="21">
        <v>2100028399</v>
      </c>
      <c r="E236" s="21" t="s">
        <v>1</v>
      </c>
      <c r="F236" s="22">
        <v>35</v>
      </c>
      <c r="G236" s="22">
        <v>0</v>
      </c>
      <c r="H236" s="22">
        <v>0</v>
      </c>
      <c r="I236" s="22">
        <v>35</v>
      </c>
      <c r="J236" s="22">
        <v>0</v>
      </c>
      <c r="K236" s="22">
        <v>0</v>
      </c>
      <c r="L236" s="22">
        <v>35</v>
      </c>
      <c r="M236" s="23">
        <v>45975</v>
      </c>
      <c r="N236" s="23">
        <v>46005</v>
      </c>
      <c r="O236" s="32">
        <v>-47</v>
      </c>
      <c r="P236" s="25" t="s">
        <v>2</v>
      </c>
      <c r="Q236" s="26" t="s">
        <v>59</v>
      </c>
      <c r="R236" s="27" t="s">
        <v>232</v>
      </c>
      <c r="S236" s="28" t="s">
        <v>232</v>
      </c>
      <c r="T236" s="29">
        <v>0</v>
      </c>
      <c r="U236" s="29">
        <v>0</v>
      </c>
      <c r="V236" s="29">
        <v>0</v>
      </c>
      <c r="W236" s="29">
        <v>0</v>
      </c>
      <c r="X236" s="30">
        <v>0</v>
      </c>
      <c r="Y236" s="31">
        <v>0</v>
      </c>
    </row>
    <row r="237" spans="1:25" x14ac:dyDescent="0.3">
      <c r="A237" s="19" t="s">
        <v>136</v>
      </c>
      <c r="B237" s="20" t="s">
        <v>87</v>
      </c>
      <c r="C237" s="20" t="s">
        <v>385</v>
      </c>
      <c r="D237" s="21">
        <v>1183</v>
      </c>
      <c r="E237" s="21" t="s">
        <v>1</v>
      </c>
      <c r="F237" s="22">
        <v>-345.73</v>
      </c>
      <c r="G237" s="22">
        <v>0</v>
      </c>
      <c r="H237" s="22">
        <v>0</v>
      </c>
      <c r="I237" s="22">
        <v>0</v>
      </c>
      <c r="J237" s="22">
        <v>0</v>
      </c>
      <c r="K237" s="22">
        <v>-345.73</v>
      </c>
      <c r="L237" s="22">
        <v>-345.73</v>
      </c>
      <c r="M237" s="23">
        <v>43642</v>
      </c>
      <c r="N237" s="23">
        <v>43672</v>
      </c>
      <c r="O237" s="32">
        <v>-2380</v>
      </c>
      <c r="P237" s="25" t="s">
        <v>60</v>
      </c>
      <c r="Q237" s="26" t="s">
        <v>72</v>
      </c>
      <c r="R237" s="27" t="s">
        <v>87</v>
      </c>
      <c r="S237" s="28" t="s">
        <v>87</v>
      </c>
      <c r="T237" s="29">
        <v>0</v>
      </c>
      <c r="U237" s="29">
        <v>0</v>
      </c>
      <c r="V237" s="29">
        <v>0</v>
      </c>
      <c r="W237" s="29">
        <v>0</v>
      </c>
      <c r="X237" s="30">
        <v>0</v>
      </c>
      <c r="Y237" s="31">
        <v>0</v>
      </c>
    </row>
    <row r="238" spans="1:25" x14ac:dyDescent="0.3">
      <c r="A238" s="19" t="s">
        <v>296</v>
      </c>
      <c r="B238" s="20" t="s">
        <v>0</v>
      </c>
      <c r="C238" s="20" t="s">
        <v>367</v>
      </c>
      <c r="D238" s="21">
        <v>2100028320</v>
      </c>
      <c r="E238" s="21" t="s">
        <v>1</v>
      </c>
      <c r="F238" s="22">
        <v>30</v>
      </c>
      <c r="G238" s="22">
        <v>0</v>
      </c>
      <c r="H238" s="22">
        <v>0</v>
      </c>
      <c r="I238" s="22">
        <v>0</v>
      </c>
      <c r="J238" s="22">
        <v>30</v>
      </c>
      <c r="K238" s="22">
        <v>0</v>
      </c>
      <c r="L238" s="22">
        <v>30</v>
      </c>
      <c r="M238" s="23">
        <v>45960</v>
      </c>
      <c r="N238" s="23">
        <v>45990</v>
      </c>
      <c r="O238" s="32">
        <v>-62</v>
      </c>
      <c r="P238" s="25" t="s">
        <v>2</v>
      </c>
      <c r="Q238" s="26" t="s">
        <v>59</v>
      </c>
      <c r="R238" s="27" t="s">
        <v>232</v>
      </c>
      <c r="S238" s="28" t="s">
        <v>232</v>
      </c>
      <c r="T238" s="29">
        <v>0</v>
      </c>
      <c r="U238" s="29">
        <v>0</v>
      </c>
      <c r="V238" s="29">
        <v>0</v>
      </c>
      <c r="W238" s="29">
        <v>0</v>
      </c>
      <c r="X238" s="30">
        <v>0</v>
      </c>
      <c r="Y238" s="31">
        <v>0</v>
      </c>
    </row>
    <row r="239" spans="1:25" x14ac:dyDescent="0.3">
      <c r="A239" s="19" t="s">
        <v>274</v>
      </c>
      <c r="B239" s="20" t="s">
        <v>0</v>
      </c>
      <c r="C239" s="20" t="s">
        <v>367</v>
      </c>
      <c r="D239" s="21">
        <v>2100028444</v>
      </c>
      <c r="E239" s="21" t="s">
        <v>1</v>
      </c>
      <c r="F239" s="22">
        <v>7.41</v>
      </c>
      <c r="G239" s="22">
        <v>0</v>
      </c>
      <c r="H239" s="22">
        <v>0</v>
      </c>
      <c r="I239" s="22">
        <v>7.41</v>
      </c>
      <c r="J239" s="22">
        <v>0</v>
      </c>
      <c r="K239" s="22">
        <v>0</v>
      </c>
      <c r="L239" s="22">
        <v>7.41</v>
      </c>
      <c r="M239" s="23">
        <v>45988</v>
      </c>
      <c r="N239" s="23">
        <v>46018</v>
      </c>
      <c r="O239" s="24">
        <v>-34</v>
      </c>
      <c r="P239" s="25" t="s">
        <v>2</v>
      </c>
      <c r="Q239" s="26" t="s">
        <v>59</v>
      </c>
      <c r="R239" s="27" t="s">
        <v>232</v>
      </c>
      <c r="S239" s="28" t="s">
        <v>232</v>
      </c>
      <c r="T239" s="29">
        <v>0</v>
      </c>
      <c r="U239" s="29">
        <v>0</v>
      </c>
      <c r="V239" s="29">
        <v>0</v>
      </c>
      <c r="W239" s="29">
        <v>0</v>
      </c>
      <c r="X239" s="30">
        <v>0</v>
      </c>
      <c r="Y239" s="31">
        <v>0</v>
      </c>
    </row>
    <row r="240" spans="1:25" x14ac:dyDescent="0.3">
      <c r="A240" s="19" t="s">
        <v>243</v>
      </c>
      <c r="B240" s="20" t="s">
        <v>0</v>
      </c>
      <c r="C240" s="20" t="s">
        <v>367</v>
      </c>
      <c r="D240" s="21">
        <v>2100027324</v>
      </c>
      <c r="E240" s="21" t="s">
        <v>1</v>
      </c>
      <c r="F240" s="22">
        <v>0.01</v>
      </c>
      <c r="G240" s="22">
        <v>0</v>
      </c>
      <c r="H240" s="22">
        <v>0</v>
      </c>
      <c r="I240" s="22">
        <v>0</v>
      </c>
      <c r="J240" s="22">
        <v>0</v>
      </c>
      <c r="K240" s="22">
        <v>0.01</v>
      </c>
      <c r="L240" s="22">
        <v>0.01</v>
      </c>
      <c r="M240" s="23">
        <v>45805</v>
      </c>
      <c r="N240" s="23">
        <v>45835</v>
      </c>
      <c r="O240" s="32">
        <v>-217</v>
      </c>
      <c r="P240" s="25" t="s">
        <v>2</v>
      </c>
      <c r="Q240" s="26" t="s">
        <v>59</v>
      </c>
      <c r="R240" s="27" t="s">
        <v>232</v>
      </c>
      <c r="S240" s="28" t="s">
        <v>232</v>
      </c>
      <c r="T240" s="29">
        <v>0</v>
      </c>
      <c r="U240" s="29">
        <v>0</v>
      </c>
      <c r="V240" s="29">
        <v>0</v>
      </c>
      <c r="W240" s="29">
        <v>0</v>
      </c>
      <c r="X240" s="30">
        <v>0</v>
      </c>
      <c r="Y240" s="31">
        <v>0</v>
      </c>
    </row>
    <row r="241" spans="1:25" x14ac:dyDescent="0.3">
      <c r="A241" s="19" t="s">
        <v>30</v>
      </c>
      <c r="B241" s="20" t="s">
        <v>87</v>
      </c>
      <c r="C241" s="20" t="s">
        <v>392</v>
      </c>
      <c r="D241" s="21" t="s">
        <v>230</v>
      </c>
      <c r="E241" s="21" t="s">
        <v>1</v>
      </c>
      <c r="F241" s="22">
        <v>-13.86</v>
      </c>
      <c r="G241" s="22">
        <v>0</v>
      </c>
      <c r="H241" s="22">
        <v>0</v>
      </c>
      <c r="I241" s="22">
        <v>0</v>
      </c>
      <c r="J241" s="22">
        <v>0</v>
      </c>
      <c r="K241" s="22">
        <v>-13.86</v>
      </c>
      <c r="L241" s="22">
        <v>-13.86</v>
      </c>
      <c r="M241" s="23">
        <v>45741</v>
      </c>
      <c r="N241" s="23">
        <v>45741</v>
      </c>
      <c r="O241" s="32">
        <v>-311</v>
      </c>
      <c r="P241" s="25" t="s">
        <v>2</v>
      </c>
      <c r="Q241" s="26" t="s">
        <v>59</v>
      </c>
      <c r="R241" s="27" t="s">
        <v>87</v>
      </c>
      <c r="S241" s="28" t="s">
        <v>87</v>
      </c>
      <c r="T241" s="29">
        <v>0</v>
      </c>
      <c r="U241" s="29">
        <v>0</v>
      </c>
      <c r="V241" s="29">
        <v>0</v>
      </c>
      <c r="W241" s="29">
        <v>0</v>
      </c>
      <c r="X241" s="30">
        <v>0</v>
      </c>
      <c r="Y241" s="31">
        <v>0</v>
      </c>
    </row>
    <row r="242" spans="1:25" x14ac:dyDescent="0.3">
      <c r="A242" s="19" t="s">
        <v>88</v>
      </c>
      <c r="B242" s="20" t="s">
        <v>87</v>
      </c>
      <c r="C242" s="20" t="s">
        <v>360</v>
      </c>
      <c r="D242" s="21">
        <v>6020</v>
      </c>
      <c r="E242" s="21" t="s">
        <v>1</v>
      </c>
      <c r="F242" s="22">
        <v>-18.13</v>
      </c>
      <c r="G242" s="22">
        <v>0</v>
      </c>
      <c r="H242" s="22">
        <v>0</v>
      </c>
      <c r="I242" s="22">
        <v>0</v>
      </c>
      <c r="J242" s="22">
        <v>0</v>
      </c>
      <c r="K242" s="22">
        <v>-18.13</v>
      </c>
      <c r="L242" s="22">
        <v>-18.13</v>
      </c>
      <c r="M242" s="23">
        <v>45261</v>
      </c>
      <c r="N242" s="23">
        <v>45261</v>
      </c>
      <c r="O242" s="32">
        <v>-791</v>
      </c>
      <c r="P242" s="25" t="s">
        <v>2</v>
      </c>
      <c r="Q242" s="26" t="s">
        <v>59</v>
      </c>
      <c r="R242" s="27" t="s">
        <v>87</v>
      </c>
      <c r="S242" s="28" t="s">
        <v>87</v>
      </c>
      <c r="T242" s="29">
        <v>0</v>
      </c>
      <c r="U242" s="29">
        <v>0</v>
      </c>
      <c r="V242" s="29">
        <v>0</v>
      </c>
      <c r="W242" s="29">
        <v>0</v>
      </c>
      <c r="X242" s="30">
        <v>0</v>
      </c>
      <c r="Y242" s="31">
        <v>0</v>
      </c>
    </row>
    <row r="243" spans="1:25" x14ac:dyDescent="0.3">
      <c r="A243" s="19" t="s">
        <v>245</v>
      </c>
      <c r="B243" s="20" t="s">
        <v>87</v>
      </c>
      <c r="C243" s="20" t="s">
        <v>369</v>
      </c>
      <c r="D243" s="21" t="s">
        <v>267</v>
      </c>
      <c r="E243" s="21" t="s">
        <v>1</v>
      </c>
      <c r="F243" s="22">
        <v>-19.329999999999998</v>
      </c>
      <c r="G243" s="22">
        <v>0</v>
      </c>
      <c r="H243" s="22">
        <v>0</v>
      </c>
      <c r="I243" s="22">
        <v>0</v>
      </c>
      <c r="J243" s="22">
        <v>0</v>
      </c>
      <c r="K243" s="22">
        <v>-19.329999999999998</v>
      </c>
      <c r="L243" s="22">
        <v>-19.329999999999998</v>
      </c>
      <c r="M243" s="23">
        <v>45854</v>
      </c>
      <c r="N243" s="23">
        <v>45854</v>
      </c>
      <c r="O243" s="24">
        <v>-198</v>
      </c>
      <c r="P243" s="25" t="s">
        <v>2</v>
      </c>
      <c r="Q243" s="26" t="s">
        <v>59</v>
      </c>
      <c r="R243" s="27" t="s">
        <v>87</v>
      </c>
      <c r="S243" s="28" t="s">
        <v>87</v>
      </c>
      <c r="T243" s="29">
        <v>0</v>
      </c>
      <c r="U243" s="29">
        <v>0</v>
      </c>
      <c r="V243" s="29">
        <v>0</v>
      </c>
      <c r="W243" s="29">
        <v>0</v>
      </c>
      <c r="X243" s="30">
        <v>0</v>
      </c>
      <c r="Y243" s="31">
        <v>0</v>
      </c>
    </row>
    <row r="244" spans="1:25" x14ac:dyDescent="0.3">
      <c r="A244" s="19" t="s">
        <v>89</v>
      </c>
      <c r="B244" s="20" t="s">
        <v>87</v>
      </c>
      <c r="C244" s="20" t="s">
        <v>368</v>
      </c>
      <c r="D244" s="21" t="s">
        <v>90</v>
      </c>
      <c r="E244" s="21" t="s">
        <v>1</v>
      </c>
      <c r="F244" s="22">
        <v>-19.48</v>
      </c>
      <c r="G244" s="22">
        <v>0</v>
      </c>
      <c r="H244" s="22">
        <v>0</v>
      </c>
      <c r="I244" s="22">
        <v>0</v>
      </c>
      <c r="J244" s="22">
        <v>0</v>
      </c>
      <c r="K244" s="22">
        <v>-19.48</v>
      </c>
      <c r="L244" s="22">
        <v>-19.48</v>
      </c>
      <c r="M244" s="23">
        <v>45511</v>
      </c>
      <c r="N244" s="23">
        <v>45511</v>
      </c>
      <c r="O244" s="32">
        <v>-541</v>
      </c>
      <c r="P244" s="25" t="s">
        <v>2</v>
      </c>
      <c r="Q244" s="26" t="s">
        <v>59</v>
      </c>
      <c r="R244" s="27" t="s">
        <v>87</v>
      </c>
      <c r="S244" s="28" t="s">
        <v>87</v>
      </c>
      <c r="T244" s="29">
        <v>0</v>
      </c>
      <c r="U244" s="29">
        <v>0</v>
      </c>
      <c r="V244" s="29">
        <v>0</v>
      </c>
      <c r="W244" s="29">
        <v>0</v>
      </c>
      <c r="X244" s="30">
        <v>0</v>
      </c>
      <c r="Y244" s="31">
        <v>0</v>
      </c>
    </row>
    <row r="245" spans="1:25" x14ac:dyDescent="0.3">
      <c r="A245" s="19" t="s">
        <v>281</v>
      </c>
      <c r="B245" s="20" t="s">
        <v>87</v>
      </c>
      <c r="C245" s="20" t="s">
        <v>360</v>
      </c>
      <c r="D245" s="21">
        <v>15</v>
      </c>
      <c r="E245" s="21" t="s">
        <v>1</v>
      </c>
      <c r="F245" s="22">
        <v>-39.967911000000001</v>
      </c>
      <c r="G245" s="22">
        <v>0</v>
      </c>
      <c r="H245" s="22">
        <v>0</v>
      </c>
      <c r="I245" s="22">
        <v>0</v>
      </c>
      <c r="J245" s="22">
        <v>0</v>
      </c>
      <c r="K245" s="22">
        <v>-39.97</v>
      </c>
      <c r="L245" s="22">
        <v>-39.97</v>
      </c>
      <c r="M245" s="23">
        <v>44057</v>
      </c>
      <c r="N245" s="23">
        <v>44057</v>
      </c>
      <c r="O245" s="24">
        <v>-1995</v>
      </c>
      <c r="P245" s="25" t="s">
        <v>2</v>
      </c>
      <c r="Q245" s="26" t="s">
        <v>59</v>
      </c>
      <c r="R245" s="27" t="s">
        <v>87</v>
      </c>
      <c r="S245" s="28" t="s">
        <v>87</v>
      </c>
      <c r="T245" s="29">
        <v>0</v>
      </c>
      <c r="U245" s="29">
        <v>0</v>
      </c>
      <c r="V245" s="29">
        <v>0</v>
      </c>
      <c r="W245" s="29">
        <v>0</v>
      </c>
      <c r="X245" s="30">
        <v>0</v>
      </c>
      <c r="Y245" s="31">
        <v>0</v>
      </c>
    </row>
    <row r="246" spans="1:25" x14ac:dyDescent="0.3">
      <c r="A246" s="19" t="s">
        <v>291</v>
      </c>
      <c r="B246" s="20" t="s">
        <v>87</v>
      </c>
      <c r="C246" s="20" t="s">
        <v>367</v>
      </c>
      <c r="D246" s="21" t="s">
        <v>292</v>
      </c>
      <c r="E246" s="21" t="s">
        <v>1</v>
      </c>
      <c r="F246" s="22">
        <v>-50</v>
      </c>
      <c r="G246" s="22">
        <v>0</v>
      </c>
      <c r="H246" s="22">
        <v>0</v>
      </c>
      <c r="I246" s="22">
        <v>0</v>
      </c>
      <c r="J246" s="22">
        <v>0</v>
      </c>
      <c r="K246" s="22">
        <v>-50</v>
      </c>
      <c r="L246" s="22">
        <v>-50</v>
      </c>
      <c r="M246" s="23">
        <v>45898</v>
      </c>
      <c r="N246" s="23">
        <v>45898</v>
      </c>
      <c r="O246" s="32">
        <v>-154</v>
      </c>
      <c r="P246" s="25" t="s">
        <v>2</v>
      </c>
      <c r="Q246" s="26" t="s">
        <v>59</v>
      </c>
      <c r="R246" s="27" t="s">
        <v>87</v>
      </c>
      <c r="S246" s="28" t="s">
        <v>87</v>
      </c>
      <c r="T246" s="29">
        <v>0</v>
      </c>
      <c r="U246" s="29">
        <v>0</v>
      </c>
      <c r="V246" s="29">
        <v>0</v>
      </c>
      <c r="W246" s="29">
        <v>0</v>
      </c>
      <c r="X246" s="30">
        <v>0</v>
      </c>
      <c r="Y246" s="31">
        <v>0</v>
      </c>
    </row>
    <row r="247" spans="1:25" x14ac:dyDescent="0.3">
      <c r="A247" s="19" t="s">
        <v>33</v>
      </c>
      <c r="B247" s="20" t="s">
        <v>87</v>
      </c>
      <c r="C247" s="20" t="s">
        <v>360</v>
      </c>
      <c r="D247" s="21">
        <v>6485</v>
      </c>
      <c r="E247" s="21" t="s">
        <v>1</v>
      </c>
      <c r="F247" s="22">
        <v>-54.58</v>
      </c>
      <c r="G247" s="22">
        <v>0</v>
      </c>
      <c r="H247" s="22">
        <v>0</v>
      </c>
      <c r="I247" s="22">
        <v>0</v>
      </c>
      <c r="J247" s="22">
        <v>0</v>
      </c>
      <c r="K247" s="22">
        <v>-54.58</v>
      </c>
      <c r="L247" s="22">
        <v>-54.58</v>
      </c>
      <c r="M247" s="23">
        <v>45320</v>
      </c>
      <c r="N247" s="23">
        <v>45320</v>
      </c>
      <c r="O247" s="32">
        <v>-732</v>
      </c>
      <c r="P247" s="25" t="s">
        <v>2</v>
      </c>
      <c r="Q247" s="26" t="s">
        <v>59</v>
      </c>
      <c r="R247" s="27" t="s">
        <v>87</v>
      </c>
      <c r="S247" s="28" t="s">
        <v>87</v>
      </c>
      <c r="T247" s="29">
        <v>0</v>
      </c>
      <c r="U247" s="29">
        <v>0</v>
      </c>
      <c r="V247" s="29">
        <v>0</v>
      </c>
      <c r="W247" s="29">
        <v>0</v>
      </c>
      <c r="X247" s="30">
        <v>0</v>
      </c>
      <c r="Y247" s="31">
        <v>0</v>
      </c>
    </row>
    <row r="248" spans="1:25" x14ac:dyDescent="0.3">
      <c r="A248" s="19" t="s">
        <v>69</v>
      </c>
      <c r="B248" s="20" t="s">
        <v>0</v>
      </c>
      <c r="C248" s="20" t="s">
        <v>390</v>
      </c>
      <c r="D248" s="21">
        <v>70492</v>
      </c>
      <c r="E248" s="21" t="s">
        <v>1</v>
      </c>
      <c r="F248" s="22">
        <v>8002.24</v>
      </c>
      <c r="G248" s="22">
        <v>0</v>
      </c>
      <c r="H248" s="22">
        <v>0</v>
      </c>
      <c r="I248" s="22">
        <v>0</v>
      </c>
      <c r="J248" s="22">
        <v>0</v>
      </c>
      <c r="K248" s="22">
        <v>8002.24</v>
      </c>
      <c r="L248" s="22">
        <v>8002.24</v>
      </c>
      <c r="M248" s="23">
        <v>45197</v>
      </c>
      <c r="N248" s="23">
        <v>45212</v>
      </c>
      <c r="O248" s="32">
        <v>-840</v>
      </c>
      <c r="P248" s="25" t="s">
        <v>60</v>
      </c>
      <c r="Q248" s="26" t="s">
        <v>72</v>
      </c>
      <c r="R248" s="27" t="s">
        <v>74</v>
      </c>
      <c r="S248" s="28" t="s">
        <v>74</v>
      </c>
      <c r="T248" s="29">
        <v>0</v>
      </c>
      <c r="U248" s="29">
        <v>0</v>
      </c>
      <c r="V248" s="29">
        <v>0</v>
      </c>
      <c r="W248" s="29">
        <v>0</v>
      </c>
      <c r="X248" s="30">
        <v>0</v>
      </c>
      <c r="Y248" s="31">
        <v>0</v>
      </c>
    </row>
    <row r="249" spans="1:25" x14ac:dyDescent="0.3">
      <c r="A249" s="19" t="s">
        <v>69</v>
      </c>
      <c r="B249" s="20" t="s">
        <v>0</v>
      </c>
      <c r="C249" s="20" t="s">
        <v>390</v>
      </c>
      <c r="D249" s="21">
        <v>70568</v>
      </c>
      <c r="E249" s="21" t="s">
        <v>1</v>
      </c>
      <c r="F249" s="22">
        <v>2708.12</v>
      </c>
      <c r="G249" s="22">
        <v>0</v>
      </c>
      <c r="H249" s="22">
        <v>0</v>
      </c>
      <c r="I249" s="22">
        <v>0</v>
      </c>
      <c r="J249" s="22">
        <v>0</v>
      </c>
      <c r="K249" s="22">
        <v>2708.12</v>
      </c>
      <c r="L249" s="22">
        <v>2708.12</v>
      </c>
      <c r="M249" s="23">
        <v>45273</v>
      </c>
      <c r="N249" s="23">
        <v>45288</v>
      </c>
      <c r="O249" s="32">
        <v>-764</v>
      </c>
      <c r="P249" s="25" t="s">
        <v>60</v>
      </c>
      <c r="Q249" s="26" t="s">
        <v>72</v>
      </c>
      <c r="R249" s="27" t="s">
        <v>74</v>
      </c>
      <c r="S249" s="28" t="s">
        <v>74</v>
      </c>
      <c r="T249" s="29">
        <v>0</v>
      </c>
      <c r="U249" s="29">
        <v>0</v>
      </c>
      <c r="V249" s="29">
        <v>0</v>
      </c>
      <c r="W249" s="29">
        <v>0</v>
      </c>
      <c r="X249" s="30">
        <v>0</v>
      </c>
      <c r="Y249" s="31">
        <v>0</v>
      </c>
    </row>
    <row r="250" spans="1:25" x14ac:dyDescent="0.3">
      <c r="A250" s="19" t="s">
        <v>338</v>
      </c>
      <c r="B250" s="20" t="s">
        <v>87</v>
      </c>
      <c r="C250" s="20" t="s">
        <v>361</v>
      </c>
      <c r="D250" s="21" t="s">
        <v>339</v>
      </c>
      <c r="E250" s="21" t="s">
        <v>1</v>
      </c>
      <c r="F250" s="22">
        <v>-56</v>
      </c>
      <c r="G250" s="22">
        <v>0</v>
      </c>
      <c r="H250" s="22">
        <v>0</v>
      </c>
      <c r="I250" s="22">
        <v>-56</v>
      </c>
      <c r="J250" s="22">
        <v>0</v>
      </c>
      <c r="K250" s="22">
        <v>0</v>
      </c>
      <c r="L250" s="22">
        <v>-56</v>
      </c>
      <c r="M250" s="23">
        <v>46013</v>
      </c>
      <c r="N250" s="23">
        <v>46013</v>
      </c>
      <c r="O250" s="24">
        <v>-39</v>
      </c>
      <c r="P250" s="25" t="s">
        <v>2</v>
      </c>
      <c r="Q250" s="26" t="s">
        <v>59</v>
      </c>
      <c r="R250" s="27" t="s">
        <v>232</v>
      </c>
      <c r="S250" s="28" t="s">
        <v>232</v>
      </c>
      <c r="T250" s="29">
        <v>0</v>
      </c>
      <c r="U250" s="29">
        <v>0</v>
      </c>
      <c r="V250" s="29">
        <v>0</v>
      </c>
      <c r="W250" s="29">
        <v>0</v>
      </c>
      <c r="X250" s="30">
        <v>0</v>
      </c>
      <c r="Y250" s="31">
        <v>0</v>
      </c>
    </row>
    <row r="251" spans="1:25" x14ac:dyDescent="0.3">
      <c r="A251" s="19" t="s">
        <v>338</v>
      </c>
      <c r="B251" s="20" t="s">
        <v>87</v>
      </c>
      <c r="C251" s="20" t="s">
        <v>361</v>
      </c>
      <c r="D251" s="21" t="s">
        <v>340</v>
      </c>
      <c r="E251" s="21" t="s">
        <v>1</v>
      </c>
      <c r="F251" s="22">
        <v>-56</v>
      </c>
      <c r="G251" s="22">
        <v>0</v>
      </c>
      <c r="H251" s="22">
        <v>0</v>
      </c>
      <c r="I251" s="22">
        <v>-56</v>
      </c>
      <c r="J251" s="22">
        <v>0</v>
      </c>
      <c r="K251" s="22">
        <v>0</v>
      </c>
      <c r="L251" s="22">
        <v>-56</v>
      </c>
      <c r="M251" s="23">
        <v>46013</v>
      </c>
      <c r="N251" s="23">
        <v>46013</v>
      </c>
      <c r="O251" s="24">
        <v>-39</v>
      </c>
      <c r="P251" s="25" t="s">
        <v>2</v>
      </c>
      <c r="Q251" s="26" t="s">
        <v>59</v>
      </c>
      <c r="R251" s="27" t="s">
        <v>232</v>
      </c>
      <c r="S251" s="28" t="s">
        <v>232</v>
      </c>
      <c r="T251" s="29">
        <v>0</v>
      </c>
      <c r="U251" s="29">
        <v>0</v>
      </c>
      <c r="V251" s="29">
        <v>0</v>
      </c>
      <c r="W251" s="29">
        <v>0</v>
      </c>
      <c r="X251" s="30">
        <v>0</v>
      </c>
      <c r="Y251" s="31">
        <v>0</v>
      </c>
    </row>
    <row r="252" spans="1:25" x14ac:dyDescent="0.3">
      <c r="A252" s="19" t="s">
        <v>227</v>
      </c>
      <c r="B252" s="20" t="s">
        <v>87</v>
      </c>
      <c r="C252" s="20" t="s">
        <v>369</v>
      </c>
      <c r="D252" s="21" t="s">
        <v>228</v>
      </c>
      <c r="E252" s="21" t="s">
        <v>1</v>
      </c>
      <c r="F252" s="22">
        <v>-61.2</v>
      </c>
      <c r="G252" s="22">
        <v>0</v>
      </c>
      <c r="H252" s="22">
        <v>0</v>
      </c>
      <c r="I252" s="22">
        <v>0</v>
      </c>
      <c r="J252" s="22">
        <v>0</v>
      </c>
      <c r="K252" s="22">
        <v>-61.2</v>
      </c>
      <c r="L252" s="22">
        <v>-61.2</v>
      </c>
      <c r="M252" s="23">
        <v>45747</v>
      </c>
      <c r="N252" s="23">
        <v>45747</v>
      </c>
      <c r="O252" s="24">
        <v>-305</v>
      </c>
      <c r="P252" s="25" t="s">
        <v>2</v>
      </c>
      <c r="Q252" s="26" t="s">
        <v>59</v>
      </c>
      <c r="R252" s="27" t="s">
        <v>232</v>
      </c>
      <c r="S252" s="28" t="s">
        <v>232</v>
      </c>
      <c r="T252" s="29">
        <v>0</v>
      </c>
      <c r="U252" s="29">
        <v>0</v>
      </c>
      <c r="V252" s="29">
        <v>0</v>
      </c>
      <c r="W252" s="29">
        <v>0</v>
      </c>
      <c r="X252" s="30">
        <v>0</v>
      </c>
      <c r="Y252" s="31">
        <v>0</v>
      </c>
    </row>
    <row r="253" spans="1:25" x14ac:dyDescent="0.3">
      <c r="A253" s="19" t="s">
        <v>7</v>
      </c>
      <c r="B253" s="20" t="s">
        <v>87</v>
      </c>
      <c r="C253" s="20" t="s">
        <v>369</v>
      </c>
      <c r="D253" s="21">
        <v>55637</v>
      </c>
      <c r="E253" s="21" t="s">
        <v>1</v>
      </c>
      <c r="F253" s="22">
        <v>-65.52</v>
      </c>
      <c r="G253" s="22">
        <v>0</v>
      </c>
      <c r="H253" s="22">
        <v>0</v>
      </c>
      <c r="I253" s="22">
        <v>0</v>
      </c>
      <c r="J253" s="22">
        <v>0</v>
      </c>
      <c r="K253" s="22">
        <v>-65.52</v>
      </c>
      <c r="L253" s="22">
        <v>-65.52</v>
      </c>
      <c r="M253" s="23">
        <v>45485</v>
      </c>
      <c r="N253" s="23">
        <v>45485</v>
      </c>
      <c r="O253" s="24">
        <v>-567</v>
      </c>
      <c r="P253" s="25" t="s">
        <v>2</v>
      </c>
      <c r="Q253" s="26" t="s">
        <v>59</v>
      </c>
      <c r="R253" s="27" t="s">
        <v>87</v>
      </c>
      <c r="S253" s="35" t="s">
        <v>87</v>
      </c>
      <c r="T253" s="29">
        <v>0</v>
      </c>
      <c r="U253" s="29">
        <v>0</v>
      </c>
      <c r="V253" s="29">
        <v>0</v>
      </c>
      <c r="W253" s="29">
        <v>0</v>
      </c>
      <c r="X253" s="30">
        <v>0</v>
      </c>
      <c r="Y253" s="31">
        <v>0</v>
      </c>
    </row>
    <row r="254" spans="1:25" x14ac:dyDescent="0.3">
      <c r="A254" s="19" t="s">
        <v>98</v>
      </c>
      <c r="B254" s="20" t="s">
        <v>87</v>
      </c>
      <c r="C254" s="20" t="s">
        <v>360</v>
      </c>
      <c r="D254" s="21">
        <v>8692</v>
      </c>
      <c r="E254" s="21" t="s">
        <v>1</v>
      </c>
      <c r="F254" s="22">
        <v>-72.150000000000006</v>
      </c>
      <c r="G254" s="22">
        <v>0</v>
      </c>
      <c r="H254" s="22">
        <v>0</v>
      </c>
      <c r="I254" s="22">
        <v>0</v>
      </c>
      <c r="J254" s="22">
        <v>0</v>
      </c>
      <c r="K254" s="22">
        <v>-72.150000000000006</v>
      </c>
      <c r="L254" s="22">
        <v>-72.150000000000006</v>
      </c>
      <c r="M254" s="23">
        <v>45373</v>
      </c>
      <c r="N254" s="23">
        <v>45433</v>
      </c>
      <c r="O254" s="24">
        <v>-619</v>
      </c>
      <c r="P254" s="25" t="s">
        <v>2</v>
      </c>
      <c r="Q254" s="26" t="s">
        <v>59</v>
      </c>
      <c r="R254" s="27" t="s">
        <v>87</v>
      </c>
      <c r="S254" s="35" t="s">
        <v>87</v>
      </c>
      <c r="T254" s="29">
        <v>0</v>
      </c>
      <c r="U254" s="29">
        <v>0</v>
      </c>
      <c r="V254" s="29">
        <v>0</v>
      </c>
      <c r="W254" s="29">
        <v>0</v>
      </c>
      <c r="X254" s="30">
        <v>0</v>
      </c>
      <c r="Y254" s="31">
        <v>0</v>
      </c>
    </row>
    <row r="255" spans="1:25" x14ac:dyDescent="0.3">
      <c r="A255" s="19" t="s">
        <v>69</v>
      </c>
      <c r="B255" s="20" t="s">
        <v>0</v>
      </c>
      <c r="C255" s="20" t="s">
        <v>390</v>
      </c>
      <c r="D255" s="21">
        <v>70457</v>
      </c>
      <c r="E255" s="21" t="s">
        <v>1</v>
      </c>
      <c r="F255" s="22">
        <v>2071.69</v>
      </c>
      <c r="G255" s="22">
        <v>0</v>
      </c>
      <c r="H255" s="22">
        <v>0</v>
      </c>
      <c r="I255" s="22">
        <v>0</v>
      </c>
      <c r="J255" s="22">
        <v>0</v>
      </c>
      <c r="K255" s="22">
        <v>2071.69</v>
      </c>
      <c r="L255" s="22">
        <v>2071.69</v>
      </c>
      <c r="M255" s="23">
        <v>45120</v>
      </c>
      <c r="N255" s="23">
        <v>45135</v>
      </c>
      <c r="O255" s="32">
        <v>-917</v>
      </c>
      <c r="P255" s="25" t="s">
        <v>60</v>
      </c>
      <c r="Q255" s="26" t="s">
        <v>72</v>
      </c>
      <c r="R255" s="27" t="s">
        <v>74</v>
      </c>
      <c r="S255" s="35" t="s">
        <v>74</v>
      </c>
      <c r="T255" s="29">
        <v>0</v>
      </c>
      <c r="U255" s="29">
        <v>0</v>
      </c>
      <c r="V255" s="29">
        <v>0</v>
      </c>
      <c r="W255" s="29">
        <v>0</v>
      </c>
      <c r="X255" s="30">
        <v>0</v>
      </c>
      <c r="Y255" s="31">
        <v>0</v>
      </c>
    </row>
    <row r="256" spans="1:25" x14ac:dyDescent="0.3">
      <c r="A256" s="19" t="s">
        <v>69</v>
      </c>
      <c r="B256" s="20" t="s">
        <v>0</v>
      </c>
      <c r="C256" s="20" t="s">
        <v>371</v>
      </c>
      <c r="D256" s="21">
        <v>70578</v>
      </c>
      <c r="E256" s="21" t="s">
        <v>1</v>
      </c>
      <c r="F256" s="22">
        <v>188.47</v>
      </c>
      <c r="G256" s="22">
        <v>0</v>
      </c>
      <c r="H256" s="22">
        <v>0</v>
      </c>
      <c r="I256" s="22">
        <v>0</v>
      </c>
      <c r="J256" s="22">
        <v>0</v>
      </c>
      <c r="K256" s="22">
        <v>188.47</v>
      </c>
      <c r="L256" s="22">
        <v>188.47</v>
      </c>
      <c r="M256" s="23">
        <v>45278</v>
      </c>
      <c r="N256" s="23">
        <v>45293</v>
      </c>
      <c r="O256" s="32">
        <v>-759</v>
      </c>
      <c r="P256" s="25" t="s">
        <v>60</v>
      </c>
      <c r="Q256" s="26" t="s">
        <v>72</v>
      </c>
      <c r="R256" s="27" t="s">
        <v>74</v>
      </c>
      <c r="S256" s="35" t="s">
        <v>74</v>
      </c>
      <c r="T256" s="29">
        <v>0</v>
      </c>
      <c r="U256" s="29">
        <v>0</v>
      </c>
      <c r="V256" s="29">
        <v>0</v>
      </c>
      <c r="W256" s="29">
        <v>0</v>
      </c>
      <c r="X256" s="30">
        <v>0</v>
      </c>
      <c r="Y256" s="31">
        <v>0</v>
      </c>
    </row>
    <row r="257" spans="1:25" x14ac:dyDescent="0.3">
      <c r="A257" s="19" t="s">
        <v>99</v>
      </c>
      <c r="B257" s="20" t="s">
        <v>87</v>
      </c>
      <c r="C257" s="20" t="s">
        <v>360</v>
      </c>
      <c r="D257" s="21">
        <v>10287</v>
      </c>
      <c r="E257" s="21" t="s">
        <v>1</v>
      </c>
      <c r="F257" s="22">
        <v>-74.422639000000004</v>
      </c>
      <c r="G257" s="22">
        <v>0</v>
      </c>
      <c r="H257" s="22">
        <v>0</v>
      </c>
      <c r="I257" s="22">
        <v>0</v>
      </c>
      <c r="J257" s="22">
        <v>0</v>
      </c>
      <c r="K257" s="22">
        <v>-74.42</v>
      </c>
      <c r="L257" s="22">
        <v>-74.42</v>
      </c>
      <c r="M257" s="23">
        <v>45426</v>
      </c>
      <c r="N257" s="23">
        <v>45426</v>
      </c>
      <c r="O257" s="32">
        <v>-626</v>
      </c>
      <c r="P257" s="25" t="s">
        <v>2</v>
      </c>
      <c r="Q257" s="26" t="s">
        <v>59</v>
      </c>
      <c r="R257" s="27" t="s">
        <v>87</v>
      </c>
      <c r="S257" s="35" t="s">
        <v>87</v>
      </c>
      <c r="T257" s="29">
        <v>0</v>
      </c>
      <c r="U257" s="29">
        <v>0</v>
      </c>
      <c r="V257" s="29">
        <v>0</v>
      </c>
      <c r="W257" s="29">
        <v>0</v>
      </c>
      <c r="X257" s="30">
        <v>0</v>
      </c>
      <c r="Y257" s="31">
        <v>0</v>
      </c>
    </row>
    <row r="258" spans="1:25" x14ac:dyDescent="0.3">
      <c r="A258" s="19" t="s">
        <v>100</v>
      </c>
      <c r="B258" s="20" t="s">
        <v>87</v>
      </c>
      <c r="C258" s="20" t="s">
        <v>360</v>
      </c>
      <c r="D258" s="21">
        <v>3716</v>
      </c>
      <c r="E258" s="21" t="s">
        <v>1</v>
      </c>
      <c r="F258" s="22">
        <v>-79.989999999999995</v>
      </c>
      <c r="G258" s="22">
        <v>0</v>
      </c>
      <c r="H258" s="22">
        <v>0</v>
      </c>
      <c r="I258" s="22">
        <v>0</v>
      </c>
      <c r="J258" s="22">
        <v>0</v>
      </c>
      <c r="K258" s="22">
        <v>-79.989999999999995</v>
      </c>
      <c r="L258" s="22">
        <v>-79.989999999999995</v>
      </c>
      <c r="M258" s="23">
        <v>45185</v>
      </c>
      <c r="N258" s="23">
        <v>45185</v>
      </c>
      <c r="O258" s="24">
        <v>-867</v>
      </c>
      <c r="P258" s="25" t="s">
        <v>2</v>
      </c>
      <c r="Q258" s="26" t="s">
        <v>59</v>
      </c>
      <c r="R258" s="27" t="s">
        <v>87</v>
      </c>
      <c r="S258" s="35" t="s">
        <v>87</v>
      </c>
      <c r="T258" s="29">
        <v>0</v>
      </c>
      <c r="U258" s="29">
        <v>0</v>
      </c>
      <c r="V258" s="29">
        <v>0</v>
      </c>
      <c r="W258" s="29">
        <v>0</v>
      </c>
      <c r="X258" s="30">
        <v>0</v>
      </c>
      <c r="Y258" s="31">
        <v>0</v>
      </c>
    </row>
    <row r="259" spans="1:25" x14ac:dyDescent="0.3">
      <c r="A259" s="19" t="s">
        <v>289</v>
      </c>
      <c r="B259" s="20" t="s">
        <v>87</v>
      </c>
      <c r="C259" s="20" t="s">
        <v>374</v>
      </c>
      <c r="D259" s="21">
        <v>51127</v>
      </c>
      <c r="E259" s="21" t="s">
        <v>1</v>
      </c>
      <c r="F259" s="22">
        <v>-319.07</v>
      </c>
      <c r="G259" s="22">
        <v>0</v>
      </c>
      <c r="H259" s="22">
        <v>0</v>
      </c>
      <c r="I259" s="22">
        <v>0</v>
      </c>
      <c r="J259" s="22">
        <v>0</v>
      </c>
      <c r="K259" s="22">
        <v>-319.07</v>
      </c>
      <c r="L259" s="22">
        <v>-319.07</v>
      </c>
      <c r="M259" s="23">
        <v>45905</v>
      </c>
      <c r="N259" s="23">
        <v>45905</v>
      </c>
      <c r="O259" s="32">
        <v>-147</v>
      </c>
      <c r="P259" s="25" t="s">
        <v>60</v>
      </c>
      <c r="Q259" s="26" t="s">
        <v>72</v>
      </c>
      <c r="R259" s="27" t="s">
        <v>87</v>
      </c>
      <c r="S259" s="35" t="s">
        <v>87</v>
      </c>
      <c r="T259" s="29">
        <v>0</v>
      </c>
      <c r="U259" s="29">
        <v>0</v>
      </c>
      <c r="V259" s="29">
        <v>0</v>
      </c>
      <c r="W259" s="29">
        <v>0</v>
      </c>
      <c r="X259" s="30">
        <v>0</v>
      </c>
      <c r="Y259" s="31">
        <v>0</v>
      </c>
    </row>
    <row r="260" spans="1:25" x14ac:dyDescent="0.3">
      <c r="A260" s="19" t="s">
        <v>194</v>
      </c>
      <c r="B260" s="20" t="s">
        <v>87</v>
      </c>
      <c r="C260" s="20" t="s">
        <v>384</v>
      </c>
      <c r="D260" s="21" t="s">
        <v>195</v>
      </c>
      <c r="E260" s="21" t="s">
        <v>1</v>
      </c>
      <c r="F260" s="22">
        <v>-1330</v>
      </c>
      <c r="G260" s="22">
        <v>0</v>
      </c>
      <c r="H260" s="22">
        <v>0</v>
      </c>
      <c r="I260" s="22">
        <v>0</v>
      </c>
      <c r="J260" s="22">
        <v>0</v>
      </c>
      <c r="K260" s="22">
        <v>-1330</v>
      </c>
      <c r="L260" s="22">
        <v>-1330</v>
      </c>
      <c r="M260" s="23">
        <v>44890</v>
      </c>
      <c r="N260" s="23">
        <v>44890</v>
      </c>
      <c r="O260" s="32">
        <v>-1162</v>
      </c>
      <c r="P260" s="25" t="s">
        <v>61</v>
      </c>
      <c r="Q260" s="26" t="s">
        <v>72</v>
      </c>
      <c r="R260" s="27" t="s">
        <v>87</v>
      </c>
      <c r="S260" s="35" t="s">
        <v>87</v>
      </c>
      <c r="T260" s="29">
        <v>0</v>
      </c>
      <c r="U260" s="29">
        <v>0</v>
      </c>
      <c r="V260" s="29">
        <v>0</v>
      </c>
      <c r="W260" s="29">
        <v>0</v>
      </c>
      <c r="X260" s="30">
        <v>0</v>
      </c>
      <c r="Y260" s="31">
        <v>0</v>
      </c>
    </row>
    <row r="261" spans="1:25" x14ac:dyDescent="0.3">
      <c r="A261" s="19" t="s">
        <v>101</v>
      </c>
      <c r="B261" s="20" t="s">
        <v>87</v>
      </c>
      <c r="C261" s="20" t="s">
        <v>368</v>
      </c>
      <c r="D261" s="21" t="s">
        <v>102</v>
      </c>
      <c r="E261" s="21" t="s">
        <v>1</v>
      </c>
      <c r="F261" s="22">
        <v>-88.84</v>
      </c>
      <c r="G261" s="22">
        <v>0</v>
      </c>
      <c r="H261" s="22">
        <v>0</v>
      </c>
      <c r="I261" s="22">
        <v>0</v>
      </c>
      <c r="J261" s="22">
        <v>0</v>
      </c>
      <c r="K261" s="22">
        <v>-88.84</v>
      </c>
      <c r="L261" s="22">
        <v>-88.84</v>
      </c>
      <c r="M261" s="23">
        <v>45562</v>
      </c>
      <c r="N261" s="23">
        <v>45562</v>
      </c>
      <c r="O261" s="24">
        <v>-490</v>
      </c>
      <c r="P261" s="25" t="s">
        <v>2</v>
      </c>
      <c r="Q261" s="26" t="s">
        <v>59</v>
      </c>
      <c r="R261" s="27" t="s">
        <v>87</v>
      </c>
      <c r="S261" s="28" t="s">
        <v>87</v>
      </c>
      <c r="T261" s="29">
        <v>0</v>
      </c>
      <c r="U261" s="29">
        <v>0</v>
      </c>
      <c r="V261" s="29">
        <v>0</v>
      </c>
      <c r="W261" s="29">
        <v>0</v>
      </c>
      <c r="X261" s="30">
        <v>0</v>
      </c>
      <c r="Y261" s="31">
        <v>0</v>
      </c>
    </row>
    <row r="262" spans="1:25" x14ac:dyDescent="0.3">
      <c r="A262" s="19" t="s">
        <v>170</v>
      </c>
      <c r="B262" s="20" t="s">
        <v>87</v>
      </c>
      <c r="C262" s="20" t="s">
        <v>368</v>
      </c>
      <c r="D262" s="21">
        <v>4912</v>
      </c>
      <c r="E262" s="21" t="s">
        <v>1</v>
      </c>
      <c r="F262" s="22">
        <v>-101.91</v>
      </c>
      <c r="G262" s="22">
        <v>0</v>
      </c>
      <c r="H262" s="22">
        <v>0</v>
      </c>
      <c r="I262" s="22">
        <v>-101.91</v>
      </c>
      <c r="J262" s="22">
        <v>0</v>
      </c>
      <c r="K262" s="22">
        <v>0</v>
      </c>
      <c r="L262" s="22">
        <v>-101.91</v>
      </c>
      <c r="M262" s="23">
        <v>45995</v>
      </c>
      <c r="N262" s="23">
        <v>45995</v>
      </c>
      <c r="O262" s="32">
        <v>-57</v>
      </c>
      <c r="P262" s="25" t="s">
        <v>2</v>
      </c>
      <c r="Q262" s="26" t="s">
        <v>59</v>
      </c>
      <c r="R262" s="27" t="s">
        <v>87</v>
      </c>
      <c r="S262" s="28" t="s">
        <v>87</v>
      </c>
      <c r="T262" s="29">
        <v>0</v>
      </c>
      <c r="U262" s="29">
        <v>0</v>
      </c>
      <c r="V262" s="29">
        <v>0</v>
      </c>
      <c r="W262" s="29">
        <v>0</v>
      </c>
      <c r="X262" s="30">
        <v>0</v>
      </c>
      <c r="Y262" s="31">
        <v>0</v>
      </c>
    </row>
    <row r="263" spans="1:25" x14ac:dyDescent="0.3">
      <c r="A263" s="19" t="s">
        <v>290</v>
      </c>
      <c r="B263" s="20" t="s">
        <v>87</v>
      </c>
      <c r="C263" s="20" t="s">
        <v>365</v>
      </c>
      <c r="D263" s="21">
        <v>56314</v>
      </c>
      <c r="E263" s="21" t="s">
        <v>1</v>
      </c>
      <c r="F263" s="22">
        <v>-103.440229</v>
      </c>
      <c r="G263" s="22">
        <v>0</v>
      </c>
      <c r="H263" s="22">
        <v>0</v>
      </c>
      <c r="I263" s="22">
        <v>0</v>
      </c>
      <c r="J263" s="22">
        <v>0</v>
      </c>
      <c r="K263" s="22">
        <v>-103.44</v>
      </c>
      <c r="L263" s="22">
        <v>-103.44</v>
      </c>
      <c r="M263" s="23">
        <v>45916</v>
      </c>
      <c r="N263" s="23">
        <v>45916</v>
      </c>
      <c r="O263" s="24">
        <v>-136</v>
      </c>
      <c r="P263" s="25" t="s">
        <v>2</v>
      </c>
      <c r="Q263" s="26" t="s">
        <v>59</v>
      </c>
      <c r="R263" s="27" t="s">
        <v>87</v>
      </c>
      <c r="S263" s="28" t="s">
        <v>87</v>
      </c>
      <c r="T263" s="29">
        <v>0</v>
      </c>
      <c r="U263" s="29">
        <v>0</v>
      </c>
      <c r="V263" s="29">
        <v>0</v>
      </c>
      <c r="W263" s="29">
        <v>0</v>
      </c>
      <c r="X263" s="30">
        <v>0</v>
      </c>
      <c r="Y263" s="31">
        <v>0</v>
      </c>
    </row>
    <row r="264" spans="1:25" x14ac:dyDescent="0.3">
      <c r="A264" s="19" t="s">
        <v>70</v>
      </c>
      <c r="B264" s="20" t="s">
        <v>87</v>
      </c>
      <c r="C264" s="20" t="s">
        <v>374</v>
      </c>
      <c r="D264" s="21">
        <v>51067</v>
      </c>
      <c r="E264" s="21" t="s">
        <v>1</v>
      </c>
      <c r="F264" s="22">
        <v>-59.3</v>
      </c>
      <c r="G264" s="22">
        <v>0</v>
      </c>
      <c r="H264" s="22">
        <v>0</v>
      </c>
      <c r="I264" s="22">
        <v>0</v>
      </c>
      <c r="J264" s="22">
        <v>0</v>
      </c>
      <c r="K264" s="22">
        <v>-59.3</v>
      </c>
      <c r="L264" s="22">
        <v>-59.3</v>
      </c>
      <c r="M264" s="23">
        <v>45499</v>
      </c>
      <c r="N264" s="23">
        <v>45499</v>
      </c>
      <c r="O264" s="32">
        <v>-553</v>
      </c>
      <c r="P264" s="25" t="s">
        <v>60</v>
      </c>
      <c r="Q264" s="26" t="s">
        <v>72</v>
      </c>
      <c r="R264" s="27" t="s">
        <v>87</v>
      </c>
      <c r="S264" s="35" t="s">
        <v>87</v>
      </c>
      <c r="T264" s="29">
        <v>0</v>
      </c>
      <c r="U264" s="29">
        <v>0</v>
      </c>
      <c r="V264" s="29">
        <v>0</v>
      </c>
      <c r="W264" s="29">
        <v>0</v>
      </c>
      <c r="X264" s="30">
        <v>0</v>
      </c>
      <c r="Y264" s="31">
        <v>0</v>
      </c>
    </row>
    <row r="265" spans="1:25" x14ac:dyDescent="0.3">
      <c r="A265" s="19" t="s">
        <v>109</v>
      </c>
      <c r="B265" s="20" t="s">
        <v>87</v>
      </c>
      <c r="C265" s="20" t="s">
        <v>360</v>
      </c>
      <c r="D265" s="21">
        <v>5572</v>
      </c>
      <c r="E265" s="21" t="s">
        <v>1</v>
      </c>
      <c r="F265" s="22">
        <v>-110.92</v>
      </c>
      <c r="G265" s="22">
        <v>0</v>
      </c>
      <c r="H265" s="22">
        <v>0</v>
      </c>
      <c r="I265" s="22">
        <v>0</v>
      </c>
      <c r="J265" s="22">
        <v>0</v>
      </c>
      <c r="K265" s="22">
        <v>-110.92</v>
      </c>
      <c r="L265" s="22">
        <v>-110.92</v>
      </c>
      <c r="M265" s="23">
        <v>45282</v>
      </c>
      <c r="N265" s="23">
        <v>45282</v>
      </c>
      <c r="O265" s="24">
        <v>-770</v>
      </c>
      <c r="P265" s="25" t="s">
        <v>2</v>
      </c>
      <c r="Q265" s="26" t="s">
        <v>59</v>
      </c>
      <c r="R265" s="27" t="s">
        <v>87</v>
      </c>
      <c r="S265" s="35" t="s">
        <v>87</v>
      </c>
      <c r="T265" s="29">
        <v>0</v>
      </c>
      <c r="U265" s="29">
        <v>0</v>
      </c>
      <c r="V265" s="29">
        <v>0</v>
      </c>
      <c r="W265" s="29">
        <v>0</v>
      </c>
      <c r="X265" s="30">
        <v>0</v>
      </c>
      <c r="Y265" s="31">
        <v>0</v>
      </c>
    </row>
    <row r="266" spans="1:25" x14ac:dyDescent="0.3">
      <c r="A266" s="19" t="s">
        <v>306</v>
      </c>
      <c r="B266" s="20" t="s">
        <v>87</v>
      </c>
      <c r="C266" s="20" t="s">
        <v>368</v>
      </c>
      <c r="D266" s="21" t="s">
        <v>307</v>
      </c>
      <c r="E266" s="21" t="s">
        <v>1</v>
      </c>
      <c r="F266" s="22">
        <v>-117</v>
      </c>
      <c r="G266" s="22">
        <v>0</v>
      </c>
      <c r="H266" s="22">
        <v>0</v>
      </c>
      <c r="I266" s="22">
        <v>0</v>
      </c>
      <c r="J266" s="22">
        <v>0</v>
      </c>
      <c r="K266" s="22">
        <v>-117</v>
      </c>
      <c r="L266" s="22">
        <v>-117</v>
      </c>
      <c r="M266" s="23">
        <v>45951</v>
      </c>
      <c r="N266" s="23">
        <v>45951</v>
      </c>
      <c r="O266" s="24">
        <v>-101</v>
      </c>
      <c r="P266" s="25" t="s">
        <v>2</v>
      </c>
      <c r="Q266" s="26" t="s">
        <v>59</v>
      </c>
      <c r="R266" s="27" t="s">
        <v>225</v>
      </c>
      <c r="S266" s="28" t="s">
        <v>225</v>
      </c>
      <c r="T266" s="29">
        <v>0</v>
      </c>
      <c r="U266" s="29">
        <v>0</v>
      </c>
      <c r="V266" s="29">
        <v>0</v>
      </c>
      <c r="W266" s="29">
        <v>0</v>
      </c>
      <c r="X266" s="30">
        <v>0</v>
      </c>
      <c r="Y266" s="31">
        <v>0</v>
      </c>
    </row>
    <row r="267" spans="1:25" x14ac:dyDescent="0.3">
      <c r="A267" s="19" t="s">
        <v>110</v>
      </c>
      <c r="B267" s="20" t="s">
        <v>87</v>
      </c>
      <c r="C267" s="20" t="s">
        <v>360</v>
      </c>
      <c r="D267" s="21">
        <v>753</v>
      </c>
      <c r="E267" s="21" t="s">
        <v>1</v>
      </c>
      <c r="F267" s="22">
        <v>-120.91</v>
      </c>
      <c r="G267" s="22">
        <v>0</v>
      </c>
      <c r="H267" s="22">
        <v>0</v>
      </c>
      <c r="I267" s="22">
        <v>0</v>
      </c>
      <c r="J267" s="22">
        <v>0</v>
      </c>
      <c r="K267" s="22">
        <v>-120.91</v>
      </c>
      <c r="L267" s="22">
        <v>-120.91</v>
      </c>
      <c r="M267" s="23">
        <v>45160</v>
      </c>
      <c r="N267" s="23">
        <v>45160</v>
      </c>
      <c r="O267" s="32">
        <v>-892</v>
      </c>
      <c r="P267" s="25" t="s">
        <v>2</v>
      </c>
      <c r="Q267" s="26" t="s">
        <v>59</v>
      </c>
      <c r="R267" s="27" t="s">
        <v>87</v>
      </c>
      <c r="S267" s="35" t="s">
        <v>87</v>
      </c>
      <c r="T267" s="29">
        <v>0</v>
      </c>
      <c r="U267" s="29">
        <v>0</v>
      </c>
      <c r="V267" s="29">
        <v>0</v>
      </c>
      <c r="W267" s="29">
        <v>0</v>
      </c>
      <c r="X267" s="30">
        <v>0</v>
      </c>
      <c r="Y267" s="31">
        <v>0</v>
      </c>
    </row>
    <row r="268" spans="1:25" x14ac:dyDescent="0.3">
      <c r="A268" s="19" t="s">
        <v>40</v>
      </c>
      <c r="B268" s="20" t="s">
        <v>87</v>
      </c>
      <c r="C268" s="20" t="s">
        <v>368</v>
      </c>
      <c r="D268" s="21" t="s">
        <v>236</v>
      </c>
      <c r="E268" s="21" t="s">
        <v>1</v>
      </c>
      <c r="F268" s="22">
        <v>-148.23315700000001</v>
      </c>
      <c r="G268" s="22">
        <v>0</v>
      </c>
      <c r="H268" s="22">
        <v>0</v>
      </c>
      <c r="I268" s="22">
        <v>0</v>
      </c>
      <c r="J268" s="22">
        <v>0</v>
      </c>
      <c r="K268" s="22">
        <v>-148.22999999999999</v>
      </c>
      <c r="L268" s="22">
        <v>-148.22999999999999</v>
      </c>
      <c r="M268" s="23">
        <v>45779</v>
      </c>
      <c r="N268" s="23">
        <v>45779</v>
      </c>
      <c r="O268" s="32">
        <v>-273</v>
      </c>
      <c r="P268" s="25" t="s">
        <v>2</v>
      </c>
      <c r="Q268" s="26" t="s">
        <v>59</v>
      </c>
      <c r="R268" s="27" t="s">
        <v>232</v>
      </c>
      <c r="S268" s="35" t="s">
        <v>232</v>
      </c>
      <c r="T268" s="29">
        <v>0</v>
      </c>
      <c r="U268" s="29">
        <v>0</v>
      </c>
      <c r="V268" s="29">
        <v>0</v>
      </c>
      <c r="W268" s="29">
        <v>0</v>
      </c>
      <c r="X268" s="30">
        <v>0</v>
      </c>
      <c r="Y268" s="31">
        <v>0</v>
      </c>
    </row>
    <row r="269" spans="1:25" x14ac:dyDescent="0.3">
      <c r="A269" s="19" t="s">
        <v>115</v>
      </c>
      <c r="B269" s="20" t="s">
        <v>87</v>
      </c>
      <c r="C269" s="20" t="s">
        <v>360</v>
      </c>
      <c r="D269" s="21">
        <v>7499</v>
      </c>
      <c r="E269" s="21" t="s">
        <v>1</v>
      </c>
      <c r="F269" s="22">
        <v>-174.92</v>
      </c>
      <c r="G269" s="22">
        <v>0</v>
      </c>
      <c r="H269" s="22">
        <v>0</v>
      </c>
      <c r="I269" s="22">
        <v>0</v>
      </c>
      <c r="J269" s="22">
        <v>0</v>
      </c>
      <c r="K269" s="22">
        <v>-174.92</v>
      </c>
      <c r="L269" s="22">
        <v>-174.92</v>
      </c>
      <c r="M269" s="23">
        <v>45324</v>
      </c>
      <c r="N269" s="23">
        <v>45324</v>
      </c>
      <c r="O269" s="24">
        <v>-728</v>
      </c>
      <c r="P269" s="25" t="s">
        <v>2</v>
      </c>
      <c r="Q269" s="26" t="s">
        <v>59</v>
      </c>
      <c r="R269" s="27" t="s">
        <v>87</v>
      </c>
      <c r="S269" s="28" t="s">
        <v>87</v>
      </c>
      <c r="T269" s="29">
        <v>0</v>
      </c>
      <c r="U269" s="29">
        <v>0</v>
      </c>
      <c r="V269" s="29">
        <v>0</v>
      </c>
      <c r="W269" s="29">
        <v>0</v>
      </c>
      <c r="X269" s="30">
        <v>0</v>
      </c>
      <c r="Y269" s="31">
        <v>0</v>
      </c>
    </row>
    <row r="270" spans="1:25" x14ac:dyDescent="0.3">
      <c r="A270" s="19" t="s">
        <v>118</v>
      </c>
      <c r="B270" s="20" t="s">
        <v>87</v>
      </c>
      <c r="C270" s="20" t="s">
        <v>360</v>
      </c>
      <c r="D270" s="21">
        <v>3693</v>
      </c>
      <c r="E270" s="21" t="s">
        <v>1</v>
      </c>
      <c r="F270" s="22">
        <v>-199.63</v>
      </c>
      <c r="G270" s="22">
        <v>0</v>
      </c>
      <c r="H270" s="22">
        <v>0</v>
      </c>
      <c r="I270" s="22">
        <v>0</v>
      </c>
      <c r="J270" s="22">
        <v>0</v>
      </c>
      <c r="K270" s="22">
        <v>-199.63</v>
      </c>
      <c r="L270" s="22">
        <v>-199.63</v>
      </c>
      <c r="M270" s="23">
        <v>45173</v>
      </c>
      <c r="N270" s="23">
        <v>45173</v>
      </c>
      <c r="O270" s="32">
        <v>-879</v>
      </c>
      <c r="P270" s="25" t="s">
        <v>2</v>
      </c>
      <c r="Q270" s="26" t="s">
        <v>59</v>
      </c>
      <c r="R270" s="27" t="s">
        <v>87</v>
      </c>
      <c r="S270" s="35" t="s">
        <v>87</v>
      </c>
      <c r="T270" s="29">
        <v>0</v>
      </c>
      <c r="U270" s="29">
        <v>0</v>
      </c>
      <c r="V270" s="29">
        <v>0</v>
      </c>
      <c r="W270" s="29">
        <v>0</v>
      </c>
      <c r="X270" s="30">
        <v>0</v>
      </c>
      <c r="Y270" s="31">
        <v>0</v>
      </c>
    </row>
    <row r="271" spans="1:25" x14ac:dyDescent="0.3">
      <c r="A271" s="19" t="s">
        <v>119</v>
      </c>
      <c r="B271" s="20" t="s">
        <v>87</v>
      </c>
      <c r="C271" s="20" t="s">
        <v>360</v>
      </c>
      <c r="D271" s="21">
        <v>5140</v>
      </c>
      <c r="E271" s="21" t="s">
        <v>1</v>
      </c>
      <c r="F271" s="22">
        <v>-203.4</v>
      </c>
      <c r="G271" s="22">
        <v>0</v>
      </c>
      <c r="H271" s="22">
        <v>0</v>
      </c>
      <c r="I271" s="22">
        <v>0</v>
      </c>
      <c r="J271" s="22">
        <v>0</v>
      </c>
      <c r="K271" s="22">
        <v>-203.4</v>
      </c>
      <c r="L271" s="22">
        <v>-203.4</v>
      </c>
      <c r="M271" s="23">
        <v>45250</v>
      </c>
      <c r="N271" s="23">
        <v>45250</v>
      </c>
      <c r="O271" s="32">
        <v>-802</v>
      </c>
      <c r="P271" s="25" t="s">
        <v>2</v>
      </c>
      <c r="Q271" s="26" t="s">
        <v>59</v>
      </c>
      <c r="R271" s="27" t="s">
        <v>87</v>
      </c>
      <c r="S271" s="28" t="s">
        <v>87</v>
      </c>
      <c r="T271" s="29">
        <v>0</v>
      </c>
      <c r="U271" s="29">
        <v>0</v>
      </c>
      <c r="V271" s="29">
        <v>0</v>
      </c>
      <c r="W271" s="29">
        <v>0</v>
      </c>
      <c r="X271" s="30">
        <v>0</v>
      </c>
      <c r="Y271" s="31">
        <v>0</v>
      </c>
    </row>
    <row r="272" spans="1:25" x14ac:dyDescent="0.3">
      <c r="A272" s="19" t="s">
        <v>124</v>
      </c>
      <c r="B272" s="20" t="s">
        <v>87</v>
      </c>
      <c r="C272" s="20" t="s">
        <v>360</v>
      </c>
      <c r="D272" s="21">
        <v>107</v>
      </c>
      <c r="E272" s="21" t="s">
        <v>1</v>
      </c>
      <c r="F272" s="22">
        <v>-244.08</v>
      </c>
      <c r="G272" s="22">
        <v>0</v>
      </c>
      <c r="H272" s="22">
        <v>0</v>
      </c>
      <c r="I272" s="22">
        <v>0</v>
      </c>
      <c r="J272" s="22">
        <v>0</v>
      </c>
      <c r="K272" s="22">
        <v>-244.08</v>
      </c>
      <c r="L272" s="22">
        <v>-244.08</v>
      </c>
      <c r="M272" s="23">
        <v>45021</v>
      </c>
      <c r="N272" s="23">
        <v>45021</v>
      </c>
      <c r="O272" s="24">
        <v>-1031</v>
      </c>
      <c r="P272" s="25" t="s">
        <v>2</v>
      </c>
      <c r="Q272" s="26" t="s">
        <v>59</v>
      </c>
      <c r="R272" s="27" t="s">
        <v>87</v>
      </c>
      <c r="S272" s="28" t="s">
        <v>87</v>
      </c>
      <c r="T272" s="29">
        <v>0</v>
      </c>
      <c r="U272" s="29">
        <v>0</v>
      </c>
      <c r="V272" s="29">
        <v>0</v>
      </c>
      <c r="W272" s="29">
        <v>0</v>
      </c>
      <c r="X272" s="30">
        <v>0</v>
      </c>
      <c r="Y272" s="31">
        <v>0</v>
      </c>
    </row>
    <row r="273" spans="1:25" x14ac:dyDescent="0.3">
      <c r="A273" s="19" t="s">
        <v>264</v>
      </c>
      <c r="B273" s="20" t="s">
        <v>87</v>
      </c>
      <c r="C273" s="20" t="s">
        <v>392</v>
      </c>
      <c r="D273" s="21" t="s">
        <v>265</v>
      </c>
      <c r="E273" s="21" t="s">
        <v>1</v>
      </c>
      <c r="F273" s="22">
        <v>-265</v>
      </c>
      <c r="G273" s="22">
        <v>0</v>
      </c>
      <c r="H273" s="22">
        <v>0</v>
      </c>
      <c r="I273" s="22">
        <v>0</v>
      </c>
      <c r="J273" s="22">
        <v>0</v>
      </c>
      <c r="K273" s="22">
        <v>-265</v>
      </c>
      <c r="L273" s="22">
        <v>-265</v>
      </c>
      <c r="M273" s="23">
        <v>45842</v>
      </c>
      <c r="N273" s="23">
        <v>45842</v>
      </c>
      <c r="O273" s="32">
        <v>-210</v>
      </c>
      <c r="P273" s="25" t="s">
        <v>2</v>
      </c>
      <c r="Q273" s="26" t="s">
        <v>59</v>
      </c>
      <c r="R273" s="27" t="s">
        <v>87</v>
      </c>
      <c r="S273" s="28" t="s">
        <v>87</v>
      </c>
      <c r="T273" s="29">
        <v>0</v>
      </c>
      <c r="U273" s="29">
        <v>0</v>
      </c>
      <c r="V273" s="29">
        <v>0</v>
      </c>
      <c r="W273" s="29">
        <v>0</v>
      </c>
      <c r="X273" s="30">
        <v>0</v>
      </c>
      <c r="Y273" s="31">
        <v>0</v>
      </c>
    </row>
    <row r="274" spans="1:25" x14ac:dyDescent="0.3">
      <c r="A274" s="19" t="s">
        <v>128</v>
      </c>
      <c r="B274" s="20" t="s">
        <v>87</v>
      </c>
      <c r="C274" s="20" t="s">
        <v>360</v>
      </c>
      <c r="D274" s="21">
        <v>8206</v>
      </c>
      <c r="E274" s="21" t="s">
        <v>1</v>
      </c>
      <c r="F274" s="22">
        <v>-288.52</v>
      </c>
      <c r="G274" s="22">
        <v>0</v>
      </c>
      <c r="H274" s="22">
        <v>0</v>
      </c>
      <c r="I274" s="22">
        <v>0</v>
      </c>
      <c r="J274" s="22">
        <v>0</v>
      </c>
      <c r="K274" s="22">
        <v>-288.52</v>
      </c>
      <c r="L274" s="22">
        <v>-288.52</v>
      </c>
      <c r="M274" s="23">
        <v>45352</v>
      </c>
      <c r="N274" s="23">
        <v>45352</v>
      </c>
      <c r="O274" s="32">
        <v>-700</v>
      </c>
      <c r="P274" s="25" t="s">
        <v>2</v>
      </c>
      <c r="Q274" s="26" t="s">
        <v>59</v>
      </c>
      <c r="R274" s="27" t="s">
        <v>87</v>
      </c>
      <c r="S274" s="35" t="s">
        <v>87</v>
      </c>
      <c r="T274" s="29">
        <v>0</v>
      </c>
      <c r="U274" s="29">
        <v>0</v>
      </c>
      <c r="V274" s="29">
        <v>0</v>
      </c>
      <c r="W274" s="29">
        <v>0</v>
      </c>
      <c r="X274" s="30">
        <v>0</v>
      </c>
      <c r="Y274" s="31">
        <v>0</v>
      </c>
    </row>
    <row r="275" spans="1:25" x14ac:dyDescent="0.3">
      <c r="A275" s="19" t="s">
        <v>253</v>
      </c>
      <c r="B275" s="20" t="s">
        <v>87</v>
      </c>
      <c r="C275" s="20" t="s">
        <v>369</v>
      </c>
      <c r="D275" s="21" t="s">
        <v>288</v>
      </c>
      <c r="E275" s="21" t="s">
        <v>1</v>
      </c>
      <c r="F275" s="22">
        <v>-350</v>
      </c>
      <c r="G275" s="22">
        <v>0</v>
      </c>
      <c r="H275" s="22">
        <v>0</v>
      </c>
      <c r="I275" s="22">
        <v>0</v>
      </c>
      <c r="J275" s="22">
        <v>0</v>
      </c>
      <c r="K275" s="22">
        <v>-350</v>
      </c>
      <c r="L275" s="22">
        <v>-350</v>
      </c>
      <c r="M275" s="23">
        <v>45922</v>
      </c>
      <c r="N275" s="23">
        <v>45922</v>
      </c>
      <c r="O275" s="32">
        <v>-130</v>
      </c>
      <c r="P275" s="25" t="s">
        <v>2</v>
      </c>
      <c r="Q275" s="26" t="s">
        <v>59</v>
      </c>
      <c r="R275" s="27" t="s">
        <v>87</v>
      </c>
      <c r="S275" s="35" t="s">
        <v>87</v>
      </c>
      <c r="T275" s="29">
        <v>0</v>
      </c>
      <c r="U275" s="29">
        <v>0</v>
      </c>
      <c r="V275" s="29">
        <v>0</v>
      </c>
      <c r="W275" s="29">
        <v>0</v>
      </c>
      <c r="X275" s="30">
        <v>0</v>
      </c>
      <c r="Y275" s="31">
        <v>0</v>
      </c>
    </row>
    <row r="276" spans="1:25" x14ac:dyDescent="0.3">
      <c r="A276" s="19" t="s">
        <v>251</v>
      </c>
      <c r="B276" s="20" t="s">
        <v>87</v>
      </c>
      <c r="C276" s="20" t="s">
        <v>368</v>
      </c>
      <c r="D276" s="21" t="s">
        <v>252</v>
      </c>
      <c r="E276" s="21" t="s">
        <v>1</v>
      </c>
      <c r="F276" s="22">
        <v>-375</v>
      </c>
      <c r="G276" s="22">
        <v>0</v>
      </c>
      <c r="H276" s="22">
        <v>0</v>
      </c>
      <c r="I276" s="22">
        <v>0</v>
      </c>
      <c r="J276" s="22">
        <v>0</v>
      </c>
      <c r="K276" s="22">
        <v>-375</v>
      </c>
      <c r="L276" s="22">
        <v>-375</v>
      </c>
      <c r="M276" s="23">
        <v>45835</v>
      </c>
      <c r="N276" s="23">
        <v>45835</v>
      </c>
      <c r="O276" s="32">
        <v>-217</v>
      </c>
      <c r="P276" s="25" t="s">
        <v>2</v>
      </c>
      <c r="Q276" s="26" t="s">
        <v>59</v>
      </c>
      <c r="R276" s="27" t="s">
        <v>232</v>
      </c>
      <c r="S276" s="35" t="s">
        <v>232</v>
      </c>
      <c r="T276" s="29">
        <v>0</v>
      </c>
      <c r="U276" s="29">
        <v>0</v>
      </c>
      <c r="V276" s="29">
        <v>0</v>
      </c>
      <c r="W276" s="29">
        <v>0</v>
      </c>
      <c r="X276" s="30">
        <v>0</v>
      </c>
      <c r="Y276" s="31">
        <v>0</v>
      </c>
    </row>
    <row r="277" spans="1:25" x14ac:dyDescent="0.3">
      <c r="A277" s="19" t="s">
        <v>143</v>
      </c>
      <c r="B277" s="20" t="s">
        <v>87</v>
      </c>
      <c r="C277" s="20" t="s">
        <v>360</v>
      </c>
      <c r="D277" s="21">
        <v>4108</v>
      </c>
      <c r="E277" s="21" t="s">
        <v>1</v>
      </c>
      <c r="F277" s="22">
        <v>-399</v>
      </c>
      <c r="G277" s="22">
        <v>0</v>
      </c>
      <c r="H277" s="22">
        <v>0</v>
      </c>
      <c r="I277" s="22">
        <v>0</v>
      </c>
      <c r="J277" s="22">
        <v>0</v>
      </c>
      <c r="K277" s="22">
        <v>-399</v>
      </c>
      <c r="L277" s="22">
        <v>-399</v>
      </c>
      <c r="M277" s="23">
        <v>45201</v>
      </c>
      <c r="N277" s="23">
        <v>45201</v>
      </c>
      <c r="O277" s="32">
        <v>-851</v>
      </c>
      <c r="P277" s="25" t="s">
        <v>2</v>
      </c>
      <c r="Q277" s="26" t="s">
        <v>59</v>
      </c>
      <c r="R277" s="27" t="s">
        <v>87</v>
      </c>
      <c r="S277" s="28" t="s">
        <v>87</v>
      </c>
      <c r="T277" s="29">
        <v>0</v>
      </c>
      <c r="U277" s="29">
        <v>0</v>
      </c>
      <c r="V277" s="29">
        <v>0</v>
      </c>
      <c r="W277" s="29">
        <v>0</v>
      </c>
      <c r="X277" s="30">
        <v>0</v>
      </c>
      <c r="Y277" s="31">
        <v>0</v>
      </c>
    </row>
    <row r="278" spans="1:25" x14ac:dyDescent="0.3">
      <c r="A278" s="19" t="s">
        <v>144</v>
      </c>
      <c r="B278" s="20" t="s">
        <v>87</v>
      </c>
      <c r="C278" s="20" t="s">
        <v>360</v>
      </c>
      <c r="D278" s="21">
        <v>8751</v>
      </c>
      <c r="E278" s="21" t="s">
        <v>1</v>
      </c>
      <c r="F278" s="22">
        <v>-400</v>
      </c>
      <c r="G278" s="22">
        <v>0</v>
      </c>
      <c r="H278" s="22">
        <v>0</v>
      </c>
      <c r="I278" s="22">
        <v>0</v>
      </c>
      <c r="J278" s="22">
        <v>0</v>
      </c>
      <c r="K278" s="22">
        <v>-400</v>
      </c>
      <c r="L278" s="22">
        <v>-400</v>
      </c>
      <c r="M278" s="23">
        <v>45367</v>
      </c>
      <c r="N278" s="23">
        <v>45367</v>
      </c>
      <c r="O278" s="32">
        <v>-685</v>
      </c>
      <c r="P278" s="25" t="s">
        <v>2</v>
      </c>
      <c r="Q278" s="26" t="s">
        <v>59</v>
      </c>
      <c r="R278" s="27" t="s">
        <v>87</v>
      </c>
      <c r="S278" s="28" t="s">
        <v>87</v>
      </c>
      <c r="T278" s="29">
        <v>0</v>
      </c>
      <c r="U278" s="29">
        <v>0</v>
      </c>
      <c r="V278" s="29">
        <v>0</v>
      </c>
      <c r="W278" s="29">
        <v>0</v>
      </c>
      <c r="X278" s="30">
        <v>0</v>
      </c>
      <c r="Y278" s="31">
        <v>0</v>
      </c>
    </row>
    <row r="279" spans="1:25" x14ac:dyDescent="0.3">
      <c r="A279" s="19" t="s">
        <v>227</v>
      </c>
      <c r="B279" s="20" t="s">
        <v>87</v>
      </c>
      <c r="C279" s="20" t="s">
        <v>369</v>
      </c>
      <c r="D279" s="21" t="s">
        <v>313</v>
      </c>
      <c r="E279" s="21" t="s">
        <v>1</v>
      </c>
      <c r="F279" s="22">
        <v>-409.57</v>
      </c>
      <c r="G279" s="22">
        <v>0</v>
      </c>
      <c r="H279" s="22">
        <v>0</v>
      </c>
      <c r="I279" s="22">
        <v>0</v>
      </c>
      <c r="J279" s="22">
        <v>0</v>
      </c>
      <c r="K279" s="22">
        <v>-409.57</v>
      </c>
      <c r="L279" s="22">
        <v>-409.57</v>
      </c>
      <c r="M279" s="23">
        <v>45960</v>
      </c>
      <c r="N279" s="23">
        <v>45960</v>
      </c>
      <c r="O279" s="24">
        <v>-92</v>
      </c>
      <c r="P279" s="25" t="s">
        <v>2</v>
      </c>
      <c r="Q279" s="26" t="s">
        <v>59</v>
      </c>
      <c r="R279" s="27" t="s">
        <v>232</v>
      </c>
      <c r="S279" s="28" t="s">
        <v>232</v>
      </c>
      <c r="T279" s="29">
        <v>0</v>
      </c>
      <c r="U279" s="29">
        <v>0</v>
      </c>
      <c r="V279" s="29">
        <v>0</v>
      </c>
      <c r="W279" s="29">
        <v>0</v>
      </c>
      <c r="X279" s="30">
        <v>0</v>
      </c>
      <c r="Y279" s="29">
        <v>0</v>
      </c>
    </row>
    <row r="280" spans="1:25" x14ac:dyDescent="0.3">
      <c r="A280" s="19" t="s">
        <v>148</v>
      </c>
      <c r="B280" s="20" t="s">
        <v>87</v>
      </c>
      <c r="C280" s="20" t="s">
        <v>392</v>
      </c>
      <c r="D280" s="21" t="s">
        <v>149</v>
      </c>
      <c r="E280" s="21" t="s">
        <v>1</v>
      </c>
      <c r="F280" s="22">
        <v>-420.81</v>
      </c>
      <c r="G280" s="22">
        <v>0</v>
      </c>
      <c r="H280" s="22">
        <v>0</v>
      </c>
      <c r="I280" s="22">
        <v>0</v>
      </c>
      <c r="J280" s="22">
        <v>0</v>
      </c>
      <c r="K280" s="22">
        <v>-420.81</v>
      </c>
      <c r="L280" s="22">
        <v>-420.81</v>
      </c>
      <c r="M280" s="23">
        <v>45621</v>
      </c>
      <c r="N280" s="23">
        <v>45621</v>
      </c>
      <c r="O280" s="32">
        <v>-431</v>
      </c>
      <c r="P280" s="25" t="s">
        <v>2</v>
      </c>
      <c r="Q280" s="26" t="s">
        <v>59</v>
      </c>
      <c r="R280" s="27" t="s">
        <v>87</v>
      </c>
      <c r="S280" s="28" t="s">
        <v>87</v>
      </c>
      <c r="T280" s="29">
        <v>0</v>
      </c>
      <c r="U280" s="29">
        <v>0</v>
      </c>
      <c r="V280" s="29">
        <v>0</v>
      </c>
      <c r="W280" s="29">
        <v>0</v>
      </c>
      <c r="X280" s="30">
        <v>0</v>
      </c>
      <c r="Y280" s="29">
        <v>0</v>
      </c>
    </row>
    <row r="281" spans="1:25" x14ac:dyDescent="0.3">
      <c r="A281" s="19" t="s">
        <v>147</v>
      </c>
      <c r="B281" s="20" t="s">
        <v>87</v>
      </c>
      <c r="C281" s="20" t="s">
        <v>360</v>
      </c>
      <c r="D281" s="21">
        <v>7547</v>
      </c>
      <c r="E281" s="21" t="s">
        <v>1</v>
      </c>
      <c r="F281" s="22">
        <v>-426.30130400000002</v>
      </c>
      <c r="G281" s="22">
        <v>0</v>
      </c>
      <c r="H281" s="22">
        <v>0</v>
      </c>
      <c r="I281" s="22">
        <v>0</v>
      </c>
      <c r="J281" s="22">
        <v>0</v>
      </c>
      <c r="K281" s="22">
        <v>-426.3</v>
      </c>
      <c r="L281" s="22">
        <v>-426.3</v>
      </c>
      <c r="M281" s="23">
        <v>45334</v>
      </c>
      <c r="N281" s="23">
        <v>45334</v>
      </c>
      <c r="O281" s="32">
        <v>-718</v>
      </c>
      <c r="P281" s="25" t="s">
        <v>2</v>
      </c>
      <c r="Q281" s="26" t="s">
        <v>59</v>
      </c>
      <c r="R281" s="27" t="s">
        <v>87</v>
      </c>
      <c r="S281" s="28" t="s">
        <v>87</v>
      </c>
      <c r="T281" s="29">
        <v>0</v>
      </c>
      <c r="U281" s="29">
        <v>0</v>
      </c>
      <c r="V281" s="29">
        <v>0</v>
      </c>
      <c r="W281" s="29">
        <v>0</v>
      </c>
      <c r="X281" s="30">
        <v>0</v>
      </c>
      <c r="Y281" s="29">
        <v>0</v>
      </c>
    </row>
    <row r="282" spans="1:25" x14ac:dyDescent="0.3">
      <c r="A282" s="19" t="s">
        <v>264</v>
      </c>
      <c r="B282" s="20" t="s">
        <v>87</v>
      </c>
      <c r="C282" s="20" t="s">
        <v>392</v>
      </c>
      <c r="D282" s="21" t="s">
        <v>322</v>
      </c>
      <c r="E282" s="21" t="s">
        <v>1</v>
      </c>
      <c r="F282" s="22">
        <v>-427.14</v>
      </c>
      <c r="G282" s="22">
        <v>0</v>
      </c>
      <c r="H282" s="22">
        <v>0</v>
      </c>
      <c r="I282" s="22">
        <v>0</v>
      </c>
      <c r="J282" s="22">
        <v>-427.14</v>
      </c>
      <c r="K282" s="22">
        <v>0</v>
      </c>
      <c r="L282" s="22">
        <v>-427.14</v>
      </c>
      <c r="M282" s="23">
        <v>45989</v>
      </c>
      <c r="N282" s="23">
        <v>45989</v>
      </c>
      <c r="O282" s="32">
        <v>-63</v>
      </c>
      <c r="P282" s="25" t="s">
        <v>2</v>
      </c>
      <c r="Q282" s="26" t="s">
        <v>59</v>
      </c>
      <c r="R282" s="27" t="s">
        <v>225</v>
      </c>
      <c r="S282" s="28" t="s">
        <v>225</v>
      </c>
      <c r="T282" s="29">
        <v>0</v>
      </c>
      <c r="U282" s="29">
        <v>0</v>
      </c>
      <c r="V282" s="29">
        <v>0</v>
      </c>
      <c r="W282" s="29">
        <v>0</v>
      </c>
      <c r="X282" s="30">
        <v>0</v>
      </c>
      <c r="Y282" s="29">
        <v>0</v>
      </c>
    </row>
    <row r="283" spans="1:25" x14ac:dyDescent="0.3">
      <c r="A283" s="19" t="s">
        <v>150</v>
      </c>
      <c r="B283" s="20" t="s">
        <v>87</v>
      </c>
      <c r="C283" s="20" t="s">
        <v>360</v>
      </c>
      <c r="D283" s="21">
        <v>4251</v>
      </c>
      <c r="E283" s="21" t="s">
        <v>1</v>
      </c>
      <c r="F283" s="22">
        <v>-430.77659399999999</v>
      </c>
      <c r="G283" s="22">
        <v>0</v>
      </c>
      <c r="H283" s="22">
        <v>0</v>
      </c>
      <c r="I283" s="22">
        <v>0</v>
      </c>
      <c r="J283" s="22">
        <v>0</v>
      </c>
      <c r="K283" s="22">
        <v>-430.78</v>
      </c>
      <c r="L283" s="22">
        <v>-430.78</v>
      </c>
      <c r="M283" s="23">
        <v>45227</v>
      </c>
      <c r="N283" s="23">
        <v>45227</v>
      </c>
      <c r="O283" s="24">
        <v>-825</v>
      </c>
      <c r="P283" s="25" t="s">
        <v>2</v>
      </c>
      <c r="Q283" s="26" t="s">
        <v>59</v>
      </c>
      <c r="R283" s="27" t="s">
        <v>87</v>
      </c>
      <c r="S283" s="28" t="s">
        <v>87</v>
      </c>
      <c r="T283" s="29">
        <v>0</v>
      </c>
      <c r="U283" s="29">
        <v>0</v>
      </c>
      <c r="V283" s="29">
        <v>0</v>
      </c>
      <c r="W283" s="29">
        <v>0</v>
      </c>
      <c r="X283" s="30">
        <v>0</v>
      </c>
      <c r="Y283" s="29">
        <v>0</v>
      </c>
    </row>
    <row r="284" spans="1:25" x14ac:dyDescent="0.3">
      <c r="A284" s="19" t="s">
        <v>151</v>
      </c>
      <c r="B284" s="20" t="s">
        <v>87</v>
      </c>
      <c r="C284" s="20" t="s">
        <v>360</v>
      </c>
      <c r="D284" s="21">
        <v>3368</v>
      </c>
      <c r="E284" s="21" t="s">
        <v>1</v>
      </c>
      <c r="F284" s="22">
        <v>-449.51</v>
      </c>
      <c r="G284" s="22">
        <v>0</v>
      </c>
      <c r="H284" s="22">
        <v>0</v>
      </c>
      <c r="I284" s="22">
        <v>0</v>
      </c>
      <c r="J284" s="22">
        <v>0</v>
      </c>
      <c r="K284" s="22">
        <v>-449.51</v>
      </c>
      <c r="L284" s="22">
        <v>-449.51</v>
      </c>
      <c r="M284" s="23">
        <v>45196</v>
      </c>
      <c r="N284" s="23">
        <v>45196</v>
      </c>
      <c r="O284" s="32">
        <v>-856</v>
      </c>
      <c r="P284" s="25" t="s">
        <v>2</v>
      </c>
      <c r="Q284" s="26" t="s">
        <v>59</v>
      </c>
      <c r="R284" s="27" t="s">
        <v>87</v>
      </c>
      <c r="S284" s="28" t="s">
        <v>87</v>
      </c>
      <c r="T284" s="29">
        <v>0</v>
      </c>
      <c r="U284" s="29">
        <v>0</v>
      </c>
      <c r="V284" s="29">
        <v>0</v>
      </c>
      <c r="W284" s="29">
        <v>0</v>
      </c>
      <c r="X284" s="30">
        <v>0</v>
      </c>
      <c r="Y284" s="29">
        <v>0</v>
      </c>
    </row>
    <row r="285" spans="1:25" x14ac:dyDescent="0.3">
      <c r="A285" s="19" t="s">
        <v>70</v>
      </c>
      <c r="B285" s="20" t="s">
        <v>0</v>
      </c>
      <c r="C285" s="20" t="s">
        <v>374</v>
      </c>
      <c r="D285" s="21">
        <v>71038</v>
      </c>
      <c r="E285" s="21" t="s">
        <v>1</v>
      </c>
      <c r="F285" s="22">
        <v>296.33999999999997</v>
      </c>
      <c r="G285" s="22">
        <v>0</v>
      </c>
      <c r="H285" s="22">
        <v>0</v>
      </c>
      <c r="I285" s="22">
        <v>0</v>
      </c>
      <c r="J285" s="22">
        <v>0</v>
      </c>
      <c r="K285" s="22">
        <v>296.33999999999997</v>
      </c>
      <c r="L285" s="22">
        <v>296.33999999999997</v>
      </c>
      <c r="M285" s="23">
        <v>45924</v>
      </c>
      <c r="N285" s="23">
        <v>45932</v>
      </c>
      <c r="O285" s="32">
        <v>-120</v>
      </c>
      <c r="P285" s="25" t="s">
        <v>60</v>
      </c>
      <c r="Q285" s="26" t="s">
        <v>72</v>
      </c>
      <c r="R285" s="27" t="s">
        <v>232</v>
      </c>
      <c r="S285" s="28" t="s">
        <v>232</v>
      </c>
      <c r="T285" s="29">
        <v>0</v>
      </c>
      <c r="U285" s="29">
        <v>0</v>
      </c>
      <c r="V285" s="29">
        <v>0</v>
      </c>
      <c r="W285" s="29">
        <v>0</v>
      </c>
      <c r="X285" s="30">
        <v>0</v>
      </c>
      <c r="Y285" s="29">
        <v>0</v>
      </c>
    </row>
    <row r="286" spans="1:25" x14ac:dyDescent="0.3">
      <c r="A286" s="19" t="s">
        <v>163</v>
      </c>
      <c r="B286" s="20" t="s">
        <v>87</v>
      </c>
      <c r="C286" s="20" t="s">
        <v>360</v>
      </c>
      <c r="D286" s="21">
        <v>4524</v>
      </c>
      <c r="E286" s="21" t="s">
        <v>1</v>
      </c>
      <c r="F286" s="22">
        <v>-584.21</v>
      </c>
      <c r="G286" s="22">
        <v>0</v>
      </c>
      <c r="H286" s="22">
        <v>0</v>
      </c>
      <c r="I286" s="22">
        <v>0</v>
      </c>
      <c r="J286" s="22">
        <v>0</v>
      </c>
      <c r="K286" s="22">
        <v>-584.21</v>
      </c>
      <c r="L286" s="22">
        <v>-584.21</v>
      </c>
      <c r="M286" s="23">
        <v>45233</v>
      </c>
      <c r="N286" s="23">
        <v>45233</v>
      </c>
      <c r="O286" s="24">
        <v>-819</v>
      </c>
      <c r="P286" s="25" t="s">
        <v>2</v>
      </c>
      <c r="Q286" s="26" t="s">
        <v>59</v>
      </c>
      <c r="R286" s="27" t="s">
        <v>87</v>
      </c>
      <c r="S286" s="28" t="s">
        <v>87</v>
      </c>
      <c r="T286" s="29">
        <v>0</v>
      </c>
      <c r="U286" s="29">
        <v>0</v>
      </c>
      <c r="V286" s="29">
        <v>0</v>
      </c>
      <c r="W286" s="29">
        <v>0</v>
      </c>
      <c r="X286" s="30">
        <v>0</v>
      </c>
      <c r="Y286" s="29">
        <v>0</v>
      </c>
    </row>
    <row r="287" spans="1:25" x14ac:dyDescent="0.3">
      <c r="A287" s="19" t="s">
        <v>70</v>
      </c>
      <c r="B287" s="20" t="s">
        <v>87</v>
      </c>
      <c r="C287" s="20" t="s">
        <v>374</v>
      </c>
      <c r="D287" s="21">
        <v>51142</v>
      </c>
      <c r="E287" s="21" t="s">
        <v>1</v>
      </c>
      <c r="F287" s="22">
        <v>-6126.02</v>
      </c>
      <c r="G287" s="22">
        <v>0</v>
      </c>
      <c r="H287" s="22">
        <v>0</v>
      </c>
      <c r="I287" s="22">
        <v>0</v>
      </c>
      <c r="J287" s="22">
        <v>-6126.02</v>
      </c>
      <c r="K287" s="22">
        <v>0</v>
      </c>
      <c r="L287" s="22">
        <v>-6126.02</v>
      </c>
      <c r="M287" s="23">
        <v>45986</v>
      </c>
      <c r="N287" s="23">
        <v>45986</v>
      </c>
      <c r="O287" s="32">
        <v>-66</v>
      </c>
      <c r="P287" s="25" t="s">
        <v>60</v>
      </c>
      <c r="Q287" s="26" t="s">
        <v>72</v>
      </c>
      <c r="R287" s="27" t="s">
        <v>225</v>
      </c>
      <c r="S287" s="28" t="s">
        <v>225</v>
      </c>
      <c r="T287" s="29">
        <v>0</v>
      </c>
      <c r="U287" s="29">
        <v>0</v>
      </c>
      <c r="V287" s="29">
        <v>0</v>
      </c>
      <c r="W287" s="29">
        <v>0</v>
      </c>
      <c r="X287" s="30">
        <v>0</v>
      </c>
      <c r="Y287" s="29">
        <v>0</v>
      </c>
    </row>
    <row r="288" spans="1:25" x14ac:dyDescent="0.3">
      <c r="A288" s="19" t="s">
        <v>70</v>
      </c>
      <c r="B288" s="20" t="s">
        <v>87</v>
      </c>
      <c r="C288" s="20" t="s">
        <v>390</v>
      </c>
      <c r="D288" s="21" t="s">
        <v>260</v>
      </c>
      <c r="E288" s="21" t="s">
        <v>1</v>
      </c>
      <c r="F288" s="22">
        <v>-1067.8499999999999</v>
      </c>
      <c r="G288" s="22">
        <v>0</v>
      </c>
      <c r="H288" s="22">
        <v>0</v>
      </c>
      <c r="I288" s="22">
        <v>0</v>
      </c>
      <c r="J288" s="22">
        <v>0</v>
      </c>
      <c r="K288" s="22">
        <v>-1067.8499999999999</v>
      </c>
      <c r="L288" s="22">
        <v>-1067.8499999999999</v>
      </c>
      <c r="M288" s="23">
        <v>45856</v>
      </c>
      <c r="N288" s="23">
        <v>45856</v>
      </c>
      <c r="O288" s="24">
        <v>-196</v>
      </c>
      <c r="P288" s="25" t="s">
        <v>60</v>
      </c>
      <c r="Q288" s="26" t="s">
        <v>72</v>
      </c>
      <c r="R288" s="27" t="s">
        <v>225</v>
      </c>
      <c r="S288" s="28" t="s">
        <v>225</v>
      </c>
      <c r="T288" s="29">
        <v>0</v>
      </c>
      <c r="U288" s="29">
        <v>0</v>
      </c>
      <c r="V288" s="29">
        <v>0</v>
      </c>
      <c r="W288" s="29">
        <v>0</v>
      </c>
      <c r="X288" s="30">
        <v>0</v>
      </c>
      <c r="Y288" s="29">
        <v>0</v>
      </c>
    </row>
    <row r="289" spans="1:25" x14ac:dyDescent="0.3">
      <c r="A289" s="19" t="s">
        <v>70</v>
      </c>
      <c r="B289" s="20" t="s">
        <v>87</v>
      </c>
      <c r="C289" s="20" t="s">
        <v>390</v>
      </c>
      <c r="D289" s="21" t="s">
        <v>261</v>
      </c>
      <c r="E289" s="21" t="s">
        <v>1</v>
      </c>
      <c r="F289" s="22">
        <v>-484.27</v>
      </c>
      <c r="G289" s="22">
        <v>0</v>
      </c>
      <c r="H289" s="22">
        <v>0</v>
      </c>
      <c r="I289" s="22">
        <v>0</v>
      </c>
      <c r="J289" s="22">
        <v>0</v>
      </c>
      <c r="K289" s="22">
        <v>-484.27</v>
      </c>
      <c r="L289" s="22">
        <v>-484.27</v>
      </c>
      <c r="M289" s="23">
        <v>45856</v>
      </c>
      <c r="N289" s="23">
        <v>45856</v>
      </c>
      <c r="O289" s="32">
        <v>-196</v>
      </c>
      <c r="P289" s="25" t="s">
        <v>60</v>
      </c>
      <c r="Q289" s="26" t="s">
        <v>72</v>
      </c>
      <c r="R289" s="27" t="s">
        <v>225</v>
      </c>
      <c r="S289" s="28" t="s">
        <v>225</v>
      </c>
      <c r="T289" s="29">
        <v>0</v>
      </c>
      <c r="U289" s="29">
        <v>0</v>
      </c>
      <c r="V289" s="29">
        <v>0</v>
      </c>
      <c r="W289" s="29">
        <v>0</v>
      </c>
      <c r="X289" s="30">
        <v>0</v>
      </c>
      <c r="Y289" s="29">
        <v>0</v>
      </c>
    </row>
    <row r="290" spans="1:25" x14ac:dyDescent="0.3">
      <c r="A290" s="19" t="s">
        <v>70</v>
      </c>
      <c r="B290" s="20" t="s">
        <v>87</v>
      </c>
      <c r="C290" s="20" t="s">
        <v>390</v>
      </c>
      <c r="D290" s="21" t="s">
        <v>262</v>
      </c>
      <c r="E290" s="21" t="s">
        <v>1</v>
      </c>
      <c r="F290" s="22">
        <v>-440.34</v>
      </c>
      <c r="G290" s="22">
        <v>0</v>
      </c>
      <c r="H290" s="22">
        <v>0</v>
      </c>
      <c r="I290" s="22">
        <v>0</v>
      </c>
      <c r="J290" s="22">
        <v>0</v>
      </c>
      <c r="K290" s="22">
        <v>-440.34</v>
      </c>
      <c r="L290" s="22">
        <v>-440.34</v>
      </c>
      <c r="M290" s="23">
        <v>45856</v>
      </c>
      <c r="N290" s="23">
        <v>45856</v>
      </c>
      <c r="O290" s="32">
        <v>-196</v>
      </c>
      <c r="P290" s="25" t="s">
        <v>60</v>
      </c>
      <c r="Q290" s="26" t="s">
        <v>72</v>
      </c>
      <c r="R290" s="27" t="s">
        <v>225</v>
      </c>
      <c r="S290" s="28" t="s">
        <v>225</v>
      </c>
      <c r="T290" s="29">
        <v>0</v>
      </c>
      <c r="U290" s="29">
        <v>0</v>
      </c>
      <c r="V290" s="29">
        <v>0</v>
      </c>
      <c r="W290" s="29">
        <v>0</v>
      </c>
      <c r="X290" s="30">
        <v>0</v>
      </c>
      <c r="Y290" s="29">
        <v>0</v>
      </c>
    </row>
    <row r="291" spans="1:25" x14ac:dyDescent="0.3">
      <c r="A291" s="19" t="s">
        <v>164</v>
      </c>
      <c r="B291" s="20" t="s">
        <v>87</v>
      </c>
      <c r="C291" s="20" t="s">
        <v>360</v>
      </c>
      <c r="D291" s="21">
        <v>7682</v>
      </c>
      <c r="E291" s="21" t="s">
        <v>1</v>
      </c>
      <c r="F291" s="22">
        <v>-596.59</v>
      </c>
      <c r="G291" s="22">
        <v>0</v>
      </c>
      <c r="H291" s="22">
        <v>0</v>
      </c>
      <c r="I291" s="22">
        <v>0</v>
      </c>
      <c r="J291" s="22">
        <v>0</v>
      </c>
      <c r="K291" s="22">
        <v>-596.59</v>
      </c>
      <c r="L291" s="22">
        <v>-596.59</v>
      </c>
      <c r="M291" s="23">
        <v>45344</v>
      </c>
      <c r="N291" s="23">
        <v>45344</v>
      </c>
      <c r="O291" s="24">
        <v>-708</v>
      </c>
      <c r="P291" s="25" t="s">
        <v>2</v>
      </c>
      <c r="Q291" s="26" t="s">
        <v>59</v>
      </c>
      <c r="R291" s="27" t="s">
        <v>87</v>
      </c>
      <c r="S291" s="28" t="s">
        <v>87</v>
      </c>
      <c r="T291" s="29">
        <v>0</v>
      </c>
      <c r="U291" s="29">
        <v>0</v>
      </c>
      <c r="V291" s="29">
        <v>0</v>
      </c>
      <c r="W291" s="29">
        <v>0</v>
      </c>
      <c r="X291" s="30">
        <v>0</v>
      </c>
      <c r="Y291" s="29">
        <v>0</v>
      </c>
    </row>
    <row r="292" spans="1:25" x14ac:dyDescent="0.3">
      <c r="A292" s="19" t="s">
        <v>70</v>
      </c>
      <c r="B292" s="20" t="s">
        <v>87</v>
      </c>
      <c r="C292" s="20" t="s">
        <v>390</v>
      </c>
      <c r="D292" s="21" t="s">
        <v>263</v>
      </c>
      <c r="E292" s="21" t="s">
        <v>1</v>
      </c>
      <c r="F292" s="34">
        <v>-316.18</v>
      </c>
      <c r="G292" s="22">
        <v>0</v>
      </c>
      <c r="H292" s="22">
        <v>0</v>
      </c>
      <c r="I292" s="22">
        <v>0</v>
      </c>
      <c r="J292" s="22">
        <v>0</v>
      </c>
      <c r="K292" s="22">
        <v>-316.18</v>
      </c>
      <c r="L292" s="22">
        <v>-316.18</v>
      </c>
      <c r="M292" s="23">
        <v>45856</v>
      </c>
      <c r="N292" s="23">
        <v>45856</v>
      </c>
      <c r="O292" s="32">
        <v>-196</v>
      </c>
      <c r="P292" s="25" t="s">
        <v>60</v>
      </c>
      <c r="Q292" s="26" t="s">
        <v>72</v>
      </c>
      <c r="R292" s="27" t="s">
        <v>225</v>
      </c>
      <c r="S292" s="28" t="s">
        <v>225</v>
      </c>
      <c r="T292" s="29">
        <v>0</v>
      </c>
      <c r="U292" s="29">
        <v>0</v>
      </c>
      <c r="V292" s="29">
        <v>0</v>
      </c>
      <c r="W292" s="29">
        <v>0</v>
      </c>
      <c r="X292" s="30">
        <v>0</v>
      </c>
      <c r="Y292" s="29">
        <v>0</v>
      </c>
    </row>
    <row r="293" spans="1:25" x14ac:dyDescent="0.3">
      <c r="A293" s="19" t="s">
        <v>70</v>
      </c>
      <c r="B293" s="20" t="s">
        <v>87</v>
      </c>
      <c r="C293" s="20" t="s">
        <v>390</v>
      </c>
      <c r="D293" s="21" t="s">
        <v>266</v>
      </c>
      <c r="E293" s="21" t="s">
        <v>1</v>
      </c>
      <c r="F293" s="22">
        <v>-242.98</v>
      </c>
      <c r="G293" s="22">
        <v>0</v>
      </c>
      <c r="H293" s="22">
        <v>0</v>
      </c>
      <c r="I293" s="22">
        <v>0</v>
      </c>
      <c r="J293" s="22">
        <v>0</v>
      </c>
      <c r="K293" s="22">
        <v>-242.98</v>
      </c>
      <c r="L293" s="22">
        <v>-242.98</v>
      </c>
      <c r="M293" s="23">
        <v>45856</v>
      </c>
      <c r="N293" s="23">
        <v>45856</v>
      </c>
      <c r="O293" s="32">
        <v>-196</v>
      </c>
      <c r="P293" s="25" t="s">
        <v>60</v>
      </c>
      <c r="Q293" s="26" t="s">
        <v>72</v>
      </c>
      <c r="R293" s="27" t="s">
        <v>225</v>
      </c>
      <c r="S293" s="28" t="s">
        <v>225</v>
      </c>
      <c r="T293" s="29">
        <v>0</v>
      </c>
      <c r="U293" s="29">
        <v>0</v>
      </c>
      <c r="V293" s="29">
        <v>0</v>
      </c>
      <c r="W293" s="29">
        <v>0</v>
      </c>
      <c r="X293" s="30">
        <v>0</v>
      </c>
      <c r="Y293" s="29">
        <v>0</v>
      </c>
    </row>
    <row r="294" spans="1:25" x14ac:dyDescent="0.3">
      <c r="A294" s="19" t="s">
        <v>323</v>
      </c>
      <c r="B294" s="20" t="s">
        <v>87</v>
      </c>
      <c r="C294" s="20" t="s">
        <v>368</v>
      </c>
      <c r="D294" s="21" t="s">
        <v>324</v>
      </c>
      <c r="E294" s="21" t="s">
        <v>1</v>
      </c>
      <c r="F294" s="22">
        <v>-4899.83</v>
      </c>
      <c r="G294" s="22">
        <v>0</v>
      </c>
      <c r="H294" s="22">
        <v>0</v>
      </c>
      <c r="I294" s="22">
        <v>0</v>
      </c>
      <c r="J294" s="22">
        <v>-4899.83</v>
      </c>
      <c r="K294" s="22">
        <v>0</v>
      </c>
      <c r="L294" s="22">
        <v>-4899.83</v>
      </c>
      <c r="M294" s="23">
        <v>45967</v>
      </c>
      <c r="N294" s="23">
        <v>45967</v>
      </c>
      <c r="O294" s="24">
        <v>-85</v>
      </c>
      <c r="P294" s="25" t="s">
        <v>60</v>
      </c>
      <c r="Q294" s="26" t="s">
        <v>72</v>
      </c>
      <c r="R294" s="27" t="s">
        <v>225</v>
      </c>
      <c r="S294" s="28" t="s">
        <v>225</v>
      </c>
      <c r="T294" s="29">
        <v>0</v>
      </c>
      <c r="U294" s="29">
        <v>0</v>
      </c>
      <c r="V294" s="29">
        <v>0</v>
      </c>
      <c r="W294" s="29">
        <v>0</v>
      </c>
      <c r="X294" s="30">
        <v>0</v>
      </c>
      <c r="Y294" s="29">
        <v>0</v>
      </c>
    </row>
    <row r="295" spans="1:25" x14ac:dyDescent="0.3">
      <c r="A295" s="19" t="s">
        <v>32</v>
      </c>
      <c r="B295" s="20" t="s">
        <v>87</v>
      </c>
      <c r="C295" s="20" t="s">
        <v>398</v>
      </c>
      <c r="D295" s="21" t="s">
        <v>127</v>
      </c>
      <c r="E295" s="21" t="s">
        <v>1</v>
      </c>
      <c r="F295" s="22">
        <v>-284.29000000000002</v>
      </c>
      <c r="G295" s="22">
        <v>0</v>
      </c>
      <c r="H295" s="22">
        <v>0</v>
      </c>
      <c r="I295" s="22">
        <v>0</v>
      </c>
      <c r="J295" s="22">
        <v>0</v>
      </c>
      <c r="K295" s="22">
        <v>-284.29000000000002</v>
      </c>
      <c r="L295" s="22">
        <v>-284.29000000000002</v>
      </c>
      <c r="M295" s="23">
        <v>43686</v>
      </c>
      <c r="N295" s="23">
        <v>43686</v>
      </c>
      <c r="O295" s="32">
        <v>-2366</v>
      </c>
      <c r="P295" s="25" t="s">
        <v>60</v>
      </c>
      <c r="Q295" s="26" t="s">
        <v>72</v>
      </c>
      <c r="R295" s="27" t="s">
        <v>87</v>
      </c>
      <c r="S295" s="28" t="s">
        <v>87</v>
      </c>
      <c r="T295" s="29">
        <v>0</v>
      </c>
      <c r="U295" s="29">
        <v>0</v>
      </c>
      <c r="V295" s="29">
        <v>0</v>
      </c>
      <c r="W295" s="29">
        <v>0</v>
      </c>
      <c r="X295" s="30">
        <v>0</v>
      </c>
      <c r="Y295" s="29">
        <v>0</v>
      </c>
    </row>
    <row r="296" spans="1:25" x14ac:dyDescent="0.3">
      <c r="A296" s="19" t="s">
        <v>203</v>
      </c>
      <c r="B296" s="20" t="s">
        <v>87</v>
      </c>
      <c r="C296" s="20" t="s">
        <v>385</v>
      </c>
      <c r="D296" s="21" t="s">
        <v>204</v>
      </c>
      <c r="E296" s="21" t="s">
        <v>1</v>
      </c>
      <c r="F296" s="22">
        <v>-2736</v>
      </c>
      <c r="G296" s="22">
        <v>0</v>
      </c>
      <c r="H296" s="22">
        <v>0</v>
      </c>
      <c r="I296" s="22">
        <v>0</v>
      </c>
      <c r="J296" s="22">
        <v>0</v>
      </c>
      <c r="K296" s="22">
        <v>-2736</v>
      </c>
      <c r="L296" s="22">
        <v>-2736</v>
      </c>
      <c r="M296" s="23">
        <v>44889</v>
      </c>
      <c r="N296" s="23">
        <v>44889</v>
      </c>
      <c r="O296" s="32">
        <v>-1163</v>
      </c>
      <c r="P296" s="25" t="s">
        <v>61</v>
      </c>
      <c r="Q296" s="26" t="s">
        <v>72</v>
      </c>
      <c r="R296" s="27" t="s">
        <v>87</v>
      </c>
      <c r="S296" s="28" t="s">
        <v>87</v>
      </c>
      <c r="T296" s="29">
        <v>0</v>
      </c>
      <c r="U296" s="29">
        <v>0</v>
      </c>
      <c r="V296" s="29">
        <v>0</v>
      </c>
      <c r="W296" s="29">
        <v>0</v>
      </c>
      <c r="X296" s="30">
        <v>0</v>
      </c>
      <c r="Y296" s="29">
        <v>0</v>
      </c>
    </row>
    <row r="297" spans="1:25" x14ac:dyDescent="0.3">
      <c r="A297" s="19" t="s">
        <v>183</v>
      </c>
      <c r="B297" s="20" t="s">
        <v>87</v>
      </c>
      <c r="C297" s="20" t="s">
        <v>366</v>
      </c>
      <c r="D297" s="21" t="s">
        <v>184</v>
      </c>
      <c r="E297" s="21" t="s">
        <v>1</v>
      </c>
      <c r="F297" s="22">
        <v>-1000</v>
      </c>
      <c r="G297" s="22">
        <v>0</v>
      </c>
      <c r="H297" s="22">
        <v>0</v>
      </c>
      <c r="I297" s="22">
        <v>0</v>
      </c>
      <c r="J297" s="22">
        <v>0</v>
      </c>
      <c r="K297" s="22">
        <v>-1000</v>
      </c>
      <c r="L297" s="22">
        <v>-1000</v>
      </c>
      <c r="M297" s="23">
        <v>44852</v>
      </c>
      <c r="N297" s="23">
        <v>44852</v>
      </c>
      <c r="O297" s="32">
        <v>-1200</v>
      </c>
      <c r="P297" s="25" t="s">
        <v>61</v>
      </c>
      <c r="Q297" s="26" t="s">
        <v>72</v>
      </c>
      <c r="R297" s="27" t="s">
        <v>87</v>
      </c>
      <c r="S297" s="28" t="s">
        <v>87</v>
      </c>
      <c r="T297" s="29">
        <v>0</v>
      </c>
      <c r="U297" s="29">
        <v>0</v>
      </c>
      <c r="V297" s="29">
        <v>0</v>
      </c>
      <c r="W297" s="29">
        <v>0</v>
      </c>
      <c r="X297" s="30">
        <v>0</v>
      </c>
      <c r="Y297" s="29">
        <v>0</v>
      </c>
    </row>
    <row r="298" spans="1:25" x14ac:dyDescent="0.3">
      <c r="A298" s="19" t="s">
        <v>170</v>
      </c>
      <c r="B298" s="20" t="s">
        <v>87</v>
      </c>
      <c r="C298" s="20" t="s">
        <v>360</v>
      </c>
      <c r="D298" s="21">
        <v>8768</v>
      </c>
      <c r="E298" s="21" t="s">
        <v>1</v>
      </c>
      <c r="F298" s="22">
        <v>-670.64</v>
      </c>
      <c r="G298" s="22">
        <v>0</v>
      </c>
      <c r="H298" s="22">
        <v>0</v>
      </c>
      <c r="I298" s="22">
        <v>0</v>
      </c>
      <c r="J298" s="22">
        <v>0</v>
      </c>
      <c r="K298" s="22">
        <v>-670.64</v>
      </c>
      <c r="L298" s="22">
        <v>-670.64</v>
      </c>
      <c r="M298" s="23">
        <v>45370</v>
      </c>
      <c r="N298" s="23">
        <v>45370</v>
      </c>
      <c r="O298" s="32">
        <v>-682</v>
      </c>
      <c r="P298" s="25" t="s">
        <v>2</v>
      </c>
      <c r="Q298" s="26" t="s">
        <v>59</v>
      </c>
      <c r="R298" s="27" t="s">
        <v>87</v>
      </c>
      <c r="S298" s="28" t="s">
        <v>87</v>
      </c>
      <c r="T298" s="29">
        <v>0</v>
      </c>
      <c r="U298" s="29">
        <v>0</v>
      </c>
      <c r="V298" s="29">
        <v>0</v>
      </c>
      <c r="W298" s="29">
        <v>0</v>
      </c>
      <c r="X298" s="30">
        <v>0</v>
      </c>
      <c r="Y298" s="29">
        <v>0</v>
      </c>
    </row>
    <row r="299" spans="1:25" x14ac:dyDescent="0.3">
      <c r="A299" s="19" t="s">
        <v>343</v>
      </c>
      <c r="B299" s="20" t="s">
        <v>0</v>
      </c>
      <c r="C299" s="20" t="s">
        <v>377</v>
      </c>
      <c r="D299" s="21">
        <v>71113</v>
      </c>
      <c r="E299" s="21" t="s">
        <v>1</v>
      </c>
      <c r="F299" s="22">
        <v>2804</v>
      </c>
      <c r="G299" s="22">
        <v>0</v>
      </c>
      <c r="H299" s="22">
        <v>2804</v>
      </c>
      <c r="I299" s="22">
        <v>0</v>
      </c>
      <c r="J299" s="22">
        <v>0</v>
      </c>
      <c r="K299" s="22">
        <v>0</v>
      </c>
      <c r="L299" s="22">
        <v>2804</v>
      </c>
      <c r="M299" s="23">
        <v>46006</v>
      </c>
      <c r="N299" s="23">
        <v>46051</v>
      </c>
      <c r="O299" s="32">
        <v>-1</v>
      </c>
      <c r="P299" s="25" t="s">
        <v>60</v>
      </c>
      <c r="Q299" s="26" t="s">
        <v>72</v>
      </c>
      <c r="R299" s="27" t="s">
        <v>232</v>
      </c>
      <c r="S299" s="28" t="s">
        <v>232</v>
      </c>
      <c r="T299" s="29">
        <v>0</v>
      </c>
      <c r="U299" s="29">
        <v>0</v>
      </c>
      <c r="V299" s="29">
        <v>0</v>
      </c>
      <c r="W299" s="29">
        <v>0</v>
      </c>
      <c r="X299" s="30">
        <v>0</v>
      </c>
      <c r="Y299" s="29">
        <v>0</v>
      </c>
    </row>
    <row r="300" spans="1:25" x14ac:dyDescent="0.3">
      <c r="A300" s="19" t="s">
        <v>343</v>
      </c>
      <c r="B300" s="20" t="s">
        <v>87</v>
      </c>
      <c r="C300" s="20" t="s">
        <v>366</v>
      </c>
      <c r="D300" s="21" t="s">
        <v>344</v>
      </c>
      <c r="E300" s="21" t="s">
        <v>1</v>
      </c>
      <c r="F300" s="22">
        <v>-2754.37</v>
      </c>
      <c r="G300" s="22">
        <v>0</v>
      </c>
      <c r="H300" s="22">
        <v>0</v>
      </c>
      <c r="I300" s="22">
        <v>-2754.37</v>
      </c>
      <c r="J300" s="22">
        <v>0</v>
      </c>
      <c r="K300" s="22">
        <v>0</v>
      </c>
      <c r="L300" s="22">
        <v>-2754.37</v>
      </c>
      <c r="M300" s="23">
        <v>46020</v>
      </c>
      <c r="N300" s="23">
        <v>46020</v>
      </c>
      <c r="O300" s="32">
        <v>-32</v>
      </c>
      <c r="P300" s="25" t="s">
        <v>60</v>
      </c>
      <c r="Q300" s="26" t="s">
        <v>72</v>
      </c>
      <c r="R300" s="27" t="s">
        <v>232</v>
      </c>
      <c r="S300" s="28" t="s">
        <v>232</v>
      </c>
      <c r="T300" s="29">
        <v>0</v>
      </c>
      <c r="U300" s="29">
        <v>0</v>
      </c>
      <c r="V300" s="29">
        <v>0</v>
      </c>
      <c r="W300" s="29">
        <v>0</v>
      </c>
      <c r="X300" s="30">
        <v>0</v>
      </c>
      <c r="Y300" s="29">
        <v>0</v>
      </c>
    </row>
    <row r="301" spans="1:25" x14ac:dyDescent="0.3">
      <c r="A301" s="19" t="s">
        <v>107</v>
      </c>
      <c r="B301" s="20" t="s">
        <v>87</v>
      </c>
      <c r="C301" s="20" t="s">
        <v>390</v>
      </c>
      <c r="D301" s="21" t="s">
        <v>108</v>
      </c>
      <c r="E301" s="21" t="s">
        <v>1</v>
      </c>
      <c r="F301" s="22">
        <v>-108.505464</v>
      </c>
      <c r="G301" s="22">
        <v>0</v>
      </c>
      <c r="H301" s="22">
        <v>0</v>
      </c>
      <c r="I301" s="22">
        <v>0</v>
      </c>
      <c r="J301" s="22">
        <v>0</v>
      </c>
      <c r="K301" s="22">
        <v>-108.51</v>
      </c>
      <c r="L301" s="22">
        <v>-108.51</v>
      </c>
      <c r="M301" s="23">
        <v>44777</v>
      </c>
      <c r="N301" s="23">
        <v>44777</v>
      </c>
      <c r="O301" s="32">
        <v>-1275</v>
      </c>
      <c r="P301" s="25" t="s">
        <v>60</v>
      </c>
      <c r="Q301" s="26" t="s">
        <v>72</v>
      </c>
      <c r="R301" s="27" t="s">
        <v>87</v>
      </c>
      <c r="S301" s="28" t="s">
        <v>87</v>
      </c>
      <c r="T301" s="29">
        <v>0</v>
      </c>
      <c r="U301" s="29">
        <v>0</v>
      </c>
      <c r="V301" s="29">
        <v>0</v>
      </c>
      <c r="W301" s="29">
        <v>0</v>
      </c>
      <c r="X301" s="30">
        <v>0</v>
      </c>
      <c r="Y301" s="29">
        <v>0</v>
      </c>
    </row>
    <row r="302" spans="1:25" x14ac:dyDescent="0.3">
      <c r="A302" s="19" t="s">
        <v>213</v>
      </c>
      <c r="B302" s="20" t="s">
        <v>87</v>
      </c>
      <c r="C302" s="20" t="s">
        <v>385</v>
      </c>
      <c r="D302" s="21" t="s">
        <v>214</v>
      </c>
      <c r="E302" s="21" t="s">
        <v>1</v>
      </c>
      <c r="F302" s="22">
        <v>-8697.9699999999993</v>
      </c>
      <c r="G302" s="22">
        <v>0</v>
      </c>
      <c r="H302" s="22">
        <v>0</v>
      </c>
      <c r="I302" s="22">
        <v>0</v>
      </c>
      <c r="J302" s="22">
        <v>0</v>
      </c>
      <c r="K302" s="22">
        <v>-8697.9699999999993</v>
      </c>
      <c r="L302" s="22">
        <v>-8697.9699999999993</v>
      </c>
      <c r="M302" s="23">
        <v>45180</v>
      </c>
      <c r="N302" s="23">
        <v>45180</v>
      </c>
      <c r="O302" s="32">
        <v>-872</v>
      </c>
      <c r="P302" s="25" t="s">
        <v>60</v>
      </c>
      <c r="Q302" s="26" t="s">
        <v>72</v>
      </c>
      <c r="R302" s="27" t="s">
        <v>87</v>
      </c>
      <c r="S302" s="28" t="s">
        <v>87</v>
      </c>
      <c r="T302" s="29">
        <v>0</v>
      </c>
      <c r="U302" s="29">
        <v>0</v>
      </c>
      <c r="V302" s="29">
        <v>0</v>
      </c>
      <c r="W302" s="29">
        <v>0</v>
      </c>
      <c r="X302" s="30">
        <v>0</v>
      </c>
      <c r="Y302" s="29">
        <v>0</v>
      </c>
    </row>
    <row r="303" spans="1:25" x14ac:dyDescent="0.3">
      <c r="A303" s="19" t="s">
        <v>171</v>
      </c>
      <c r="B303" s="20" t="s">
        <v>87</v>
      </c>
      <c r="C303" s="20" t="s">
        <v>371</v>
      </c>
      <c r="D303" s="21" t="s">
        <v>207</v>
      </c>
      <c r="E303" s="21" t="s">
        <v>1</v>
      </c>
      <c r="F303" s="22">
        <v>-3896.96</v>
      </c>
      <c r="G303" s="22">
        <v>0</v>
      </c>
      <c r="H303" s="22">
        <v>0</v>
      </c>
      <c r="I303" s="22">
        <v>0</v>
      </c>
      <c r="J303" s="22">
        <v>0</v>
      </c>
      <c r="K303" s="22">
        <v>-3896.96</v>
      </c>
      <c r="L303" s="22">
        <v>-3896.96</v>
      </c>
      <c r="M303" s="23">
        <v>44629</v>
      </c>
      <c r="N303" s="23">
        <v>44629</v>
      </c>
      <c r="O303" s="24">
        <v>-1423</v>
      </c>
      <c r="P303" s="25" t="s">
        <v>60</v>
      </c>
      <c r="Q303" s="26" t="s">
        <v>72</v>
      </c>
      <c r="R303" s="27" t="s">
        <v>87</v>
      </c>
      <c r="S303" s="28" t="s">
        <v>87</v>
      </c>
      <c r="T303" s="29">
        <v>0</v>
      </c>
      <c r="U303" s="29">
        <v>0</v>
      </c>
      <c r="V303" s="29">
        <v>0</v>
      </c>
      <c r="W303" s="29">
        <v>0</v>
      </c>
      <c r="X303" s="30">
        <v>0</v>
      </c>
      <c r="Y303" s="29">
        <v>0</v>
      </c>
    </row>
    <row r="304" spans="1:25" x14ac:dyDescent="0.3">
      <c r="A304" s="19" t="s">
        <v>171</v>
      </c>
      <c r="B304" s="20" t="s">
        <v>87</v>
      </c>
      <c r="C304" s="20" t="s">
        <v>371</v>
      </c>
      <c r="D304" s="21" t="s">
        <v>172</v>
      </c>
      <c r="E304" s="21" t="s">
        <v>1</v>
      </c>
      <c r="F304" s="22">
        <v>-675</v>
      </c>
      <c r="G304" s="22">
        <v>0</v>
      </c>
      <c r="H304" s="22">
        <v>0</v>
      </c>
      <c r="I304" s="22">
        <v>0</v>
      </c>
      <c r="J304" s="22">
        <v>0</v>
      </c>
      <c r="K304" s="22">
        <v>-675</v>
      </c>
      <c r="L304" s="22">
        <v>-675</v>
      </c>
      <c r="M304" s="23">
        <v>45602</v>
      </c>
      <c r="N304" s="23">
        <v>45602</v>
      </c>
      <c r="O304" s="32">
        <v>-450</v>
      </c>
      <c r="P304" s="25" t="s">
        <v>60</v>
      </c>
      <c r="Q304" s="26" t="s">
        <v>72</v>
      </c>
      <c r="R304" s="27" t="s">
        <v>225</v>
      </c>
      <c r="S304" s="28" t="s">
        <v>225</v>
      </c>
      <c r="T304" s="29">
        <v>0</v>
      </c>
      <c r="U304" s="29">
        <v>0</v>
      </c>
      <c r="V304" s="29">
        <v>0</v>
      </c>
      <c r="W304" s="29">
        <v>0</v>
      </c>
      <c r="X304" s="30">
        <v>0</v>
      </c>
      <c r="Y304" s="29">
        <v>0</v>
      </c>
    </row>
    <row r="305" spans="1:25" x14ac:dyDescent="0.3">
      <c r="A305" s="19" t="s">
        <v>71</v>
      </c>
      <c r="B305" s="20" t="s">
        <v>0</v>
      </c>
      <c r="C305" s="20" t="s">
        <v>374</v>
      </c>
      <c r="D305" s="21">
        <v>70466</v>
      </c>
      <c r="E305" s="21" t="s">
        <v>1</v>
      </c>
      <c r="F305" s="22">
        <v>1657.64</v>
      </c>
      <c r="G305" s="22">
        <v>0</v>
      </c>
      <c r="H305" s="22">
        <v>0</v>
      </c>
      <c r="I305" s="22">
        <v>0</v>
      </c>
      <c r="J305" s="22">
        <v>0</v>
      </c>
      <c r="K305" s="22">
        <v>1657.64</v>
      </c>
      <c r="L305" s="22">
        <v>1657.64</v>
      </c>
      <c r="M305" s="23">
        <v>45154</v>
      </c>
      <c r="N305" s="23">
        <v>45162</v>
      </c>
      <c r="O305" s="32">
        <v>-890</v>
      </c>
      <c r="P305" s="25" t="s">
        <v>60</v>
      </c>
      <c r="Q305" s="26" t="s">
        <v>72</v>
      </c>
      <c r="R305" s="27" t="s">
        <v>74</v>
      </c>
      <c r="S305" s="28" t="s">
        <v>74</v>
      </c>
      <c r="T305" s="29">
        <v>0</v>
      </c>
      <c r="U305" s="29">
        <v>0</v>
      </c>
      <c r="V305" s="29">
        <v>0</v>
      </c>
      <c r="W305" s="29">
        <v>0</v>
      </c>
      <c r="X305" s="30">
        <v>0</v>
      </c>
      <c r="Y305" s="29">
        <v>0</v>
      </c>
    </row>
    <row r="306" spans="1:25" x14ac:dyDescent="0.3">
      <c r="A306" s="19" t="s">
        <v>120</v>
      </c>
      <c r="B306" s="20" t="s">
        <v>87</v>
      </c>
      <c r="C306" s="20" t="s">
        <v>378</v>
      </c>
      <c r="D306" s="21" t="s">
        <v>162</v>
      </c>
      <c r="E306" s="21" t="s">
        <v>1</v>
      </c>
      <c r="F306" s="22">
        <v>-550.65</v>
      </c>
      <c r="G306" s="22">
        <v>0</v>
      </c>
      <c r="H306" s="22">
        <v>0</v>
      </c>
      <c r="I306" s="22">
        <v>0</v>
      </c>
      <c r="J306" s="22">
        <v>0</v>
      </c>
      <c r="K306" s="22">
        <v>-550.65</v>
      </c>
      <c r="L306" s="22">
        <v>-550.65</v>
      </c>
      <c r="M306" s="23">
        <v>43165</v>
      </c>
      <c r="N306" s="23">
        <v>43165</v>
      </c>
      <c r="O306" s="32">
        <v>-2887</v>
      </c>
      <c r="P306" s="25" t="s">
        <v>60</v>
      </c>
      <c r="Q306" s="26" t="s">
        <v>72</v>
      </c>
      <c r="R306" s="27" t="s">
        <v>87</v>
      </c>
      <c r="S306" s="28" t="s">
        <v>87</v>
      </c>
      <c r="T306" s="29">
        <v>0</v>
      </c>
      <c r="U306" s="29">
        <v>0</v>
      </c>
      <c r="V306" s="29">
        <v>0</v>
      </c>
      <c r="W306" s="29">
        <v>0</v>
      </c>
      <c r="X306" s="30">
        <v>0</v>
      </c>
      <c r="Y306" s="29">
        <v>0</v>
      </c>
    </row>
    <row r="307" spans="1:25" x14ac:dyDescent="0.3">
      <c r="A307" s="19" t="s">
        <v>120</v>
      </c>
      <c r="B307" s="20" t="s">
        <v>87</v>
      </c>
      <c r="C307" s="20" t="s">
        <v>378</v>
      </c>
      <c r="D307" s="21" t="s">
        <v>121</v>
      </c>
      <c r="E307" s="21" t="s">
        <v>1</v>
      </c>
      <c r="F307" s="22">
        <v>-226.34</v>
      </c>
      <c r="G307" s="22">
        <v>0</v>
      </c>
      <c r="H307" s="22">
        <v>0</v>
      </c>
      <c r="I307" s="22">
        <v>0</v>
      </c>
      <c r="J307" s="22">
        <v>0</v>
      </c>
      <c r="K307" s="22">
        <v>-226.34</v>
      </c>
      <c r="L307" s="22">
        <v>-226.34</v>
      </c>
      <c r="M307" s="23">
        <v>43165</v>
      </c>
      <c r="N307" s="23">
        <v>43165</v>
      </c>
      <c r="O307" s="32">
        <v>-2887</v>
      </c>
      <c r="P307" s="25" t="s">
        <v>60</v>
      </c>
      <c r="Q307" s="26" t="s">
        <v>72</v>
      </c>
      <c r="R307" s="27" t="s">
        <v>87</v>
      </c>
      <c r="S307" s="28" t="s">
        <v>87</v>
      </c>
      <c r="T307" s="29">
        <v>0</v>
      </c>
      <c r="U307" s="29">
        <v>0</v>
      </c>
      <c r="V307" s="29">
        <v>0</v>
      </c>
      <c r="W307" s="29">
        <v>0</v>
      </c>
      <c r="X307" s="30">
        <v>0</v>
      </c>
      <c r="Y307" s="29">
        <v>0</v>
      </c>
    </row>
    <row r="308" spans="1:25" x14ac:dyDescent="0.3">
      <c r="A308" s="19" t="s">
        <v>103</v>
      </c>
      <c r="B308" s="20" t="s">
        <v>87</v>
      </c>
      <c r="C308" s="20" t="s">
        <v>385</v>
      </c>
      <c r="D308" s="21">
        <v>1116</v>
      </c>
      <c r="E308" s="21" t="s">
        <v>1</v>
      </c>
      <c r="F308" s="22">
        <v>-94.88</v>
      </c>
      <c r="G308" s="22">
        <v>0</v>
      </c>
      <c r="H308" s="22">
        <v>0</v>
      </c>
      <c r="I308" s="22">
        <v>0</v>
      </c>
      <c r="J308" s="22">
        <v>0</v>
      </c>
      <c r="K308" s="22">
        <v>-94.88</v>
      </c>
      <c r="L308" s="22">
        <v>-94.88</v>
      </c>
      <c r="M308" s="23">
        <v>43417</v>
      </c>
      <c r="N308" s="23">
        <v>43432</v>
      </c>
      <c r="O308" s="32">
        <v>-2620</v>
      </c>
      <c r="P308" s="25" t="s">
        <v>60</v>
      </c>
      <c r="Q308" s="26" t="s">
        <v>72</v>
      </c>
      <c r="R308" s="27" t="s">
        <v>87</v>
      </c>
      <c r="S308" s="28" t="s">
        <v>87</v>
      </c>
      <c r="T308" s="29">
        <v>0</v>
      </c>
      <c r="U308" s="29">
        <v>0</v>
      </c>
      <c r="V308" s="29">
        <v>0</v>
      </c>
      <c r="W308" s="29">
        <v>0</v>
      </c>
      <c r="X308" s="30">
        <v>0</v>
      </c>
      <c r="Y308" s="29">
        <v>0</v>
      </c>
    </row>
    <row r="309" spans="1:25" x14ac:dyDescent="0.3">
      <c r="A309" s="19" t="s">
        <v>181</v>
      </c>
      <c r="B309" s="20" t="s">
        <v>87</v>
      </c>
      <c r="C309" s="20" t="s">
        <v>399</v>
      </c>
      <c r="D309" s="21" t="s">
        <v>182</v>
      </c>
      <c r="E309" s="21" t="s">
        <v>1</v>
      </c>
      <c r="F309" s="22">
        <v>-1000</v>
      </c>
      <c r="G309" s="22">
        <v>0</v>
      </c>
      <c r="H309" s="22">
        <v>0</v>
      </c>
      <c r="I309" s="22">
        <v>0</v>
      </c>
      <c r="J309" s="22">
        <v>0</v>
      </c>
      <c r="K309" s="22">
        <v>-1000</v>
      </c>
      <c r="L309" s="22">
        <v>-1000</v>
      </c>
      <c r="M309" s="23">
        <v>45474</v>
      </c>
      <c r="N309" s="23">
        <v>45474</v>
      </c>
      <c r="O309" s="32">
        <v>-578</v>
      </c>
      <c r="P309" s="25" t="s">
        <v>60</v>
      </c>
      <c r="Q309" s="26" t="s">
        <v>72</v>
      </c>
      <c r="R309" s="27" t="s">
        <v>225</v>
      </c>
      <c r="S309" s="28" t="s">
        <v>225</v>
      </c>
      <c r="T309" s="29">
        <v>0</v>
      </c>
      <c r="U309" s="29">
        <v>0</v>
      </c>
      <c r="V309" s="29">
        <v>0</v>
      </c>
      <c r="W309" s="29">
        <v>0</v>
      </c>
      <c r="X309" s="30">
        <v>0</v>
      </c>
      <c r="Y309" s="29">
        <v>0</v>
      </c>
    </row>
    <row r="310" spans="1:25" x14ac:dyDescent="0.3">
      <c r="A310" s="19" t="s">
        <v>283</v>
      </c>
      <c r="B310" s="20" t="s">
        <v>87</v>
      </c>
      <c r="C310" s="20" t="s">
        <v>368</v>
      </c>
      <c r="D310" s="21" t="s">
        <v>351</v>
      </c>
      <c r="E310" s="21" t="s">
        <v>1</v>
      </c>
      <c r="F310" s="22">
        <v>-61.5</v>
      </c>
      <c r="G310" s="22">
        <v>0</v>
      </c>
      <c r="H310" s="22">
        <v>0</v>
      </c>
      <c r="I310" s="22">
        <v>-61.5</v>
      </c>
      <c r="J310" s="22">
        <v>0</v>
      </c>
      <c r="K310" s="22">
        <v>0</v>
      </c>
      <c r="L310" s="22">
        <v>-61.5</v>
      </c>
      <c r="M310" s="23">
        <v>46020</v>
      </c>
      <c r="N310" s="23">
        <v>46020</v>
      </c>
      <c r="O310" s="24">
        <v>-32</v>
      </c>
      <c r="P310" s="25" t="s">
        <v>60</v>
      </c>
      <c r="Q310" s="26" t="s">
        <v>72</v>
      </c>
      <c r="R310" s="27" t="s">
        <v>87</v>
      </c>
      <c r="S310" s="28" t="s">
        <v>87</v>
      </c>
      <c r="T310" s="29">
        <v>0</v>
      </c>
      <c r="U310" s="29">
        <v>0</v>
      </c>
      <c r="V310" s="29">
        <v>0</v>
      </c>
      <c r="W310" s="29">
        <v>0</v>
      </c>
      <c r="X310" s="30">
        <v>0</v>
      </c>
      <c r="Y310" s="29">
        <v>0</v>
      </c>
    </row>
    <row r="311" spans="1:25" x14ac:dyDescent="0.3">
      <c r="A311" s="19" t="s">
        <v>174</v>
      </c>
      <c r="B311" s="20" t="s">
        <v>87</v>
      </c>
      <c r="C311" s="20" t="s">
        <v>360</v>
      </c>
      <c r="D311" s="21">
        <v>4187</v>
      </c>
      <c r="E311" s="21" t="s">
        <v>1</v>
      </c>
      <c r="F311" s="22">
        <v>-699</v>
      </c>
      <c r="G311" s="22">
        <v>0</v>
      </c>
      <c r="H311" s="22">
        <v>0</v>
      </c>
      <c r="I311" s="22">
        <v>0</v>
      </c>
      <c r="J311" s="22">
        <v>0</v>
      </c>
      <c r="K311" s="22">
        <v>-699</v>
      </c>
      <c r="L311" s="22">
        <v>-699</v>
      </c>
      <c r="M311" s="23">
        <v>45229</v>
      </c>
      <c r="N311" s="23">
        <v>45229</v>
      </c>
      <c r="O311" s="32">
        <v>-823</v>
      </c>
      <c r="P311" s="25" t="s">
        <v>2</v>
      </c>
      <c r="Q311" s="26" t="s">
        <v>59</v>
      </c>
      <c r="R311" s="27" t="s">
        <v>87</v>
      </c>
      <c r="S311" s="28" t="s">
        <v>87</v>
      </c>
      <c r="T311" s="29">
        <v>0</v>
      </c>
      <c r="U311" s="29">
        <v>0</v>
      </c>
      <c r="V311" s="29">
        <v>0</v>
      </c>
      <c r="W311" s="29">
        <v>0</v>
      </c>
      <c r="X311" s="30">
        <v>0</v>
      </c>
      <c r="Y311" s="29">
        <v>0</v>
      </c>
    </row>
    <row r="312" spans="1:25" x14ac:dyDescent="0.3">
      <c r="A312" s="19" t="s">
        <v>147</v>
      </c>
      <c r="B312" s="20" t="s">
        <v>87</v>
      </c>
      <c r="C312" s="20" t="s">
        <v>360</v>
      </c>
      <c r="D312" s="21">
        <v>10745</v>
      </c>
      <c r="E312" s="21" t="s">
        <v>1</v>
      </c>
      <c r="F312" s="22">
        <v>-702.70431900000005</v>
      </c>
      <c r="G312" s="22">
        <v>0</v>
      </c>
      <c r="H312" s="22">
        <v>0</v>
      </c>
      <c r="I312" s="22">
        <v>0</v>
      </c>
      <c r="J312" s="22">
        <v>0</v>
      </c>
      <c r="K312" s="22">
        <v>-702.7</v>
      </c>
      <c r="L312" s="22">
        <v>-702.7</v>
      </c>
      <c r="M312" s="23">
        <v>45443</v>
      </c>
      <c r="N312" s="23">
        <v>45443</v>
      </c>
      <c r="O312" s="32">
        <v>-609</v>
      </c>
      <c r="P312" s="25" t="s">
        <v>2</v>
      </c>
      <c r="Q312" s="26" t="s">
        <v>59</v>
      </c>
      <c r="R312" s="27" t="s">
        <v>87</v>
      </c>
      <c r="S312" s="28" t="s">
        <v>87</v>
      </c>
      <c r="T312" s="29">
        <v>0</v>
      </c>
      <c r="U312" s="29">
        <v>0</v>
      </c>
      <c r="V312" s="29">
        <v>0</v>
      </c>
      <c r="W312" s="29">
        <v>0</v>
      </c>
      <c r="X312" s="30">
        <v>0</v>
      </c>
      <c r="Y312" s="29">
        <v>0</v>
      </c>
    </row>
    <row r="313" spans="1:25" x14ac:dyDescent="0.3">
      <c r="A313" s="19" t="s">
        <v>177</v>
      </c>
      <c r="B313" s="20" t="s">
        <v>87</v>
      </c>
      <c r="C313" s="20" t="s">
        <v>360</v>
      </c>
      <c r="D313" s="21">
        <v>3726</v>
      </c>
      <c r="E313" s="21" t="s">
        <v>1</v>
      </c>
      <c r="F313" s="22">
        <v>-739</v>
      </c>
      <c r="G313" s="22">
        <v>0</v>
      </c>
      <c r="H313" s="22">
        <v>0</v>
      </c>
      <c r="I313" s="22">
        <v>0</v>
      </c>
      <c r="J313" s="22">
        <v>0</v>
      </c>
      <c r="K313" s="22">
        <v>-739</v>
      </c>
      <c r="L313" s="22">
        <v>-739</v>
      </c>
      <c r="M313" s="23">
        <v>45176</v>
      </c>
      <c r="N313" s="23">
        <v>45176</v>
      </c>
      <c r="O313" s="32">
        <v>-876</v>
      </c>
      <c r="P313" s="25" t="s">
        <v>2</v>
      </c>
      <c r="Q313" s="26" t="s">
        <v>59</v>
      </c>
      <c r="R313" s="27" t="s">
        <v>87</v>
      </c>
      <c r="S313" s="28" t="s">
        <v>87</v>
      </c>
      <c r="T313" s="29">
        <v>0</v>
      </c>
      <c r="U313" s="29">
        <v>0</v>
      </c>
      <c r="V313" s="29">
        <v>0</v>
      </c>
      <c r="W313" s="29">
        <v>0</v>
      </c>
      <c r="X313" s="30">
        <v>0</v>
      </c>
      <c r="Y313" s="29">
        <v>0</v>
      </c>
    </row>
    <row r="314" spans="1:25" x14ac:dyDescent="0.3">
      <c r="A314" s="19" t="s">
        <v>270</v>
      </c>
      <c r="B314" s="20" t="s">
        <v>87</v>
      </c>
      <c r="C314" s="20" t="s">
        <v>363</v>
      </c>
      <c r="D314" s="21" t="s">
        <v>271</v>
      </c>
      <c r="E314" s="21" t="s">
        <v>1</v>
      </c>
      <c r="F314" s="22">
        <v>-869.13</v>
      </c>
      <c r="G314" s="22">
        <v>0</v>
      </c>
      <c r="H314" s="22">
        <v>0</v>
      </c>
      <c r="I314" s="22">
        <v>0</v>
      </c>
      <c r="J314" s="22">
        <v>0</v>
      </c>
      <c r="K314" s="22">
        <v>-869.13</v>
      </c>
      <c r="L314" s="22">
        <v>-869.13</v>
      </c>
      <c r="M314" s="23">
        <v>45869</v>
      </c>
      <c r="N314" s="23">
        <v>45869</v>
      </c>
      <c r="O314" s="32">
        <v>-183</v>
      </c>
      <c r="P314" s="25" t="s">
        <v>2</v>
      </c>
      <c r="Q314" s="26" t="s">
        <v>59</v>
      </c>
      <c r="R314" s="27" t="s">
        <v>225</v>
      </c>
      <c r="S314" s="28" t="s">
        <v>225</v>
      </c>
      <c r="T314" s="29">
        <v>0</v>
      </c>
      <c r="U314" s="29">
        <v>0</v>
      </c>
      <c r="V314" s="29">
        <v>0</v>
      </c>
      <c r="W314" s="29">
        <v>0</v>
      </c>
      <c r="X314" s="30">
        <v>0</v>
      </c>
      <c r="Y314" s="29">
        <v>0</v>
      </c>
    </row>
    <row r="315" spans="1:25" x14ac:dyDescent="0.3">
      <c r="A315" s="19" t="s">
        <v>248</v>
      </c>
      <c r="B315" s="20" t="s">
        <v>87</v>
      </c>
      <c r="C315" s="20" t="s">
        <v>385</v>
      </c>
      <c r="D315" s="21" t="s">
        <v>325</v>
      </c>
      <c r="E315" s="21" t="s">
        <v>1</v>
      </c>
      <c r="F315" s="22">
        <v>-8947.2000000000007</v>
      </c>
      <c r="G315" s="22">
        <v>0</v>
      </c>
      <c r="H315" s="22">
        <v>0</v>
      </c>
      <c r="I315" s="22">
        <v>0</v>
      </c>
      <c r="J315" s="22">
        <v>-8947.2000000000007</v>
      </c>
      <c r="K315" s="22">
        <v>0</v>
      </c>
      <c r="L315" s="22">
        <v>-8947.2000000000007</v>
      </c>
      <c r="M315" s="23">
        <v>45974</v>
      </c>
      <c r="N315" s="23">
        <v>45974</v>
      </c>
      <c r="O315" s="32">
        <v>-78</v>
      </c>
      <c r="P315" s="25" t="s">
        <v>60</v>
      </c>
      <c r="Q315" s="26" t="s">
        <v>72</v>
      </c>
      <c r="R315" s="27" t="s">
        <v>225</v>
      </c>
      <c r="S315" s="28" t="s">
        <v>225</v>
      </c>
      <c r="T315" s="29">
        <v>0</v>
      </c>
      <c r="U315" s="29">
        <v>0</v>
      </c>
      <c r="V315" s="29">
        <v>0</v>
      </c>
      <c r="W315" s="29">
        <v>0</v>
      </c>
      <c r="X315" s="30">
        <v>0</v>
      </c>
      <c r="Y315" s="29">
        <v>0</v>
      </c>
    </row>
    <row r="316" spans="1:25" x14ac:dyDescent="0.3">
      <c r="A316" s="19" t="s">
        <v>218</v>
      </c>
      <c r="B316" s="20" t="s">
        <v>87</v>
      </c>
      <c r="C316" s="20" t="s">
        <v>367</v>
      </c>
      <c r="D316" s="21" t="s">
        <v>229</v>
      </c>
      <c r="E316" s="21" t="s">
        <v>1</v>
      </c>
      <c r="F316" s="22">
        <v>-898.42</v>
      </c>
      <c r="G316" s="22">
        <v>0</v>
      </c>
      <c r="H316" s="22">
        <v>0</v>
      </c>
      <c r="I316" s="22">
        <v>0</v>
      </c>
      <c r="J316" s="22">
        <v>0</v>
      </c>
      <c r="K316" s="22">
        <v>-898.42</v>
      </c>
      <c r="L316" s="22">
        <v>-898.42</v>
      </c>
      <c r="M316" s="23">
        <v>45737</v>
      </c>
      <c r="N316" s="23">
        <v>45737</v>
      </c>
      <c r="O316" s="32">
        <v>-315</v>
      </c>
      <c r="P316" s="25" t="s">
        <v>2</v>
      </c>
      <c r="Q316" s="26" t="s">
        <v>59</v>
      </c>
      <c r="R316" s="27" t="s">
        <v>232</v>
      </c>
      <c r="S316" s="28" t="s">
        <v>232</v>
      </c>
      <c r="T316" s="29">
        <v>0</v>
      </c>
      <c r="U316" s="29">
        <v>0</v>
      </c>
      <c r="V316" s="29">
        <v>0</v>
      </c>
      <c r="W316" s="29">
        <v>0</v>
      </c>
      <c r="X316" s="30">
        <v>0</v>
      </c>
      <c r="Y316" s="29">
        <v>0</v>
      </c>
    </row>
    <row r="317" spans="1:25" x14ac:dyDescent="0.3">
      <c r="A317" s="19" t="s">
        <v>188</v>
      </c>
      <c r="B317" s="20" t="s">
        <v>87</v>
      </c>
      <c r="C317" s="20" t="s">
        <v>360</v>
      </c>
      <c r="D317" s="21">
        <v>602</v>
      </c>
      <c r="E317" s="21" t="s">
        <v>1</v>
      </c>
      <c r="F317" s="22">
        <v>-1044.1199999999999</v>
      </c>
      <c r="G317" s="22">
        <v>0</v>
      </c>
      <c r="H317" s="22">
        <v>0</v>
      </c>
      <c r="I317" s="22">
        <v>0</v>
      </c>
      <c r="J317" s="22">
        <v>0</v>
      </c>
      <c r="K317" s="22">
        <v>-1044.1199999999999</v>
      </c>
      <c r="L317" s="22">
        <v>-1044.1199999999999</v>
      </c>
      <c r="M317" s="23">
        <v>45096</v>
      </c>
      <c r="N317" s="23">
        <v>45096</v>
      </c>
      <c r="O317" s="32">
        <v>-956</v>
      </c>
      <c r="P317" s="25" t="s">
        <v>2</v>
      </c>
      <c r="Q317" s="26" t="s">
        <v>59</v>
      </c>
      <c r="R317" s="27" t="s">
        <v>87</v>
      </c>
      <c r="S317" s="28" t="s">
        <v>87</v>
      </c>
      <c r="T317" s="29">
        <v>0</v>
      </c>
      <c r="U317" s="29">
        <v>0</v>
      </c>
      <c r="V317" s="29">
        <v>0</v>
      </c>
      <c r="W317" s="29">
        <v>0</v>
      </c>
      <c r="X317" s="30">
        <v>0</v>
      </c>
      <c r="Y317" s="29">
        <v>0</v>
      </c>
    </row>
    <row r="318" spans="1:25" x14ac:dyDescent="0.3">
      <c r="A318" s="19" t="s">
        <v>189</v>
      </c>
      <c r="B318" s="20" t="s">
        <v>87</v>
      </c>
      <c r="C318" s="20" t="s">
        <v>360</v>
      </c>
      <c r="D318" s="21">
        <v>722</v>
      </c>
      <c r="E318" s="21" t="s">
        <v>1</v>
      </c>
      <c r="F318" s="22">
        <v>-1080.52</v>
      </c>
      <c r="G318" s="22">
        <v>0</v>
      </c>
      <c r="H318" s="22">
        <v>0</v>
      </c>
      <c r="I318" s="22">
        <v>0</v>
      </c>
      <c r="J318" s="22">
        <v>0</v>
      </c>
      <c r="K318" s="22">
        <v>-1080.52</v>
      </c>
      <c r="L318" s="22">
        <v>-1080.52</v>
      </c>
      <c r="M318" s="23">
        <v>45149</v>
      </c>
      <c r="N318" s="23">
        <v>45149</v>
      </c>
      <c r="O318" s="32">
        <v>-903</v>
      </c>
      <c r="P318" s="25" t="s">
        <v>2</v>
      </c>
      <c r="Q318" s="26" t="s">
        <v>59</v>
      </c>
      <c r="R318" s="27" t="s">
        <v>87</v>
      </c>
      <c r="S318" s="28" t="s">
        <v>87</v>
      </c>
      <c r="T318" s="29">
        <v>0</v>
      </c>
      <c r="U318" s="29">
        <v>0</v>
      </c>
      <c r="V318" s="29">
        <v>0</v>
      </c>
      <c r="W318" s="29">
        <v>0</v>
      </c>
      <c r="X318" s="30">
        <v>0</v>
      </c>
      <c r="Y318" s="29">
        <v>0</v>
      </c>
    </row>
    <row r="319" spans="1:25" x14ac:dyDescent="0.3">
      <c r="A319" s="19" t="s">
        <v>10</v>
      </c>
      <c r="B319" s="20" t="s">
        <v>87</v>
      </c>
      <c r="C319" s="20" t="s">
        <v>360</v>
      </c>
      <c r="D319" s="21">
        <v>3397</v>
      </c>
      <c r="E319" s="21" t="s">
        <v>1</v>
      </c>
      <c r="F319" s="22">
        <v>-1145.3699999999999</v>
      </c>
      <c r="G319" s="22">
        <v>0</v>
      </c>
      <c r="H319" s="22">
        <v>0</v>
      </c>
      <c r="I319" s="22">
        <v>0</v>
      </c>
      <c r="J319" s="22">
        <v>0</v>
      </c>
      <c r="K319" s="22">
        <v>-1145.3699999999999</v>
      </c>
      <c r="L319" s="22">
        <v>-1145.3699999999999</v>
      </c>
      <c r="M319" s="23">
        <v>45198</v>
      </c>
      <c r="N319" s="23">
        <v>45198</v>
      </c>
      <c r="O319" s="24">
        <v>-854</v>
      </c>
      <c r="P319" s="25" t="s">
        <v>2</v>
      </c>
      <c r="Q319" s="26" t="s">
        <v>59</v>
      </c>
      <c r="R319" s="27" t="s">
        <v>87</v>
      </c>
      <c r="S319" s="28" t="s">
        <v>87</v>
      </c>
      <c r="T319" s="29">
        <v>0</v>
      </c>
      <c r="U319" s="29">
        <v>0</v>
      </c>
      <c r="V319" s="29">
        <v>0</v>
      </c>
      <c r="W319" s="29">
        <v>0</v>
      </c>
      <c r="X319" s="30">
        <v>0</v>
      </c>
      <c r="Y319" s="29">
        <v>0</v>
      </c>
    </row>
    <row r="320" spans="1:25" x14ac:dyDescent="0.3">
      <c r="A320" s="19" t="s">
        <v>192</v>
      </c>
      <c r="B320" s="20" t="s">
        <v>87</v>
      </c>
      <c r="C320" s="20" t="s">
        <v>360</v>
      </c>
      <c r="D320" s="21">
        <v>2777</v>
      </c>
      <c r="E320" s="21" t="s">
        <v>1</v>
      </c>
      <c r="F320" s="22">
        <v>-1176.8</v>
      </c>
      <c r="G320" s="22">
        <v>0</v>
      </c>
      <c r="H320" s="22">
        <v>0</v>
      </c>
      <c r="I320" s="22">
        <v>0</v>
      </c>
      <c r="J320" s="22">
        <v>0</v>
      </c>
      <c r="K320" s="22">
        <v>-1176.8</v>
      </c>
      <c r="L320" s="22">
        <v>-1176.8</v>
      </c>
      <c r="M320" s="23">
        <v>45180</v>
      </c>
      <c r="N320" s="23">
        <v>45180</v>
      </c>
      <c r="O320" s="32">
        <v>-872</v>
      </c>
      <c r="P320" s="25" t="s">
        <v>2</v>
      </c>
      <c r="Q320" s="26" t="s">
        <v>59</v>
      </c>
      <c r="R320" s="27" t="s">
        <v>87</v>
      </c>
      <c r="S320" s="28" t="s">
        <v>87</v>
      </c>
      <c r="T320" s="29">
        <v>0</v>
      </c>
      <c r="U320" s="29">
        <v>0</v>
      </c>
      <c r="V320" s="29">
        <v>0</v>
      </c>
      <c r="W320" s="29">
        <v>0</v>
      </c>
      <c r="X320" s="30">
        <v>0</v>
      </c>
      <c r="Y320" s="29">
        <v>0</v>
      </c>
    </row>
    <row r="321" spans="1:25" x14ac:dyDescent="0.3">
      <c r="A321" s="19" t="s">
        <v>152</v>
      </c>
      <c r="B321" s="20" t="s">
        <v>87</v>
      </c>
      <c r="C321" s="20" t="s">
        <v>372</v>
      </c>
      <c r="D321" s="21" t="s">
        <v>153</v>
      </c>
      <c r="E321" s="21" t="s">
        <v>1</v>
      </c>
      <c r="F321" s="22">
        <v>-469.97</v>
      </c>
      <c r="G321" s="22">
        <v>0</v>
      </c>
      <c r="H321" s="22">
        <v>0</v>
      </c>
      <c r="I321" s="22">
        <v>0</v>
      </c>
      <c r="J321" s="22">
        <v>0</v>
      </c>
      <c r="K321" s="22">
        <v>-469.97</v>
      </c>
      <c r="L321" s="22">
        <v>-469.97</v>
      </c>
      <c r="M321" s="23">
        <v>43545</v>
      </c>
      <c r="N321" s="23">
        <v>43545</v>
      </c>
      <c r="O321" s="32">
        <v>-2507</v>
      </c>
      <c r="P321" s="25" t="s">
        <v>60</v>
      </c>
      <c r="Q321" s="26" t="s">
        <v>72</v>
      </c>
      <c r="R321" s="27" t="s">
        <v>87</v>
      </c>
      <c r="S321" s="28" t="s">
        <v>87</v>
      </c>
      <c r="T321" s="29">
        <v>0</v>
      </c>
      <c r="U321" s="29">
        <v>0</v>
      </c>
      <c r="V321" s="29">
        <v>0</v>
      </c>
      <c r="W321" s="29">
        <v>0</v>
      </c>
      <c r="X321" s="30">
        <v>0</v>
      </c>
      <c r="Y321" s="29">
        <v>0</v>
      </c>
    </row>
    <row r="322" spans="1:25" x14ac:dyDescent="0.3">
      <c r="A322" s="19" t="s">
        <v>12</v>
      </c>
      <c r="B322" s="20" t="s">
        <v>87</v>
      </c>
      <c r="C322" s="20" t="s">
        <v>368</v>
      </c>
      <c r="D322" s="21" t="s">
        <v>193</v>
      </c>
      <c r="E322" s="21" t="s">
        <v>1</v>
      </c>
      <c r="F322" s="22">
        <v>-1237.08</v>
      </c>
      <c r="G322" s="22">
        <v>0</v>
      </c>
      <c r="H322" s="22">
        <v>0</v>
      </c>
      <c r="I322" s="22">
        <v>0</v>
      </c>
      <c r="J322" s="22">
        <v>0</v>
      </c>
      <c r="K322" s="22">
        <v>-1237.08</v>
      </c>
      <c r="L322" s="22">
        <v>-1237.08</v>
      </c>
      <c r="M322" s="23">
        <v>45722</v>
      </c>
      <c r="N322" s="23">
        <v>45722</v>
      </c>
      <c r="O322" s="32">
        <v>-330</v>
      </c>
      <c r="P322" s="25" t="s">
        <v>2</v>
      </c>
      <c r="Q322" s="26" t="s">
        <v>59</v>
      </c>
      <c r="R322" s="27" t="s">
        <v>232</v>
      </c>
      <c r="S322" s="28" t="s">
        <v>232</v>
      </c>
      <c r="T322" s="29">
        <v>0</v>
      </c>
      <c r="U322" s="29">
        <v>0</v>
      </c>
      <c r="V322" s="29">
        <v>0</v>
      </c>
      <c r="W322" s="29">
        <v>0</v>
      </c>
      <c r="X322" s="30">
        <v>0</v>
      </c>
      <c r="Y322" s="29">
        <v>0</v>
      </c>
    </row>
    <row r="323" spans="1:25" x14ac:dyDescent="0.3">
      <c r="A323" s="19" t="s">
        <v>258</v>
      </c>
      <c r="B323" s="20" t="s">
        <v>87</v>
      </c>
      <c r="C323" s="20" t="s">
        <v>368</v>
      </c>
      <c r="D323" s="21" t="s">
        <v>259</v>
      </c>
      <c r="E323" s="21" t="s">
        <v>1</v>
      </c>
      <c r="F323" s="22">
        <v>-1614.604403</v>
      </c>
      <c r="G323" s="22">
        <v>0</v>
      </c>
      <c r="H323" s="22">
        <v>0</v>
      </c>
      <c r="I323" s="22">
        <v>0</v>
      </c>
      <c r="J323" s="22">
        <v>0</v>
      </c>
      <c r="K323" s="22">
        <v>-1614.6</v>
      </c>
      <c r="L323" s="22">
        <v>-1614.6</v>
      </c>
      <c r="M323" s="23">
        <v>45866</v>
      </c>
      <c r="N323" s="23">
        <v>45866</v>
      </c>
      <c r="O323" s="24">
        <v>-186</v>
      </c>
      <c r="P323" s="25" t="s">
        <v>2</v>
      </c>
      <c r="Q323" s="26" t="s">
        <v>59</v>
      </c>
      <c r="R323" s="27" t="s">
        <v>225</v>
      </c>
      <c r="S323" s="28" t="s">
        <v>225</v>
      </c>
      <c r="T323" s="29">
        <v>0</v>
      </c>
      <c r="U323" s="29">
        <v>0</v>
      </c>
      <c r="V323" s="29">
        <v>0</v>
      </c>
      <c r="W323" s="29">
        <v>0</v>
      </c>
      <c r="X323" s="30">
        <v>0</v>
      </c>
      <c r="Y323" s="29">
        <v>0</v>
      </c>
    </row>
    <row r="324" spans="1:25" x14ac:dyDescent="0.3">
      <c r="A324" s="19" t="s">
        <v>137</v>
      </c>
      <c r="B324" s="20" t="s">
        <v>87</v>
      </c>
      <c r="C324" s="20" t="s">
        <v>385</v>
      </c>
      <c r="D324" s="21" t="s">
        <v>138</v>
      </c>
      <c r="E324" s="21" t="s">
        <v>1</v>
      </c>
      <c r="F324" s="22">
        <v>-372.4</v>
      </c>
      <c r="G324" s="22">
        <v>0</v>
      </c>
      <c r="H324" s="22">
        <v>0</v>
      </c>
      <c r="I324" s="22">
        <v>0</v>
      </c>
      <c r="J324" s="22">
        <v>0</v>
      </c>
      <c r="K324" s="22">
        <v>-372.4</v>
      </c>
      <c r="L324" s="22">
        <v>-372.4</v>
      </c>
      <c r="M324" s="23">
        <v>43258</v>
      </c>
      <c r="N324" s="23">
        <v>43258</v>
      </c>
      <c r="O324" s="32">
        <v>-2794</v>
      </c>
      <c r="P324" s="25" t="s">
        <v>60</v>
      </c>
      <c r="Q324" s="26" t="s">
        <v>72</v>
      </c>
      <c r="R324" s="27" t="s">
        <v>87</v>
      </c>
      <c r="S324" s="28" t="s">
        <v>87</v>
      </c>
      <c r="T324" s="29">
        <v>0</v>
      </c>
      <c r="U324" s="29">
        <v>0</v>
      </c>
      <c r="V324" s="29">
        <v>0</v>
      </c>
      <c r="W324" s="29">
        <v>0</v>
      </c>
      <c r="X324" s="30">
        <v>0</v>
      </c>
      <c r="Y324" s="29">
        <v>0</v>
      </c>
    </row>
    <row r="325" spans="1:25" x14ac:dyDescent="0.3">
      <c r="A325" s="19" t="s">
        <v>231</v>
      </c>
      <c r="B325" s="20" t="s">
        <v>0</v>
      </c>
      <c r="C325" s="20" t="s">
        <v>377</v>
      </c>
      <c r="D325" s="21">
        <v>71031</v>
      </c>
      <c r="E325" s="21" t="s">
        <v>1</v>
      </c>
      <c r="F325" s="22">
        <v>72.83</v>
      </c>
      <c r="G325" s="22">
        <v>0</v>
      </c>
      <c r="H325" s="22">
        <v>0</v>
      </c>
      <c r="I325" s="22">
        <v>0</v>
      </c>
      <c r="J325" s="22">
        <v>0</v>
      </c>
      <c r="K325" s="22">
        <v>72.83</v>
      </c>
      <c r="L325" s="22">
        <v>72.83</v>
      </c>
      <c r="M325" s="23">
        <v>45917</v>
      </c>
      <c r="N325" s="23">
        <v>45947</v>
      </c>
      <c r="O325" s="32">
        <v>-105</v>
      </c>
      <c r="P325" s="25" t="s">
        <v>60</v>
      </c>
      <c r="Q325" s="26" t="s">
        <v>72</v>
      </c>
      <c r="R325" s="27" t="s">
        <v>232</v>
      </c>
      <c r="S325" s="28" t="s">
        <v>232</v>
      </c>
      <c r="T325" s="29">
        <v>0</v>
      </c>
      <c r="U325" s="29">
        <v>0</v>
      </c>
      <c r="V325" s="29">
        <v>0</v>
      </c>
      <c r="W325" s="29">
        <v>0</v>
      </c>
      <c r="X325" s="30">
        <v>0</v>
      </c>
      <c r="Y325" s="29">
        <v>0</v>
      </c>
    </row>
    <row r="326" spans="1:25" x14ac:dyDescent="0.3">
      <c r="A326" s="19" t="s">
        <v>231</v>
      </c>
      <c r="B326" s="20" t="s">
        <v>0</v>
      </c>
      <c r="C326" s="20" t="s">
        <v>377</v>
      </c>
      <c r="D326" s="21">
        <v>71106</v>
      </c>
      <c r="E326" s="21" t="s">
        <v>1</v>
      </c>
      <c r="F326" s="22">
        <v>14.42</v>
      </c>
      <c r="G326" s="22">
        <v>0</v>
      </c>
      <c r="H326" s="22">
        <v>14.42</v>
      </c>
      <c r="I326" s="22">
        <v>0</v>
      </c>
      <c r="J326" s="22">
        <v>0</v>
      </c>
      <c r="K326" s="22">
        <v>0</v>
      </c>
      <c r="L326" s="22">
        <v>14.42</v>
      </c>
      <c r="M326" s="23">
        <v>46002</v>
      </c>
      <c r="N326" s="23">
        <v>46032</v>
      </c>
      <c r="O326" s="32">
        <v>-20</v>
      </c>
      <c r="P326" s="25" t="s">
        <v>60</v>
      </c>
      <c r="Q326" s="26" t="s">
        <v>72</v>
      </c>
      <c r="R326" s="27" t="s">
        <v>232</v>
      </c>
      <c r="S326" s="28" t="s">
        <v>232</v>
      </c>
      <c r="T326" s="29">
        <v>0</v>
      </c>
      <c r="U326" s="29">
        <v>0</v>
      </c>
      <c r="V326" s="29">
        <v>0</v>
      </c>
      <c r="W326" s="29">
        <v>0</v>
      </c>
      <c r="X326" s="30">
        <v>0</v>
      </c>
      <c r="Y326" s="29">
        <v>0</v>
      </c>
    </row>
    <row r="327" spans="1:25" x14ac:dyDescent="0.3">
      <c r="A327" s="19" t="s">
        <v>189</v>
      </c>
      <c r="B327" s="20" t="s">
        <v>87</v>
      </c>
      <c r="C327" s="20" t="s">
        <v>360</v>
      </c>
      <c r="D327" s="21">
        <v>714</v>
      </c>
      <c r="E327" s="21" t="s">
        <v>1</v>
      </c>
      <c r="F327" s="22">
        <v>-1852.33</v>
      </c>
      <c r="G327" s="22">
        <v>0</v>
      </c>
      <c r="H327" s="22">
        <v>0</v>
      </c>
      <c r="I327" s="22">
        <v>0</v>
      </c>
      <c r="J327" s="22">
        <v>0</v>
      </c>
      <c r="K327" s="22">
        <v>-1852.33</v>
      </c>
      <c r="L327" s="22">
        <v>-1852.33</v>
      </c>
      <c r="M327" s="23">
        <v>45146</v>
      </c>
      <c r="N327" s="23">
        <v>45146</v>
      </c>
      <c r="O327" s="32">
        <v>-906</v>
      </c>
      <c r="P327" s="25" t="s">
        <v>2</v>
      </c>
      <c r="Q327" s="26" t="s">
        <v>59</v>
      </c>
      <c r="R327" s="27" t="s">
        <v>87</v>
      </c>
      <c r="S327" s="28" t="s">
        <v>87</v>
      </c>
      <c r="T327" s="29">
        <v>0</v>
      </c>
      <c r="U327" s="29">
        <v>0</v>
      </c>
      <c r="V327" s="29">
        <v>0</v>
      </c>
      <c r="W327" s="29">
        <v>0</v>
      </c>
      <c r="X327" s="30">
        <v>0</v>
      </c>
      <c r="Y327" s="29">
        <v>0</v>
      </c>
    </row>
    <row r="328" spans="1:25" x14ac:dyDescent="0.3">
      <c r="A328" s="19" t="s">
        <v>205</v>
      </c>
      <c r="B328" s="20" t="s">
        <v>87</v>
      </c>
      <c r="C328" s="20" t="s">
        <v>360</v>
      </c>
      <c r="D328" s="21">
        <v>9763</v>
      </c>
      <c r="E328" s="21" t="s">
        <v>1</v>
      </c>
      <c r="F328" s="22">
        <v>-2877.61</v>
      </c>
      <c r="G328" s="22">
        <v>0</v>
      </c>
      <c r="H328" s="22">
        <v>0</v>
      </c>
      <c r="I328" s="22">
        <v>0</v>
      </c>
      <c r="J328" s="22">
        <v>0</v>
      </c>
      <c r="K328" s="22">
        <v>-2877.61</v>
      </c>
      <c r="L328" s="22">
        <v>-2877.61</v>
      </c>
      <c r="M328" s="23">
        <v>45412</v>
      </c>
      <c r="N328" s="23">
        <v>45412</v>
      </c>
      <c r="O328" s="32">
        <v>-640</v>
      </c>
      <c r="P328" s="25" t="s">
        <v>2</v>
      </c>
      <c r="Q328" s="26" t="s">
        <v>59</v>
      </c>
      <c r="R328" s="27" t="s">
        <v>87</v>
      </c>
      <c r="S328" s="28" t="s">
        <v>87</v>
      </c>
      <c r="T328" s="29">
        <v>0</v>
      </c>
      <c r="U328" s="29">
        <v>0</v>
      </c>
      <c r="V328" s="29">
        <v>0</v>
      </c>
      <c r="W328" s="29">
        <v>0</v>
      </c>
      <c r="X328" s="30">
        <v>0</v>
      </c>
      <c r="Y328" s="29">
        <v>0</v>
      </c>
    </row>
    <row r="329" spans="1:25" x14ac:dyDescent="0.3">
      <c r="A329" s="19" t="s">
        <v>345</v>
      </c>
      <c r="B329" s="20" t="s">
        <v>87</v>
      </c>
      <c r="C329" s="20" t="s">
        <v>361</v>
      </c>
      <c r="D329" s="21" t="s">
        <v>346</v>
      </c>
      <c r="E329" s="21" t="s">
        <v>1</v>
      </c>
      <c r="F329" s="22">
        <v>-3011.838737</v>
      </c>
      <c r="G329" s="22">
        <v>0</v>
      </c>
      <c r="H329" s="22">
        <v>0</v>
      </c>
      <c r="I329" s="22">
        <v>-3011.84</v>
      </c>
      <c r="J329" s="22">
        <v>0</v>
      </c>
      <c r="K329" s="22">
        <v>0</v>
      </c>
      <c r="L329" s="22">
        <v>-3011.84</v>
      </c>
      <c r="M329" s="23">
        <v>46008</v>
      </c>
      <c r="N329" s="23">
        <v>46008</v>
      </c>
      <c r="O329" s="32">
        <v>-44</v>
      </c>
      <c r="P329" s="25" t="s">
        <v>2</v>
      </c>
      <c r="Q329" s="26" t="s">
        <v>59</v>
      </c>
      <c r="R329" s="27" t="s">
        <v>232</v>
      </c>
      <c r="S329" s="28" t="s">
        <v>232</v>
      </c>
      <c r="T329" s="29">
        <v>0</v>
      </c>
      <c r="U329" s="29">
        <v>0</v>
      </c>
      <c r="V329" s="29">
        <v>0</v>
      </c>
      <c r="W329" s="29">
        <v>0</v>
      </c>
      <c r="X329" s="30">
        <v>0</v>
      </c>
      <c r="Y329" s="29">
        <v>0</v>
      </c>
    </row>
    <row r="330" spans="1:25" x14ac:dyDescent="0.3">
      <c r="A330" s="19" t="s">
        <v>249</v>
      </c>
      <c r="B330" s="20" t="s">
        <v>87</v>
      </c>
      <c r="C330" s="20" t="s">
        <v>369</v>
      </c>
      <c r="D330" s="21">
        <v>4817</v>
      </c>
      <c r="E330" s="21" t="s">
        <v>1</v>
      </c>
      <c r="F330" s="22">
        <v>-3217.43</v>
      </c>
      <c r="G330" s="22">
        <v>0</v>
      </c>
      <c r="H330" s="22">
        <v>0</v>
      </c>
      <c r="I330" s="22">
        <v>0</v>
      </c>
      <c r="J330" s="22">
        <v>0</v>
      </c>
      <c r="K330" s="22">
        <v>-3217.43</v>
      </c>
      <c r="L330" s="22">
        <v>-3217.43</v>
      </c>
      <c r="M330" s="23">
        <v>45866</v>
      </c>
      <c r="N330" s="23">
        <v>45896</v>
      </c>
      <c r="O330" s="32">
        <v>-156</v>
      </c>
      <c r="P330" s="25" t="s">
        <v>2</v>
      </c>
      <c r="Q330" s="26" t="s">
        <v>59</v>
      </c>
      <c r="R330" s="27" t="s">
        <v>232</v>
      </c>
      <c r="S330" s="28" t="s">
        <v>232</v>
      </c>
      <c r="T330" s="29">
        <v>0</v>
      </c>
      <c r="U330" s="29">
        <v>0</v>
      </c>
      <c r="V330" s="29">
        <v>0</v>
      </c>
      <c r="W330" s="29">
        <v>0</v>
      </c>
      <c r="X330" s="30">
        <v>0</v>
      </c>
      <c r="Y330" s="29">
        <v>0</v>
      </c>
    </row>
    <row r="331" spans="1:25" x14ac:dyDescent="0.3">
      <c r="A331" s="19" t="s">
        <v>231</v>
      </c>
      <c r="B331" s="20" t="s">
        <v>0</v>
      </c>
      <c r="C331" s="20" t="s">
        <v>377</v>
      </c>
      <c r="D331" s="21">
        <v>71050</v>
      </c>
      <c r="E331" s="21" t="s">
        <v>1</v>
      </c>
      <c r="F331" s="22">
        <v>3.95</v>
      </c>
      <c r="G331" s="22">
        <v>0</v>
      </c>
      <c r="H331" s="22">
        <v>0</v>
      </c>
      <c r="I331" s="22">
        <v>0</v>
      </c>
      <c r="J331" s="22">
        <v>3.95</v>
      </c>
      <c r="K331" s="22">
        <v>0</v>
      </c>
      <c r="L331" s="22">
        <v>3.95</v>
      </c>
      <c r="M331" s="23">
        <v>45945</v>
      </c>
      <c r="N331" s="23">
        <v>45975</v>
      </c>
      <c r="O331" s="24">
        <v>-77</v>
      </c>
      <c r="P331" s="25" t="s">
        <v>60</v>
      </c>
      <c r="Q331" s="26" t="s">
        <v>72</v>
      </c>
      <c r="R331" s="27" t="s">
        <v>232</v>
      </c>
      <c r="S331" s="28" t="s">
        <v>232</v>
      </c>
      <c r="T331" s="29">
        <v>0</v>
      </c>
      <c r="U331" s="29">
        <v>0</v>
      </c>
      <c r="V331" s="29">
        <v>0</v>
      </c>
      <c r="W331" s="29">
        <v>0</v>
      </c>
      <c r="X331" s="30">
        <v>0</v>
      </c>
      <c r="Y331" s="29">
        <v>0</v>
      </c>
    </row>
    <row r="332" spans="1:25" x14ac:dyDescent="0.3">
      <c r="A332" s="19" t="s">
        <v>231</v>
      </c>
      <c r="B332" s="20" t="s">
        <v>87</v>
      </c>
      <c r="C332" s="20" t="s">
        <v>372</v>
      </c>
      <c r="D332" s="21" t="s">
        <v>312</v>
      </c>
      <c r="E332" s="21" t="s">
        <v>1</v>
      </c>
      <c r="F332" s="22">
        <v>-7.7770000000000001E-3</v>
      </c>
      <c r="G332" s="22">
        <v>0</v>
      </c>
      <c r="H332" s="22">
        <v>0</v>
      </c>
      <c r="I332" s="22">
        <v>0</v>
      </c>
      <c r="J332" s="22">
        <v>0</v>
      </c>
      <c r="K332" s="22">
        <v>-0.01</v>
      </c>
      <c r="L332" s="22">
        <v>-0.01</v>
      </c>
      <c r="M332" s="23">
        <v>45937</v>
      </c>
      <c r="N332" s="23">
        <v>45937</v>
      </c>
      <c r="O332" s="32">
        <v>-115</v>
      </c>
      <c r="P332" s="25" t="s">
        <v>60</v>
      </c>
      <c r="Q332" s="26" t="s">
        <v>72</v>
      </c>
      <c r="R332" s="27" t="s">
        <v>232</v>
      </c>
      <c r="S332" s="28" t="s">
        <v>232</v>
      </c>
      <c r="T332" s="29">
        <v>0</v>
      </c>
      <c r="U332" s="29">
        <v>0</v>
      </c>
      <c r="V332" s="29">
        <v>0</v>
      </c>
      <c r="W332" s="29">
        <v>0</v>
      </c>
      <c r="X332" s="30">
        <v>0</v>
      </c>
      <c r="Y332" s="29">
        <v>0</v>
      </c>
    </row>
    <row r="333" spans="1:25" x14ac:dyDescent="0.3">
      <c r="A333" s="19" t="s">
        <v>231</v>
      </c>
      <c r="B333" s="20" t="s">
        <v>87</v>
      </c>
      <c r="C333" s="20" t="s">
        <v>372</v>
      </c>
      <c r="D333" s="21" t="s">
        <v>326</v>
      </c>
      <c r="E333" s="21" t="s">
        <v>1</v>
      </c>
      <c r="F333" s="22">
        <v>-1.99</v>
      </c>
      <c r="G333" s="22">
        <v>0</v>
      </c>
      <c r="H333" s="22">
        <v>0</v>
      </c>
      <c r="I333" s="22">
        <v>0</v>
      </c>
      <c r="J333" s="22">
        <v>-1.99</v>
      </c>
      <c r="K333" s="22">
        <v>0</v>
      </c>
      <c r="L333" s="22">
        <v>-1.99</v>
      </c>
      <c r="M333" s="23">
        <v>45988</v>
      </c>
      <c r="N333" s="23">
        <v>45988</v>
      </c>
      <c r="O333" s="32">
        <v>-64</v>
      </c>
      <c r="P333" s="25" t="s">
        <v>60</v>
      </c>
      <c r="Q333" s="26" t="s">
        <v>72</v>
      </c>
      <c r="R333" s="27" t="s">
        <v>232</v>
      </c>
      <c r="S333" s="28" t="s">
        <v>232</v>
      </c>
      <c r="T333" s="29">
        <v>0</v>
      </c>
      <c r="U333" s="29">
        <v>0</v>
      </c>
      <c r="V333" s="29">
        <v>0</v>
      </c>
      <c r="W333" s="29">
        <v>0</v>
      </c>
      <c r="X333" s="30">
        <v>0</v>
      </c>
      <c r="Y333" s="31">
        <v>0</v>
      </c>
    </row>
    <row r="334" spans="1:25" x14ac:dyDescent="0.3">
      <c r="A334" s="19" t="s">
        <v>246</v>
      </c>
      <c r="B334" s="20" t="s">
        <v>87</v>
      </c>
      <c r="C334" s="20" t="s">
        <v>369</v>
      </c>
      <c r="D334" s="21" t="s">
        <v>316</v>
      </c>
      <c r="E334" s="21" t="s">
        <v>1</v>
      </c>
      <c r="F334" s="22">
        <v>-3368.11</v>
      </c>
      <c r="G334" s="22">
        <v>0</v>
      </c>
      <c r="H334" s="22">
        <v>0</v>
      </c>
      <c r="I334" s="22">
        <v>0</v>
      </c>
      <c r="J334" s="22">
        <v>-3368.11</v>
      </c>
      <c r="K334" s="22">
        <v>0</v>
      </c>
      <c r="L334" s="22">
        <v>-3368.11</v>
      </c>
      <c r="M334" s="23">
        <v>45978</v>
      </c>
      <c r="N334" s="23">
        <v>45978</v>
      </c>
      <c r="O334" s="24">
        <v>-74</v>
      </c>
      <c r="P334" s="25" t="s">
        <v>2</v>
      </c>
      <c r="Q334" s="26" t="s">
        <v>59</v>
      </c>
      <c r="R334" s="27" t="s">
        <v>225</v>
      </c>
      <c r="S334" s="28" t="s">
        <v>225</v>
      </c>
      <c r="T334" s="29">
        <v>0</v>
      </c>
      <c r="U334" s="29">
        <v>0</v>
      </c>
      <c r="V334" s="29">
        <v>0</v>
      </c>
      <c r="W334" s="29">
        <v>0</v>
      </c>
      <c r="X334" s="30">
        <v>0</v>
      </c>
      <c r="Y334" s="29">
        <v>0</v>
      </c>
    </row>
    <row r="335" spans="1:25" x14ac:dyDescent="0.3">
      <c r="A335" s="19" t="s">
        <v>208</v>
      </c>
      <c r="B335" s="20" t="s">
        <v>87</v>
      </c>
      <c r="C335" s="20" t="s">
        <v>368</v>
      </c>
      <c r="D335" s="21" t="s">
        <v>209</v>
      </c>
      <c r="E335" s="21" t="s">
        <v>1</v>
      </c>
      <c r="F335" s="22">
        <v>-3902.14</v>
      </c>
      <c r="G335" s="22">
        <v>0</v>
      </c>
      <c r="H335" s="22">
        <v>0</v>
      </c>
      <c r="I335" s="22">
        <v>0</v>
      </c>
      <c r="J335" s="22">
        <v>0</v>
      </c>
      <c r="K335" s="22">
        <v>-3902.14</v>
      </c>
      <c r="L335" s="22">
        <v>-3902.14</v>
      </c>
      <c r="M335" s="23">
        <v>45694</v>
      </c>
      <c r="N335" s="23">
        <v>45694</v>
      </c>
      <c r="O335" s="32">
        <v>-358</v>
      </c>
      <c r="P335" s="25" t="s">
        <v>16</v>
      </c>
      <c r="Q335" s="26" t="s">
        <v>59</v>
      </c>
      <c r="R335" s="27" t="s">
        <v>225</v>
      </c>
      <c r="S335" s="28" t="s">
        <v>225</v>
      </c>
      <c r="T335" s="29">
        <v>0</v>
      </c>
      <c r="U335" s="29">
        <v>0</v>
      </c>
      <c r="V335" s="29">
        <v>0</v>
      </c>
      <c r="W335" s="29">
        <v>0</v>
      </c>
      <c r="X335" s="30">
        <v>0</v>
      </c>
      <c r="Y335" s="31">
        <v>0</v>
      </c>
    </row>
    <row r="336" spans="1:25" x14ac:dyDescent="0.3">
      <c r="A336" s="19" t="s">
        <v>104</v>
      </c>
      <c r="B336" s="20" t="s">
        <v>87</v>
      </c>
      <c r="C336" s="20" t="s">
        <v>400</v>
      </c>
      <c r="D336" s="21">
        <v>929</v>
      </c>
      <c r="E336" s="21" t="s">
        <v>1</v>
      </c>
      <c r="F336" s="22">
        <v>-100</v>
      </c>
      <c r="G336" s="22">
        <v>0</v>
      </c>
      <c r="H336" s="22">
        <v>0</v>
      </c>
      <c r="I336" s="22">
        <v>0</v>
      </c>
      <c r="J336" s="22">
        <v>0</v>
      </c>
      <c r="K336" s="22">
        <v>-100</v>
      </c>
      <c r="L336" s="22">
        <v>-100</v>
      </c>
      <c r="M336" s="23">
        <v>42761</v>
      </c>
      <c r="N336" s="23">
        <v>42791</v>
      </c>
      <c r="O336" s="32">
        <v>-3261</v>
      </c>
      <c r="P336" s="25" t="s">
        <v>60</v>
      </c>
      <c r="Q336" s="26" t="s">
        <v>72</v>
      </c>
      <c r="R336" s="27" t="s">
        <v>87</v>
      </c>
      <c r="S336" s="28" t="s">
        <v>87</v>
      </c>
      <c r="T336" s="29">
        <v>0</v>
      </c>
      <c r="U336" s="29">
        <v>0</v>
      </c>
      <c r="V336" s="29">
        <v>0</v>
      </c>
      <c r="W336" s="29">
        <v>0</v>
      </c>
      <c r="X336" s="30">
        <v>0</v>
      </c>
      <c r="Y336" s="29">
        <v>0</v>
      </c>
    </row>
    <row r="337" spans="1:25" x14ac:dyDescent="0.3">
      <c r="A337" s="19" t="s">
        <v>160</v>
      </c>
      <c r="B337" s="20" t="s">
        <v>87</v>
      </c>
      <c r="C337" s="20" t="s">
        <v>366</v>
      </c>
      <c r="D337" s="21" t="s">
        <v>161</v>
      </c>
      <c r="E337" s="21" t="s">
        <v>1</v>
      </c>
      <c r="F337" s="22">
        <v>-540</v>
      </c>
      <c r="G337" s="22">
        <v>0</v>
      </c>
      <c r="H337" s="22">
        <v>0</v>
      </c>
      <c r="I337" s="22">
        <v>0</v>
      </c>
      <c r="J337" s="22">
        <v>0</v>
      </c>
      <c r="K337" s="22">
        <v>-540</v>
      </c>
      <c r="L337" s="22">
        <v>-540</v>
      </c>
      <c r="M337" s="23">
        <v>42885</v>
      </c>
      <c r="N337" s="23">
        <v>42885</v>
      </c>
      <c r="O337" s="24">
        <v>-3167</v>
      </c>
      <c r="P337" s="25" t="s">
        <v>60</v>
      </c>
      <c r="Q337" s="26" t="s">
        <v>72</v>
      </c>
      <c r="R337" s="27" t="s">
        <v>87</v>
      </c>
      <c r="S337" s="28" t="s">
        <v>87</v>
      </c>
      <c r="T337" s="29">
        <v>0</v>
      </c>
      <c r="U337" s="29">
        <v>0</v>
      </c>
      <c r="V337" s="29">
        <v>0</v>
      </c>
      <c r="W337" s="29">
        <v>0</v>
      </c>
      <c r="X337" s="30">
        <v>0</v>
      </c>
      <c r="Y337" s="31">
        <v>0</v>
      </c>
    </row>
    <row r="338" spans="1:25" x14ac:dyDescent="0.3">
      <c r="A338" s="19" t="s">
        <v>111</v>
      </c>
      <c r="B338" s="20" t="s">
        <v>87</v>
      </c>
      <c r="C338" s="20" t="s">
        <v>385</v>
      </c>
      <c r="D338" s="21" t="s">
        <v>112</v>
      </c>
      <c r="E338" s="21" t="s">
        <v>1</v>
      </c>
      <c r="F338" s="22">
        <v>-132.44</v>
      </c>
      <c r="G338" s="22">
        <v>0</v>
      </c>
      <c r="H338" s="22">
        <v>0</v>
      </c>
      <c r="I338" s="22">
        <v>0</v>
      </c>
      <c r="J338" s="22">
        <v>0</v>
      </c>
      <c r="K338" s="22">
        <v>-132.44</v>
      </c>
      <c r="L338" s="22">
        <v>-132.44</v>
      </c>
      <c r="M338" s="23">
        <v>42999</v>
      </c>
      <c r="N338" s="23">
        <v>42999</v>
      </c>
      <c r="O338" s="24">
        <v>-3053</v>
      </c>
      <c r="P338" s="25" t="s">
        <v>60</v>
      </c>
      <c r="Q338" s="26" t="s">
        <v>72</v>
      </c>
      <c r="R338" s="27" t="s">
        <v>87</v>
      </c>
      <c r="S338" s="28" t="s">
        <v>87</v>
      </c>
      <c r="T338" s="29">
        <v>0</v>
      </c>
      <c r="U338" s="29">
        <v>0</v>
      </c>
      <c r="V338" s="29">
        <v>0</v>
      </c>
      <c r="W338" s="29">
        <v>0</v>
      </c>
      <c r="X338" s="30">
        <v>0</v>
      </c>
      <c r="Y338" s="31">
        <v>0</v>
      </c>
    </row>
    <row r="339" spans="1:25" x14ac:dyDescent="0.3">
      <c r="A339" s="19" t="s">
        <v>308</v>
      </c>
      <c r="B339" s="20" t="s">
        <v>87</v>
      </c>
      <c r="C339" s="20" t="s">
        <v>367</v>
      </c>
      <c r="D339" s="21" t="s">
        <v>309</v>
      </c>
      <c r="E339" s="21" t="s">
        <v>1</v>
      </c>
      <c r="F339" s="22">
        <v>-3944.77</v>
      </c>
      <c r="G339" s="22">
        <v>0</v>
      </c>
      <c r="H339" s="22">
        <v>0</v>
      </c>
      <c r="I339" s="22">
        <v>0</v>
      </c>
      <c r="J339" s="22">
        <v>0</v>
      </c>
      <c r="K339" s="22">
        <v>-3944.77</v>
      </c>
      <c r="L339" s="22">
        <v>-3944.77</v>
      </c>
      <c r="M339" s="23">
        <v>45951</v>
      </c>
      <c r="N339" s="23">
        <v>45951</v>
      </c>
      <c r="O339" s="32">
        <v>-101</v>
      </c>
      <c r="P339" s="25" t="s">
        <v>2</v>
      </c>
      <c r="Q339" s="26" t="s">
        <v>59</v>
      </c>
      <c r="R339" s="27" t="s">
        <v>225</v>
      </c>
      <c r="S339" s="28" t="s">
        <v>225</v>
      </c>
      <c r="T339" s="29">
        <v>0</v>
      </c>
      <c r="U339" s="29">
        <v>0</v>
      </c>
      <c r="V339" s="29">
        <v>0</v>
      </c>
      <c r="W339" s="29">
        <v>0</v>
      </c>
      <c r="X339" s="30">
        <v>0</v>
      </c>
      <c r="Y339" s="31">
        <v>0</v>
      </c>
    </row>
    <row r="340" spans="1:25" x14ac:dyDescent="0.3">
      <c r="A340" s="19" t="s">
        <v>293</v>
      </c>
      <c r="B340" s="20" t="s">
        <v>87</v>
      </c>
      <c r="C340" s="20" t="s">
        <v>362</v>
      </c>
      <c r="D340" s="21">
        <v>56394</v>
      </c>
      <c r="E340" s="21" t="s">
        <v>1</v>
      </c>
      <c r="F340" s="22">
        <v>-4045.27</v>
      </c>
      <c r="G340" s="22">
        <v>0</v>
      </c>
      <c r="H340" s="22">
        <v>0</v>
      </c>
      <c r="I340" s="22">
        <v>0</v>
      </c>
      <c r="J340" s="22">
        <v>0</v>
      </c>
      <c r="K340" s="22">
        <v>-4045.27</v>
      </c>
      <c r="L340" s="22">
        <v>-4045.27</v>
      </c>
      <c r="M340" s="23">
        <v>45959</v>
      </c>
      <c r="N340" s="23">
        <v>45959</v>
      </c>
      <c r="O340" s="32">
        <v>-93</v>
      </c>
      <c r="P340" s="25" t="s">
        <v>2</v>
      </c>
      <c r="Q340" s="26" t="s">
        <v>59</v>
      </c>
      <c r="R340" s="27" t="s">
        <v>232</v>
      </c>
      <c r="S340" s="28" t="s">
        <v>232</v>
      </c>
      <c r="T340" s="29">
        <v>0</v>
      </c>
      <c r="U340" s="29">
        <v>0</v>
      </c>
      <c r="V340" s="29">
        <v>0</v>
      </c>
      <c r="W340" s="29">
        <v>0</v>
      </c>
      <c r="X340" s="30">
        <v>0</v>
      </c>
      <c r="Y340" s="31">
        <v>0</v>
      </c>
    </row>
    <row r="341" spans="1:25" x14ac:dyDescent="0.3">
      <c r="A341" s="19" t="s">
        <v>416</v>
      </c>
      <c r="B341" s="20" t="s">
        <v>0</v>
      </c>
      <c r="C341" s="20" t="s">
        <v>374</v>
      </c>
      <c r="D341" s="21">
        <v>71151</v>
      </c>
      <c r="E341" s="21" t="s">
        <v>1</v>
      </c>
      <c r="F341" s="22">
        <v>2056</v>
      </c>
      <c r="G341" s="22">
        <v>2056</v>
      </c>
      <c r="H341" s="22">
        <v>0</v>
      </c>
      <c r="I341" s="22">
        <v>0</v>
      </c>
      <c r="J341" s="22">
        <v>0</v>
      </c>
      <c r="K341" s="22">
        <v>0</v>
      </c>
      <c r="L341" s="22">
        <v>2056</v>
      </c>
      <c r="M341" s="23">
        <v>46050</v>
      </c>
      <c r="N341" s="23">
        <v>46110</v>
      </c>
      <c r="O341" s="32">
        <v>58</v>
      </c>
      <c r="P341" s="25" t="s">
        <v>60</v>
      </c>
      <c r="Q341" s="26" t="s">
        <v>72</v>
      </c>
      <c r="R341" s="27" t="s">
        <v>78</v>
      </c>
      <c r="S341" s="28">
        <v>46113</v>
      </c>
      <c r="T341" s="29">
        <v>0</v>
      </c>
      <c r="U341" s="29">
        <v>0</v>
      </c>
      <c r="V341" s="29">
        <v>2056</v>
      </c>
      <c r="W341" s="29"/>
      <c r="X341" s="30"/>
      <c r="Y341" s="29"/>
    </row>
    <row r="342" spans="1:25" x14ac:dyDescent="0.3">
      <c r="A342" s="19" t="s">
        <v>210</v>
      </c>
      <c r="B342" s="20" t="s">
        <v>87</v>
      </c>
      <c r="C342" s="20" t="s">
        <v>360</v>
      </c>
      <c r="D342" s="21">
        <v>412</v>
      </c>
      <c r="E342" s="21" t="s">
        <v>1</v>
      </c>
      <c r="F342" s="22">
        <v>-4385.71</v>
      </c>
      <c r="G342" s="22">
        <v>0</v>
      </c>
      <c r="H342" s="22">
        <v>0</v>
      </c>
      <c r="I342" s="22">
        <v>0</v>
      </c>
      <c r="J342" s="22">
        <v>0</v>
      </c>
      <c r="K342" s="22">
        <v>-4385.71</v>
      </c>
      <c r="L342" s="22">
        <v>-4385.71</v>
      </c>
      <c r="M342" s="23">
        <v>44846</v>
      </c>
      <c r="N342" s="23">
        <v>44846</v>
      </c>
      <c r="O342" s="32">
        <v>-1206</v>
      </c>
      <c r="P342" s="25" t="s">
        <v>2</v>
      </c>
      <c r="Q342" s="26" t="s">
        <v>59</v>
      </c>
      <c r="R342" s="27" t="s">
        <v>87</v>
      </c>
      <c r="S342" s="28" t="s">
        <v>87</v>
      </c>
      <c r="T342" s="29">
        <v>0</v>
      </c>
      <c r="U342" s="29">
        <v>0</v>
      </c>
      <c r="V342" s="29">
        <v>0</v>
      </c>
      <c r="W342" s="29">
        <v>0</v>
      </c>
      <c r="X342" s="30">
        <v>0</v>
      </c>
      <c r="Y342" s="29">
        <v>0</v>
      </c>
    </row>
    <row r="343" spans="1:25" x14ac:dyDescent="0.3">
      <c r="A343" s="19" t="s">
        <v>272</v>
      </c>
      <c r="B343" s="20" t="s">
        <v>0</v>
      </c>
      <c r="C343" s="20" t="s">
        <v>374</v>
      </c>
      <c r="D343" s="21">
        <v>71148</v>
      </c>
      <c r="E343" s="21" t="s">
        <v>1</v>
      </c>
      <c r="F343" s="22">
        <v>51302.98</v>
      </c>
      <c r="G343" s="22">
        <v>51302.98</v>
      </c>
      <c r="H343" s="22">
        <v>0</v>
      </c>
      <c r="I343" s="22">
        <v>0</v>
      </c>
      <c r="J343" s="22">
        <v>0</v>
      </c>
      <c r="K343" s="22">
        <v>0</v>
      </c>
      <c r="L343" s="22">
        <v>51302.98</v>
      </c>
      <c r="M343" s="23">
        <v>46045</v>
      </c>
      <c r="N343" s="23">
        <v>46090</v>
      </c>
      <c r="O343" s="24">
        <v>38</v>
      </c>
      <c r="P343" s="25" t="s">
        <v>60</v>
      </c>
      <c r="Q343" s="26" t="s">
        <v>72</v>
      </c>
      <c r="R343" s="27" t="s">
        <v>78</v>
      </c>
      <c r="S343" s="28">
        <v>46082</v>
      </c>
      <c r="T343" s="29">
        <v>0</v>
      </c>
      <c r="U343" s="29">
        <v>51302.98</v>
      </c>
      <c r="V343" s="29"/>
      <c r="W343" s="29"/>
      <c r="X343" s="30"/>
      <c r="Y343" s="29"/>
    </row>
    <row r="344" spans="1:25" x14ac:dyDescent="0.3">
      <c r="A344" s="19" t="s">
        <v>246</v>
      </c>
      <c r="B344" s="20" t="s">
        <v>87</v>
      </c>
      <c r="C344" s="20" t="s">
        <v>369</v>
      </c>
      <c r="D344" s="21" t="s">
        <v>335</v>
      </c>
      <c r="E344" s="21" t="s">
        <v>1</v>
      </c>
      <c r="F344" s="22">
        <v>-4798.8</v>
      </c>
      <c r="G344" s="22">
        <v>0</v>
      </c>
      <c r="H344" s="22">
        <v>0</v>
      </c>
      <c r="I344" s="22">
        <v>-4798.8</v>
      </c>
      <c r="J344" s="22">
        <v>0</v>
      </c>
      <c r="K344" s="22">
        <v>0</v>
      </c>
      <c r="L344" s="22">
        <v>-4798.8</v>
      </c>
      <c r="M344" s="23">
        <v>45999</v>
      </c>
      <c r="N344" s="23">
        <v>45999</v>
      </c>
      <c r="O344" s="32">
        <v>-53</v>
      </c>
      <c r="P344" s="25" t="s">
        <v>2</v>
      </c>
      <c r="Q344" s="26" t="s">
        <v>59</v>
      </c>
      <c r="R344" s="27" t="s">
        <v>225</v>
      </c>
      <c r="S344" s="28" t="s">
        <v>225</v>
      </c>
      <c r="T344" s="29">
        <v>0</v>
      </c>
      <c r="U344" s="29">
        <v>0</v>
      </c>
      <c r="V344" s="29">
        <v>0</v>
      </c>
      <c r="W344" s="29">
        <v>0</v>
      </c>
      <c r="X344" s="30">
        <v>0</v>
      </c>
      <c r="Y344" s="29">
        <v>0</v>
      </c>
    </row>
    <row r="345" spans="1:25" x14ac:dyDescent="0.3">
      <c r="A345" s="19" t="s">
        <v>308</v>
      </c>
      <c r="B345" s="20" t="s">
        <v>87</v>
      </c>
      <c r="C345" s="20" t="s">
        <v>367</v>
      </c>
      <c r="D345" s="21" t="s">
        <v>321</v>
      </c>
      <c r="E345" s="21" t="s">
        <v>1</v>
      </c>
      <c r="F345" s="22">
        <v>-4921.26</v>
      </c>
      <c r="G345" s="22">
        <v>0</v>
      </c>
      <c r="H345" s="22">
        <v>0</v>
      </c>
      <c r="I345" s="22">
        <v>0</v>
      </c>
      <c r="J345" s="22">
        <v>-4921.26</v>
      </c>
      <c r="K345" s="22">
        <v>0</v>
      </c>
      <c r="L345" s="22">
        <v>-4921.26</v>
      </c>
      <c r="M345" s="23">
        <v>45966</v>
      </c>
      <c r="N345" s="23">
        <v>45966</v>
      </c>
      <c r="O345" s="24">
        <v>-86</v>
      </c>
      <c r="P345" s="25" t="s">
        <v>2</v>
      </c>
      <c r="Q345" s="26" t="s">
        <v>59</v>
      </c>
      <c r="R345" s="27" t="s">
        <v>225</v>
      </c>
      <c r="S345" s="28" t="s">
        <v>225</v>
      </c>
      <c r="T345" s="29">
        <v>0</v>
      </c>
      <c r="U345" s="29">
        <v>0</v>
      </c>
      <c r="V345" s="29">
        <v>0</v>
      </c>
      <c r="W345" s="29">
        <v>0</v>
      </c>
      <c r="X345" s="30">
        <v>0</v>
      </c>
      <c r="Y345" s="29">
        <v>0</v>
      </c>
    </row>
    <row r="346" spans="1:25" x14ac:dyDescent="0.3">
      <c r="A346" s="19" t="s">
        <v>10</v>
      </c>
      <c r="B346" s="20" t="s">
        <v>87</v>
      </c>
      <c r="C346" s="20" t="s">
        <v>380</v>
      </c>
      <c r="D346" s="21" t="s">
        <v>334</v>
      </c>
      <c r="E346" s="21" t="s">
        <v>1</v>
      </c>
      <c r="F346" s="22">
        <v>-6182.34</v>
      </c>
      <c r="G346" s="22">
        <v>0</v>
      </c>
      <c r="H346" s="22">
        <v>0</v>
      </c>
      <c r="I346" s="22">
        <v>-6182.34</v>
      </c>
      <c r="J346" s="22">
        <v>0</v>
      </c>
      <c r="K346" s="22">
        <v>0</v>
      </c>
      <c r="L346" s="22">
        <v>-6182.34</v>
      </c>
      <c r="M346" s="23">
        <v>46003</v>
      </c>
      <c r="N346" s="23">
        <v>46003</v>
      </c>
      <c r="O346" s="24">
        <v>-49</v>
      </c>
      <c r="P346" s="25" t="s">
        <v>2</v>
      </c>
      <c r="Q346" s="26" t="s">
        <v>59</v>
      </c>
      <c r="R346" s="27" t="s">
        <v>225</v>
      </c>
      <c r="S346" s="28" t="s">
        <v>225</v>
      </c>
      <c r="T346" s="29">
        <v>0</v>
      </c>
      <c r="U346" s="29">
        <v>0</v>
      </c>
      <c r="V346" s="29">
        <v>0</v>
      </c>
      <c r="W346" s="29">
        <v>0</v>
      </c>
      <c r="X346" s="30">
        <v>0</v>
      </c>
      <c r="Y346" s="29">
        <v>0</v>
      </c>
    </row>
    <row r="347" spans="1:25" x14ac:dyDescent="0.3">
      <c r="A347" s="19" t="s">
        <v>14</v>
      </c>
      <c r="B347" s="20" t="s">
        <v>87</v>
      </c>
      <c r="C347" s="20" t="s">
        <v>389</v>
      </c>
      <c r="D347" s="21" t="s">
        <v>239</v>
      </c>
      <c r="E347" s="21" t="s">
        <v>1</v>
      </c>
      <c r="F347" s="22">
        <v>-6544.9075620000003</v>
      </c>
      <c r="G347" s="22">
        <v>0</v>
      </c>
      <c r="H347" s="22">
        <v>0</v>
      </c>
      <c r="I347" s="22">
        <v>0</v>
      </c>
      <c r="J347" s="22">
        <v>0</v>
      </c>
      <c r="K347" s="22">
        <v>-6544.91</v>
      </c>
      <c r="L347" s="22">
        <v>-6544.91</v>
      </c>
      <c r="M347" s="23">
        <v>45777</v>
      </c>
      <c r="N347" s="23">
        <v>45777</v>
      </c>
      <c r="O347" s="32">
        <v>-275</v>
      </c>
      <c r="P347" s="25" t="s">
        <v>2</v>
      </c>
      <c r="Q347" s="26" t="s">
        <v>59</v>
      </c>
      <c r="R347" s="27" t="s">
        <v>232</v>
      </c>
      <c r="S347" s="28" t="s">
        <v>232</v>
      </c>
      <c r="T347" s="29">
        <v>0</v>
      </c>
      <c r="U347" s="29">
        <v>0</v>
      </c>
      <c r="V347" s="29">
        <v>0</v>
      </c>
      <c r="W347" s="29">
        <v>0</v>
      </c>
      <c r="X347" s="30">
        <v>0</v>
      </c>
      <c r="Y347" s="31">
        <v>0</v>
      </c>
    </row>
    <row r="348" spans="1:25" x14ac:dyDescent="0.3">
      <c r="A348" s="19" t="s">
        <v>12</v>
      </c>
      <c r="B348" s="20" t="s">
        <v>0</v>
      </c>
      <c r="C348" s="20" t="s">
        <v>377</v>
      </c>
      <c r="D348" s="21">
        <v>71144</v>
      </c>
      <c r="E348" s="21" t="s">
        <v>1</v>
      </c>
      <c r="F348" s="22">
        <v>20753.21</v>
      </c>
      <c r="G348" s="22">
        <v>20753.21</v>
      </c>
      <c r="H348" s="22">
        <v>0</v>
      </c>
      <c r="I348" s="22">
        <v>0</v>
      </c>
      <c r="J348" s="22">
        <v>0</v>
      </c>
      <c r="K348" s="22">
        <v>0</v>
      </c>
      <c r="L348" s="22">
        <v>20753.21</v>
      </c>
      <c r="M348" s="23">
        <v>46045</v>
      </c>
      <c r="N348" s="23">
        <v>46075</v>
      </c>
      <c r="O348" s="24">
        <v>23</v>
      </c>
      <c r="P348" s="25" t="s">
        <v>60</v>
      </c>
      <c r="Q348" s="26" t="s">
        <v>72</v>
      </c>
      <c r="R348" s="27" t="s">
        <v>78</v>
      </c>
      <c r="S348" s="28">
        <v>46082</v>
      </c>
      <c r="T348" s="29">
        <v>0</v>
      </c>
      <c r="U348" s="29">
        <v>20753.21</v>
      </c>
      <c r="V348" s="29"/>
      <c r="W348" s="29"/>
      <c r="X348" s="30"/>
      <c r="Y348" s="29"/>
    </row>
    <row r="349" spans="1:25" x14ac:dyDescent="0.3">
      <c r="A349" s="19" t="s">
        <v>12</v>
      </c>
      <c r="B349" s="20" t="s">
        <v>0</v>
      </c>
      <c r="C349" s="20" t="s">
        <v>377</v>
      </c>
      <c r="D349" s="21">
        <v>71143</v>
      </c>
      <c r="E349" s="21" t="s">
        <v>1</v>
      </c>
      <c r="F349" s="22">
        <v>14152.09</v>
      </c>
      <c r="G349" s="22">
        <v>14152.09</v>
      </c>
      <c r="H349" s="22">
        <v>0</v>
      </c>
      <c r="I349" s="22">
        <v>0</v>
      </c>
      <c r="J349" s="22">
        <v>0</v>
      </c>
      <c r="K349" s="22">
        <v>0</v>
      </c>
      <c r="L349" s="22">
        <v>14152.09</v>
      </c>
      <c r="M349" s="23">
        <v>46045</v>
      </c>
      <c r="N349" s="23">
        <v>46075</v>
      </c>
      <c r="O349" s="32">
        <v>23</v>
      </c>
      <c r="P349" s="25" t="s">
        <v>60</v>
      </c>
      <c r="Q349" s="26" t="s">
        <v>72</v>
      </c>
      <c r="R349" s="27" t="s">
        <v>78</v>
      </c>
      <c r="S349" s="28">
        <v>46082</v>
      </c>
      <c r="T349" s="29">
        <v>0</v>
      </c>
      <c r="U349" s="29">
        <v>14152.09</v>
      </c>
      <c r="V349" s="29"/>
      <c r="W349" s="29"/>
      <c r="X349" s="30"/>
      <c r="Y349" s="29"/>
    </row>
    <row r="350" spans="1:25" x14ac:dyDescent="0.3">
      <c r="A350" s="19" t="s">
        <v>347</v>
      </c>
      <c r="B350" s="20" t="s">
        <v>0</v>
      </c>
      <c r="C350" s="20" t="s">
        <v>377</v>
      </c>
      <c r="D350" s="21">
        <v>71153</v>
      </c>
      <c r="E350" s="21" t="s">
        <v>1</v>
      </c>
      <c r="F350" s="22">
        <v>7098.69</v>
      </c>
      <c r="G350" s="22">
        <v>7098.69</v>
      </c>
      <c r="H350" s="22">
        <v>0</v>
      </c>
      <c r="I350" s="22">
        <v>0</v>
      </c>
      <c r="J350" s="22">
        <v>0</v>
      </c>
      <c r="K350" s="22">
        <v>0</v>
      </c>
      <c r="L350" s="22">
        <v>7098.69</v>
      </c>
      <c r="M350" s="23">
        <v>46052</v>
      </c>
      <c r="N350" s="23">
        <v>46082</v>
      </c>
      <c r="O350" s="24">
        <v>30</v>
      </c>
      <c r="P350" s="25" t="s">
        <v>61</v>
      </c>
      <c r="Q350" s="26" t="s">
        <v>72</v>
      </c>
      <c r="R350" s="27" t="s">
        <v>78</v>
      </c>
      <c r="S350" s="28">
        <v>46082</v>
      </c>
      <c r="T350" s="29">
        <v>0</v>
      </c>
      <c r="U350" s="29">
        <v>7098.69</v>
      </c>
      <c r="V350" s="29"/>
      <c r="W350" s="29"/>
      <c r="X350" s="30"/>
      <c r="Y350" s="29"/>
    </row>
    <row r="351" spans="1:25" x14ac:dyDescent="0.3">
      <c r="A351" s="19" t="s">
        <v>347</v>
      </c>
      <c r="B351" s="20" t="s">
        <v>0</v>
      </c>
      <c r="C351" s="20" t="s">
        <v>377</v>
      </c>
      <c r="D351" s="21">
        <v>71152</v>
      </c>
      <c r="E351" s="21" t="s">
        <v>1</v>
      </c>
      <c r="F351" s="22">
        <v>4383.6899999999996</v>
      </c>
      <c r="G351" s="22">
        <v>4383.6899999999996</v>
      </c>
      <c r="H351" s="22">
        <v>0</v>
      </c>
      <c r="I351" s="22">
        <v>0</v>
      </c>
      <c r="J351" s="22">
        <v>0</v>
      </c>
      <c r="K351" s="22">
        <v>0</v>
      </c>
      <c r="L351" s="22">
        <v>4383.6899999999996</v>
      </c>
      <c r="M351" s="23">
        <v>46052</v>
      </c>
      <c r="N351" s="23">
        <v>46082</v>
      </c>
      <c r="O351" s="32">
        <v>30</v>
      </c>
      <c r="P351" s="25" t="s">
        <v>61</v>
      </c>
      <c r="Q351" s="26" t="s">
        <v>72</v>
      </c>
      <c r="R351" s="27" t="s">
        <v>78</v>
      </c>
      <c r="S351" s="28">
        <v>46082</v>
      </c>
      <c r="T351" s="29">
        <v>0</v>
      </c>
      <c r="U351" s="29">
        <v>4383.6899999999996</v>
      </c>
      <c r="V351" s="29"/>
      <c r="W351" s="29"/>
      <c r="X351" s="30"/>
      <c r="Y351" s="31"/>
    </row>
    <row r="352" spans="1:25" x14ac:dyDescent="0.3">
      <c r="A352" s="19" t="s">
        <v>231</v>
      </c>
      <c r="B352" s="20" t="s">
        <v>0</v>
      </c>
      <c r="C352" s="20" t="s">
        <v>396</v>
      </c>
      <c r="D352" s="21">
        <v>71138</v>
      </c>
      <c r="E352" s="21" t="s">
        <v>1</v>
      </c>
      <c r="F352" s="22">
        <v>1734</v>
      </c>
      <c r="G352" s="22">
        <v>1734</v>
      </c>
      <c r="H352" s="22">
        <v>0</v>
      </c>
      <c r="I352" s="22">
        <v>0</v>
      </c>
      <c r="J352" s="22">
        <v>0</v>
      </c>
      <c r="K352" s="22">
        <v>0</v>
      </c>
      <c r="L352" s="22">
        <v>1734</v>
      </c>
      <c r="M352" s="23">
        <v>46038</v>
      </c>
      <c r="N352" s="23">
        <v>46083</v>
      </c>
      <c r="O352" s="32">
        <v>31</v>
      </c>
      <c r="P352" s="25" t="s">
        <v>60</v>
      </c>
      <c r="Q352" s="26" t="s">
        <v>72</v>
      </c>
      <c r="R352" s="27" t="s">
        <v>78</v>
      </c>
      <c r="S352" s="28">
        <v>46082</v>
      </c>
      <c r="T352" s="29">
        <v>0</v>
      </c>
      <c r="U352" s="29">
        <v>1734</v>
      </c>
      <c r="V352" s="29"/>
      <c r="W352" s="29"/>
      <c r="X352" s="30"/>
      <c r="Y352" s="31"/>
    </row>
    <row r="353" spans="1:25" x14ac:dyDescent="0.3">
      <c r="A353" s="19" t="s">
        <v>11</v>
      </c>
      <c r="B353" s="20" t="s">
        <v>87</v>
      </c>
      <c r="C353" s="20" t="s">
        <v>369</v>
      </c>
      <c r="D353" s="21" t="s">
        <v>341</v>
      </c>
      <c r="E353" s="21" t="s">
        <v>1</v>
      </c>
      <c r="F353" s="22">
        <v>-8760.6200000000008</v>
      </c>
      <c r="G353" s="22">
        <v>0</v>
      </c>
      <c r="H353" s="22">
        <v>0</v>
      </c>
      <c r="I353" s="22">
        <v>0</v>
      </c>
      <c r="J353" s="22">
        <v>-8760.6200000000008</v>
      </c>
      <c r="K353" s="22">
        <v>0</v>
      </c>
      <c r="L353" s="22">
        <v>-8760.6200000000008</v>
      </c>
      <c r="M353" s="23">
        <v>45982</v>
      </c>
      <c r="N353" s="23">
        <v>45982</v>
      </c>
      <c r="O353" s="32">
        <v>-70</v>
      </c>
      <c r="P353" s="25" t="s">
        <v>2</v>
      </c>
      <c r="Q353" s="26" t="s">
        <v>59</v>
      </c>
      <c r="R353" s="27" t="s">
        <v>232</v>
      </c>
      <c r="S353" s="28" t="s">
        <v>232</v>
      </c>
      <c r="T353" s="29">
        <v>0</v>
      </c>
      <c r="U353" s="29">
        <v>0</v>
      </c>
      <c r="V353" s="29">
        <v>0</v>
      </c>
      <c r="W353" s="29">
        <v>0</v>
      </c>
      <c r="X353" s="30">
        <v>0</v>
      </c>
      <c r="Y353" s="31">
        <v>0</v>
      </c>
    </row>
    <row r="354" spans="1:25" x14ac:dyDescent="0.3">
      <c r="A354" s="19" t="s">
        <v>11</v>
      </c>
      <c r="B354" s="20" t="s">
        <v>87</v>
      </c>
      <c r="C354" s="20" t="s">
        <v>369</v>
      </c>
      <c r="D354" s="21" t="s">
        <v>342</v>
      </c>
      <c r="E354" s="21" t="s">
        <v>1</v>
      </c>
      <c r="F354" s="22">
        <v>-8760.6200000000008</v>
      </c>
      <c r="G354" s="22">
        <v>0</v>
      </c>
      <c r="H354" s="22">
        <v>0</v>
      </c>
      <c r="I354" s="22">
        <v>0</v>
      </c>
      <c r="J354" s="22">
        <v>-8760.6200000000008</v>
      </c>
      <c r="K354" s="22">
        <v>0</v>
      </c>
      <c r="L354" s="22">
        <v>-8760.6200000000008</v>
      </c>
      <c r="M354" s="23">
        <v>45982</v>
      </c>
      <c r="N354" s="23">
        <v>45982</v>
      </c>
      <c r="O354" s="24">
        <v>-70</v>
      </c>
      <c r="P354" s="25" t="s">
        <v>2</v>
      </c>
      <c r="Q354" s="26" t="s">
        <v>59</v>
      </c>
      <c r="R354" s="27" t="s">
        <v>232</v>
      </c>
      <c r="S354" s="28" t="s">
        <v>232</v>
      </c>
      <c r="T354" s="29">
        <v>0</v>
      </c>
      <c r="U354" s="29">
        <v>0</v>
      </c>
      <c r="V354" s="29">
        <v>0</v>
      </c>
      <c r="W354" s="29">
        <v>0</v>
      </c>
      <c r="X354" s="30">
        <v>0</v>
      </c>
      <c r="Y354" s="31">
        <v>0</v>
      </c>
    </row>
    <row r="355" spans="1:25" x14ac:dyDescent="0.3">
      <c r="A355" s="19" t="s">
        <v>26</v>
      </c>
      <c r="B355" s="20" t="s">
        <v>87</v>
      </c>
      <c r="C355" s="20" t="s">
        <v>360</v>
      </c>
      <c r="D355" s="21">
        <v>447</v>
      </c>
      <c r="E355" s="21" t="s">
        <v>1</v>
      </c>
      <c r="F355" s="22">
        <v>-9318.7199999999993</v>
      </c>
      <c r="G355" s="22">
        <v>0</v>
      </c>
      <c r="H355" s="22">
        <v>0</v>
      </c>
      <c r="I355" s="22">
        <v>0</v>
      </c>
      <c r="J355" s="22">
        <v>0</v>
      </c>
      <c r="K355" s="22">
        <v>-9318.7199999999993</v>
      </c>
      <c r="L355" s="22">
        <v>-9318.7199999999993</v>
      </c>
      <c r="M355" s="23">
        <v>44908</v>
      </c>
      <c r="N355" s="23">
        <v>44908</v>
      </c>
      <c r="O355" s="32">
        <v>-1144</v>
      </c>
      <c r="P355" s="25" t="s">
        <v>2</v>
      </c>
      <c r="Q355" s="26" t="s">
        <v>59</v>
      </c>
      <c r="R355" s="27" t="s">
        <v>87</v>
      </c>
      <c r="S355" s="28" t="s">
        <v>87</v>
      </c>
      <c r="T355" s="29">
        <v>0</v>
      </c>
      <c r="U355" s="29">
        <v>0</v>
      </c>
      <c r="V355" s="29">
        <v>0</v>
      </c>
      <c r="W355" s="29">
        <v>0</v>
      </c>
      <c r="X355" s="30">
        <v>0</v>
      </c>
      <c r="Y355" s="29">
        <v>0</v>
      </c>
    </row>
    <row r="356" spans="1:25" x14ac:dyDescent="0.3">
      <c r="A356" s="19" t="s">
        <v>285</v>
      </c>
      <c r="B356" s="20" t="s">
        <v>87</v>
      </c>
      <c r="C356" s="20" t="s">
        <v>362</v>
      </c>
      <c r="D356" s="21" t="s">
        <v>286</v>
      </c>
      <c r="E356" s="21" t="s">
        <v>1</v>
      </c>
      <c r="F356" s="22">
        <v>-12197.51</v>
      </c>
      <c r="G356" s="22">
        <v>0</v>
      </c>
      <c r="H356" s="22">
        <v>0</v>
      </c>
      <c r="I356" s="22">
        <v>0</v>
      </c>
      <c r="J356" s="22">
        <v>0</v>
      </c>
      <c r="K356" s="22">
        <v>-12197.51</v>
      </c>
      <c r="L356" s="22">
        <v>-12197.51</v>
      </c>
      <c r="M356" s="23">
        <v>45900</v>
      </c>
      <c r="N356" s="23">
        <v>45900</v>
      </c>
      <c r="O356" s="24">
        <v>-152</v>
      </c>
      <c r="P356" s="25" t="s">
        <v>2</v>
      </c>
      <c r="Q356" s="26" t="s">
        <v>59</v>
      </c>
      <c r="R356" s="27" t="s">
        <v>225</v>
      </c>
      <c r="S356" s="28" t="s">
        <v>225</v>
      </c>
      <c r="T356" s="29">
        <v>0</v>
      </c>
      <c r="U356" s="29">
        <v>0</v>
      </c>
      <c r="V356" s="29">
        <v>0</v>
      </c>
      <c r="W356" s="29">
        <v>0</v>
      </c>
      <c r="X356" s="30">
        <v>0</v>
      </c>
      <c r="Y356" s="31">
        <v>0</v>
      </c>
    </row>
    <row r="357" spans="1:25" x14ac:dyDescent="0.3">
      <c r="A357" s="19" t="s">
        <v>246</v>
      </c>
      <c r="B357" s="20" t="s">
        <v>87</v>
      </c>
      <c r="C357" s="20" t="s">
        <v>369</v>
      </c>
      <c r="D357" s="21" t="s">
        <v>247</v>
      </c>
      <c r="E357" s="21" t="s">
        <v>1</v>
      </c>
      <c r="F357" s="22">
        <v>-20103.22</v>
      </c>
      <c r="G357" s="22">
        <v>0</v>
      </c>
      <c r="H357" s="22">
        <v>0</v>
      </c>
      <c r="I357" s="22">
        <v>0</v>
      </c>
      <c r="J357" s="22">
        <v>0</v>
      </c>
      <c r="K357" s="22">
        <v>-20103.22</v>
      </c>
      <c r="L357" s="22">
        <v>-20103.22</v>
      </c>
      <c r="M357" s="23">
        <v>45810</v>
      </c>
      <c r="N357" s="23">
        <v>45810</v>
      </c>
      <c r="O357" s="32">
        <v>-242</v>
      </c>
      <c r="P357" s="25" t="s">
        <v>2</v>
      </c>
      <c r="Q357" s="26" t="s">
        <v>59</v>
      </c>
      <c r="R357" s="27" t="s">
        <v>225</v>
      </c>
      <c r="S357" s="28" t="s">
        <v>225</v>
      </c>
      <c r="T357" s="29">
        <v>0</v>
      </c>
      <c r="U357" s="29">
        <v>0</v>
      </c>
      <c r="V357" s="29">
        <v>0</v>
      </c>
      <c r="W357" s="29">
        <v>0</v>
      </c>
      <c r="X357" s="30">
        <v>0</v>
      </c>
      <c r="Y357" s="31">
        <v>0</v>
      </c>
    </row>
    <row r="358" spans="1:25" x14ac:dyDescent="0.3">
      <c r="A358" s="19" t="s">
        <v>242</v>
      </c>
      <c r="B358" s="20" t="s">
        <v>87</v>
      </c>
      <c r="C358" s="20" t="s">
        <v>368</v>
      </c>
      <c r="D358" s="21">
        <v>4770</v>
      </c>
      <c r="E358" s="21" t="s">
        <v>1</v>
      </c>
      <c r="F358" s="22">
        <v>-63133.03</v>
      </c>
      <c r="G358" s="22">
        <v>0</v>
      </c>
      <c r="H358" s="22">
        <v>0</v>
      </c>
      <c r="I358" s="22">
        <v>0</v>
      </c>
      <c r="J358" s="22">
        <v>0</v>
      </c>
      <c r="K358" s="22">
        <v>-63133.03</v>
      </c>
      <c r="L358" s="22">
        <v>-63133.03</v>
      </c>
      <c r="M358" s="23">
        <v>45805</v>
      </c>
      <c r="N358" s="23">
        <v>45805</v>
      </c>
      <c r="O358" s="24">
        <v>-247</v>
      </c>
      <c r="P358" s="25" t="s">
        <v>2</v>
      </c>
      <c r="Q358" s="26" t="s">
        <v>59</v>
      </c>
      <c r="R358" s="27" t="s">
        <v>225</v>
      </c>
      <c r="S358" s="28" t="s">
        <v>225</v>
      </c>
      <c r="T358" s="29">
        <v>0</v>
      </c>
      <c r="U358" s="29">
        <v>0</v>
      </c>
      <c r="V358" s="29">
        <v>0</v>
      </c>
      <c r="W358" s="29">
        <v>0</v>
      </c>
      <c r="X358" s="30">
        <v>0</v>
      </c>
      <c r="Y358" s="29">
        <v>0</v>
      </c>
    </row>
    <row r="359" spans="1:25" x14ac:dyDescent="0.3">
      <c r="A359" s="19" t="s">
        <v>10</v>
      </c>
      <c r="B359" s="20" t="s">
        <v>87</v>
      </c>
      <c r="C359" s="20" t="s">
        <v>368</v>
      </c>
      <c r="D359" s="21" t="s">
        <v>282</v>
      </c>
      <c r="E359" s="21" t="s">
        <v>1</v>
      </c>
      <c r="F359" s="22">
        <v>-74187.899999999994</v>
      </c>
      <c r="G359" s="22">
        <v>0</v>
      </c>
      <c r="H359" s="22">
        <v>0</v>
      </c>
      <c r="I359" s="22">
        <v>0</v>
      </c>
      <c r="J359" s="22">
        <v>0</v>
      </c>
      <c r="K359" s="22">
        <v>-74187.899999999994</v>
      </c>
      <c r="L359" s="22">
        <v>-74187.899999999994</v>
      </c>
      <c r="M359" s="23">
        <v>45909</v>
      </c>
      <c r="N359" s="23">
        <v>45909</v>
      </c>
      <c r="O359" s="24">
        <v>-143</v>
      </c>
      <c r="P359" s="25" t="s">
        <v>2</v>
      </c>
      <c r="Q359" s="26" t="s">
        <v>59</v>
      </c>
      <c r="R359" s="27" t="s">
        <v>232</v>
      </c>
      <c r="S359" s="28" t="s">
        <v>232</v>
      </c>
      <c r="T359" s="29">
        <v>0</v>
      </c>
      <c r="U359" s="29">
        <v>0</v>
      </c>
      <c r="V359" s="29">
        <v>0</v>
      </c>
      <c r="W359" s="29">
        <v>0</v>
      </c>
      <c r="X359" s="30">
        <v>0</v>
      </c>
      <c r="Y359" s="29">
        <v>0</v>
      </c>
    </row>
    <row r="360" spans="1:25" x14ac:dyDescent="0.3">
      <c r="A360" s="19" t="s">
        <v>425</v>
      </c>
      <c r="B360" s="20" t="s">
        <v>0</v>
      </c>
      <c r="C360" s="20" t="s">
        <v>377</v>
      </c>
      <c r="D360" s="21">
        <v>71149</v>
      </c>
      <c r="E360" s="21" t="s">
        <v>1</v>
      </c>
      <c r="F360" s="22">
        <v>421.15</v>
      </c>
      <c r="G360" s="22">
        <v>0</v>
      </c>
      <c r="H360" s="22">
        <v>421.15</v>
      </c>
      <c r="I360" s="22">
        <v>0</v>
      </c>
      <c r="J360" s="22">
        <v>0</v>
      </c>
      <c r="K360" s="22">
        <v>0</v>
      </c>
      <c r="L360" s="22">
        <v>421.15</v>
      </c>
      <c r="M360" s="23">
        <v>46050</v>
      </c>
      <c r="N360" s="23">
        <v>46051</v>
      </c>
      <c r="O360" s="24">
        <v>-1</v>
      </c>
      <c r="P360" s="25" t="s">
        <v>60</v>
      </c>
      <c r="Q360" s="26" t="s">
        <v>72</v>
      </c>
      <c r="R360" s="27" t="s">
        <v>232</v>
      </c>
      <c r="S360" s="28" t="s">
        <v>232</v>
      </c>
      <c r="T360" s="29">
        <v>0</v>
      </c>
      <c r="U360" s="29"/>
      <c r="V360" s="29"/>
      <c r="W360" s="29"/>
      <c r="X360" s="30"/>
      <c r="Y360" s="29"/>
    </row>
    <row r="361" spans="1:25" x14ac:dyDescent="0.3">
      <c r="A361" s="19" t="s">
        <v>430</v>
      </c>
      <c r="B361" s="20" t="s">
        <v>0</v>
      </c>
      <c r="C361" s="20" t="s">
        <v>363</v>
      </c>
      <c r="D361" s="21">
        <v>2100028700</v>
      </c>
      <c r="E361" s="21" t="s">
        <v>1</v>
      </c>
      <c r="F361" s="22">
        <v>2976.45</v>
      </c>
      <c r="G361" s="22">
        <v>0</v>
      </c>
      <c r="H361" s="22">
        <v>2976.45</v>
      </c>
      <c r="I361" s="22">
        <v>0</v>
      </c>
      <c r="J361" s="22">
        <v>0</v>
      </c>
      <c r="K361" s="22">
        <v>0</v>
      </c>
      <c r="L361" s="22">
        <v>2976.45</v>
      </c>
      <c r="M361" s="23">
        <v>46037</v>
      </c>
      <c r="N361" s="23">
        <v>46038</v>
      </c>
      <c r="O361" s="32">
        <v>-14</v>
      </c>
      <c r="P361" s="25" t="s">
        <v>2</v>
      </c>
      <c r="Q361" s="26" t="s">
        <v>59</v>
      </c>
      <c r="R361" s="27" t="s">
        <v>232</v>
      </c>
      <c r="S361" s="28" t="s">
        <v>232</v>
      </c>
      <c r="T361" s="29">
        <v>0</v>
      </c>
      <c r="U361" s="29">
        <v>0</v>
      </c>
      <c r="V361" s="29">
        <v>0</v>
      </c>
      <c r="W361" s="29">
        <v>0</v>
      </c>
      <c r="X361" s="30">
        <v>0</v>
      </c>
      <c r="Y361" s="31">
        <v>0</v>
      </c>
    </row>
    <row r="362" spans="1:25" x14ac:dyDescent="0.3">
      <c r="A362" s="19" t="s">
        <v>287</v>
      </c>
      <c r="B362" s="20" t="s">
        <v>0</v>
      </c>
      <c r="C362" s="20" t="s">
        <v>362</v>
      </c>
      <c r="D362" s="21">
        <v>2100028763</v>
      </c>
      <c r="E362" s="21" t="s">
        <v>1</v>
      </c>
      <c r="F362" s="22">
        <v>14563</v>
      </c>
      <c r="G362" s="22">
        <v>0</v>
      </c>
      <c r="H362" s="22">
        <v>14563</v>
      </c>
      <c r="I362" s="22">
        <v>0</v>
      </c>
      <c r="J362" s="22">
        <v>0</v>
      </c>
      <c r="K362" s="22">
        <v>0</v>
      </c>
      <c r="L362" s="22">
        <v>14563</v>
      </c>
      <c r="M362" s="23">
        <v>46048</v>
      </c>
      <c r="N362" s="23">
        <v>46049</v>
      </c>
      <c r="O362" s="32">
        <v>-3</v>
      </c>
      <c r="P362" s="25" t="s">
        <v>2</v>
      </c>
      <c r="Q362" s="26" t="s">
        <v>59</v>
      </c>
      <c r="R362" s="27" t="s">
        <v>232</v>
      </c>
      <c r="S362" s="28" t="s">
        <v>232</v>
      </c>
      <c r="T362" s="29">
        <v>0</v>
      </c>
      <c r="U362" s="29">
        <v>0</v>
      </c>
      <c r="V362" s="29">
        <v>0</v>
      </c>
      <c r="W362" s="29">
        <v>0</v>
      </c>
      <c r="X362" s="30">
        <v>0</v>
      </c>
      <c r="Y362" s="31">
        <v>0</v>
      </c>
    </row>
    <row r="363" spans="1:25" x14ac:dyDescent="0.3">
      <c r="A363" s="19" t="s">
        <v>12</v>
      </c>
      <c r="B363" s="20" t="s">
        <v>0</v>
      </c>
      <c r="C363" s="20" t="s">
        <v>360</v>
      </c>
      <c r="D363" s="21">
        <v>4924</v>
      </c>
      <c r="E363" s="21" t="s">
        <v>1</v>
      </c>
      <c r="F363" s="22">
        <v>99.99</v>
      </c>
      <c r="G363" s="22">
        <v>0</v>
      </c>
      <c r="H363" s="22">
        <v>0</v>
      </c>
      <c r="I363" s="22">
        <v>0</v>
      </c>
      <c r="J363" s="22">
        <v>0</v>
      </c>
      <c r="K363" s="22">
        <v>99.99</v>
      </c>
      <c r="L363" s="22">
        <v>99.99</v>
      </c>
      <c r="M363" s="23">
        <v>45260</v>
      </c>
      <c r="N363" s="23">
        <v>45268</v>
      </c>
      <c r="O363" s="24">
        <v>-784</v>
      </c>
      <c r="P363" s="25" t="s">
        <v>2</v>
      </c>
      <c r="Q363" s="26" t="s">
        <v>59</v>
      </c>
      <c r="R363" s="27" t="s">
        <v>74</v>
      </c>
      <c r="S363" s="28" t="s">
        <v>74</v>
      </c>
      <c r="T363" s="29">
        <v>0</v>
      </c>
      <c r="U363" s="29">
        <v>0</v>
      </c>
      <c r="V363" s="29">
        <v>0</v>
      </c>
      <c r="W363" s="29">
        <v>0</v>
      </c>
      <c r="X363" s="30">
        <v>0</v>
      </c>
      <c r="Y363" s="29">
        <v>0</v>
      </c>
    </row>
    <row r="364" spans="1:25" x14ac:dyDescent="0.3">
      <c r="A364" s="19" t="s">
        <v>420</v>
      </c>
      <c r="B364" s="20" t="s">
        <v>0</v>
      </c>
      <c r="C364" s="20" t="s">
        <v>363</v>
      </c>
      <c r="D364" s="21">
        <v>2100028675</v>
      </c>
      <c r="E364" s="21" t="s">
        <v>1</v>
      </c>
      <c r="F364" s="22">
        <v>1</v>
      </c>
      <c r="G364" s="22">
        <v>0</v>
      </c>
      <c r="H364" s="22">
        <v>1</v>
      </c>
      <c r="I364" s="22">
        <v>0</v>
      </c>
      <c r="J364" s="22">
        <v>0</v>
      </c>
      <c r="K364" s="22">
        <v>0</v>
      </c>
      <c r="L364" s="22">
        <v>1</v>
      </c>
      <c r="M364" s="23">
        <v>46030</v>
      </c>
      <c r="N364" s="23">
        <v>46031</v>
      </c>
      <c r="O364" s="24">
        <v>-21</v>
      </c>
      <c r="P364" s="25" t="s">
        <v>2</v>
      </c>
      <c r="Q364" s="26" t="s">
        <v>59</v>
      </c>
      <c r="R364" s="27" t="s">
        <v>232</v>
      </c>
      <c r="S364" s="28" t="s">
        <v>232</v>
      </c>
      <c r="T364" s="29">
        <v>0</v>
      </c>
      <c r="U364" s="29">
        <v>0</v>
      </c>
      <c r="V364" s="29">
        <v>0</v>
      </c>
      <c r="W364" s="29">
        <v>0</v>
      </c>
      <c r="X364" s="30">
        <v>0</v>
      </c>
      <c r="Y364" s="29">
        <v>0</v>
      </c>
    </row>
    <row r="365" spans="1:25" x14ac:dyDescent="0.3">
      <c r="A365" s="19" t="s">
        <v>170</v>
      </c>
      <c r="B365" s="20" t="s">
        <v>87</v>
      </c>
      <c r="C365" s="20" t="s">
        <v>368</v>
      </c>
      <c r="D365" s="21">
        <v>4931</v>
      </c>
      <c r="E365" s="21" t="s">
        <v>1</v>
      </c>
      <c r="F365" s="22">
        <v>-101.91</v>
      </c>
      <c r="G365" s="22">
        <v>0</v>
      </c>
      <c r="H365" s="22">
        <v>-101.91</v>
      </c>
      <c r="I365" s="22">
        <v>0</v>
      </c>
      <c r="J365" s="22">
        <v>0</v>
      </c>
      <c r="K365" s="22">
        <v>0</v>
      </c>
      <c r="L365" s="22">
        <v>-101.91</v>
      </c>
      <c r="M365" s="23">
        <v>46037</v>
      </c>
      <c r="N365" s="23">
        <v>46037</v>
      </c>
      <c r="O365" s="32">
        <v>-15</v>
      </c>
      <c r="P365" s="25" t="s">
        <v>2</v>
      </c>
      <c r="Q365" s="26" t="s">
        <v>59</v>
      </c>
      <c r="R365" s="27" t="s">
        <v>232</v>
      </c>
      <c r="S365" s="28" t="s">
        <v>232</v>
      </c>
      <c r="T365" s="29">
        <v>0</v>
      </c>
      <c r="U365" s="29">
        <v>0</v>
      </c>
      <c r="V365" s="29">
        <v>0</v>
      </c>
      <c r="W365" s="29">
        <v>0</v>
      </c>
      <c r="X365" s="30">
        <v>0</v>
      </c>
      <c r="Y365" s="29">
        <v>0</v>
      </c>
    </row>
    <row r="366" spans="1:25" x14ac:dyDescent="0.3">
      <c r="A366" s="19" t="s">
        <v>424</v>
      </c>
      <c r="B366" s="20" t="s">
        <v>87</v>
      </c>
      <c r="C366" s="20" t="s">
        <v>361</v>
      </c>
      <c r="D366" s="21">
        <v>56489</v>
      </c>
      <c r="E366" s="21" t="s">
        <v>1</v>
      </c>
      <c r="F366" s="22">
        <v>-405.96</v>
      </c>
      <c r="G366" s="22">
        <v>0</v>
      </c>
      <c r="H366" s="22">
        <v>-405.96</v>
      </c>
      <c r="I366" s="22">
        <v>0</v>
      </c>
      <c r="J366" s="22">
        <v>0</v>
      </c>
      <c r="K366" s="22">
        <v>0</v>
      </c>
      <c r="L366" s="22">
        <v>-405.96</v>
      </c>
      <c r="M366" s="23">
        <v>46037</v>
      </c>
      <c r="N366" s="23">
        <v>46037</v>
      </c>
      <c r="O366" s="24">
        <v>-15</v>
      </c>
      <c r="P366" s="25" t="s">
        <v>2</v>
      </c>
      <c r="Q366" s="26" t="s">
        <v>59</v>
      </c>
      <c r="R366" s="27" t="s">
        <v>232</v>
      </c>
      <c r="S366" s="28" t="s">
        <v>232</v>
      </c>
      <c r="T366" s="29">
        <v>0</v>
      </c>
      <c r="U366" s="29">
        <v>0</v>
      </c>
      <c r="V366" s="29">
        <v>0</v>
      </c>
      <c r="W366" s="29">
        <v>0</v>
      </c>
      <c r="X366" s="30">
        <v>0</v>
      </c>
      <c r="Y366" s="31">
        <v>0</v>
      </c>
    </row>
    <row r="367" spans="1:25" x14ac:dyDescent="0.3">
      <c r="A367" s="19" t="s">
        <v>189</v>
      </c>
      <c r="B367" s="20" t="s">
        <v>87</v>
      </c>
      <c r="C367" s="20" t="s">
        <v>368</v>
      </c>
      <c r="D367" s="21" t="s">
        <v>421</v>
      </c>
      <c r="E367" s="21" t="s">
        <v>1</v>
      </c>
      <c r="F367" s="22">
        <v>-892.7</v>
      </c>
      <c r="G367" s="22">
        <v>0</v>
      </c>
      <c r="H367" s="22">
        <v>-892.7</v>
      </c>
      <c r="I367" s="22">
        <v>0</v>
      </c>
      <c r="J367" s="22">
        <v>0</v>
      </c>
      <c r="K367" s="22">
        <v>0</v>
      </c>
      <c r="L367" s="22">
        <v>-892.7</v>
      </c>
      <c r="M367" s="23">
        <v>46049</v>
      </c>
      <c r="N367" s="23">
        <v>46049</v>
      </c>
      <c r="O367" s="32">
        <v>-3</v>
      </c>
      <c r="P367" s="25" t="s">
        <v>2</v>
      </c>
      <c r="Q367" s="26" t="s">
        <v>59</v>
      </c>
      <c r="R367" s="27" t="s">
        <v>225</v>
      </c>
      <c r="S367" s="28" t="s">
        <v>225</v>
      </c>
      <c r="T367" s="29">
        <v>0</v>
      </c>
      <c r="U367" s="29">
        <v>0</v>
      </c>
      <c r="V367" s="29">
        <v>0</v>
      </c>
      <c r="W367" s="29">
        <v>0</v>
      </c>
      <c r="X367" s="30">
        <v>0</v>
      </c>
      <c r="Y367" s="31">
        <v>0</v>
      </c>
    </row>
    <row r="368" spans="1:25" x14ac:dyDescent="0.3">
      <c r="A368" s="19" t="s">
        <v>15</v>
      </c>
      <c r="B368" s="20" t="s">
        <v>87</v>
      </c>
      <c r="C368" s="20" t="s">
        <v>369</v>
      </c>
      <c r="D368" s="21" t="s">
        <v>413</v>
      </c>
      <c r="E368" s="21" t="s">
        <v>1</v>
      </c>
      <c r="F368" s="22">
        <v>-1500</v>
      </c>
      <c r="G368" s="22">
        <v>0</v>
      </c>
      <c r="H368" s="22">
        <v>-1500</v>
      </c>
      <c r="I368" s="22">
        <v>0</v>
      </c>
      <c r="J368" s="22">
        <v>0</v>
      </c>
      <c r="K368" s="22">
        <v>0</v>
      </c>
      <c r="L368" s="22">
        <v>-1500</v>
      </c>
      <c r="M368" s="23">
        <v>46036</v>
      </c>
      <c r="N368" s="23">
        <v>46036</v>
      </c>
      <c r="O368" s="32">
        <v>-16</v>
      </c>
      <c r="P368" s="25" t="s">
        <v>2</v>
      </c>
      <c r="Q368" s="26" t="s">
        <v>59</v>
      </c>
      <c r="R368" s="27" t="s">
        <v>225</v>
      </c>
      <c r="S368" s="28" t="s">
        <v>225</v>
      </c>
      <c r="T368" s="29">
        <v>0</v>
      </c>
      <c r="U368" s="29">
        <v>0</v>
      </c>
      <c r="V368" s="29">
        <v>0</v>
      </c>
      <c r="W368" s="29">
        <v>0</v>
      </c>
      <c r="X368" s="30">
        <v>0</v>
      </c>
      <c r="Y368" s="31">
        <v>0</v>
      </c>
    </row>
    <row r="369" spans="1:25" x14ac:dyDescent="0.3">
      <c r="A369" s="19" t="s">
        <v>350</v>
      </c>
      <c r="B369" s="20" t="s">
        <v>87</v>
      </c>
      <c r="C369" s="20" t="s">
        <v>362</v>
      </c>
      <c r="D369" s="21" t="s">
        <v>428</v>
      </c>
      <c r="E369" s="21" t="s">
        <v>1</v>
      </c>
      <c r="F369" s="22">
        <v>-2012.8</v>
      </c>
      <c r="G369" s="22">
        <v>0</v>
      </c>
      <c r="H369" s="22">
        <v>-2012.8</v>
      </c>
      <c r="I369" s="22">
        <v>0</v>
      </c>
      <c r="J369" s="22">
        <v>0</v>
      </c>
      <c r="K369" s="22">
        <v>0</v>
      </c>
      <c r="L369" s="22">
        <v>-2012.8</v>
      </c>
      <c r="M369" s="23">
        <v>46037</v>
      </c>
      <c r="N369" s="23">
        <v>46037</v>
      </c>
      <c r="O369" s="32">
        <v>-15</v>
      </c>
      <c r="P369" s="25" t="s">
        <v>2</v>
      </c>
      <c r="Q369" s="26" t="s">
        <v>59</v>
      </c>
      <c r="R369" s="27" t="s">
        <v>225</v>
      </c>
      <c r="S369" s="28" t="s">
        <v>225</v>
      </c>
      <c r="T369" s="29">
        <v>0</v>
      </c>
      <c r="U369" s="29">
        <v>0</v>
      </c>
      <c r="V369" s="29">
        <v>0</v>
      </c>
      <c r="W369" s="29">
        <v>0</v>
      </c>
      <c r="X369" s="30">
        <v>0</v>
      </c>
      <c r="Y369" s="29">
        <v>0</v>
      </c>
    </row>
    <row r="370" spans="1:25" x14ac:dyDescent="0.3">
      <c r="A370" s="19" t="s">
        <v>430</v>
      </c>
      <c r="B370" s="20" t="s">
        <v>87</v>
      </c>
      <c r="C370" s="20" t="s">
        <v>363</v>
      </c>
      <c r="D370" s="21" t="s">
        <v>431</v>
      </c>
      <c r="E370" s="21" t="s">
        <v>1</v>
      </c>
      <c r="F370" s="22">
        <v>-2976.45</v>
      </c>
      <c r="G370" s="22">
        <v>0</v>
      </c>
      <c r="H370" s="22">
        <v>-2976.45</v>
      </c>
      <c r="I370" s="22">
        <v>0</v>
      </c>
      <c r="J370" s="22">
        <v>0</v>
      </c>
      <c r="K370" s="22">
        <v>0</v>
      </c>
      <c r="L370" s="22">
        <v>-2976.45</v>
      </c>
      <c r="M370" s="23">
        <v>46036</v>
      </c>
      <c r="N370" s="23">
        <v>46036</v>
      </c>
      <c r="O370" s="32">
        <v>-16</v>
      </c>
      <c r="P370" s="25" t="s">
        <v>2</v>
      </c>
      <c r="Q370" s="26" t="s">
        <v>59</v>
      </c>
      <c r="R370" s="27" t="s">
        <v>232</v>
      </c>
      <c r="S370" s="28" t="s">
        <v>232</v>
      </c>
      <c r="T370" s="29">
        <v>0</v>
      </c>
      <c r="U370" s="29">
        <v>0</v>
      </c>
      <c r="V370" s="29">
        <v>0</v>
      </c>
      <c r="W370" s="29">
        <v>0</v>
      </c>
      <c r="X370" s="30">
        <v>0</v>
      </c>
      <c r="Y370" s="29">
        <v>0</v>
      </c>
    </row>
    <row r="371" spans="1:25" x14ac:dyDescent="0.3">
      <c r="A371" s="19" t="s">
        <v>401</v>
      </c>
      <c r="B371" s="20" t="s">
        <v>87</v>
      </c>
      <c r="C371" s="20" t="s">
        <v>362</v>
      </c>
      <c r="D371" s="21" t="s">
        <v>402</v>
      </c>
      <c r="E371" s="21" t="s">
        <v>1</v>
      </c>
      <c r="F371" s="22">
        <v>-4323</v>
      </c>
      <c r="G371" s="22">
        <v>0</v>
      </c>
      <c r="H371" s="22">
        <v>-4323</v>
      </c>
      <c r="I371" s="22">
        <v>0</v>
      </c>
      <c r="J371" s="22">
        <v>0</v>
      </c>
      <c r="K371" s="22">
        <v>0</v>
      </c>
      <c r="L371" s="22">
        <v>-4323</v>
      </c>
      <c r="M371" s="23">
        <v>46029</v>
      </c>
      <c r="N371" s="23">
        <v>46029</v>
      </c>
      <c r="O371" s="32">
        <v>-23</v>
      </c>
      <c r="P371" s="25" t="s">
        <v>2</v>
      </c>
      <c r="Q371" s="26" t="s">
        <v>59</v>
      </c>
      <c r="R371" s="27" t="s">
        <v>225</v>
      </c>
      <c r="S371" s="28" t="s">
        <v>225</v>
      </c>
      <c r="T371" s="29">
        <v>0</v>
      </c>
      <c r="U371" s="29">
        <v>0</v>
      </c>
      <c r="V371" s="29">
        <v>0</v>
      </c>
      <c r="W371" s="29">
        <v>0</v>
      </c>
      <c r="X371" s="30">
        <v>0</v>
      </c>
      <c r="Y371" s="31">
        <v>0</v>
      </c>
    </row>
    <row r="372" spans="1:25" x14ac:dyDescent="0.3">
      <c r="A372" s="19" t="s">
        <v>350</v>
      </c>
      <c r="B372" s="20" t="s">
        <v>87</v>
      </c>
      <c r="C372" s="20" t="s">
        <v>362</v>
      </c>
      <c r="D372" s="21" t="s">
        <v>427</v>
      </c>
      <c r="E372" s="21" t="s">
        <v>1</v>
      </c>
      <c r="F372" s="22">
        <v>-9603.07</v>
      </c>
      <c r="G372" s="22">
        <v>0</v>
      </c>
      <c r="H372" s="22">
        <v>-9603.07</v>
      </c>
      <c r="I372" s="22">
        <v>0</v>
      </c>
      <c r="J372" s="22">
        <v>0</v>
      </c>
      <c r="K372" s="22">
        <v>0</v>
      </c>
      <c r="L372" s="22">
        <v>-9603.07</v>
      </c>
      <c r="M372" s="23">
        <v>46037</v>
      </c>
      <c r="N372" s="23">
        <v>46037</v>
      </c>
      <c r="O372" s="32">
        <v>-15</v>
      </c>
      <c r="P372" s="25" t="s">
        <v>2</v>
      </c>
      <c r="Q372" s="26" t="s">
        <v>59</v>
      </c>
      <c r="R372" s="27" t="s">
        <v>225</v>
      </c>
      <c r="S372" s="28" t="s">
        <v>225</v>
      </c>
      <c r="T372" s="29">
        <v>0</v>
      </c>
      <c r="U372" s="29">
        <v>0</v>
      </c>
      <c r="V372" s="29">
        <v>0</v>
      </c>
      <c r="W372" s="29">
        <v>0</v>
      </c>
      <c r="X372" s="30">
        <v>0</v>
      </c>
      <c r="Y372" s="31">
        <v>0</v>
      </c>
    </row>
    <row r="373" spans="1:25" x14ac:dyDescent="0.3">
      <c r="A373" s="19" t="s">
        <v>287</v>
      </c>
      <c r="B373" s="20" t="s">
        <v>87</v>
      </c>
      <c r="C373" s="20" t="s">
        <v>362</v>
      </c>
      <c r="D373" s="21">
        <v>56511</v>
      </c>
      <c r="E373" s="21" t="s">
        <v>1</v>
      </c>
      <c r="F373" s="22">
        <v>-14563</v>
      </c>
      <c r="G373" s="22">
        <v>0</v>
      </c>
      <c r="H373" s="22">
        <v>-14563</v>
      </c>
      <c r="I373" s="22">
        <v>0</v>
      </c>
      <c r="J373" s="22">
        <v>0</v>
      </c>
      <c r="K373" s="22">
        <v>0</v>
      </c>
      <c r="L373" s="22">
        <v>-14563</v>
      </c>
      <c r="M373" s="23">
        <v>46048</v>
      </c>
      <c r="N373" s="23">
        <v>46048</v>
      </c>
      <c r="O373" s="32">
        <v>-4</v>
      </c>
      <c r="P373" s="25" t="s">
        <v>2</v>
      </c>
      <c r="Q373" s="26" t="s">
        <v>59</v>
      </c>
      <c r="R373" s="27" t="s">
        <v>232</v>
      </c>
      <c r="S373" s="28" t="s">
        <v>232</v>
      </c>
      <c r="T373" s="29">
        <v>0</v>
      </c>
      <c r="U373" s="29">
        <v>0</v>
      </c>
      <c r="V373" s="29">
        <v>0</v>
      </c>
      <c r="W373" s="29">
        <v>0</v>
      </c>
      <c r="X373" s="30">
        <v>0</v>
      </c>
      <c r="Y373" s="31">
        <v>0</v>
      </c>
    </row>
    <row r="374" spans="1:25" x14ac:dyDescent="0.3">
      <c r="A374" s="19" t="s">
        <v>329</v>
      </c>
      <c r="B374" s="20" t="s">
        <v>87</v>
      </c>
      <c r="C374" s="20" t="s">
        <v>368</v>
      </c>
      <c r="D374" s="21" t="s">
        <v>426</v>
      </c>
      <c r="E374" s="21" t="s">
        <v>1</v>
      </c>
      <c r="F374" s="22">
        <v>-80000</v>
      </c>
      <c r="G374" s="22">
        <v>0</v>
      </c>
      <c r="H374" s="22">
        <v>-80000</v>
      </c>
      <c r="I374" s="22">
        <v>0</v>
      </c>
      <c r="J374" s="22">
        <v>0</v>
      </c>
      <c r="K374" s="22">
        <v>0</v>
      </c>
      <c r="L374" s="22">
        <v>-80000</v>
      </c>
      <c r="M374" s="23">
        <v>46038</v>
      </c>
      <c r="N374" s="23">
        <v>46038</v>
      </c>
      <c r="O374" s="32">
        <v>-14</v>
      </c>
      <c r="P374" s="25" t="s">
        <v>2</v>
      </c>
      <c r="Q374" s="26" t="s">
        <v>59</v>
      </c>
      <c r="R374" s="27" t="s">
        <v>232</v>
      </c>
      <c r="S374" s="28" t="s">
        <v>232</v>
      </c>
      <c r="T374" s="29">
        <v>0</v>
      </c>
      <c r="U374" s="29">
        <v>0</v>
      </c>
      <c r="V374" s="29">
        <v>0</v>
      </c>
      <c r="W374" s="29">
        <v>0</v>
      </c>
      <c r="X374" s="30">
        <v>0</v>
      </c>
      <c r="Y374" s="31">
        <v>0</v>
      </c>
    </row>
    <row r="375" spans="1:25" x14ac:dyDescent="0.3">
      <c r="A375" s="19" t="s">
        <v>10</v>
      </c>
      <c r="B375" s="20" t="s">
        <v>87</v>
      </c>
      <c r="C375" s="20" t="s">
        <v>380</v>
      </c>
      <c r="D375" s="21" t="s">
        <v>411</v>
      </c>
      <c r="E375" s="21" t="s">
        <v>1</v>
      </c>
      <c r="F375" s="22">
        <v>-84330.57</v>
      </c>
      <c r="G375" s="22">
        <v>0</v>
      </c>
      <c r="H375" s="22">
        <v>-84330.57</v>
      </c>
      <c r="I375" s="22">
        <v>0</v>
      </c>
      <c r="J375" s="22">
        <v>0</v>
      </c>
      <c r="K375" s="22">
        <v>0</v>
      </c>
      <c r="L375" s="22">
        <v>-84330.57</v>
      </c>
      <c r="M375" s="23">
        <v>46041</v>
      </c>
      <c r="N375" s="23">
        <v>46041</v>
      </c>
      <c r="O375" s="32">
        <v>-11</v>
      </c>
      <c r="P375" s="25" t="s">
        <v>2</v>
      </c>
      <c r="Q375" s="26" t="s">
        <v>59</v>
      </c>
      <c r="R375" s="27" t="s">
        <v>232</v>
      </c>
      <c r="S375" s="28" t="s">
        <v>232</v>
      </c>
      <c r="T375" s="29">
        <v>0</v>
      </c>
      <c r="U375" s="29">
        <v>0</v>
      </c>
      <c r="V375" s="29">
        <v>0</v>
      </c>
      <c r="W375" s="29">
        <v>0</v>
      </c>
      <c r="X375" s="30">
        <v>0</v>
      </c>
      <c r="Y375" s="29">
        <v>0</v>
      </c>
    </row>
    <row r="376" spans="1:25" x14ac:dyDescent="0.3">
      <c r="A376" s="19" t="s">
        <v>246</v>
      </c>
      <c r="B376" s="20" t="s">
        <v>87</v>
      </c>
      <c r="C376" s="20" t="s">
        <v>369</v>
      </c>
      <c r="D376" s="21" t="s">
        <v>415</v>
      </c>
      <c r="E376" s="21" t="s">
        <v>1</v>
      </c>
      <c r="F376" s="22">
        <v>-201436.02</v>
      </c>
      <c r="G376" s="22">
        <v>0</v>
      </c>
      <c r="H376" s="22">
        <v>-201436.02</v>
      </c>
      <c r="I376" s="22">
        <v>0</v>
      </c>
      <c r="J376" s="22">
        <v>0</v>
      </c>
      <c r="K376" s="22">
        <v>0</v>
      </c>
      <c r="L376" s="22">
        <v>-201436.02</v>
      </c>
      <c r="M376" s="23">
        <v>46048</v>
      </c>
      <c r="N376" s="23">
        <v>46048</v>
      </c>
      <c r="O376" s="32">
        <v>-4</v>
      </c>
      <c r="P376" s="25" t="s">
        <v>2</v>
      </c>
      <c r="Q376" s="26" t="s">
        <v>59</v>
      </c>
      <c r="R376" s="27" t="s">
        <v>225</v>
      </c>
      <c r="S376" s="28" t="s">
        <v>225</v>
      </c>
      <c r="T376" s="29">
        <v>0</v>
      </c>
      <c r="U376" s="29">
        <v>0</v>
      </c>
      <c r="V376" s="29">
        <v>0</v>
      </c>
      <c r="W376" s="29">
        <v>0</v>
      </c>
      <c r="X376" s="30">
        <v>0</v>
      </c>
      <c r="Y376" s="31">
        <v>0</v>
      </c>
    </row>
    <row r="377" spans="1:25" x14ac:dyDescent="0.3">
      <c r="A377" s="19" t="s">
        <v>403</v>
      </c>
      <c r="B377" s="20" t="s">
        <v>87</v>
      </c>
      <c r="C377" s="20" t="s">
        <v>377</v>
      </c>
      <c r="D377" s="21" t="s">
        <v>404</v>
      </c>
      <c r="E377" s="21" t="s">
        <v>1</v>
      </c>
      <c r="F377" s="22">
        <v>-0.1</v>
      </c>
      <c r="G377" s="22">
        <v>0</v>
      </c>
      <c r="H377" s="22">
        <v>-0.1</v>
      </c>
      <c r="I377" s="22">
        <v>0</v>
      </c>
      <c r="J377" s="22">
        <v>0</v>
      </c>
      <c r="K377" s="22">
        <v>0</v>
      </c>
      <c r="L377" s="22">
        <v>-0.1</v>
      </c>
      <c r="M377" s="23">
        <v>46034</v>
      </c>
      <c r="N377" s="23">
        <v>46034</v>
      </c>
      <c r="O377" s="32">
        <v>-18</v>
      </c>
      <c r="P377" s="25" t="s">
        <v>60</v>
      </c>
      <c r="Q377" s="26" t="s">
        <v>72</v>
      </c>
      <c r="R377" s="27" t="s">
        <v>232</v>
      </c>
      <c r="S377" s="28" t="s">
        <v>232</v>
      </c>
      <c r="T377" s="29"/>
      <c r="U377" s="29"/>
      <c r="V377" s="29"/>
      <c r="W377" s="29"/>
      <c r="X377" s="30"/>
      <c r="Y377" s="29"/>
    </row>
    <row r="378" spans="1:25" x14ac:dyDescent="0.3">
      <c r="A378" s="19" t="s">
        <v>405</v>
      </c>
      <c r="B378" s="20" t="s">
        <v>87</v>
      </c>
      <c r="C378" s="20" t="s">
        <v>374</v>
      </c>
      <c r="D378" s="21" t="s">
        <v>406</v>
      </c>
      <c r="E378" s="21" t="s">
        <v>1</v>
      </c>
      <c r="F378" s="22">
        <v>-10965.07</v>
      </c>
      <c r="G378" s="22">
        <v>0</v>
      </c>
      <c r="H378" s="22">
        <v>-10965.07</v>
      </c>
      <c r="I378" s="22">
        <v>0</v>
      </c>
      <c r="J378" s="22">
        <v>0</v>
      </c>
      <c r="K378" s="22">
        <v>0</v>
      </c>
      <c r="L378" s="22">
        <v>-10965.07</v>
      </c>
      <c r="M378" s="23">
        <v>46027</v>
      </c>
      <c r="N378" s="23">
        <v>46027</v>
      </c>
      <c r="O378" s="32">
        <v>-25</v>
      </c>
      <c r="P378" s="25" t="s">
        <v>60</v>
      </c>
      <c r="Q378" s="26" t="s">
        <v>72</v>
      </c>
      <c r="R378" s="27" t="s">
        <v>225</v>
      </c>
      <c r="S378" s="28" t="s">
        <v>225</v>
      </c>
      <c r="T378" s="29"/>
      <c r="U378" s="29"/>
      <c r="V378" s="29"/>
      <c r="W378" s="29"/>
      <c r="X378" s="30"/>
      <c r="Y378" s="31"/>
    </row>
    <row r="379" spans="1:25" x14ac:dyDescent="0.3">
      <c r="A379" s="19" t="s">
        <v>409</v>
      </c>
      <c r="B379" s="20" t="s">
        <v>87</v>
      </c>
      <c r="C379" s="20" t="s">
        <v>366</v>
      </c>
      <c r="D379" s="21" t="s">
        <v>410</v>
      </c>
      <c r="E379" s="21" t="s">
        <v>1</v>
      </c>
      <c r="F379" s="22">
        <v>-26694</v>
      </c>
      <c r="G379" s="22">
        <v>0</v>
      </c>
      <c r="H379" s="22">
        <v>-26694</v>
      </c>
      <c r="I379" s="22">
        <v>0</v>
      </c>
      <c r="J379" s="22">
        <v>0</v>
      </c>
      <c r="K379" s="22">
        <v>0</v>
      </c>
      <c r="L379" s="22">
        <v>-26694</v>
      </c>
      <c r="M379" s="23">
        <v>46049</v>
      </c>
      <c r="N379" s="23">
        <v>46049</v>
      </c>
      <c r="O379" s="32">
        <v>-3</v>
      </c>
      <c r="P379" s="25" t="s">
        <v>60</v>
      </c>
      <c r="Q379" s="26" t="s">
        <v>72</v>
      </c>
      <c r="R379" s="27" t="s">
        <v>225</v>
      </c>
      <c r="S379" s="28" t="s">
        <v>225</v>
      </c>
      <c r="T379" s="29"/>
      <c r="U379" s="29"/>
      <c r="V379" s="29"/>
      <c r="W379" s="29"/>
      <c r="X379" s="30"/>
      <c r="Y379" s="31"/>
    </row>
    <row r="380" spans="1:25" x14ac:dyDescent="0.3">
      <c r="A380" s="19" t="s">
        <v>303</v>
      </c>
      <c r="B380" s="20" t="s">
        <v>87</v>
      </c>
      <c r="C380" s="20" t="s">
        <v>368</v>
      </c>
      <c r="D380" s="21" t="s">
        <v>417</v>
      </c>
      <c r="E380" s="21" t="s">
        <v>1</v>
      </c>
      <c r="F380" s="22">
        <v>-4562.1000000000004</v>
      </c>
      <c r="G380" s="22">
        <v>0</v>
      </c>
      <c r="H380" s="22">
        <v>-4562.1000000000004</v>
      </c>
      <c r="I380" s="22">
        <v>0</v>
      </c>
      <c r="J380" s="22">
        <v>0</v>
      </c>
      <c r="K380" s="22">
        <v>0</v>
      </c>
      <c r="L380" s="22">
        <v>-4562.1000000000004</v>
      </c>
      <c r="M380" s="23">
        <v>46049</v>
      </c>
      <c r="N380" s="23">
        <v>46049</v>
      </c>
      <c r="O380" s="32">
        <v>-3</v>
      </c>
      <c r="P380" s="25" t="s">
        <v>60</v>
      </c>
      <c r="Q380" s="26" t="s">
        <v>72</v>
      </c>
      <c r="R380" s="27" t="s">
        <v>225</v>
      </c>
      <c r="S380" s="28" t="s">
        <v>225</v>
      </c>
      <c r="T380" s="29"/>
      <c r="U380" s="29"/>
      <c r="V380" s="29"/>
      <c r="W380" s="29"/>
      <c r="X380" s="30"/>
      <c r="Y380" s="31"/>
    </row>
    <row r="381" spans="1:25" x14ac:dyDescent="0.3">
      <c r="A381" s="19" t="s">
        <v>418</v>
      </c>
      <c r="B381" s="20" t="s">
        <v>87</v>
      </c>
      <c r="C381" s="20" t="s">
        <v>374</v>
      </c>
      <c r="D381" s="21" t="s">
        <v>419</v>
      </c>
      <c r="E381" s="21" t="s">
        <v>1</v>
      </c>
      <c r="F381" s="22">
        <v>-31156.74</v>
      </c>
      <c r="G381" s="22">
        <v>0</v>
      </c>
      <c r="H381" s="22">
        <v>-31156.74</v>
      </c>
      <c r="I381" s="22">
        <v>0</v>
      </c>
      <c r="J381" s="22">
        <v>0</v>
      </c>
      <c r="K381" s="22">
        <v>0</v>
      </c>
      <c r="L381" s="22">
        <v>-31156.74</v>
      </c>
      <c r="M381" s="23">
        <v>46035</v>
      </c>
      <c r="N381" s="23">
        <v>46035</v>
      </c>
      <c r="O381" s="32">
        <v>-17</v>
      </c>
      <c r="P381" s="25" t="s">
        <v>60</v>
      </c>
      <c r="Q381" s="26" t="s">
        <v>72</v>
      </c>
      <c r="R381" s="27" t="s">
        <v>225</v>
      </c>
      <c r="S381" s="28" t="s">
        <v>225</v>
      </c>
      <c r="T381" s="29"/>
      <c r="U381" s="29"/>
      <c r="V381" s="29"/>
      <c r="W381" s="29"/>
      <c r="X381" s="30"/>
      <c r="Y381" s="31"/>
    </row>
    <row r="382" spans="1:25" x14ac:dyDescent="0.3">
      <c r="A382" s="19" t="s">
        <v>30</v>
      </c>
      <c r="B382" s="20" t="s">
        <v>87</v>
      </c>
      <c r="C382" s="20" t="s">
        <v>377</v>
      </c>
      <c r="D382" s="21" t="s">
        <v>423</v>
      </c>
      <c r="E382" s="21" t="s">
        <v>1</v>
      </c>
      <c r="F382" s="22">
        <v>-0.15</v>
      </c>
      <c r="G382" s="22">
        <v>0</v>
      </c>
      <c r="H382" s="22">
        <v>-0.15</v>
      </c>
      <c r="I382" s="22">
        <v>0</v>
      </c>
      <c r="J382" s="22">
        <v>0</v>
      </c>
      <c r="K382" s="22">
        <v>0</v>
      </c>
      <c r="L382" s="22">
        <v>-0.15</v>
      </c>
      <c r="M382" s="23">
        <v>46043</v>
      </c>
      <c r="N382" s="23">
        <v>46043</v>
      </c>
      <c r="O382" s="24">
        <v>-9</v>
      </c>
      <c r="P382" s="25" t="s">
        <v>60</v>
      </c>
      <c r="Q382" s="26" t="s">
        <v>72</v>
      </c>
      <c r="R382" s="27" t="s">
        <v>232</v>
      </c>
      <c r="S382" s="28" t="s">
        <v>232</v>
      </c>
      <c r="T382" s="29"/>
      <c r="U382" s="29"/>
      <c r="V382" s="29"/>
      <c r="W382" s="29"/>
      <c r="X382" s="30"/>
      <c r="Y382" s="31"/>
    </row>
    <row r="383" spans="1:25" x14ac:dyDescent="0.3">
      <c r="A383" s="19" t="s">
        <v>425</v>
      </c>
      <c r="B383" s="20" t="s">
        <v>87</v>
      </c>
      <c r="C383" s="20" t="s">
        <v>377</v>
      </c>
      <c r="D383" s="21">
        <v>51151</v>
      </c>
      <c r="E383" s="21" t="s">
        <v>1</v>
      </c>
      <c r="F383" s="22">
        <v>-421.15</v>
      </c>
      <c r="G383" s="22">
        <v>0</v>
      </c>
      <c r="H383" s="22">
        <v>-421.15</v>
      </c>
      <c r="I383" s="22">
        <v>0</v>
      </c>
      <c r="J383" s="22">
        <v>0</v>
      </c>
      <c r="K383" s="22">
        <v>0</v>
      </c>
      <c r="L383" s="22">
        <v>-421.15</v>
      </c>
      <c r="M383" s="23">
        <v>46050</v>
      </c>
      <c r="N383" s="23">
        <v>46050</v>
      </c>
      <c r="O383" s="24">
        <v>-2</v>
      </c>
      <c r="P383" s="25" t="s">
        <v>60</v>
      </c>
      <c r="Q383" s="26" t="s">
        <v>72</v>
      </c>
      <c r="R383" s="27" t="s">
        <v>232</v>
      </c>
      <c r="S383" s="28" t="s">
        <v>232</v>
      </c>
      <c r="T383" s="29"/>
      <c r="U383" s="29"/>
      <c r="V383" s="29"/>
      <c r="W383" s="29"/>
      <c r="X383" s="30"/>
      <c r="Y383" s="31"/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Proyección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Monney</dc:creator>
  <cp:lastModifiedBy>Luis Monney</cp:lastModifiedBy>
  <dcterms:created xsi:type="dcterms:W3CDTF">2025-03-05T22:12:14Z</dcterms:created>
  <dcterms:modified xsi:type="dcterms:W3CDTF">2026-02-17T22:14:01Z</dcterms:modified>
</cp:coreProperties>
</file>