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euromobilia-my.sharepoint.com/personal/luis_barrantes_euromobilia_com/Documents/Escritorio/"/>
    </mc:Choice>
  </mc:AlternateContent>
  <xr:revisionPtr revIDLastSave="86" documentId="14_{C8A5AE21-4978-4547-B04B-8B2806E5A8B0}" xr6:coauthVersionLast="47" xr6:coauthVersionMax="47" xr10:uidLastSave="{CF922AFE-5649-4BF9-B598-B14FE25CB0FF}"/>
  <bookViews>
    <workbookView xWindow="-108" yWindow="-108" windowWidth="23256" windowHeight="13896" xr2:uid="{00000000-000D-0000-FFFF-FFFF00000000}"/>
  </bookViews>
  <sheets>
    <sheet name="Sheet" sheetId="1" r:id="rId1"/>
  </sheets>
  <definedNames>
    <definedName name="_xlnm._FilterDatabase" localSheetId="0" hidden="1">Sheet!$A$1:$T$1766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8" i="1" l="1"/>
  <c r="T61" i="1"/>
  <c r="T57" i="1"/>
  <c r="T11" i="1" l="1"/>
  <c r="T7" i="1"/>
  <c r="M104" i="1"/>
  <c r="N104" i="1" s="1"/>
  <c r="M56" i="1"/>
  <c r="N56" i="1" s="1"/>
  <c r="M45" i="1"/>
  <c r="N45" i="1" s="1"/>
  <c r="M157" i="1"/>
  <c r="N157" i="1" s="1"/>
  <c r="M280" i="1"/>
  <c r="N280" i="1" s="1"/>
  <c r="M86" i="1"/>
  <c r="N86" i="1" s="1"/>
  <c r="M63" i="1"/>
  <c r="N63" i="1" s="1"/>
  <c r="M15" i="1"/>
  <c r="N15" i="1" s="1"/>
  <c r="M25" i="1"/>
  <c r="N25" i="1" s="1"/>
  <c r="P943" i="1"/>
  <c r="P684" i="1"/>
  <c r="P1166" i="1"/>
  <c r="P1522" i="1"/>
  <c r="P859" i="1"/>
  <c r="P1570" i="1"/>
  <c r="P191" i="1"/>
  <c r="P745" i="1"/>
  <c r="P647" i="1"/>
  <c r="P1111" i="1"/>
  <c r="P671" i="1"/>
  <c r="P388" i="1"/>
  <c r="P1397" i="1"/>
  <c r="P1722" i="1"/>
  <c r="P906" i="1"/>
  <c r="P837" i="1"/>
  <c r="P1188" i="1"/>
  <c r="P442" i="1"/>
  <c r="P1627" i="1"/>
  <c r="P1246" i="1"/>
  <c r="P1760" i="1"/>
  <c r="P1474" i="1"/>
  <c r="P1282" i="1"/>
  <c r="P1577" i="1"/>
  <c r="P557" i="1"/>
  <c r="P491" i="1"/>
  <c r="P1217" i="1"/>
  <c r="P153" i="1"/>
  <c r="P782" i="1"/>
  <c r="P1122" i="1"/>
  <c r="P868" i="1"/>
  <c r="P966" i="1"/>
  <c r="P785" i="1"/>
  <c r="P177" i="1"/>
  <c r="P321" i="1"/>
  <c r="P1740" i="1"/>
  <c r="P997" i="1"/>
  <c r="P725" i="1"/>
  <c r="P309" i="1"/>
  <c r="P128" i="1"/>
  <c r="P1632" i="1"/>
  <c r="P1045" i="1"/>
  <c r="P986" i="1"/>
  <c r="P198" i="1"/>
  <c r="P1247" i="1"/>
  <c r="P840" i="1"/>
  <c r="P1517" i="1"/>
  <c r="P1676" i="1"/>
  <c r="P53" i="1"/>
  <c r="P239" i="1"/>
  <c r="P367" i="1"/>
  <c r="P545" i="1"/>
  <c r="P422" i="1"/>
  <c r="P1168" i="1"/>
  <c r="P751" i="1"/>
  <c r="P950" i="1"/>
  <c r="P1715" i="1"/>
  <c r="P1547" i="1"/>
  <c r="P1375" i="1"/>
  <c r="P267" i="1"/>
  <c r="P686" i="1"/>
  <c r="P1065" i="1"/>
  <c r="P1194" i="1"/>
  <c r="P188" i="1"/>
  <c r="P264" i="1"/>
  <c r="P620" i="1"/>
  <c r="P36" i="1"/>
  <c r="P1148" i="1"/>
  <c r="P572" i="1"/>
  <c r="P737" i="1"/>
  <c r="P1532" i="1"/>
  <c r="P1238" i="1"/>
  <c r="P996" i="1"/>
  <c r="P598" i="1"/>
  <c r="P1762" i="1"/>
  <c r="P892" i="1"/>
  <c r="P1457" i="1"/>
  <c r="P197" i="1"/>
  <c r="P1437" i="1"/>
  <c r="P1259" i="1"/>
  <c r="P1443" i="1"/>
  <c r="P1116" i="1"/>
  <c r="P1597" i="1"/>
  <c r="P1459" i="1"/>
  <c r="P1381" i="1"/>
  <c r="P1062" i="1"/>
  <c r="P708" i="1"/>
  <c r="P1189" i="1"/>
  <c r="P905" i="1"/>
  <c r="P376" i="1"/>
  <c r="P493" i="1"/>
  <c r="P599" i="1"/>
  <c r="P349" i="1"/>
  <c r="P1374" i="1"/>
  <c r="P586" i="1"/>
  <c r="P1408" i="1"/>
  <c r="P1347" i="1"/>
  <c r="P1127" i="1"/>
  <c r="P1107" i="1"/>
  <c r="P1210" i="1"/>
  <c r="P779" i="1"/>
  <c r="P1044" i="1"/>
  <c r="P1154" i="1"/>
  <c r="P162" i="1"/>
  <c r="P1553" i="1"/>
  <c r="P816" i="1"/>
  <c r="P1234" i="1"/>
  <c r="P1369" i="1"/>
  <c r="P644" i="1"/>
  <c r="P307" i="1"/>
  <c r="P1592" i="1"/>
  <c r="P1718" i="1"/>
  <c r="P1388" i="1"/>
  <c r="P777" i="1"/>
  <c r="P595" i="1"/>
  <c r="P1613" i="1"/>
  <c r="P365" i="1"/>
  <c r="P1420" i="1"/>
  <c r="P315" i="1"/>
  <c r="P1024" i="1"/>
  <c r="P1655" i="1"/>
  <c r="P775" i="1"/>
  <c r="P1407" i="1"/>
  <c r="P870" i="1"/>
  <c r="P1286" i="1"/>
  <c r="P590" i="1"/>
  <c r="P456" i="1"/>
  <c r="P532" i="1"/>
  <c r="P1710" i="1"/>
  <c r="P624" i="1"/>
  <c r="P941" i="1"/>
  <c r="P1714" i="1"/>
  <c r="P1402" i="1"/>
  <c r="P170" i="1"/>
  <c r="P642" i="1"/>
  <c r="P715" i="1"/>
  <c r="P1124" i="1"/>
  <c r="P601" i="1"/>
  <c r="P889" i="1"/>
  <c r="P6" i="1"/>
  <c r="P1268" i="1"/>
  <c r="P891" i="1"/>
  <c r="P212" i="1"/>
  <c r="P919" i="1"/>
  <c r="P294" i="1"/>
  <c r="P1162" i="1"/>
  <c r="P562" i="1"/>
  <c r="P638" i="1"/>
  <c r="P903" i="1"/>
  <c r="P1688" i="1"/>
  <c r="P805" i="1"/>
  <c r="P821" i="1"/>
  <c r="P1263" i="1"/>
  <c r="P1056" i="1"/>
  <c r="P1660" i="1"/>
  <c r="P1195" i="1"/>
  <c r="P1578" i="1"/>
  <c r="P182" i="1"/>
  <c r="P847" i="1"/>
  <c r="P936" i="1"/>
  <c r="P991" i="1"/>
  <c r="P404" i="1"/>
  <c r="P1622" i="1"/>
  <c r="P625" i="1"/>
  <c r="P522" i="1"/>
  <c r="P972" i="1"/>
  <c r="P872" i="1"/>
  <c r="P1758" i="1"/>
  <c r="P114" i="1"/>
  <c r="P1733" i="1"/>
  <c r="P168" i="1"/>
  <c r="P1241" i="1"/>
  <c r="P560" i="1"/>
  <c r="P1274" i="1"/>
  <c r="P1499" i="1"/>
  <c r="P1226" i="1"/>
  <c r="P1307" i="1"/>
  <c r="P216" i="1"/>
  <c r="P1109" i="1"/>
  <c r="P1308" i="1"/>
  <c r="P1763" i="1"/>
  <c r="P143" i="1"/>
  <c r="P66" i="1"/>
  <c r="P1736" i="1"/>
  <c r="P1033" i="1"/>
  <c r="P436" i="1"/>
  <c r="P354" i="1"/>
  <c r="P1172" i="1"/>
  <c r="P318" i="1"/>
  <c r="P1610" i="1"/>
  <c r="P1089" i="1"/>
  <c r="P639" i="1"/>
  <c r="P685" i="1"/>
  <c r="P1569" i="1"/>
  <c r="P1619" i="1"/>
  <c r="P516" i="1"/>
  <c r="P1727" i="1"/>
  <c r="P886" i="1"/>
  <c r="P1686" i="1"/>
  <c r="P721" i="1"/>
  <c r="P976" i="1"/>
  <c r="P1170" i="1"/>
  <c r="P1608" i="1"/>
  <c r="P346" i="1"/>
  <c r="P282" i="1"/>
  <c r="P669" i="1"/>
  <c r="P1755" i="1"/>
  <c r="P1317" i="1"/>
  <c r="P1128" i="1"/>
  <c r="P252" i="1"/>
  <c r="P678" i="1"/>
  <c r="P1403" i="1"/>
  <c r="P923" i="1"/>
  <c r="P316" i="1"/>
  <c r="P929" i="1"/>
  <c r="P898" i="1"/>
  <c r="P244" i="1"/>
  <c r="P731" i="1"/>
  <c r="P858" i="1"/>
  <c r="P871" i="1"/>
  <c r="P1140" i="1"/>
  <c r="P1494" i="1"/>
  <c r="P750" i="1"/>
  <c r="P1063" i="1"/>
  <c r="P245" i="1"/>
  <c r="P1077" i="1"/>
  <c r="P1495" i="1"/>
  <c r="P23" i="1"/>
  <c r="P952" i="1"/>
  <c r="P743" i="1"/>
  <c r="P672" i="1"/>
  <c r="P1766" i="1"/>
  <c r="P1607" i="1"/>
  <c r="P561" i="1"/>
  <c r="P1514" i="1"/>
  <c r="P1764" i="1"/>
  <c r="P183" i="1"/>
  <c r="P1609" i="1"/>
  <c r="P1405" i="1"/>
  <c r="P1261" i="1"/>
  <c r="P1416" i="1"/>
  <c r="P1479" i="1"/>
  <c r="P409" i="1"/>
  <c r="P1335" i="1"/>
  <c r="P706" i="1"/>
  <c r="P521" i="1"/>
  <c r="P523" i="1"/>
  <c r="P1400" i="1"/>
  <c r="P1278" i="1"/>
  <c r="P410" i="1"/>
  <c r="P1524" i="1"/>
  <c r="P1256" i="1"/>
  <c r="P1564" i="1"/>
  <c r="P1390" i="1"/>
  <c r="P534" i="1"/>
  <c r="P161" i="1"/>
  <c r="P787" i="1"/>
  <c r="P1199" i="1"/>
  <c r="P413" i="1"/>
  <c r="P747" i="1"/>
  <c r="P281" i="1"/>
  <c r="P1720" i="1"/>
  <c r="P20" i="1"/>
  <c r="P1683" i="1"/>
  <c r="P1425" i="1"/>
  <c r="P1657" i="1"/>
  <c r="P1377" i="1"/>
  <c r="P555" i="1"/>
  <c r="P1703" i="1"/>
  <c r="P983" i="1"/>
  <c r="P152" i="1"/>
  <c r="P549" i="1"/>
  <c r="P593" i="1"/>
  <c r="P885" i="1"/>
  <c r="P1747" i="1"/>
  <c r="P811" i="1"/>
  <c r="P1055" i="1"/>
  <c r="P402" i="1"/>
  <c r="P528" i="1"/>
  <c r="P308" i="1"/>
  <c r="P613" i="1"/>
  <c r="P233" i="1"/>
  <c r="P633" i="1"/>
  <c r="P1701" i="1"/>
  <c r="P1031" i="1"/>
  <c r="P1072" i="1"/>
  <c r="P1050" i="1"/>
  <c r="P544" i="1"/>
  <c r="P77" i="1"/>
  <c r="P288" i="1"/>
  <c r="P875" i="1"/>
  <c r="P815" i="1"/>
  <c r="P1258" i="1"/>
  <c r="P696" i="1"/>
  <c r="P881" i="1"/>
  <c r="P851" i="1"/>
  <c r="P1110" i="1"/>
  <c r="P499" i="1"/>
  <c r="P512" i="1"/>
  <c r="P786" i="1"/>
  <c r="P238" i="1"/>
  <c r="P500" i="1"/>
  <c r="P806" i="1"/>
  <c r="P1026" i="1"/>
  <c r="P1426" i="1"/>
  <c r="P524" i="1"/>
  <c r="P1182" i="1"/>
  <c r="P1000" i="1"/>
  <c r="P1593" i="1"/>
  <c r="P237" i="1"/>
  <c r="P1360" i="1"/>
  <c r="P1707" i="1"/>
  <c r="P1482" i="1"/>
  <c r="P702" i="1"/>
  <c r="P1620" i="1"/>
  <c r="P1511" i="1"/>
  <c r="P1595" i="1"/>
  <c r="P498" i="1"/>
  <c r="P85" i="1"/>
  <c r="P180" i="1"/>
  <c r="P1642" i="1"/>
  <c r="P980" i="1"/>
  <c r="P1480" i="1"/>
  <c r="P176" i="1"/>
  <c r="P1157" i="1"/>
  <c r="P301" i="1"/>
  <c r="P225" i="1"/>
  <c r="P1183" i="1"/>
  <c r="P270" i="1"/>
  <c r="P568" i="1"/>
  <c r="P65" i="1"/>
  <c r="P819" i="1"/>
  <c r="P736" i="1"/>
  <c r="P659" i="1"/>
  <c r="P435" i="1"/>
  <c r="P597" i="1"/>
  <c r="P764" i="1"/>
  <c r="P416" i="1"/>
  <c r="P1008" i="1"/>
  <c r="P884" i="1"/>
  <c r="P899" i="1"/>
  <c r="P1147" i="1"/>
  <c r="P1213" i="1"/>
  <c r="P1341" i="1"/>
  <c r="P482" i="1"/>
  <c r="P520" i="1"/>
  <c r="P932" i="1"/>
  <c r="P142" i="1"/>
  <c r="P1600" i="1"/>
  <c r="P640" i="1"/>
  <c r="P1352" i="1"/>
  <c r="P726" i="1"/>
  <c r="P403" i="1"/>
  <c r="P888" i="1"/>
  <c r="P1666" i="1"/>
  <c r="P359" i="1"/>
  <c r="P1303" i="1"/>
  <c r="P1694" i="1"/>
  <c r="P1048" i="1"/>
  <c r="P181" i="1"/>
  <c r="P742" i="1"/>
  <c r="P1748" i="1"/>
  <c r="P154" i="1"/>
  <c r="P965" i="1"/>
  <c r="P473" i="1"/>
  <c r="P1243" i="1"/>
  <c r="P187" i="1"/>
  <c r="P1022" i="1"/>
  <c r="P1251" i="1"/>
  <c r="P260" i="1"/>
  <c r="P1322" i="1"/>
  <c r="P1654" i="1"/>
  <c r="P327" i="1"/>
  <c r="P163" i="1"/>
  <c r="P99" i="1"/>
  <c r="P670" i="1"/>
  <c r="P1074" i="1"/>
  <c r="P1525" i="1"/>
  <c r="P95" i="1"/>
  <c r="P340" i="1"/>
  <c r="P550" i="1"/>
  <c r="P1542" i="1"/>
  <c r="P907" i="1"/>
  <c r="P278" i="1"/>
  <c r="P1071" i="1"/>
  <c r="P79" i="1"/>
  <c r="P795" i="1"/>
  <c r="P492" i="1"/>
  <c r="P5" i="1"/>
  <c r="P320" i="1"/>
  <c r="P1169" i="1"/>
  <c r="P50" i="1"/>
  <c r="P1229" i="1"/>
  <c r="P1073" i="1"/>
  <c r="P373" i="1"/>
  <c r="P82" i="1"/>
  <c r="P530" i="1"/>
  <c r="P344" i="1"/>
  <c r="P1540" i="1"/>
  <c r="P732" i="1"/>
  <c r="P1444" i="1"/>
  <c r="P444" i="1"/>
  <c r="P529" i="1"/>
  <c r="P451" i="1"/>
  <c r="P860" i="1"/>
  <c r="P762" i="1"/>
  <c r="P330" i="1"/>
  <c r="P1579" i="1"/>
  <c r="P700" i="1"/>
  <c r="P1384" i="1"/>
  <c r="P768" i="1"/>
  <c r="P1492" i="1"/>
  <c r="P688" i="1"/>
  <c r="P1245" i="1"/>
  <c r="P1312" i="1"/>
  <c r="P1488" i="1"/>
  <c r="P348" i="1"/>
  <c r="P713" i="1"/>
  <c r="P1134" i="1"/>
  <c r="P81" i="1"/>
  <c r="P992" i="1"/>
  <c r="P231" i="1"/>
  <c r="P425" i="1"/>
  <c r="P1574" i="1"/>
  <c r="P990" i="1"/>
  <c r="P1530" i="1"/>
  <c r="P296" i="1"/>
  <c r="P272" i="1"/>
  <c r="P1590" i="1"/>
  <c r="P1244" i="1"/>
  <c r="P547" i="1"/>
  <c r="P69" i="1"/>
  <c r="P939" i="1"/>
  <c r="P1509" i="1"/>
  <c r="P1137" i="1"/>
  <c r="P236" i="1"/>
  <c r="P917" i="1"/>
  <c r="P1047" i="1"/>
  <c r="P200" i="1"/>
  <c r="P1083" i="1"/>
  <c r="P1117" i="1"/>
  <c r="P464" i="1"/>
  <c r="P724" i="1"/>
  <c r="P1423" i="1"/>
  <c r="P734" i="1"/>
  <c r="P846" i="1"/>
  <c r="P1230" i="1"/>
  <c r="P957" i="1"/>
  <c r="P1436" i="1"/>
  <c r="P1133" i="1"/>
  <c r="P381" i="1"/>
  <c r="P1645" i="1"/>
  <c r="P993" i="1"/>
  <c r="P1281" i="1"/>
  <c r="P643" i="1"/>
  <c r="P1068" i="1"/>
  <c r="P1235" i="1"/>
  <c r="P1032" i="1"/>
  <c r="P812" i="1"/>
  <c r="P1571" i="1"/>
  <c r="P508" i="1"/>
  <c r="P67" i="1"/>
  <c r="P911" i="1"/>
  <c r="P738" i="1"/>
  <c r="P17" i="1"/>
  <c r="P226" i="1"/>
  <c r="P709" i="1"/>
  <c r="P398" i="1"/>
  <c r="P1130" i="1"/>
  <c r="P733" i="1"/>
  <c r="P1287" i="1"/>
  <c r="P160" i="1"/>
  <c r="P457" i="1"/>
  <c r="P1432" i="1"/>
  <c r="P295" i="1"/>
  <c r="P378" i="1"/>
  <c r="P149" i="1"/>
  <c r="P115" i="1"/>
  <c r="P1477" i="1"/>
  <c r="P1695" i="1"/>
  <c r="P368" i="1"/>
  <c r="P443" i="1"/>
  <c r="P105" i="1"/>
  <c r="P1417" i="1"/>
  <c r="P1004" i="1"/>
  <c r="P902" i="1"/>
  <c r="P663" i="1"/>
  <c r="P1021" i="1"/>
  <c r="P1670" i="1"/>
  <c r="P1304" i="1"/>
  <c r="P1378" i="1"/>
  <c r="P1668" i="1"/>
  <c r="P1744" i="1"/>
  <c r="P1176" i="1"/>
  <c r="P450" i="1"/>
  <c r="P60" i="1"/>
  <c r="P1345" i="1"/>
  <c r="P1208" i="1"/>
  <c r="P224" i="1"/>
  <c r="P1481" i="1"/>
  <c r="P1164" i="1"/>
  <c r="P314" i="1"/>
  <c r="P1334" i="1"/>
  <c r="P630" i="1"/>
  <c r="P1625" i="1"/>
  <c r="P265" i="1"/>
  <c r="P1584" i="1"/>
  <c r="P1152" i="1"/>
  <c r="P698" i="1"/>
  <c r="P1372" i="1"/>
  <c r="P210" i="1"/>
  <c r="P94" i="1"/>
  <c r="P1025" i="1"/>
  <c r="P607" i="1"/>
  <c r="P579" i="1"/>
  <c r="P208" i="1"/>
  <c r="P312" i="1"/>
  <c r="P1422" i="1"/>
  <c r="P88" i="1"/>
  <c r="P1531" i="1"/>
  <c r="P364" i="1"/>
  <c r="P121" i="1"/>
  <c r="P469" i="1"/>
  <c r="P1150" i="1"/>
  <c r="P1591" i="1"/>
  <c r="P1615" i="1"/>
  <c r="P727" i="1"/>
  <c r="P1745" i="1"/>
  <c r="P704" i="1"/>
  <c r="P1529" i="1"/>
  <c r="P602" i="1"/>
  <c r="P1471" i="1"/>
  <c r="P800" i="1"/>
  <c r="P1091" i="1"/>
  <c r="P389" i="1"/>
  <c r="P186" i="1"/>
  <c r="P140" i="1"/>
  <c r="P584" i="1"/>
  <c r="P945" i="1"/>
  <c r="P832" i="1"/>
  <c r="P867" i="1"/>
  <c r="P1717" i="1"/>
  <c r="P440" i="1"/>
  <c r="P1355" i="1"/>
  <c r="P411" i="1"/>
  <c r="P1414" i="1"/>
  <c r="P206" i="1"/>
  <c r="P1731" i="1"/>
  <c r="P124" i="1"/>
  <c r="P605" i="1"/>
  <c r="P1394" i="1"/>
  <c r="P576" i="1"/>
  <c r="P172" i="1"/>
  <c r="P1159" i="1"/>
  <c r="P133" i="1"/>
  <c r="P1273" i="1"/>
  <c r="P1647" i="1"/>
  <c r="P1401" i="1"/>
  <c r="P217" i="1"/>
  <c r="P1236" i="1"/>
  <c r="P683" i="1"/>
  <c r="P1500" i="1"/>
  <c r="P1339" i="1"/>
  <c r="P626" i="1"/>
  <c r="P417" i="1"/>
  <c r="P1521" i="1"/>
  <c r="P1175" i="1"/>
  <c r="P1125" i="1"/>
  <c r="P1204" i="1"/>
  <c r="P808" i="1"/>
  <c r="P606" i="1"/>
  <c r="P510" i="1"/>
  <c r="P1289" i="1"/>
  <c r="P274" i="1"/>
  <c r="P1653" i="1"/>
  <c r="P391" i="1"/>
  <c r="P1631" i="1"/>
  <c r="P51" i="1"/>
  <c r="P505" i="1"/>
  <c r="P1756" i="1"/>
  <c r="P1359" i="1"/>
  <c r="P1160" i="1"/>
  <c r="P668" i="1"/>
  <c r="P317" i="1"/>
  <c r="P1673" i="1"/>
  <c r="P304" i="1"/>
  <c r="P1219" i="1"/>
  <c r="P977" i="1"/>
  <c r="P756" i="1"/>
  <c r="P1460" i="1"/>
  <c r="P770" i="1"/>
  <c r="P1181" i="1"/>
  <c r="P35" i="1"/>
  <c r="P552" i="1"/>
  <c r="P194" i="1"/>
  <c r="P1380" i="1"/>
  <c r="P147" i="1"/>
  <c r="P623" i="1"/>
  <c r="P798" i="1"/>
  <c r="P356" i="1"/>
  <c r="P794" i="1"/>
  <c r="P874" i="1"/>
  <c r="P852" i="1"/>
  <c r="P1729" i="1"/>
  <c r="P1370" i="1"/>
  <c r="P1467" i="1"/>
  <c r="P1093" i="1"/>
  <c r="P1585" i="1"/>
  <c r="P229" i="1"/>
  <c r="P195" i="1"/>
  <c r="P1515" i="1"/>
  <c r="P1472" i="1"/>
  <c r="P275" i="1"/>
  <c r="P214" i="1"/>
  <c r="P580" i="1"/>
  <c r="P1493" i="1"/>
  <c r="P536" i="1"/>
  <c r="P1179" i="1"/>
  <c r="P382" i="1"/>
  <c r="P855" i="1"/>
  <c r="P480" i="1"/>
  <c r="P540" i="1"/>
  <c r="P1658" i="1"/>
  <c r="P1548" i="1"/>
  <c r="P1463" i="1"/>
  <c r="P1097" i="1"/>
  <c r="P1276" i="1"/>
  <c r="P1092" i="1"/>
  <c r="P1741" i="1"/>
  <c r="P1691" i="1"/>
  <c r="P174" i="1"/>
  <c r="P445" i="1"/>
  <c r="P1014" i="1"/>
  <c r="P551" i="1"/>
  <c r="P1462" i="1"/>
  <c r="P1685" i="1"/>
  <c r="P259" i="1"/>
  <c r="P1239" i="1"/>
  <c r="P1652" i="1"/>
  <c r="P1298" i="1"/>
  <c r="P1533" i="1"/>
  <c r="P1759" i="1"/>
  <c r="P810" i="1"/>
  <c r="P1291" i="1"/>
  <c r="P232" i="1"/>
  <c r="P1267" i="1"/>
  <c r="P22" i="1"/>
  <c r="P1119" i="1"/>
  <c r="P219" i="1"/>
  <c r="P250" i="1"/>
  <c r="P866" i="1"/>
  <c r="P887" i="1"/>
  <c r="P588" i="1"/>
  <c r="P1455" i="1"/>
  <c r="P585" i="1"/>
  <c r="P1297" i="1"/>
  <c r="P1485" i="1"/>
  <c r="P790" i="1"/>
  <c r="P372" i="1"/>
  <c r="P47" i="1"/>
  <c r="P184" i="1"/>
  <c r="P1411" i="1"/>
  <c r="P430" i="1"/>
  <c r="P1552" i="1"/>
  <c r="P1404" i="1"/>
  <c r="P604" i="1"/>
  <c r="P1002" i="1"/>
  <c r="P357" i="1"/>
  <c r="P1285" i="1"/>
  <c r="P242" i="1"/>
  <c r="P1206" i="1"/>
  <c r="P513" i="1"/>
  <c r="P541" i="1"/>
  <c r="P101" i="1"/>
  <c r="P1135" i="1"/>
  <c r="P1751" i="1"/>
  <c r="P802" i="1"/>
  <c r="P220" i="1"/>
  <c r="P3" i="1"/>
  <c r="P1679" i="1"/>
  <c r="P27" i="1"/>
  <c r="P266" i="1"/>
  <c r="P1003" i="1"/>
  <c r="P712" i="1"/>
  <c r="P697" i="1"/>
  <c r="P757" i="1"/>
  <c r="P1075" i="1"/>
  <c r="P531" i="1"/>
  <c r="P573" i="1"/>
  <c r="P818" i="1"/>
  <c r="P343" i="1"/>
  <c r="P1203" i="1"/>
  <c r="P988" i="1"/>
  <c r="P1628" i="1"/>
  <c r="P375" i="1"/>
  <c r="P1520" i="1"/>
  <c r="P823" i="1"/>
  <c r="P1702" i="1"/>
  <c r="P292" i="1"/>
  <c r="P1449" i="1"/>
  <c r="P1198" i="1"/>
  <c r="P328" i="1"/>
  <c r="P1453" i="1"/>
  <c r="P441" i="1"/>
  <c r="P1598" i="1"/>
  <c r="P783" i="1"/>
  <c r="P720" i="1"/>
  <c r="P853" i="1"/>
  <c r="P439" i="1"/>
  <c r="P1621" i="1"/>
  <c r="P1624" i="1"/>
  <c r="P918" i="1"/>
  <c r="P538" i="1"/>
  <c r="P111" i="1"/>
  <c r="P1428" i="1"/>
  <c r="P637" i="1"/>
  <c r="P1218" i="1"/>
  <c r="P1227" i="1"/>
  <c r="P681" i="1"/>
  <c r="P856" i="1"/>
  <c r="P1549" i="1"/>
  <c r="P1618" i="1"/>
  <c r="P589" i="1"/>
  <c r="P641" i="1"/>
  <c r="P583" i="1"/>
  <c r="P975" i="1"/>
  <c r="P362" i="1"/>
  <c r="P1223" i="1"/>
  <c r="P504" i="1"/>
  <c r="P1656" i="1"/>
  <c r="P924" i="1"/>
  <c r="P519" i="1"/>
  <c r="P1692" i="1"/>
  <c r="P921" i="1"/>
  <c r="P136" i="1"/>
  <c r="P833" i="1"/>
  <c r="P1193" i="1"/>
  <c r="P1027" i="1"/>
  <c r="P1019" i="1"/>
  <c r="P1447" i="1"/>
  <c r="P1043" i="1"/>
  <c r="P342" i="1"/>
  <c r="P347" i="1"/>
  <c r="P1506" i="1"/>
  <c r="P192" i="1"/>
  <c r="P830" i="1"/>
  <c r="P896" i="1"/>
  <c r="P814" i="1"/>
  <c r="P1049" i="1"/>
  <c r="P661" i="1"/>
  <c r="P587" i="1"/>
  <c r="P1309" i="1"/>
  <c r="P1461" i="1"/>
  <c r="P1527" i="1"/>
  <c r="P1257" i="1"/>
  <c r="P1368" i="1"/>
  <c r="P526" i="1"/>
  <c r="P546" i="1"/>
  <c r="P258" i="1"/>
  <c r="P769" i="1"/>
  <c r="P1502" i="1"/>
  <c r="P234" i="1"/>
  <c r="P385" i="1"/>
  <c r="P657" i="1"/>
  <c r="P1367" i="1"/>
  <c r="P1354" i="1"/>
  <c r="P1299" i="1"/>
  <c r="P946" i="1"/>
  <c r="P1513" i="1"/>
  <c r="P1644" i="1"/>
  <c r="P825" i="1"/>
  <c r="P146" i="1"/>
  <c r="P701" i="1"/>
  <c r="P723" i="1"/>
  <c r="P394" i="1"/>
  <c r="P784" i="1"/>
  <c r="P1672" i="1"/>
  <c r="P1497" i="1"/>
  <c r="P925" i="1"/>
  <c r="P1353" i="1"/>
  <c r="P1118" i="1"/>
  <c r="P1015" i="1"/>
  <c r="P380" i="1"/>
  <c r="P616" i="1"/>
  <c r="P1616" i="1"/>
  <c r="P1737" i="1"/>
  <c r="P506" i="1"/>
  <c r="P766" i="1"/>
  <c r="P28" i="1"/>
  <c r="P248" i="1"/>
  <c r="P1682" i="1"/>
  <c r="P964" i="1"/>
  <c r="P876" i="1"/>
  <c r="P839" i="1"/>
  <c r="P323" i="1"/>
  <c r="P420" i="1"/>
  <c r="P1419" i="1"/>
  <c r="P619" i="1"/>
  <c r="P739" i="1"/>
  <c r="P1504" i="1"/>
  <c r="P1629" i="1"/>
  <c r="P735" i="1"/>
  <c r="P1711" i="1"/>
  <c r="P14" i="1"/>
  <c r="P1427" i="1"/>
  <c r="P1669" i="1"/>
  <c r="P126" i="1"/>
  <c r="P1302" i="1"/>
  <c r="P429" i="1"/>
  <c r="P1108" i="1"/>
  <c r="P495" i="1"/>
  <c r="P32" i="1"/>
  <c r="P1330" i="1"/>
  <c r="P1064" i="1"/>
  <c r="P458" i="1"/>
  <c r="P836" i="1"/>
  <c r="P423" i="1"/>
  <c r="P1418" i="1"/>
  <c r="P1602" i="1"/>
  <c r="P517" i="1"/>
  <c r="P656" i="1"/>
  <c r="P92" i="1"/>
  <c r="P1435" i="1"/>
  <c r="P1505" i="1"/>
  <c r="P1458" i="1"/>
  <c r="P803" i="1"/>
  <c r="P649" i="1"/>
  <c r="P982" i="1"/>
  <c r="P1228" i="1"/>
  <c r="P1270" i="1"/>
  <c r="P1260" i="1"/>
  <c r="P209" i="1"/>
  <c r="P426" i="1"/>
  <c r="P1496" i="1"/>
  <c r="P781" i="1"/>
  <c r="P1081" i="1"/>
  <c r="P632" i="1"/>
  <c r="P235" i="1"/>
  <c r="P776" i="1"/>
  <c r="P1719" i="1"/>
  <c r="P42" i="1"/>
  <c r="P716" i="1"/>
  <c r="P1009" i="1"/>
  <c r="P478" i="1"/>
  <c r="P1132" i="1"/>
  <c r="P1233" i="1"/>
  <c r="P998" i="1"/>
  <c r="P556" i="1"/>
  <c r="P361" i="1"/>
  <c r="P692" i="1"/>
  <c r="P1158" i="1"/>
  <c r="P509" i="1"/>
  <c r="P169" i="1"/>
  <c r="P1070" i="1"/>
  <c r="P1614" i="1"/>
  <c r="P1708" i="1"/>
  <c r="P570" i="1"/>
  <c r="P1687" i="1"/>
  <c r="P481" i="1"/>
  <c r="P158" i="1"/>
  <c r="P1145" i="1"/>
  <c r="P379" i="1"/>
  <c r="P1344" i="1"/>
  <c r="P890" i="1"/>
  <c r="P575" i="1"/>
  <c r="P728" i="1"/>
  <c r="P1765" i="1"/>
  <c r="P674" i="1"/>
  <c r="P1697" i="1"/>
  <c r="P299" i="1"/>
  <c r="P1114" i="1"/>
  <c r="P1328" i="1"/>
  <c r="P1752" i="1"/>
  <c r="P1340" i="1"/>
  <c r="P1225" i="1"/>
  <c r="P564" i="1"/>
  <c r="P1450" i="1"/>
  <c r="P1187" i="1"/>
  <c r="P1379" i="1"/>
  <c r="P240" i="1"/>
  <c r="P828" i="1"/>
  <c r="P773" i="1"/>
  <c r="P758" i="1"/>
  <c r="P485" i="1"/>
  <c r="P511" i="1"/>
  <c r="P927" i="1"/>
  <c r="P1165" i="1"/>
  <c r="P276" i="1"/>
  <c r="P1103" i="1"/>
  <c r="P287" i="1"/>
  <c r="P1192" i="1"/>
  <c r="P922" i="1"/>
  <c r="P566" i="1"/>
  <c r="P138" i="1"/>
  <c r="P1599" i="1"/>
  <c r="P1519" i="1"/>
  <c r="P1680" i="1"/>
  <c r="P608" i="1"/>
  <c r="P484" i="1"/>
  <c r="P1016" i="1"/>
  <c r="P822" i="1"/>
  <c r="P582" i="1"/>
  <c r="P326" i="1"/>
  <c r="P1617" i="1"/>
  <c r="P350" i="1"/>
  <c r="P1112" i="1"/>
  <c r="P408" i="1"/>
  <c r="P1389" i="1"/>
  <c r="P1358" i="1"/>
  <c r="P249" i="1"/>
  <c r="P1171" i="1"/>
  <c r="P1605" i="1"/>
  <c r="P809" i="1"/>
  <c r="P1240" i="1"/>
  <c r="P1067" i="1"/>
  <c r="P1466" i="1"/>
  <c r="P1205" i="1"/>
  <c r="P46" i="1"/>
  <c r="P338" i="1"/>
  <c r="P609" i="1"/>
  <c r="P334" i="1"/>
  <c r="P834" i="1"/>
  <c r="P1020" i="1"/>
  <c r="P1220" i="1"/>
  <c r="P1237" i="1"/>
  <c r="P1468" i="1"/>
  <c r="P1510" i="1"/>
  <c r="P1538" i="1"/>
  <c r="P614" i="1"/>
  <c r="P1197" i="1"/>
  <c r="P694" i="1"/>
  <c r="P1174" i="1"/>
  <c r="P199" i="1"/>
  <c r="P1561" i="1"/>
  <c r="P754" i="1"/>
  <c r="P424" i="1"/>
  <c r="P873" i="1"/>
  <c r="P1362" i="1"/>
  <c r="P446" i="1"/>
  <c r="P1562" i="1"/>
  <c r="P171" i="1"/>
  <c r="P1080" i="1"/>
  <c r="P1662" i="1"/>
  <c r="P203" i="1"/>
  <c r="P1129" i="1"/>
  <c r="P1296" i="1"/>
  <c r="P1255" i="1"/>
  <c r="P796" i="1"/>
  <c r="P1185" i="1"/>
  <c r="P1734" i="1"/>
  <c r="P1177" i="1"/>
  <c r="P1094" i="1"/>
  <c r="P894" i="1"/>
  <c r="P662" i="1"/>
  <c r="P951" i="1"/>
  <c r="P72" i="1"/>
  <c r="P1349" i="1"/>
  <c r="P930" i="1"/>
  <c r="P489" i="1"/>
  <c r="P119" i="1"/>
  <c r="P937" i="1"/>
  <c r="P655" i="1"/>
  <c r="P1413" i="1"/>
  <c r="P612" i="1"/>
  <c r="P650" i="1"/>
  <c r="P514" i="1"/>
  <c r="P1637" i="1"/>
  <c r="P631" i="1"/>
  <c r="P744" i="1"/>
  <c r="P1053" i="1"/>
  <c r="P1155" i="1"/>
  <c r="P461" i="1"/>
  <c r="P1743" i="1"/>
  <c r="P1386" i="1"/>
  <c r="P204" i="1"/>
  <c r="P1269" i="1"/>
  <c r="P1314" i="1"/>
  <c r="P533" i="1"/>
  <c r="P472" i="1"/>
  <c r="P1313" i="1"/>
  <c r="P329" i="1"/>
  <c r="P804" i="1"/>
  <c r="P120" i="1"/>
  <c r="P1749" i="1"/>
  <c r="P1336" i="1"/>
  <c r="P1041" i="1"/>
  <c r="P313" i="1"/>
  <c r="P1709" i="1"/>
  <c r="P193" i="1"/>
  <c r="P792" i="1"/>
  <c r="P1728" i="1"/>
  <c r="P1558" i="1"/>
  <c r="P91" i="1"/>
  <c r="P1361" i="1"/>
  <c r="P400" i="1"/>
  <c r="P175" i="1"/>
  <c r="P300" i="1"/>
  <c r="P345" i="1"/>
  <c r="P772" i="1"/>
  <c r="P705" i="1"/>
  <c r="P1671" i="1"/>
  <c r="P1087" i="1"/>
  <c r="P1464" i="1"/>
  <c r="P780" i="1"/>
  <c r="P363" i="1"/>
  <c r="P1487" i="1"/>
  <c r="P749" i="1"/>
  <c r="P76" i="1"/>
  <c r="P89" i="1"/>
  <c r="P90" i="1"/>
  <c r="P1445" i="1"/>
  <c r="P1721" i="1"/>
  <c r="P515" i="1"/>
  <c r="P1725" i="1"/>
  <c r="P399" i="1"/>
  <c r="P49" i="1"/>
  <c r="P306" i="1"/>
  <c r="P1434" i="1"/>
  <c r="P968" i="1"/>
  <c r="P1726" i="1"/>
  <c r="P548" i="1"/>
  <c r="P97" i="1"/>
  <c r="P155" i="1"/>
  <c r="P1724" i="1"/>
  <c r="P826" i="1"/>
  <c r="P1535" i="1"/>
  <c r="P1325" i="1"/>
  <c r="P869" i="1"/>
  <c r="P109" i="1"/>
  <c r="P610" i="1"/>
  <c r="P719" i="1"/>
  <c r="P793" i="1"/>
  <c r="P878" i="1"/>
  <c r="P842" i="1"/>
  <c r="P156" i="1"/>
  <c r="P1594" i="1"/>
  <c r="P167" i="1"/>
  <c r="P1572" i="1"/>
  <c r="P1429" i="1"/>
  <c r="P971" i="1"/>
  <c r="P1528" i="1"/>
  <c r="P1222" i="1"/>
  <c r="P820" i="1"/>
  <c r="P1040" i="1"/>
  <c r="P1587" i="1"/>
  <c r="P13" i="1"/>
  <c r="P1382" i="1"/>
  <c r="P1705" i="1"/>
  <c r="P1739" i="1"/>
  <c r="P553" i="1"/>
  <c r="P1332" i="1"/>
  <c r="P127" i="1"/>
  <c r="P178" i="1"/>
  <c r="P393" i="1"/>
  <c r="P1306" i="1"/>
  <c r="P592" i="1"/>
  <c r="P83" i="1"/>
  <c r="P978" i="1"/>
  <c r="P591" i="1"/>
  <c r="P122" i="1"/>
  <c r="P1001" i="1"/>
  <c r="P1284" i="1"/>
  <c r="P1057" i="1"/>
  <c r="P201" i="1"/>
  <c r="P243" i="1"/>
  <c r="P311" i="1"/>
  <c r="P1101" i="1"/>
  <c r="P718" i="1"/>
  <c r="P1167" i="1"/>
  <c r="P1151" i="1"/>
  <c r="P1576" i="1"/>
  <c r="P970" i="1"/>
  <c r="P848" i="1"/>
  <c r="P1473" i="1"/>
  <c r="P1102" i="1"/>
  <c r="P223" i="1"/>
  <c r="P1215" i="1"/>
  <c r="P113" i="1"/>
  <c r="P148" i="1"/>
  <c r="P1333" i="1"/>
  <c r="P1633" i="1"/>
  <c r="P987" i="1"/>
  <c r="P1604" i="1"/>
  <c r="P1611" i="1"/>
  <c r="P335" i="1"/>
  <c r="P1076" i="1"/>
  <c r="P1690" i="1"/>
  <c r="P1342" i="1"/>
  <c r="P677" i="1"/>
  <c r="P904" i="1"/>
  <c r="P675" i="1"/>
  <c r="P1343" i="1"/>
  <c r="P230" i="1"/>
  <c r="P246" i="1"/>
  <c r="P920" i="1"/>
  <c r="P1663" i="1"/>
  <c r="P1142" i="1"/>
  <c r="P1643" i="1"/>
  <c r="P487" i="1"/>
  <c r="P1030" i="1"/>
  <c r="P940" i="1"/>
  <c r="P740" i="1"/>
  <c r="P558" i="1"/>
  <c r="P673" i="1"/>
  <c r="P1209" i="1"/>
  <c r="P384" i="1"/>
  <c r="P537" i="1"/>
  <c r="P1078" i="1"/>
  <c r="P41" i="1"/>
  <c r="P1196" i="1"/>
  <c r="P1454" i="1"/>
  <c r="P1448" i="1"/>
  <c r="P665" i="1"/>
  <c r="P1406" i="1"/>
  <c r="P132" i="1"/>
  <c r="P74" i="1"/>
  <c r="P1115" i="1"/>
  <c r="P916" i="1"/>
  <c r="P1582" i="1"/>
  <c r="P285" i="1"/>
  <c r="P1410" i="1"/>
  <c r="P660" i="1"/>
  <c r="P1324" i="1"/>
  <c r="P1283" i="1"/>
  <c r="P106" i="1"/>
  <c r="P1156" i="1"/>
  <c r="P554" i="1"/>
  <c r="P1451" i="1"/>
  <c r="P501" i="1"/>
  <c r="P844" i="1"/>
  <c r="P407" i="1"/>
  <c r="P207" i="1"/>
  <c r="P1746" i="1"/>
  <c r="P397" i="1"/>
  <c r="P956" i="1"/>
  <c r="P118" i="1"/>
  <c r="P864" i="1"/>
  <c r="P1580" i="1"/>
  <c r="P1186" i="1"/>
  <c r="P958" i="1"/>
  <c r="P1357" i="1"/>
  <c r="P617" i="1"/>
  <c r="P1113" i="1"/>
  <c r="P760" i="1"/>
  <c r="P1555" i="1"/>
  <c r="P454" i="1"/>
  <c r="P93" i="1"/>
  <c r="P1250" i="1"/>
  <c r="P1681" i="1"/>
  <c r="P691" i="1"/>
  <c r="P277" i="1"/>
  <c r="P729" i="1"/>
  <c r="P689" i="1"/>
  <c r="P1316" i="1"/>
  <c r="P247" i="1"/>
  <c r="P960" i="1"/>
  <c r="P324" i="1"/>
  <c r="P963" i="1"/>
  <c r="P1648" i="1"/>
  <c r="P693" i="1"/>
  <c r="P263" i="1"/>
  <c r="P1100" i="1"/>
  <c r="P1037" i="1"/>
  <c r="P87" i="1"/>
  <c r="P1439" i="1"/>
  <c r="P1143" i="1"/>
  <c r="P1541" i="1"/>
  <c r="P202" i="1"/>
  <c r="P909" i="1"/>
  <c r="P215" i="1"/>
  <c r="P1277" i="1"/>
  <c r="P462" i="1"/>
  <c r="P1635" i="1"/>
  <c r="P1387" i="1"/>
  <c r="P1095" i="1"/>
  <c r="P1650" i="1"/>
  <c r="P293" i="1"/>
  <c r="P741" i="1"/>
  <c r="P134" i="1"/>
  <c r="P1216" i="1"/>
  <c r="P1383" i="1"/>
  <c r="P268" i="1"/>
  <c r="P144" i="1"/>
  <c r="P955" i="1"/>
  <c r="P129" i="1"/>
  <c r="P1641" i="1"/>
  <c r="P1409" i="1"/>
  <c r="P730" i="1"/>
  <c r="P1366" i="1"/>
  <c r="P654" i="1"/>
  <c r="P1293" i="1"/>
  <c r="P468" i="1"/>
  <c r="P1178" i="1"/>
  <c r="P221" i="1"/>
  <c r="P1310" i="1"/>
  <c r="P1677" i="1"/>
  <c r="P518" i="1"/>
  <c r="P4" i="1"/>
  <c r="P928" i="1"/>
  <c r="P166" i="1"/>
  <c r="P1066" i="1"/>
  <c r="P1232" i="1"/>
  <c r="P366" i="1"/>
  <c r="P676" i="1"/>
  <c r="P1639" i="1"/>
  <c r="P1398" i="1"/>
  <c r="P352" i="1"/>
  <c r="P703" i="1"/>
  <c r="P284" i="1"/>
  <c r="P542" i="1"/>
  <c r="P1634" i="1"/>
  <c r="P360" i="1"/>
  <c r="P437" i="1"/>
  <c r="P622" i="1"/>
  <c r="P578" i="1"/>
  <c r="P883" i="1"/>
  <c r="P651" i="1"/>
  <c r="P370" i="1"/>
  <c r="P33" i="1"/>
  <c r="P262" i="1"/>
  <c r="P1060" i="1"/>
  <c r="P1421" i="1"/>
  <c r="P969" i="1"/>
  <c r="P1601" i="1"/>
  <c r="P1498" i="1"/>
  <c r="P261" i="1"/>
  <c r="P507" i="1"/>
  <c r="P1034" i="1"/>
  <c r="P682" i="1"/>
  <c r="P1279" i="1"/>
  <c r="P1149" i="1"/>
  <c r="P80" i="1"/>
  <c r="P396" i="1"/>
  <c r="P137" i="1"/>
  <c r="P1557" i="1"/>
  <c r="P1738" i="1"/>
  <c r="P68" i="1"/>
  <c r="P565" i="1"/>
  <c r="P933" i="1"/>
  <c r="P1146" i="1"/>
  <c r="P1331" i="1"/>
  <c r="P984" i="1"/>
  <c r="P1575" i="1"/>
  <c r="P1638" i="1"/>
  <c r="P900" i="1"/>
  <c r="P908" i="1"/>
  <c r="P1640" i="1"/>
  <c r="P912" i="1"/>
  <c r="P222" i="1"/>
  <c r="P653" i="1"/>
  <c r="P269" i="1"/>
  <c r="P788" i="1"/>
  <c r="P1563" i="1"/>
  <c r="P353" i="1"/>
  <c r="P1224" i="1"/>
  <c r="P722" i="1"/>
  <c r="P1551" i="1"/>
  <c r="P1556" i="1"/>
  <c r="P1568" i="1"/>
  <c r="P218" i="1"/>
  <c r="P827" i="1"/>
  <c r="P196" i="1"/>
  <c r="P1539" i="1"/>
  <c r="P1566" i="1"/>
  <c r="P1560" i="1"/>
  <c r="P1470" i="1"/>
  <c r="P1006" i="1"/>
  <c r="P926" i="1"/>
  <c r="P58" i="1"/>
  <c r="P1231" i="1"/>
  <c r="P974" i="1"/>
  <c r="P213" i="1"/>
  <c r="P48" i="1"/>
  <c r="P1005" i="1"/>
  <c r="P829" i="1"/>
  <c r="P1698" i="1"/>
  <c r="P636" i="1"/>
  <c r="P577" i="1"/>
  <c r="P863" i="1"/>
  <c r="P1319" i="1"/>
  <c r="P1732" i="1"/>
  <c r="P1280" i="1"/>
  <c r="P438" i="1"/>
  <c r="P431" i="1"/>
  <c r="P459" i="1"/>
  <c r="P1131" i="1"/>
  <c r="P1099" i="1"/>
  <c r="P474" i="1"/>
  <c r="P1438" i="1"/>
  <c r="P37" i="1"/>
  <c r="P40" i="1"/>
  <c r="P1242" i="1"/>
  <c r="P835" i="1"/>
  <c r="P256" i="1"/>
  <c r="P666" i="1"/>
  <c r="P117" i="1"/>
  <c r="P471" i="1"/>
  <c r="P1265" i="1"/>
  <c r="P1550" i="1"/>
  <c r="P1503" i="1"/>
  <c r="P1452" i="1"/>
  <c r="P1271" i="1"/>
  <c r="P448" i="1"/>
  <c r="P1038" i="1"/>
  <c r="P910" i="1"/>
  <c r="P415" i="1"/>
  <c r="P652" i="1"/>
  <c r="P1266" i="1"/>
  <c r="P1508" i="1"/>
  <c r="P895" i="1"/>
  <c r="P771" i="1"/>
  <c r="P535" i="1"/>
  <c r="P1221" i="1"/>
  <c r="P543" i="1"/>
  <c r="P1674" i="1"/>
  <c r="P419" i="1"/>
  <c r="P333" i="1"/>
  <c r="P332" i="1"/>
  <c r="P1364" i="1"/>
  <c r="P185" i="1"/>
  <c r="P96" i="1"/>
  <c r="P406" i="1"/>
  <c r="P432" i="1"/>
  <c r="P55" i="1"/>
  <c r="P1646" i="1"/>
  <c r="P1123" i="1"/>
  <c r="P1036" i="1"/>
  <c r="P1088" i="1"/>
  <c r="P817" i="1"/>
  <c r="P1757" i="1"/>
  <c r="P1440" i="1"/>
  <c r="P854" i="1"/>
  <c r="P635" i="1"/>
  <c r="P131" i="1"/>
  <c r="P1363" i="1"/>
  <c r="P467" i="1"/>
  <c r="P1565" i="1"/>
  <c r="P901" i="1"/>
  <c r="P1475" i="1"/>
  <c r="P563" i="1"/>
  <c r="P938" i="1"/>
  <c r="P1346" i="1"/>
  <c r="P1046" i="1"/>
  <c r="P279" i="1"/>
  <c r="P1546" i="1"/>
  <c r="P470" i="1"/>
  <c r="P1433" i="1"/>
  <c r="P1264" i="1"/>
  <c r="P882" i="1"/>
  <c r="P1190" i="1"/>
  <c r="P813" i="1"/>
  <c r="P503" i="1"/>
  <c r="P824" i="1"/>
  <c r="P857" i="1"/>
  <c r="P303" i="1"/>
  <c r="P1028" i="1"/>
  <c r="P1661" i="1"/>
  <c r="P1623" i="1"/>
  <c r="P1348" i="1"/>
  <c r="P395" i="1"/>
  <c r="P1696" i="1"/>
  <c r="P1191" i="1"/>
  <c r="P1518" i="1"/>
  <c r="P490" i="1"/>
  <c r="P1415" i="1"/>
  <c r="P1321" i="1"/>
  <c r="P1476" i="1"/>
  <c r="P57" i="1"/>
  <c r="P1554" i="1"/>
  <c r="P1667" i="1"/>
  <c r="P1486" i="1"/>
  <c r="P596" i="1"/>
  <c r="P791" i="1"/>
  <c r="P355" i="1"/>
  <c r="P746" i="1"/>
  <c r="P1516" i="1"/>
  <c r="P1163" i="1"/>
  <c r="P569" i="1"/>
  <c r="P371" i="1"/>
  <c r="P387" i="1"/>
  <c r="P1489" i="1"/>
  <c r="P73" i="1"/>
  <c r="P112" i="1"/>
  <c r="P1544" i="1"/>
  <c r="P594" i="1"/>
  <c r="P753" i="1"/>
  <c r="P173" i="1"/>
  <c r="P1007" i="1"/>
  <c r="P1484" i="1"/>
  <c r="P841" i="1"/>
  <c r="P1292" i="1"/>
  <c r="P358" i="1"/>
  <c r="P463" i="1"/>
  <c r="P1096" i="1"/>
  <c r="P618" i="1"/>
  <c r="P125" i="1"/>
  <c r="P302" i="1"/>
  <c r="P581" i="1"/>
  <c r="P374" i="1"/>
  <c r="P1214" i="1"/>
  <c r="P1753" i="1"/>
  <c r="P1651" i="1"/>
  <c r="P1441" i="1"/>
  <c r="P628" i="1"/>
  <c r="P567" i="1"/>
  <c r="P164" i="1"/>
  <c r="P123" i="1"/>
  <c r="P337" i="1"/>
  <c r="P331" i="1"/>
  <c r="P19" i="1"/>
  <c r="P571" i="1"/>
  <c r="P973" i="1"/>
  <c r="P778" i="1"/>
  <c r="P761" i="1"/>
  <c r="P488" i="1"/>
  <c r="P1730" i="1"/>
  <c r="P383" i="1"/>
  <c r="P1537" i="1"/>
  <c r="P205" i="1"/>
  <c r="P1252" i="1"/>
  <c r="P427" i="1"/>
  <c r="P100" i="1"/>
  <c r="P497" i="1"/>
  <c r="P774" i="1"/>
  <c r="P405" i="1"/>
  <c r="P1761" i="1"/>
  <c r="P336" i="1"/>
  <c r="P116" i="1"/>
  <c r="P1090" i="1"/>
  <c r="P1630" i="1"/>
  <c r="P807" i="1"/>
  <c r="P1018" i="1"/>
  <c r="P1294" i="1"/>
  <c r="P944" i="1"/>
  <c r="P1469" i="1"/>
  <c r="P1581" i="1"/>
  <c r="P627" i="1"/>
  <c r="P1430" i="1"/>
  <c r="P1069" i="1"/>
  <c r="P1323" i="1"/>
  <c r="P1106" i="1"/>
  <c r="P319" i="1"/>
  <c r="P935" i="1"/>
  <c r="P1144" i="1"/>
  <c r="P98" i="1"/>
  <c r="P707" i="1"/>
  <c r="P110" i="1"/>
  <c r="P1665" i="1"/>
  <c r="P525" i="1"/>
  <c r="P414" i="1"/>
  <c r="P1084" i="1"/>
  <c r="P477" i="1"/>
  <c r="P434" i="1"/>
  <c r="P1061" i="1"/>
  <c r="P838" i="1"/>
  <c r="P759" i="1"/>
  <c r="P539" i="1"/>
  <c r="P1636" i="1"/>
  <c r="P797" i="1"/>
  <c r="P1664" i="1"/>
  <c r="P271" i="1"/>
  <c r="P130" i="1"/>
  <c r="P915" i="1"/>
  <c r="P1248" i="1"/>
  <c r="P1689" i="1"/>
  <c r="P38" i="1"/>
  <c r="P1589" i="1"/>
  <c r="P947" i="1"/>
  <c r="P717" i="1"/>
  <c r="P559" i="1"/>
  <c r="P755" i="1"/>
  <c r="P1318" i="1"/>
  <c r="P801" i="1"/>
  <c r="P26" i="1"/>
  <c r="P322" i="1"/>
  <c r="P680" i="1"/>
  <c r="P1431" i="1"/>
  <c r="P1184" i="1"/>
  <c r="P1742" i="1"/>
  <c r="P325" i="1"/>
  <c r="P253" i="1"/>
  <c r="P1253" i="1"/>
  <c r="P600" i="1"/>
  <c r="P1588" i="1"/>
  <c r="P850" i="1"/>
  <c r="P257" i="1"/>
  <c r="P861" i="1"/>
  <c r="P1675" i="1"/>
  <c r="P679" i="1"/>
  <c r="P305" i="1"/>
  <c r="P310" i="1"/>
  <c r="P1713" i="1"/>
  <c r="P1612" i="1"/>
  <c r="P948" i="1"/>
  <c r="P108" i="1"/>
  <c r="P1136" i="1"/>
  <c r="P989" i="1"/>
  <c r="P1465" i="1"/>
  <c r="P390" i="1"/>
  <c r="P1706" i="1"/>
  <c r="P1543" i="1"/>
  <c r="P341" i="1"/>
  <c r="P634" i="1"/>
  <c r="P994" i="1"/>
  <c r="P1121" i="1"/>
  <c r="P1754" i="1"/>
  <c r="P877" i="1"/>
  <c r="P574" i="1"/>
  <c r="P1059" i="1"/>
  <c r="P1392" i="1"/>
  <c r="P251" i="1"/>
  <c r="P527" i="1"/>
  <c r="P1385" i="1"/>
  <c r="P1478" i="1"/>
  <c r="P1301" i="1"/>
  <c r="P789" i="1"/>
  <c r="P1173" i="1"/>
  <c r="P1141" i="1"/>
  <c r="P1327" i="1"/>
  <c r="P297" i="1"/>
  <c r="P1573" i="1"/>
  <c r="P695" i="1"/>
  <c r="P1300" i="1"/>
  <c r="P954" i="1"/>
  <c r="P603" i="1"/>
  <c r="P1659" i="1"/>
  <c r="P1305" i="1"/>
  <c r="P690" i="1"/>
  <c r="P16" i="1"/>
  <c r="P75" i="1"/>
  <c r="P107" i="1"/>
  <c r="P1202" i="1"/>
  <c r="P1684" i="1"/>
  <c r="P452" i="1"/>
  <c r="P699" i="1"/>
  <c r="P1356" i="1"/>
  <c r="P1678" i="1"/>
  <c r="P1371" i="1"/>
  <c r="P765" i="1"/>
  <c r="P611" i="1"/>
  <c r="P103" i="1"/>
  <c r="P1626" i="1"/>
  <c r="P687" i="1"/>
  <c r="P418" i="1"/>
  <c r="P433" i="1"/>
  <c r="P1483" i="1"/>
  <c r="P401" i="1"/>
  <c r="P1042" i="1"/>
  <c r="P273" i="1"/>
  <c r="P1606" i="1"/>
  <c r="P1649" i="1"/>
  <c r="P34" i="1"/>
  <c r="P9" i="1"/>
  <c r="P377" i="1"/>
  <c r="P2" i="1"/>
  <c r="P59" i="1"/>
  <c r="P21" i="1"/>
  <c r="P10" i="1"/>
  <c r="P8" i="1"/>
  <c r="P7" i="1"/>
  <c r="P12" i="1"/>
  <c r="P11" i="1"/>
  <c r="P18" i="1"/>
  <c r="P30" i="1"/>
  <c r="P39" i="1"/>
  <c r="P849" i="1"/>
  <c r="P1212" i="1"/>
  <c r="P45" i="1"/>
  <c r="P1211" i="1"/>
  <c r="P1395" i="1"/>
  <c r="P465" i="1"/>
  <c r="P1139" i="1"/>
  <c r="P290" i="1"/>
  <c r="P1750" i="1"/>
  <c r="P1161" i="1"/>
  <c r="P658" i="1"/>
  <c r="P845" i="1"/>
  <c r="P953" i="1"/>
  <c r="P1035" i="1"/>
  <c r="P486" i="1"/>
  <c r="P667" i="1"/>
  <c r="P1693" i="1"/>
  <c r="P298" i="1"/>
  <c r="P165" i="1"/>
  <c r="P25" i="1"/>
  <c r="P862" i="1"/>
  <c r="P1011" i="1"/>
  <c r="P1275" i="1"/>
  <c r="P1207" i="1"/>
  <c r="P1138" i="1"/>
  <c r="P985" i="1"/>
  <c r="P843" i="1"/>
  <c r="P29" i="1"/>
  <c r="P967" i="1"/>
  <c r="P1126" i="1"/>
  <c r="P1373" i="1"/>
  <c r="P748" i="1"/>
  <c r="P1051" i="1"/>
  <c r="P879" i="1"/>
  <c r="P1512" i="1"/>
  <c r="P942" i="1"/>
  <c r="P1098" i="1"/>
  <c r="P135" i="1"/>
  <c r="P141" i="1"/>
  <c r="P351" i="1"/>
  <c r="P339" i="1"/>
  <c r="P150" i="1"/>
  <c r="P629" i="1"/>
  <c r="P466" i="1"/>
  <c r="P61" i="1"/>
  <c r="P1391" i="1"/>
  <c r="P1012" i="1"/>
  <c r="P241" i="1"/>
  <c r="P1365" i="1"/>
  <c r="P1523" i="1"/>
  <c r="P1086" i="1"/>
  <c r="P979" i="1"/>
  <c r="P62" i="1"/>
  <c r="P189" i="1"/>
  <c r="P1311" i="1"/>
  <c r="P799" i="1"/>
  <c r="P392" i="1"/>
  <c r="P460" i="1"/>
  <c r="P1399" i="1"/>
  <c r="P1545" i="1"/>
  <c r="P1079" i="1"/>
  <c r="P1085" i="1"/>
  <c r="P1249" i="1"/>
  <c r="P86" i="1"/>
  <c r="P1351" i="1"/>
  <c r="P104" i="1"/>
  <c r="P621" i="1"/>
  <c r="P1716" i="1"/>
  <c r="P1396" i="1"/>
  <c r="P1013" i="1"/>
  <c r="P1105" i="1"/>
  <c r="P1536" i="1"/>
  <c r="P1320" i="1"/>
  <c r="P711" i="1"/>
  <c r="P64" i="1"/>
  <c r="P1329" i="1"/>
  <c r="P255" i="1"/>
  <c r="P15" i="1"/>
  <c r="P1456" i="1"/>
  <c r="P1442" i="1"/>
  <c r="P494" i="1"/>
  <c r="P24" i="1"/>
  <c r="P1586" i="1"/>
  <c r="P714" i="1"/>
  <c r="P1501" i="1"/>
  <c r="P139" i="1"/>
  <c r="P1120" i="1"/>
  <c r="P1704" i="1"/>
  <c r="P44" i="1"/>
  <c r="P1029" i="1"/>
  <c r="P1350" i="1"/>
  <c r="P1315" i="1"/>
  <c r="P43" i="1"/>
  <c r="P280" i="1"/>
  <c r="P1023" i="1"/>
  <c r="P961" i="1"/>
  <c r="P496" i="1"/>
  <c r="P449" i="1"/>
  <c r="P483" i="1"/>
  <c r="P1010" i="1"/>
  <c r="P1052" i="1"/>
  <c r="P1596" i="1"/>
  <c r="P63" i="1"/>
  <c r="P914" i="1"/>
  <c r="P763" i="1"/>
  <c r="P286" i="1"/>
  <c r="P865" i="1"/>
  <c r="P1376" i="1"/>
  <c r="P1393" i="1"/>
  <c r="P179" i="1"/>
  <c r="P1262" i="1"/>
  <c r="P1153" i="1"/>
  <c r="P447" i="1"/>
  <c r="P475" i="1"/>
  <c r="P159" i="1"/>
  <c r="P995" i="1"/>
  <c r="P1491" i="1"/>
  <c r="P981" i="1"/>
  <c r="P453" i="1"/>
  <c r="P664" i="1"/>
  <c r="P479" i="1"/>
  <c r="P646" i="1"/>
  <c r="P931" i="1"/>
  <c r="P615" i="1"/>
  <c r="P752" i="1"/>
  <c r="P502" i="1"/>
  <c r="P1272" i="1"/>
  <c r="P1254" i="1"/>
  <c r="P1559" i="1"/>
  <c r="P369" i="1"/>
  <c r="P1326" i="1"/>
  <c r="P151" i="1"/>
  <c r="P880" i="1"/>
  <c r="P289" i="1"/>
  <c r="P291" i="1"/>
  <c r="P157" i="1"/>
  <c r="P1288" i="1"/>
  <c r="P1534" i="1"/>
  <c r="P1338" i="1"/>
  <c r="P1337" i="1"/>
  <c r="P211" i="1"/>
  <c r="P84" i="1"/>
  <c r="P1583" i="1"/>
  <c r="P949" i="1"/>
  <c r="P428" i="1"/>
  <c r="P999" i="1"/>
  <c r="P1507" i="1"/>
  <c r="P1446" i="1"/>
  <c r="P710" i="1"/>
  <c r="P421" i="1"/>
  <c r="P283" i="1"/>
  <c r="P70" i="1"/>
  <c r="P1526" i="1"/>
  <c r="P1290" i="1"/>
  <c r="P1567" i="1"/>
  <c r="P1054" i="1"/>
  <c r="P1295" i="1"/>
  <c r="P1424" i="1"/>
  <c r="P412" i="1"/>
  <c r="P962" i="1"/>
  <c r="P1017" i="1"/>
  <c r="P1180" i="1"/>
  <c r="P934" i="1"/>
  <c r="P897" i="1"/>
  <c r="P1603" i="1"/>
  <c r="P1039" i="1"/>
  <c r="P1490" i="1"/>
  <c r="P913" i="1"/>
  <c r="P1700" i="1"/>
  <c r="P1699" i="1"/>
  <c r="P1412" i="1"/>
  <c r="P52" i="1"/>
  <c r="P1201" i="1"/>
  <c r="P1200" i="1"/>
  <c r="P386" i="1"/>
  <c r="P145" i="1"/>
  <c r="P1735" i="1"/>
  <c r="P767" i="1"/>
  <c r="P227" i="1"/>
  <c r="P78" i="1"/>
  <c r="P1104" i="1"/>
  <c r="P455" i="1"/>
  <c r="P71" i="1"/>
  <c r="P648" i="1"/>
  <c r="P831" i="1"/>
  <c r="P476" i="1"/>
  <c r="P1712" i="1"/>
  <c r="P1723" i="1"/>
  <c r="P102" i="1"/>
  <c r="P228" i="1"/>
  <c r="P190" i="1"/>
  <c r="P1082" i="1"/>
  <c r="P1058" i="1"/>
  <c r="P959" i="1"/>
  <c r="P893" i="1"/>
  <c r="P254" i="1"/>
  <c r="P54" i="1"/>
  <c r="P56" i="1"/>
  <c r="P645" i="1"/>
  <c r="N943" i="1"/>
  <c r="N684" i="1"/>
  <c r="N1166" i="1"/>
  <c r="N1522" i="1"/>
  <c r="N859" i="1"/>
  <c r="N1570" i="1"/>
  <c r="N191" i="1"/>
  <c r="N745" i="1"/>
  <c r="N647" i="1"/>
  <c r="N1111" i="1"/>
  <c r="N671" i="1"/>
  <c r="N388" i="1"/>
  <c r="N1397" i="1"/>
  <c r="N1722" i="1"/>
  <c r="N906" i="1"/>
  <c r="N837" i="1"/>
  <c r="N1188" i="1"/>
  <c r="N442" i="1"/>
  <c r="N1627" i="1"/>
  <c r="N1246" i="1"/>
  <c r="N1760" i="1"/>
  <c r="N1474" i="1"/>
  <c r="N1282" i="1"/>
  <c r="N1577" i="1"/>
  <c r="N557" i="1"/>
  <c r="N491" i="1"/>
  <c r="N1217" i="1"/>
  <c r="N153" i="1"/>
  <c r="N782" i="1"/>
  <c r="N1122" i="1"/>
  <c r="N868" i="1"/>
  <c r="N966" i="1"/>
  <c r="N785" i="1"/>
  <c r="N177" i="1"/>
  <c r="N321" i="1"/>
  <c r="N1740" i="1"/>
  <c r="N997" i="1"/>
  <c r="N725" i="1"/>
  <c r="N309" i="1"/>
  <c r="N128" i="1"/>
  <c r="N1632" i="1"/>
  <c r="N1045" i="1"/>
  <c r="N986" i="1"/>
  <c r="N198" i="1"/>
  <c r="N1247" i="1"/>
  <c r="N840" i="1"/>
  <c r="N1517" i="1"/>
  <c r="N1676" i="1"/>
  <c r="N53" i="1"/>
  <c r="N239" i="1"/>
  <c r="N367" i="1"/>
  <c r="N545" i="1"/>
  <c r="N422" i="1"/>
  <c r="N1168" i="1"/>
  <c r="N751" i="1"/>
  <c r="N950" i="1"/>
  <c r="N1715" i="1"/>
  <c r="N1547" i="1"/>
  <c r="N1375" i="1"/>
  <c r="N267" i="1"/>
  <c r="N686" i="1"/>
  <c r="N1065" i="1"/>
  <c r="N1194" i="1"/>
  <c r="N188" i="1"/>
  <c r="N264" i="1"/>
  <c r="N620" i="1"/>
  <c r="N36" i="1"/>
  <c r="N1148" i="1"/>
  <c r="N572" i="1"/>
  <c r="N737" i="1"/>
  <c r="N1532" i="1"/>
  <c r="N1238" i="1"/>
  <c r="N996" i="1"/>
  <c r="N598" i="1"/>
  <c r="N1762" i="1"/>
  <c r="N892" i="1"/>
  <c r="N1457" i="1"/>
  <c r="N197" i="1"/>
  <c r="N1437" i="1"/>
  <c r="N1259" i="1"/>
  <c r="N1443" i="1"/>
  <c r="N1116" i="1"/>
  <c r="N1597" i="1"/>
  <c r="N1459" i="1"/>
  <c r="N1381" i="1"/>
  <c r="N1062" i="1"/>
  <c r="N708" i="1"/>
  <c r="N1189" i="1"/>
  <c r="N905" i="1"/>
  <c r="N376" i="1"/>
  <c r="N493" i="1"/>
  <c r="N599" i="1"/>
  <c r="N349" i="1"/>
  <c r="N1374" i="1"/>
  <c r="N586" i="1"/>
  <c r="N1408" i="1"/>
  <c r="N1347" i="1"/>
  <c r="N1127" i="1"/>
  <c r="N1107" i="1"/>
  <c r="N1210" i="1"/>
  <c r="N779" i="1"/>
  <c r="N1044" i="1"/>
  <c r="N1154" i="1"/>
  <c r="N162" i="1"/>
  <c r="N1553" i="1"/>
  <c r="N816" i="1"/>
  <c r="N1234" i="1"/>
  <c r="N1369" i="1"/>
  <c r="N644" i="1"/>
  <c r="N307" i="1"/>
  <c r="N1592" i="1"/>
  <c r="N1718" i="1"/>
  <c r="N1388" i="1"/>
  <c r="N777" i="1"/>
  <c r="N595" i="1"/>
  <c r="N1613" i="1"/>
  <c r="N365" i="1"/>
  <c r="N1420" i="1"/>
  <c r="N315" i="1"/>
  <c r="N1024" i="1"/>
  <c r="N1655" i="1"/>
  <c r="N775" i="1"/>
  <c r="N1407" i="1"/>
  <c r="N870" i="1"/>
  <c r="N1286" i="1"/>
  <c r="N590" i="1"/>
  <c r="N456" i="1"/>
  <c r="N532" i="1"/>
  <c r="N1710" i="1"/>
  <c r="N624" i="1"/>
  <c r="N941" i="1"/>
  <c r="N1714" i="1"/>
  <c r="N1402" i="1"/>
  <c r="N170" i="1"/>
  <c r="N642" i="1"/>
  <c r="N715" i="1"/>
  <c r="N1124" i="1"/>
  <c r="N601" i="1"/>
  <c r="N889" i="1"/>
  <c r="N6" i="1"/>
  <c r="N1268" i="1"/>
  <c r="N891" i="1"/>
  <c r="N212" i="1"/>
  <c r="N919" i="1"/>
  <c r="N294" i="1"/>
  <c r="N1162" i="1"/>
  <c r="N562" i="1"/>
  <c r="N638" i="1"/>
  <c r="N903" i="1"/>
  <c r="N1688" i="1"/>
  <c r="N805" i="1"/>
  <c r="N821" i="1"/>
  <c r="N1263" i="1"/>
  <c r="N1056" i="1"/>
  <c r="N1660" i="1"/>
  <c r="N1195" i="1"/>
  <c r="N1578" i="1"/>
  <c r="N182" i="1"/>
  <c r="N847" i="1"/>
  <c r="N936" i="1"/>
  <c r="N991" i="1"/>
  <c r="N404" i="1"/>
  <c r="N1622" i="1"/>
  <c r="N625" i="1"/>
  <c r="N522" i="1"/>
  <c r="N972" i="1"/>
  <c r="N872" i="1"/>
  <c r="N1758" i="1"/>
  <c r="N114" i="1"/>
  <c r="N1733" i="1"/>
  <c r="N168" i="1"/>
  <c r="N1241" i="1"/>
  <c r="N560" i="1"/>
  <c r="N1274" i="1"/>
  <c r="N1499" i="1"/>
  <c r="N1226" i="1"/>
  <c r="N1307" i="1"/>
  <c r="N216" i="1"/>
  <c r="N1109" i="1"/>
  <c r="N1308" i="1"/>
  <c r="N1763" i="1"/>
  <c r="N143" i="1"/>
  <c r="N66" i="1"/>
  <c r="N1736" i="1"/>
  <c r="N1033" i="1"/>
  <c r="N436" i="1"/>
  <c r="N354" i="1"/>
  <c r="N1172" i="1"/>
  <c r="N318" i="1"/>
  <c r="N1610" i="1"/>
  <c r="N1089" i="1"/>
  <c r="N639" i="1"/>
  <c r="N685" i="1"/>
  <c r="N1569" i="1"/>
  <c r="N1619" i="1"/>
  <c r="N516" i="1"/>
  <c r="N1727" i="1"/>
  <c r="N886" i="1"/>
  <c r="N1686" i="1"/>
  <c r="N721" i="1"/>
  <c r="N976" i="1"/>
  <c r="N1170" i="1"/>
  <c r="N1608" i="1"/>
  <c r="N346" i="1"/>
  <c r="N282" i="1"/>
  <c r="N669" i="1"/>
  <c r="N1755" i="1"/>
  <c r="N1317" i="1"/>
  <c r="N1128" i="1"/>
  <c r="N252" i="1"/>
  <c r="N678" i="1"/>
  <c r="N1403" i="1"/>
  <c r="N923" i="1"/>
  <c r="N316" i="1"/>
  <c r="N929" i="1"/>
  <c r="N898" i="1"/>
  <c r="N244" i="1"/>
  <c r="N731" i="1"/>
  <c r="N858" i="1"/>
  <c r="N871" i="1"/>
  <c r="N1140" i="1"/>
  <c r="N1494" i="1"/>
  <c r="N750" i="1"/>
  <c r="N1063" i="1"/>
  <c r="N245" i="1"/>
  <c r="N1077" i="1"/>
  <c r="N1495" i="1"/>
  <c r="N23" i="1"/>
  <c r="N952" i="1"/>
  <c r="N743" i="1"/>
  <c r="N672" i="1"/>
  <c r="N1766" i="1"/>
  <c r="N1607" i="1"/>
  <c r="N561" i="1"/>
  <c r="N1514" i="1"/>
  <c r="N1764" i="1"/>
  <c r="N183" i="1"/>
  <c r="N1609" i="1"/>
  <c r="N1405" i="1"/>
  <c r="N1261" i="1"/>
  <c r="N1416" i="1"/>
  <c r="N1479" i="1"/>
  <c r="N409" i="1"/>
  <c r="N1335" i="1"/>
  <c r="N706" i="1"/>
  <c r="N521" i="1"/>
  <c r="N523" i="1"/>
  <c r="N1400" i="1"/>
  <c r="N1278" i="1"/>
  <c r="N410" i="1"/>
  <c r="N1524" i="1"/>
  <c r="N1256" i="1"/>
  <c r="N1564" i="1"/>
  <c r="N1390" i="1"/>
  <c r="N534" i="1"/>
  <c r="N161" i="1"/>
  <c r="N787" i="1"/>
  <c r="N1199" i="1"/>
  <c r="N413" i="1"/>
  <c r="N747" i="1"/>
  <c r="N281" i="1"/>
  <c r="N1720" i="1"/>
  <c r="N20" i="1"/>
  <c r="N1683" i="1"/>
  <c r="N1425" i="1"/>
  <c r="N1657" i="1"/>
  <c r="N1377" i="1"/>
  <c r="N555" i="1"/>
  <c r="N1703" i="1"/>
  <c r="N983" i="1"/>
  <c r="N152" i="1"/>
  <c r="N549" i="1"/>
  <c r="N593" i="1"/>
  <c r="N885" i="1"/>
  <c r="N1747" i="1"/>
  <c r="N811" i="1"/>
  <c r="N1055" i="1"/>
  <c r="N402" i="1"/>
  <c r="N528" i="1"/>
  <c r="N308" i="1"/>
  <c r="N613" i="1"/>
  <c r="N233" i="1"/>
  <c r="N633" i="1"/>
  <c r="N1701" i="1"/>
  <c r="N1031" i="1"/>
  <c r="N1072" i="1"/>
  <c r="N1050" i="1"/>
  <c r="N544" i="1"/>
  <c r="N77" i="1"/>
  <c r="N288" i="1"/>
  <c r="N875" i="1"/>
  <c r="N815" i="1"/>
  <c r="N1258" i="1"/>
  <c r="N696" i="1"/>
  <c r="N881" i="1"/>
  <c r="N851" i="1"/>
  <c r="N1110" i="1"/>
  <c r="N499" i="1"/>
  <c r="N512" i="1"/>
  <c r="N786" i="1"/>
  <c r="N238" i="1"/>
  <c r="N500" i="1"/>
  <c r="N806" i="1"/>
  <c r="N1026" i="1"/>
  <c r="N1426" i="1"/>
  <c r="N524" i="1"/>
  <c r="N1182" i="1"/>
  <c r="N1000" i="1"/>
  <c r="N1593" i="1"/>
  <c r="N237" i="1"/>
  <c r="N1360" i="1"/>
  <c r="N1707" i="1"/>
  <c r="N1482" i="1"/>
  <c r="N702" i="1"/>
  <c r="N1620" i="1"/>
  <c r="N1511" i="1"/>
  <c r="N1595" i="1"/>
  <c r="N498" i="1"/>
  <c r="N85" i="1"/>
  <c r="N180" i="1"/>
  <c r="N1642" i="1"/>
  <c r="N980" i="1"/>
  <c r="N1480" i="1"/>
  <c r="N176" i="1"/>
  <c r="N1157" i="1"/>
  <c r="N301" i="1"/>
  <c r="N225" i="1"/>
  <c r="N1183" i="1"/>
  <c r="N270" i="1"/>
  <c r="N568" i="1"/>
  <c r="N65" i="1"/>
  <c r="N819" i="1"/>
  <c r="N736" i="1"/>
  <c r="N659" i="1"/>
  <c r="N435" i="1"/>
  <c r="N597" i="1"/>
  <c r="N764" i="1"/>
  <c r="N416" i="1"/>
  <c r="N1008" i="1"/>
  <c r="N884" i="1"/>
  <c r="N899" i="1"/>
  <c r="N1147" i="1"/>
  <c r="N1213" i="1"/>
  <c r="N1341" i="1"/>
  <c r="N482" i="1"/>
  <c r="N520" i="1"/>
  <c r="N932" i="1"/>
  <c r="N142" i="1"/>
  <c r="N1600" i="1"/>
  <c r="N640" i="1"/>
  <c r="N1352" i="1"/>
  <c r="N726" i="1"/>
  <c r="N403" i="1"/>
  <c r="N888" i="1"/>
  <c r="N1666" i="1"/>
  <c r="N359" i="1"/>
  <c r="N1303" i="1"/>
  <c r="N1694" i="1"/>
  <c r="N1048" i="1"/>
  <c r="N181" i="1"/>
  <c r="N742" i="1"/>
  <c r="N1748" i="1"/>
  <c r="N154" i="1"/>
  <c r="N965" i="1"/>
  <c r="N473" i="1"/>
  <c r="N1243" i="1"/>
  <c r="N187" i="1"/>
  <c r="N1022" i="1"/>
  <c r="N1251" i="1"/>
  <c r="N260" i="1"/>
  <c r="N1322" i="1"/>
  <c r="N1654" i="1"/>
  <c r="N327" i="1"/>
  <c r="N163" i="1"/>
  <c r="N99" i="1"/>
  <c r="N670" i="1"/>
  <c r="N1074" i="1"/>
  <c r="N1525" i="1"/>
  <c r="N95" i="1"/>
  <c r="N340" i="1"/>
  <c r="N550" i="1"/>
  <c r="N1542" i="1"/>
  <c r="N907" i="1"/>
  <c r="N278" i="1"/>
  <c r="N1071" i="1"/>
  <c r="N79" i="1"/>
  <c r="N795" i="1"/>
  <c r="N492" i="1"/>
  <c r="N5" i="1"/>
  <c r="N320" i="1"/>
  <c r="N1169" i="1"/>
  <c r="N50" i="1"/>
  <c r="N1229" i="1"/>
  <c r="N1073" i="1"/>
  <c r="N373" i="1"/>
  <c r="N82" i="1"/>
  <c r="N530" i="1"/>
  <c r="N344" i="1"/>
  <c r="N1540" i="1"/>
  <c r="N732" i="1"/>
  <c r="N1444" i="1"/>
  <c r="N444" i="1"/>
  <c r="N529" i="1"/>
  <c r="N451" i="1"/>
  <c r="N860" i="1"/>
  <c r="N762" i="1"/>
  <c r="N330" i="1"/>
  <c r="N1579" i="1"/>
  <c r="N700" i="1"/>
  <c r="N1384" i="1"/>
  <c r="N768" i="1"/>
  <c r="N1492" i="1"/>
  <c r="N688" i="1"/>
  <c r="N1245" i="1"/>
  <c r="N1312" i="1"/>
  <c r="N1488" i="1"/>
  <c r="N348" i="1"/>
  <c r="N713" i="1"/>
  <c r="N1134" i="1"/>
  <c r="N81" i="1"/>
  <c r="N992" i="1"/>
  <c r="N231" i="1"/>
  <c r="N425" i="1"/>
  <c r="N1574" i="1"/>
  <c r="N990" i="1"/>
  <c r="N1530" i="1"/>
  <c r="N296" i="1"/>
  <c r="N272" i="1"/>
  <c r="N1590" i="1"/>
  <c r="N1244" i="1"/>
  <c r="N547" i="1"/>
  <c r="N69" i="1"/>
  <c r="N939" i="1"/>
  <c r="N1509" i="1"/>
  <c r="N1137" i="1"/>
  <c r="N236" i="1"/>
  <c r="N917" i="1"/>
  <c r="N1047" i="1"/>
  <c r="N200" i="1"/>
  <c r="N1083" i="1"/>
  <c r="N1117" i="1"/>
  <c r="N464" i="1"/>
  <c r="N724" i="1"/>
  <c r="N1423" i="1"/>
  <c r="N734" i="1"/>
  <c r="N846" i="1"/>
  <c r="N1230" i="1"/>
  <c r="N957" i="1"/>
  <c r="N1436" i="1"/>
  <c r="N1133" i="1"/>
  <c r="N381" i="1"/>
  <c r="N1645" i="1"/>
  <c r="N993" i="1"/>
  <c r="N1281" i="1"/>
  <c r="N643" i="1"/>
  <c r="N1068" i="1"/>
  <c r="N1235" i="1"/>
  <c r="N1032" i="1"/>
  <c r="N812" i="1"/>
  <c r="N1571" i="1"/>
  <c r="N508" i="1"/>
  <c r="N67" i="1"/>
  <c r="N911" i="1"/>
  <c r="N738" i="1"/>
  <c r="N17" i="1"/>
  <c r="N226" i="1"/>
  <c r="N709" i="1"/>
  <c r="N398" i="1"/>
  <c r="N1130" i="1"/>
  <c r="N733" i="1"/>
  <c r="N1287" i="1"/>
  <c r="N160" i="1"/>
  <c r="N457" i="1"/>
  <c r="N1432" i="1"/>
  <c r="N295" i="1"/>
  <c r="N378" i="1"/>
  <c r="N149" i="1"/>
  <c r="N115" i="1"/>
  <c r="N1477" i="1"/>
  <c r="N1695" i="1"/>
  <c r="N368" i="1"/>
  <c r="N443" i="1"/>
  <c r="N105" i="1"/>
  <c r="N1417" i="1"/>
  <c r="N1004" i="1"/>
  <c r="N902" i="1"/>
  <c r="N663" i="1"/>
  <c r="N1021" i="1"/>
  <c r="N1670" i="1"/>
  <c r="N1304" i="1"/>
  <c r="N1378" i="1"/>
  <c r="N1668" i="1"/>
  <c r="N1744" i="1"/>
  <c r="N1176" i="1"/>
  <c r="N450" i="1"/>
  <c r="N60" i="1"/>
  <c r="N1345" i="1"/>
  <c r="N1208" i="1"/>
  <c r="N224" i="1"/>
  <c r="N1481" i="1"/>
  <c r="N1164" i="1"/>
  <c r="N314" i="1"/>
  <c r="N1334" i="1"/>
  <c r="N630" i="1"/>
  <c r="N1625" i="1"/>
  <c r="N265" i="1"/>
  <c r="N1584" i="1"/>
  <c r="N1152" i="1"/>
  <c r="N698" i="1"/>
  <c r="N1372" i="1"/>
  <c r="N210" i="1"/>
  <c r="N94" i="1"/>
  <c r="N1025" i="1"/>
  <c r="N607" i="1"/>
  <c r="N579" i="1"/>
  <c r="N208" i="1"/>
  <c r="N312" i="1"/>
  <c r="N1422" i="1"/>
  <c r="N88" i="1"/>
  <c r="N1531" i="1"/>
  <c r="N364" i="1"/>
  <c r="N121" i="1"/>
  <c r="N469" i="1"/>
  <c r="N1150" i="1"/>
  <c r="N1591" i="1"/>
  <c r="N1615" i="1"/>
  <c r="N727" i="1"/>
  <c r="N1745" i="1"/>
  <c r="N704" i="1"/>
  <c r="N1529" i="1"/>
  <c r="N602" i="1"/>
  <c r="N1471" i="1"/>
  <c r="N800" i="1"/>
  <c r="N1091" i="1"/>
  <c r="N389" i="1"/>
  <c r="N186" i="1"/>
  <c r="N140" i="1"/>
  <c r="N584" i="1"/>
  <c r="N945" i="1"/>
  <c r="N832" i="1"/>
  <c r="N867" i="1"/>
  <c r="N1717" i="1"/>
  <c r="N440" i="1"/>
  <c r="N1355" i="1"/>
  <c r="N411" i="1"/>
  <c r="N1414" i="1"/>
  <c r="N206" i="1"/>
  <c r="N1731" i="1"/>
  <c r="N124" i="1"/>
  <c r="N605" i="1"/>
  <c r="N1394" i="1"/>
  <c r="N576" i="1"/>
  <c r="N172" i="1"/>
  <c r="N1159" i="1"/>
  <c r="N133" i="1"/>
  <c r="N1273" i="1"/>
  <c r="N1647" i="1"/>
  <c r="N1401" i="1"/>
  <c r="N217" i="1"/>
  <c r="N1236" i="1"/>
  <c r="N683" i="1"/>
  <c r="N1500" i="1"/>
  <c r="N1339" i="1"/>
  <c r="N626" i="1"/>
  <c r="N417" i="1"/>
  <c r="N1521" i="1"/>
  <c r="N1175" i="1"/>
  <c r="N1125" i="1"/>
  <c r="N1204" i="1"/>
  <c r="N808" i="1"/>
  <c r="N606" i="1"/>
  <c r="N510" i="1"/>
  <c r="N1289" i="1"/>
  <c r="N274" i="1"/>
  <c r="N1653" i="1"/>
  <c r="N391" i="1"/>
  <c r="N1631" i="1"/>
  <c r="N51" i="1"/>
  <c r="N505" i="1"/>
  <c r="N1756" i="1"/>
  <c r="N1359" i="1"/>
  <c r="N1160" i="1"/>
  <c r="N668" i="1"/>
  <c r="N317" i="1"/>
  <c r="N1673" i="1"/>
  <c r="N304" i="1"/>
  <c r="N1219" i="1"/>
  <c r="N977" i="1"/>
  <c r="N756" i="1"/>
  <c r="N1460" i="1"/>
  <c r="N770" i="1"/>
  <c r="N1181" i="1"/>
  <c r="N35" i="1"/>
  <c r="N552" i="1"/>
  <c r="N194" i="1"/>
  <c r="N1380" i="1"/>
  <c r="N147" i="1"/>
  <c r="N623" i="1"/>
  <c r="N798" i="1"/>
  <c r="N356" i="1"/>
  <c r="N794" i="1"/>
  <c r="N874" i="1"/>
  <c r="N852" i="1"/>
  <c r="N1729" i="1"/>
  <c r="N1370" i="1"/>
  <c r="N1467" i="1"/>
  <c r="N1093" i="1"/>
  <c r="N1585" i="1"/>
  <c r="N229" i="1"/>
  <c r="N195" i="1"/>
  <c r="N1515" i="1"/>
  <c r="N1472" i="1"/>
  <c r="N275" i="1"/>
  <c r="N214" i="1"/>
  <c r="N580" i="1"/>
  <c r="N1493" i="1"/>
  <c r="N536" i="1"/>
  <c r="N1179" i="1"/>
  <c r="N382" i="1"/>
  <c r="N855" i="1"/>
  <c r="N480" i="1"/>
  <c r="N540" i="1"/>
  <c r="N1658" i="1"/>
  <c r="N1548" i="1"/>
  <c r="N1463" i="1"/>
  <c r="N1097" i="1"/>
  <c r="N1276" i="1"/>
  <c r="N1092" i="1"/>
  <c r="N1741" i="1"/>
  <c r="N1691" i="1"/>
  <c r="N174" i="1"/>
  <c r="N445" i="1"/>
  <c r="N1014" i="1"/>
  <c r="N551" i="1"/>
  <c r="N1462" i="1"/>
  <c r="N1685" i="1"/>
  <c r="N259" i="1"/>
  <c r="N1239" i="1"/>
  <c r="N1652" i="1"/>
  <c r="N1298" i="1"/>
  <c r="N1533" i="1"/>
  <c r="N1759" i="1"/>
  <c r="N810" i="1"/>
  <c r="N1291" i="1"/>
  <c r="N232" i="1"/>
  <c r="N1267" i="1"/>
  <c r="N22" i="1"/>
  <c r="N1119" i="1"/>
  <c r="N219" i="1"/>
  <c r="N250" i="1"/>
  <c r="N866" i="1"/>
  <c r="N887" i="1"/>
  <c r="N588" i="1"/>
  <c r="N1455" i="1"/>
  <c r="N585" i="1"/>
  <c r="N1297" i="1"/>
  <c r="N1485" i="1"/>
  <c r="N790" i="1"/>
  <c r="N372" i="1"/>
  <c r="N47" i="1"/>
  <c r="N184" i="1"/>
  <c r="N1411" i="1"/>
  <c r="N430" i="1"/>
  <c r="N1552" i="1"/>
  <c r="N1404" i="1"/>
  <c r="N604" i="1"/>
  <c r="N1002" i="1"/>
  <c r="N357" i="1"/>
  <c r="N1285" i="1"/>
  <c r="N242" i="1"/>
  <c r="N1206" i="1"/>
  <c r="N513" i="1"/>
  <c r="N541" i="1"/>
  <c r="N101" i="1"/>
  <c r="N1135" i="1"/>
  <c r="N1751" i="1"/>
  <c r="N802" i="1"/>
  <c r="N220" i="1"/>
  <c r="N3" i="1"/>
  <c r="N1679" i="1"/>
  <c r="N27" i="1"/>
  <c r="N266" i="1"/>
  <c r="N1003" i="1"/>
  <c r="N712" i="1"/>
  <c r="N697" i="1"/>
  <c r="N757" i="1"/>
  <c r="N1075" i="1"/>
  <c r="N531" i="1"/>
  <c r="N573" i="1"/>
  <c r="N818" i="1"/>
  <c r="N343" i="1"/>
  <c r="N1203" i="1"/>
  <c r="N988" i="1"/>
  <c r="N1628" i="1"/>
  <c r="N375" i="1"/>
  <c r="N1520" i="1"/>
  <c r="N823" i="1"/>
  <c r="N1702" i="1"/>
  <c r="N292" i="1"/>
  <c r="N1449" i="1"/>
  <c r="N1198" i="1"/>
  <c r="N328" i="1"/>
  <c r="N1453" i="1"/>
  <c r="N441" i="1"/>
  <c r="N1598" i="1"/>
  <c r="N783" i="1"/>
  <c r="N720" i="1"/>
  <c r="N853" i="1"/>
  <c r="N439" i="1"/>
  <c r="N1621" i="1"/>
  <c r="N1624" i="1"/>
  <c r="N918" i="1"/>
  <c r="N538" i="1"/>
  <c r="N111" i="1"/>
  <c r="N1428" i="1"/>
  <c r="N637" i="1"/>
  <c r="N1218" i="1"/>
  <c r="N1227" i="1"/>
  <c r="N681" i="1"/>
  <c r="N856" i="1"/>
  <c r="N1549" i="1"/>
  <c r="N1618" i="1"/>
  <c r="N589" i="1"/>
  <c r="N641" i="1"/>
  <c r="N583" i="1"/>
  <c r="N975" i="1"/>
  <c r="N31" i="1"/>
  <c r="N362" i="1"/>
  <c r="N1223" i="1"/>
  <c r="N504" i="1"/>
  <c r="N1656" i="1"/>
  <c r="N924" i="1"/>
  <c r="N519" i="1"/>
  <c r="N1692" i="1"/>
  <c r="N921" i="1"/>
  <c r="N136" i="1"/>
  <c r="N833" i="1"/>
  <c r="N1193" i="1"/>
  <c r="N1027" i="1"/>
  <c r="N1019" i="1"/>
  <c r="N1447" i="1"/>
  <c r="N1043" i="1"/>
  <c r="N342" i="1"/>
  <c r="N347" i="1"/>
  <c r="N1506" i="1"/>
  <c r="N192" i="1"/>
  <c r="N830" i="1"/>
  <c r="N896" i="1"/>
  <c r="N814" i="1"/>
  <c r="N1049" i="1"/>
  <c r="N661" i="1"/>
  <c r="N587" i="1"/>
  <c r="N1309" i="1"/>
  <c r="N1461" i="1"/>
  <c r="N1527" i="1"/>
  <c r="N1257" i="1"/>
  <c r="N1368" i="1"/>
  <c r="N526" i="1"/>
  <c r="N546" i="1"/>
  <c r="N258" i="1"/>
  <c r="N769" i="1"/>
  <c r="N1502" i="1"/>
  <c r="N234" i="1"/>
  <c r="N385" i="1"/>
  <c r="N657" i="1"/>
  <c r="N1367" i="1"/>
  <c r="N1354" i="1"/>
  <c r="N1299" i="1"/>
  <c r="N946" i="1"/>
  <c r="N1513" i="1"/>
  <c r="N1644" i="1"/>
  <c r="N825" i="1"/>
  <c r="N146" i="1"/>
  <c r="N701" i="1"/>
  <c r="N723" i="1"/>
  <c r="N394" i="1"/>
  <c r="N784" i="1"/>
  <c r="N1672" i="1"/>
  <c r="N1497" i="1"/>
  <c r="N925" i="1"/>
  <c r="N1353" i="1"/>
  <c r="N1118" i="1"/>
  <c r="N1015" i="1"/>
  <c r="N380" i="1"/>
  <c r="N616" i="1"/>
  <c r="N1616" i="1"/>
  <c r="N1737" i="1"/>
  <c r="N506" i="1"/>
  <c r="N766" i="1"/>
  <c r="N28" i="1"/>
  <c r="N248" i="1"/>
  <c r="N1682" i="1"/>
  <c r="N964" i="1"/>
  <c r="N876" i="1"/>
  <c r="N839" i="1"/>
  <c r="N323" i="1"/>
  <c r="N420" i="1"/>
  <c r="N1419" i="1"/>
  <c r="N619" i="1"/>
  <c r="N739" i="1"/>
  <c r="N1504" i="1"/>
  <c r="N1629" i="1"/>
  <c r="N735" i="1"/>
  <c r="N1711" i="1"/>
  <c r="N14" i="1"/>
  <c r="N1427" i="1"/>
  <c r="N1669" i="1"/>
  <c r="N126" i="1"/>
  <c r="N1302" i="1"/>
  <c r="N429" i="1"/>
  <c r="N1108" i="1"/>
  <c r="N495" i="1"/>
  <c r="N32" i="1"/>
  <c r="N1330" i="1"/>
  <c r="N1064" i="1"/>
  <c r="N458" i="1"/>
  <c r="N836" i="1"/>
  <c r="N423" i="1"/>
  <c r="N1418" i="1"/>
  <c r="N1602" i="1"/>
  <c r="N517" i="1"/>
  <c r="N656" i="1"/>
  <c r="N92" i="1"/>
  <c r="N1435" i="1"/>
  <c r="N1505" i="1"/>
  <c r="N1458" i="1"/>
  <c r="N803" i="1"/>
  <c r="N649" i="1"/>
  <c r="N982" i="1"/>
  <c r="N1228" i="1"/>
  <c r="N1270" i="1"/>
  <c r="N1260" i="1"/>
  <c r="N209" i="1"/>
  <c r="N426" i="1"/>
  <c r="N1496" i="1"/>
  <c r="N781" i="1"/>
  <c r="N1081" i="1"/>
  <c r="N632" i="1"/>
  <c r="N235" i="1"/>
  <c r="N776" i="1"/>
  <c r="N1719" i="1"/>
  <c r="N42" i="1"/>
  <c r="N716" i="1"/>
  <c r="N1009" i="1"/>
  <c r="N478" i="1"/>
  <c r="N1132" i="1"/>
  <c r="N1233" i="1"/>
  <c r="N998" i="1"/>
  <c r="N556" i="1"/>
  <c r="N361" i="1"/>
  <c r="N692" i="1"/>
  <c r="N1158" i="1"/>
  <c r="N509" i="1"/>
  <c r="N169" i="1"/>
  <c r="N1070" i="1"/>
  <c r="N1614" i="1"/>
  <c r="N1708" i="1"/>
  <c r="N570" i="1"/>
  <c r="N1687" i="1"/>
  <c r="N481" i="1"/>
  <c r="N158" i="1"/>
  <c r="N1145" i="1"/>
  <c r="N379" i="1"/>
  <c r="N1344" i="1"/>
  <c r="N890" i="1"/>
  <c r="N575" i="1"/>
  <c r="N728" i="1"/>
  <c r="N1765" i="1"/>
  <c r="N674" i="1"/>
  <c r="N1697" i="1"/>
  <c r="N299" i="1"/>
  <c r="N1114" i="1"/>
  <c r="N1328" i="1"/>
  <c r="N1752" i="1"/>
  <c r="N1340" i="1"/>
  <c r="N1225" i="1"/>
  <c r="N564" i="1"/>
  <c r="N1450" i="1"/>
  <c r="N1187" i="1"/>
  <c r="N1379" i="1"/>
  <c r="N240" i="1"/>
  <c r="N828" i="1"/>
  <c r="N773" i="1"/>
  <c r="N758" i="1"/>
  <c r="N485" i="1"/>
  <c r="N511" i="1"/>
  <c r="N927" i="1"/>
  <c r="N1165" i="1"/>
  <c r="N276" i="1"/>
  <c r="N1103" i="1"/>
  <c r="N287" i="1"/>
  <c r="N1192" i="1"/>
  <c r="N922" i="1"/>
  <c r="N566" i="1"/>
  <c r="N138" i="1"/>
  <c r="N1599" i="1"/>
  <c r="N1519" i="1"/>
  <c r="N1680" i="1"/>
  <c r="N608" i="1"/>
  <c r="N484" i="1"/>
  <c r="N1016" i="1"/>
  <c r="N822" i="1"/>
  <c r="N582" i="1"/>
  <c r="N326" i="1"/>
  <c r="N1617" i="1"/>
  <c r="N350" i="1"/>
  <c r="N1112" i="1"/>
  <c r="N408" i="1"/>
  <c r="N1389" i="1"/>
  <c r="N1358" i="1"/>
  <c r="N249" i="1"/>
  <c r="N1171" i="1"/>
  <c r="N1605" i="1"/>
  <c r="N809" i="1"/>
  <c r="N1240" i="1"/>
  <c r="N1067" i="1"/>
  <c r="N1466" i="1"/>
  <c r="N1205" i="1"/>
  <c r="N46" i="1"/>
  <c r="N338" i="1"/>
  <c r="N609" i="1"/>
  <c r="N334" i="1"/>
  <c r="N834" i="1"/>
  <c r="N1020" i="1"/>
  <c r="N1220" i="1"/>
  <c r="N1237" i="1"/>
  <c r="N1468" i="1"/>
  <c r="N1510" i="1"/>
  <c r="N1538" i="1"/>
  <c r="N614" i="1"/>
  <c r="N1197" i="1"/>
  <c r="N694" i="1"/>
  <c r="N1174" i="1"/>
  <c r="N199" i="1"/>
  <c r="N1561" i="1"/>
  <c r="N754" i="1"/>
  <c r="N424" i="1"/>
  <c r="N873" i="1"/>
  <c r="N1362" i="1"/>
  <c r="N446" i="1"/>
  <c r="N1562" i="1"/>
  <c r="N171" i="1"/>
  <c r="N1080" i="1"/>
  <c r="N1662" i="1"/>
  <c r="N203" i="1"/>
  <c r="N1129" i="1"/>
  <c r="N1296" i="1"/>
  <c r="N1255" i="1"/>
  <c r="N796" i="1"/>
  <c r="N1185" i="1"/>
  <c r="N1734" i="1"/>
  <c r="N1177" i="1"/>
  <c r="N1094" i="1"/>
  <c r="N894" i="1"/>
  <c r="N662" i="1"/>
  <c r="N951" i="1"/>
  <c r="N72" i="1"/>
  <c r="N1349" i="1"/>
  <c r="N930" i="1"/>
  <c r="N489" i="1"/>
  <c r="N119" i="1"/>
  <c r="N937" i="1"/>
  <c r="N655" i="1"/>
  <c r="N1413" i="1"/>
  <c r="N612" i="1"/>
  <c r="N650" i="1"/>
  <c r="N514" i="1"/>
  <c r="N1637" i="1"/>
  <c r="N631" i="1"/>
  <c r="N744" i="1"/>
  <c r="N1053" i="1"/>
  <c r="N1155" i="1"/>
  <c r="N461" i="1"/>
  <c r="N1743" i="1"/>
  <c r="N1386" i="1"/>
  <c r="N204" i="1"/>
  <c r="N1269" i="1"/>
  <c r="N1314" i="1"/>
  <c r="N533" i="1"/>
  <c r="N472" i="1"/>
  <c r="N1313" i="1"/>
  <c r="N329" i="1"/>
  <c r="N804" i="1"/>
  <c r="N120" i="1"/>
  <c r="N1749" i="1"/>
  <c r="N1336" i="1"/>
  <c r="N1041" i="1"/>
  <c r="N313" i="1"/>
  <c r="N1709" i="1"/>
  <c r="N193" i="1"/>
  <c r="N792" i="1"/>
  <c r="N1728" i="1"/>
  <c r="N1558" i="1"/>
  <c r="N91" i="1"/>
  <c r="N1361" i="1"/>
  <c r="N400" i="1"/>
  <c r="N175" i="1"/>
  <c r="N300" i="1"/>
  <c r="N345" i="1"/>
  <c r="N772" i="1"/>
  <c r="N705" i="1"/>
  <c r="N1671" i="1"/>
  <c r="N1087" i="1"/>
  <c r="N1464" i="1"/>
  <c r="N780" i="1"/>
  <c r="N363" i="1"/>
  <c r="N1487" i="1"/>
  <c r="N749" i="1"/>
  <c r="N76" i="1"/>
  <c r="N89" i="1"/>
  <c r="N90" i="1"/>
  <c r="N1445" i="1"/>
  <c r="N1721" i="1"/>
  <c r="N515" i="1"/>
  <c r="N1725" i="1"/>
  <c r="N399" i="1"/>
  <c r="N49" i="1"/>
  <c r="N306" i="1"/>
  <c r="N1434" i="1"/>
  <c r="N968" i="1"/>
  <c r="N1726" i="1"/>
  <c r="N548" i="1"/>
  <c r="N97" i="1"/>
  <c r="N155" i="1"/>
  <c r="N1724" i="1"/>
  <c r="N826" i="1"/>
  <c r="N1535" i="1"/>
  <c r="N1325" i="1"/>
  <c r="N869" i="1"/>
  <c r="N109" i="1"/>
  <c r="N610" i="1"/>
  <c r="N719" i="1"/>
  <c r="N793" i="1"/>
  <c r="N878" i="1"/>
  <c r="N842" i="1"/>
  <c r="N156" i="1"/>
  <c r="N1594" i="1"/>
  <c r="N167" i="1"/>
  <c r="N1572" i="1"/>
  <c r="N1429" i="1"/>
  <c r="N971" i="1"/>
  <c r="N1528" i="1"/>
  <c r="N1222" i="1"/>
  <c r="N820" i="1"/>
  <c r="N1040" i="1"/>
  <c r="N1587" i="1"/>
  <c r="N13" i="1"/>
  <c r="N1382" i="1"/>
  <c r="N1705" i="1"/>
  <c r="N1739" i="1"/>
  <c r="N553" i="1"/>
  <c r="N1332" i="1"/>
  <c r="N127" i="1"/>
  <c r="N178" i="1"/>
  <c r="N393" i="1"/>
  <c r="N1306" i="1"/>
  <c r="N592" i="1"/>
  <c r="N83" i="1"/>
  <c r="N978" i="1"/>
  <c r="N591" i="1"/>
  <c r="N122" i="1"/>
  <c r="N1001" i="1"/>
  <c r="N1284" i="1"/>
  <c r="N1057" i="1"/>
  <c r="N201" i="1"/>
  <c r="N243" i="1"/>
  <c r="N311" i="1"/>
  <c r="N1101" i="1"/>
  <c r="N718" i="1"/>
  <c r="N1167" i="1"/>
  <c r="N1151" i="1"/>
  <c r="N1576" i="1"/>
  <c r="N970" i="1"/>
  <c r="N848" i="1"/>
  <c r="N1473" i="1"/>
  <c r="N1102" i="1"/>
  <c r="N223" i="1"/>
  <c r="N1215" i="1"/>
  <c r="N113" i="1"/>
  <c r="N148" i="1"/>
  <c r="N1333" i="1"/>
  <c r="N1633" i="1"/>
  <c r="N987" i="1"/>
  <c r="N1604" i="1"/>
  <c r="N1611" i="1"/>
  <c r="N335" i="1"/>
  <c r="N1076" i="1"/>
  <c r="N1690" i="1"/>
  <c r="N1342" i="1"/>
  <c r="N677" i="1"/>
  <c r="N904" i="1"/>
  <c r="N675" i="1"/>
  <c r="N1343" i="1"/>
  <c r="N230" i="1"/>
  <c r="N246" i="1"/>
  <c r="N920" i="1"/>
  <c r="N1663" i="1"/>
  <c r="N1142" i="1"/>
  <c r="N1643" i="1"/>
  <c r="N487" i="1"/>
  <c r="N1030" i="1"/>
  <c r="N940" i="1"/>
  <c r="N740" i="1"/>
  <c r="N558" i="1"/>
  <c r="N673" i="1"/>
  <c r="N1209" i="1"/>
  <c r="N384" i="1"/>
  <c r="N537" i="1"/>
  <c r="N1078" i="1"/>
  <c r="N41" i="1"/>
  <c r="N1196" i="1"/>
  <c r="N1454" i="1"/>
  <c r="N1448" i="1"/>
  <c r="N665" i="1"/>
  <c r="N1406" i="1"/>
  <c r="N132" i="1"/>
  <c r="N74" i="1"/>
  <c r="N1115" i="1"/>
  <c r="N916" i="1"/>
  <c r="N1582" i="1"/>
  <c r="N285" i="1"/>
  <c r="N1410" i="1"/>
  <c r="N660" i="1"/>
  <c r="N1324" i="1"/>
  <c r="N1283" i="1"/>
  <c r="N106" i="1"/>
  <c r="N1156" i="1"/>
  <c r="N554" i="1"/>
  <c r="N1451" i="1"/>
  <c r="N501" i="1"/>
  <c r="N844" i="1"/>
  <c r="N407" i="1"/>
  <c r="N207" i="1"/>
  <c r="N1746" i="1"/>
  <c r="N397" i="1"/>
  <c r="N956" i="1"/>
  <c r="N118" i="1"/>
  <c r="N864" i="1"/>
  <c r="N1580" i="1"/>
  <c r="N1186" i="1"/>
  <c r="N958" i="1"/>
  <c r="N1357" i="1"/>
  <c r="N617" i="1"/>
  <c r="N1113" i="1"/>
  <c r="N760" i="1"/>
  <c r="N1555" i="1"/>
  <c r="N454" i="1"/>
  <c r="N93" i="1"/>
  <c r="N1250" i="1"/>
  <c r="N1681" i="1"/>
  <c r="N691" i="1"/>
  <c r="N277" i="1"/>
  <c r="N729" i="1"/>
  <c r="N689" i="1"/>
  <c r="N1316" i="1"/>
  <c r="N247" i="1"/>
  <c r="N960" i="1"/>
  <c r="N324" i="1"/>
  <c r="N963" i="1"/>
  <c r="N1648" i="1"/>
  <c r="N693" i="1"/>
  <c r="N263" i="1"/>
  <c r="N1100" i="1"/>
  <c r="N1037" i="1"/>
  <c r="N87" i="1"/>
  <c r="N1439" i="1"/>
  <c r="N1143" i="1"/>
  <c r="N1541" i="1"/>
  <c r="N202" i="1"/>
  <c r="N909" i="1"/>
  <c r="N215" i="1"/>
  <c r="N1277" i="1"/>
  <c r="N462" i="1"/>
  <c r="N1635" i="1"/>
  <c r="N1387" i="1"/>
  <c r="N1095" i="1"/>
  <c r="N1650" i="1"/>
  <c r="N293" i="1"/>
  <c r="N741" i="1"/>
  <c r="N134" i="1"/>
  <c r="N1216" i="1"/>
  <c r="N1383" i="1"/>
  <c r="N268" i="1"/>
  <c r="N144" i="1"/>
  <c r="N955" i="1"/>
  <c r="N129" i="1"/>
  <c r="N1641" i="1"/>
  <c r="N1409" i="1"/>
  <c r="N730" i="1"/>
  <c r="N1366" i="1"/>
  <c r="N654" i="1"/>
  <c r="N1293" i="1"/>
  <c r="N468" i="1"/>
  <c r="N1178" i="1"/>
  <c r="N221" i="1"/>
  <c r="N1310" i="1"/>
  <c r="N1677" i="1"/>
  <c r="N518" i="1"/>
  <c r="N4" i="1"/>
  <c r="N928" i="1"/>
  <c r="N166" i="1"/>
  <c r="N1066" i="1"/>
  <c r="N1232" i="1"/>
  <c r="N366" i="1"/>
  <c r="N676" i="1"/>
  <c r="N1639" i="1"/>
  <c r="N1398" i="1"/>
  <c r="N352" i="1"/>
  <c r="N703" i="1"/>
  <c r="N284" i="1"/>
  <c r="N542" i="1"/>
  <c r="N1634" i="1"/>
  <c r="N360" i="1"/>
  <c r="N437" i="1"/>
  <c r="N622" i="1"/>
  <c r="N578" i="1"/>
  <c r="N883" i="1"/>
  <c r="N651" i="1"/>
  <c r="N370" i="1"/>
  <c r="N33" i="1"/>
  <c r="N262" i="1"/>
  <c r="N1060" i="1"/>
  <c r="N1421" i="1"/>
  <c r="N969" i="1"/>
  <c r="N1601" i="1"/>
  <c r="N1498" i="1"/>
  <c r="N261" i="1"/>
  <c r="N507" i="1"/>
  <c r="N1034" i="1"/>
  <c r="N682" i="1"/>
  <c r="N1279" i="1"/>
  <c r="N1149" i="1"/>
  <c r="N80" i="1"/>
  <c r="N396" i="1"/>
  <c r="N137" i="1"/>
  <c r="N1557" i="1"/>
  <c r="N1738" i="1"/>
  <c r="N68" i="1"/>
  <c r="N565" i="1"/>
  <c r="N933" i="1"/>
  <c r="N1146" i="1"/>
  <c r="N1331" i="1"/>
  <c r="N984" i="1"/>
  <c r="N1575" i="1"/>
  <c r="N1638" i="1"/>
  <c r="N900" i="1"/>
  <c r="N908" i="1"/>
  <c r="N1640" i="1"/>
  <c r="N912" i="1"/>
  <c r="N222" i="1"/>
  <c r="N653" i="1"/>
  <c r="N269" i="1"/>
  <c r="N788" i="1"/>
  <c r="N1563" i="1"/>
  <c r="N353" i="1"/>
  <c r="N1224" i="1"/>
  <c r="N722" i="1"/>
  <c r="N1551" i="1"/>
  <c r="N1556" i="1"/>
  <c r="N1568" i="1"/>
  <c r="N218" i="1"/>
  <c r="N827" i="1"/>
  <c r="N196" i="1"/>
  <c r="N1539" i="1"/>
  <c r="N1566" i="1"/>
  <c r="N1560" i="1"/>
  <c r="N1470" i="1"/>
  <c r="N1006" i="1"/>
  <c r="N926" i="1"/>
  <c r="N58" i="1"/>
  <c r="N1231" i="1"/>
  <c r="N974" i="1"/>
  <c r="N213" i="1"/>
  <c r="N48" i="1"/>
  <c r="N1005" i="1"/>
  <c r="N829" i="1"/>
  <c r="N1698" i="1"/>
  <c r="N636" i="1"/>
  <c r="N577" i="1"/>
  <c r="N863" i="1"/>
  <c r="N1319" i="1"/>
  <c r="N1732" i="1"/>
  <c r="N1280" i="1"/>
  <c r="N438" i="1"/>
  <c r="N431" i="1"/>
  <c r="N459" i="1"/>
  <c r="N1131" i="1"/>
  <c r="N1099" i="1"/>
  <c r="N474" i="1"/>
  <c r="N1438" i="1"/>
  <c r="N37" i="1"/>
  <c r="N40" i="1"/>
  <c r="N1242" i="1"/>
  <c r="N835" i="1"/>
  <c r="N256" i="1"/>
  <c r="N666" i="1"/>
  <c r="N117" i="1"/>
  <c r="N471" i="1"/>
  <c r="N1265" i="1"/>
  <c r="N1550" i="1"/>
  <c r="N1503" i="1"/>
  <c r="N1452" i="1"/>
  <c r="N1271" i="1"/>
  <c r="N448" i="1"/>
  <c r="N1038" i="1"/>
  <c r="N910" i="1"/>
  <c r="N415" i="1"/>
  <c r="N652" i="1"/>
  <c r="N1266" i="1"/>
  <c r="N1508" i="1"/>
  <c r="N895" i="1"/>
  <c r="N771" i="1"/>
  <c r="N535" i="1"/>
  <c r="N1221" i="1"/>
  <c r="N543" i="1"/>
  <c r="N1674" i="1"/>
  <c r="N419" i="1"/>
  <c r="N333" i="1"/>
  <c r="N332" i="1"/>
  <c r="N1364" i="1"/>
  <c r="N185" i="1"/>
  <c r="N96" i="1"/>
  <c r="N406" i="1"/>
  <c r="N432" i="1"/>
  <c r="N55" i="1"/>
  <c r="N1646" i="1"/>
  <c r="N1123" i="1"/>
  <c r="N1036" i="1"/>
  <c r="N1088" i="1"/>
  <c r="N817" i="1"/>
  <c r="N1757" i="1"/>
  <c r="N1440" i="1"/>
  <c r="N854" i="1"/>
  <c r="N635" i="1"/>
  <c r="N131" i="1"/>
  <c r="N1363" i="1"/>
  <c r="N467" i="1"/>
  <c r="N1565" i="1"/>
  <c r="N901" i="1"/>
  <c r="N1475" i="1"/>
  <c r="N563" i="1"/>
  <c r="N938" i="1"/>
  <c r="N1346" i="1"/>
  <c r="N1046" i="1"/>
  <c r="N279" i="1"/>
  <c r="N1546" i="1"/>
  <c r="N470" i="1"/>
  <c r="N1433" i="1"/>
  <c r="N1264" i="1"/>
  <c r="N882" i="1"/>
  <c r="N1190" i="1"/>
  <c r="N813" i="1"/>
  <c r="N503" i="1"/>
  <c r="N824" i="1"/>
  <c r="N857" i="1"/>
  <c r="N303" i="1"/>
  <c r="N1028" i="1"/>
  <c r="N1661" i="1"/>
  <c r="N1623" i="1"/>
  <c r="N1348" i="1"/>
  <c r="N395" i="1"/>
  <c r="N1696" i="1"/>
  <c r="N1191" i="1"/>
  <c r="N1518" i="1"/>
  <c r="N490" i="1"/>
  <c r="N1415" i="1"/>
  <c r="N1321" i="1"/>
  <c r="N1476" i="1"/>
  <c r="N57" i="1"/>
  <c r="N1554" i="1"/>
  <c r="N1667" i="1"/>
  <c r="N1486" i="1"/>
  <c r="N596" i="1"/>
  <c r="N791" i="1"/>
  <c r="N355" i="1"/>
  <c r="N746" i="1"/>
  <c r="N1516" i="1"/>
  <c r="N1163" i="1"/>
  <c r="N569" i="1"/>
  <c r="N371" i="1"/>
  <c r="N387" i="1"/>
  <c r="N1489" i="1"/>
  <c r="N73" i="1"/>
  <c r="N112" i="1"/>
  <c r="N1544" i="1"/>
  <c r="N594" i="1"/>
  <c r="N753" i="1"/>
  <c r="N173" i="1"/>
  <c r="N1007" i="1"/>
  <c r="N1484" i="1"/>
  <c r="N841" i="1"/>
  <c r="N1292" i="1"/>
  <c r="N358" i="1"/>
  <c r="N463" i="1"/>
  <c r="N1096" i="1"/>
  <c r="N618" i="1"/>
  <c r="N125" i="1"/>
  <c r="N302" i="1"/>
  <c r="N581" i="1"/>
  <c r="N374" i="1"/>
  <c r="N1214" i="1"/>
  <c r="N1753" i="1"/>
  <c r="N1651" i="1"/>
  <c r="N1441" i="1"/>
  <c r="N628" i="1"/>
  <c r="N567" i="1"/>
  <c r="N164" i="1"/>
  <c r="N123" i="1"/>
  <c r="N337" i="1"/>
  <c r="N331" i="1"/>
  <c r="N19" i="1"/>
  <c r="N571" i="1"/>
  <c r="N973" i="1"/>
  <c r="N778" i="1"/>
  <c r="N761" i="1"/>
  <c r="N488" i="1"/>
  <c r="N1730" i="1"/>
  <c r="N383" i="1"/>
  <c r="N1537" i="1"/>
  <c r="N205" i="1"/>
  <c r="N1252" i="1"/>
  <c r="N427" i="1"/>
  <c r="N100" i="1"/>
  <c r="N497" i="1"/>
  <c r="N774" i="1"/>
  <c r="N405" i="1"/>
  <c r="N1761" i="1"/>
  <c r="N336" i="1"/>
  <c r="N116" i="1"/>
  <c r="N1090" i="1"/>
  <c r="N1630" i="1"/>
  <c r="N807" i="1"/>
  <c r="N1018" i="1"/>
  <c r="N1294" i="1"/>
  <c r="N944" i="1"/>
  <c r="N1469" i="1"/>
  <c r="N1581" i="1"/>
  <c r="N627" i="1"/>
  <c r="N1430" i="1"/>
  <c r="N1069" i="1"/>
  <c r="N1323" i="1"/>
  <c r="N1106" i="1"/>
  <c r="N319" i="1"/>
  <c r="N935" i="1"/>
  <c r="N1144" i="1"/>
  <c r="N98" i="1"/>
  <c r="N707" i="1"/>
  <c r="N110" i="1"/>
  <c r="N1665" i="1"/>
  <c r="N525" i="1"/>
  <c r="N414" i="1"/>
  <c r="N1084" i="1"/>
  <c r="N477" i="1"/>
  <c r="N434" i="1"/>
  <c r="N1061" i="1"/>
  <c r="N838" i="1"/>
  <c r="N759" i="1"/>
  <c r="N539" i="1"/>
  <c r="N1636" i="1"/>
  <c r="N797" i="1"/>
  <c r="N1664" i="1"/>
  <c r="N271" i="1"/>
  <c r="N130" i="1"/>
  <c r="N915" i="1"/>
  <c r="N1248" i="1"/>
  <c r="N1689" i="1"/>
  <c r="N38" i="1"/>
  <c r="N1589" i="1"/>
  <c r="N947" i="1"/>
  <c r="N717" i="1"/>
  <c r="N559" i="1"/>
  <c r="N755" i="1"/>
  <c r="N1318" i="1"/>
  <c r="N801" i="1"/>
  <c r="N26" i="1"/>
  <c r="N322" i="1"/>
  <c r="N680" i="1"/>
  <c r="N1431" i="1"/>
  <c r="N1184" i="1"/>
  <c r="N1742" i="1"/>
  <c r="N325" i="1"/>
  <c r="N253" i="1"/>
  <c r="N1253" i="1"/>
  <c r="N600" i="1"/>
  <c r="N1588" i="1"/>
  <c r="N850" i="1"/>
  <c r="N257" i="1"/>
  <c r="N861" i="1"/>
  <c r="N1675" i="1"/>
  <c r="N679" i="1"/>
  <c r="N305" i="1"/>
  <c r="N310" i="1"/>
  <c r="N1713" i="1"/>
  <c r="N1612" i="1"/>
  <c r="N948" i="1"/>
  <c r="N108" i="1"/>
  <c r="N1136" i="1"/>
  <c r="N989" i="1"/>
  <c r="N1465" i="1"/>
  <c r="N390" i="1"/>
  <c r="N1706" i="1"/>
  <c r="N1543" i="1"/>
  <c r="N341" i="1"/>
  <c r="N634" i="1"/>
  <c r="N994" i="1"/>
  <c r="N1121" i="1"/>
  <c r="N1754" i="1"/>
  <c r="N877" i="1"/>
  <c r="N574" i="1"/>
  <c r="N1059" i="1"/>
  <c r="N1392" i="1"/>
  <c r="N251" i="1"/>
  <c r="N527" i="1"/>
  <c r="N1385" i="1"/>
  <c r="N1478" i="1"/>
  <c r="N1301" i="1"/>
  <c r="N789" i="1"/>
  <c r="N1173" i="1"/>
  <c r="N1141" i="1"/>
  <c r="N1327" i="1"/>
  <c r="N297" i="1"/>
  <c r="N1573" i="1"/>
  <c r="N695" i="1"/>
  <c r="N1300" i="1"/>
  <c r="N954" i="1"/>
  <c r="N603" i="1"/>
  <c r="N1659" i="1"/>
  <c r="N1305" i="1"/>
  <c r="N690" i="1"/>
  <c r="N16" i="1"/>
  <c r="N75" i="1"/>
  <c r="N107" i="1"/>
  <c r="N1202" i="1"/>
  <c r="N1684" i="1"/>
  <c r="N452" i="1"/>
  <c r="N699" i="1"/>
  <c r="N1356" i="1"/>
  <c r="N1678" i="1"/>
  <c r="N1371" i="1"/>
  <c r="N765" i="1"/>
  <c r="N611" i="1"/>
  <c r="N103" i="1"/>
  <c r="N1626" i="1"/>
  <c r="N687" i="1"/>
  <c r="N418" i="1"/>
  <c r="N433" i="1"/>
  <c r="N1483" i="1"/>
  <c r="N401" i="1"/>
  <c r="N1042" i="1"/>
  <c r="N273" i="1"/>
  <c r="N1606" i="1"/>
  <c r="N1649" i="1"/>
  <c r="N34" i="1"/>
  <c r="N9" i="1"/>
  <c r="N377" i="1"/>
  <c r="N2" i="1"/>
  <c r="N59" i="1"/>
  <c r="N21" i="1"/>
  <c r="N10" i="1"/>
  <c r="N8" i="1"/>
  <c r="N7" i="1"/>
  <c r="N12" i="1"/>
  <c r="N11" i="1"/>
  <c r="N18" i="1"/>
  <c r="N30" i="1"/>
  <c r="N39" i="1"/>
  <c r="N849" i="1"/>
  <c r="N1212" i="1"/>
  <c r="N1211" i="1"/>
  <c r="N1395" i="1"/>
  <c r="N465" i="1"/>
  <c r="N1139" i="1"/>
  <c r="N290" i="1"/>
  <c r="N1750" i="1"/>
  <c r="N1161" i="1"/>
  <c r="N658" i="1"/>
  <c r="N845" i="1"/>
  <c r="N953" i="1"/>
  <c r="N1035" i="1"/>
  <c r="N486" i="1"/>
  <c r="N667" i="1"/>
  <c r="N1693" i="1"/>
  <c r="N298" i="1"/>
  <c r="N165" i="1"/>
  <c r="N862" i="1"/>
  <c r="N1011" i="1"/>
  <c r="N1275" i="1"/>
  <c r="N1207" i="1"/>
  <c r="N1138" i="1"/>
  <c r="N985" i="1"/>
  <c r="N843" i="1"/>
  <c r="N29" i="1"/>
  <c r="N967" i="1"/>
  <c r="N1126" i="1"/>
  <c r="N1373" i="1"/>
  <c r="N748" i="1"/>
  <c r="N1051" i="1"/>
  <c r="N879" i="1"/>
  <c r="N1512" i="1"/>
  <c r="N942" i="1"/>
  <c r="N1098" i="1"/>
  <c r="N135" i="1"/>
  <c r="N141" i="1"/>
  <c r="N351" i="1"/>
  <c r="N339" i="1"/>
  <c r="N150" i="1"/>
  <c r="N629" i="1"/>
  <c r="N466" i="1"/>
  <c r="N61" i="1"/>
  <c r="N1391" i="1"/>
  <c r="N1012" i="1"/>
  <c r="N241" i="1"/>
  <c r="N1365" i="1"/>
  <c r="N1523" i="1"/>
  <c r="N1086" i="1"/>
  <c r="N979" i="1"/>
  <c r="N62" i="1"/>
  <c r="N189" i="1"/>
  <c r="N1311" i="1"/>
  <c r="N799" i="1"/>
  <c r="N392" i="1"/>
  <c r="N460" i="1"/>
  <c r="N1399" i="1"/>
  <c r="N1545" i="1"/>
  <c r="N1079" i="1"/>
  <c r="N1085" i="1"/>
  <c r="N1249" i="1"/>
  <c r="N1351" i="1"/>
  <c r="N621" i="1"/>
  <c r="N1716" i="1"/>
  <c r="N1396" i="1"/>
  <c r="N1013" i="1"/>
  <c r="N1105" i="1"/>
  <c r="N1536" i="1"/>
  <c r="N1320" i="1"/>
  <c r="N711" i="1"/>
  <c r="N64" i="1"/>
  <c r="N1329" i="1"/>
  <c r="N255" i="1"/>
  <c r="N1456" i="1"/>
  <c r="N1442" i="1"/>
  <c r="N494" i="1"/>
  <c r="N24" i="1"/>
  <c r="N1586" i="1"/>
  <c r="N714" i="1"/>
  <c r="N1501" i="1"/>
  <c r="N139" i="1"/>
  <c r="N1120" i="1"/>
  <c r="N1704" i="1"/>
  <c r="N44" i="1"/>
  <c r="N1029" i="1"/>
  <c r="N1350" i="1"/>
  <c r="N1315" i="1"/>
  <c r="N43" i="1"/>
  <c r="N1023" i="1"/>
  <c r="N961" i="1"/>
  <c r="N496" i="1"/>
  <c r="N449" i="1"/>
  <c r="N483" i="1"/>
  <c r="N1010" i="1"/>
  <c r="N1052" i="1"/>
  <c r="N1596" i="1"/>
  <c r="N914" i="1"/>
  <c r="N763" i="1"/>
  <c r="N286" i="1"/>
  <c r="N865" i="1"/>
  <c r="N1376" i="1"/>
  <c r="N1393" i="1"/>
  <c r="N179" i="1"/>
  <c r="N1262" i="1"/>
  <c r="N1153" i="1"/>
  <c r="N447" i="1"/>
  <c r="N475" i="1"/>
  <c r="N159" i="1"/>
  <c r="N995" i="1"/>
  <c r="N1491" i="1"/>
  <c r="N981" i="1"/>
  <c r="N453" i="1"/>
  <c r="N664" i="1"/>
  <c r="N479" i="1"/>
  <c r="N646" i="1"/>
  <c r="N931" i="1"/>
  <c r="N615" i="1"/>
  <c r="N752" i="1"/>
  <c r="N502" i="1"/>
  <c r="N1272" i="1"/>
  <c r="N1254" i="1"/>
  <c r="N1559" i="1"/>
  <c r="N369" i="1"/>
  <c r="N1326" i="1"/>
  <c r="N151" i="1"/>
  <c r="N880" i="1"/>
  <c r="N289" i="1"/>
  <c r="N291" i="1"/>
  <c r="N1288" i="1"/>
  <c r="N1534" i="1"/>
  <c r="N1338" i="1"/>
  <c r="N1337" i="1"/>
  <c r="N211" i="1"/>
  <c r="N84" i="1"/>
  <c r="N1583" i="1"/>
  <c r="N949" i="1"/>
  <c r="N428" i="1"/>
  <c r="N999" i="1"/>
  <c r="N1507" i="1"/>
  <c r="N1446" i="1"/>
  <c r="N710" i="1"/>
  <c r="N421" i="1"/>
  <c r="N283" i="1"/>
  <c r="N70" i="1"/>
  <c r="N1526" i="1"/>
  <c r="N1290" i="1"/>
  <c r="N1567" i="1"/>
  <c r="N1054" i="1"/>
  <c r="N1295" i="1"/>
  <c r="N1424" i="1"/>
  <c r="N412" i="1"/>
  <c r="N962" i="1"/>
  <c r="N1017" i="1"/>
  <c r="N1180" i="1"/>
  <c r="N934" i="1"/>
  <c r="N897" i="1"/>
  <c r="N1603" i="1"/>
  <c r="N1039" i="1"/>
  <c r="N1490" i="1"/>
  <c r="N913" i="1"/>
  <c r="N1700" i="1"/>
  <c r="N1699" i="1"/>
  <c r="N1412" i="1"/>
  <c r="N52" i="1"/>
  <c r="N1201" i="1"/>
  <c r="N1200" i="1"/>
  <c r="N386" i="1"/>
  <c r="N145" i="1"/>
  <c r="N1735" i="1"/>
  <c r="N767" i="1"/>
  <c r="N227" i="1"/>
  <c r="N78" i="1"/>
  <c r="N1104" i="1"/>
  <c r="N455" i="1"/>
  <c r="N71" i="1"/>
  <c r="N648" i="1"/>
  <c r="N831" i="1"/>
  <c r="N476" i="1"/>
  <c r="N1712" i="1"/>
  <c r="N1723" i="1"/>
  <c r="N102" i="1"/>
  <c r="N228" i="1"/>
  <c r="N190" i="1"/>
  <c r="N1082" i="1"/>
  <c r="N1058" i="1"/>
  <c r="N959" i="1"/>
  <c r="N893" i="1"/>
  <c r="N254" i="1"/>
  <c r="N54" i="1"/>
  <c r="N645" i="1"/>
  <c r="T120" i="1" l="1"/>
  <c r="T119" i="1"/>
</calcChain>
</file>

<file path=xl/sharedStrings.xml><?xml version="1.0" encoding="utf-8"?>
<sst xmlns="http://schemas.openxmlformats.org/spreadsheetml/2006/main" count="14279" uniqueCount="5608">
  <si>
    <t>Eurosat</t>
  </si>
  <si>
    <t>Consecutivo</t>
  </si>
  <si>
    <t>FechaInicial</t>
  </si>
  <si>
    <t>FechaCierre</t>
  </si>
  <si>
    <t>FechaAdelanto</t>
  </si>
  <si>
    <t>NombreProyecto</t>
  </si>
  <si>
    <t>Proyecto</t>
  </si>
  <si>
    <t>CodigoCliente</t>
  </si>
  <si>
    <t>NombreCliente</t>
  </si>
  <si>
    <t>Area</t>
  </si>
  <si>
    <t>Asesores</t>
  </si>
  <si>
    <t>MontoContrato</t>
  </si>
  <si>
    <t>MontoCancelado</t>
  </si>
  <si>
    <t>Pendiente cobrar</t>
  </si>
  <si>
    <t>MontoFacturado</t>
  </si>
  <si>
    <t>Pendiente facturar</t>
  </si>
  <si>
    <t>Adelantos</t>
  </si>
  <si>
    <t>Empresa</t>
  </si>
  <si>
    <t>Observaciones</t>
  </si>
  <si>
    <t>Monto</t>
  </si>
  <si>
    <t>Ventas</t>
  </si>
  <si>
    <t>EPSILON - EVOLUTION FREE ZONE VD-25-10-28 25-10-27</t>
  </si>
  <si>
    <t>2026-27</t>
  </si>
  <si>
    <t xml:space="preserve">001321    </t>
  </si>
  <si>
    <t>EVOLUTION FREE ZONE SOCIEDAD ANONIMA</t>
  </si>
  <si>
    <t>Oficinas</t>
  </si>
  <si>
    <t xml:space="preserve"> Indira Solano</t>
  </si>
  <si>
    <t>Euromobilia</t>
  </si>
  <si>
    <t>Facturar con avances</t>
  </si>
  <si>
    <t>Administrativo</t>
  </si>
  <si>
    <t>32448, 32606_Megarack</t>
  </si>
  <si>
    <t>2025-995</t>
  </si>
  <si>
    <t>2667</t>
  </si>
  <si>
    <t>NUEVOS ALMACENES S.A.</t>
  </si>
  <si>
    <t>Vertice</t>
  </si>
  <si>
    <t xml:space="preserve"> Sonia Ruiz</t>
  </si>
  <si>
    <t>AZUL PARAISO / CONSTRUCTORA PROYCON SOCIEDAD ANONIMA</t>
  </si>
  <si>
    <t>2025-1437</t>
  </si>
  <si>
    <t>001433</t>
  </si>
  <si>
    <t>CONSTRUCTORA PROYCON SOCIEDAD ANONIMA</t>
  </si>
  <si>
    <t>Proyectos</t>
  </si>
  <si>
    <t xml:space="preserve"> Dominique Hernandez Rodriguez</t>
  </si>
  <si>
    <t>TORRE DON BOSCO / COMPANIA CONSTRUCTORA VAN DER LAAT Y JIMENEZ S.A.</t>
  </si>
  <si>
    <t>2026-131</t>
  </si>
  <si>
    <t>1450</t>
  </si>
  <si>
    <t>COMPANIA CONSTRUCTORA VAN DER LAAT Y JIMENEZ S.A.</t>
  </si>
  <si>
    <t xml:space="preserve"> Fabian Brenes Berrocal</t>
  </si>
  <si>
    <t>PALERMO HOMES / PALERMO HOMES SOCIEDAD ANONIMA</t>
  </si>
  <si>
    <t>2025-1370</t>
  </si>
  <si>
    <t>002185</t>
  </si>
  <si>
    <t>PALERMO HOMES SOCIEDAD ANONIMA</t>
  </si>
  <si>
    <t>ABBOTT MEDICAL 25-12-10 VD-25-12-13</t>
  </si>
  <si>
    <t>2026-24</t>
  </si>
  <si>
    <t xml:space="preserve">2701      </t>
  </si>
  <si>
    <t>ABBOTT MEDICAL COSTA RICA LIMITADA</t>
  </si>
  <si>
    <t xml:space="preserve"> Giselle Alfaro</t>
  </si>
  <si>
    <t>Pendiente OC - Para facturar el 50%</t>
  </si>
  <si>
    <t xml:space="preserve">EURO NASARA S.A /  ETAPA 3 </t>
  </si>
  <si>
    <t>2025-14</t>
  </si>
  <si>
    <t xml:space="preserve">1723      </t>
  </si>
  <si>
    <t>EURO NASARA SOCIEDAD ANONIMA</t>
  </si>
  <si>
    <t>UNIKO SAN FRANCISCO ETAPA # 4</t>
  </si>
  <si>
    <t>2026-39</t>
  </si>
  <si>
    <t xml:space="preserve">6267      </t>
  </si>
  <si>
    <t>3-101-820946 S.A.</t>
  </si>
  <si>
    <t>3-101-877955 S.A ESENCIA DESAMPARADOS</t>
  </si>
  <si>
    <t>2025-541</t>
  </si>
  <si>
    <t xml:space="preserve">002326    </t>
  </si>
  <si>
    <t>3-101-877955 SOCIEDAD ANONIMA</t>
  </si>
  <si>
    <t xml:space="preserve">Abbott Medical CostaRica Limitada VD-25-12-02 </t>
  </si>
  <si>
    <t>2026-25</t>
  </si>
  <si>
    <t>VOLIO &amp; TREJOS ASOCIADOS S.A. VD-25-11-02 VD-25-10-04</t>
  </si>
  <si>
    <t>2026-26</t>
  </si>
  <si>
    <t xml:space="preserve">1566      </t>
  </si>
  <si>
    <t>VOLIO &amp; TREJOS ASOCIADOS S.A.</t>
  </si>
  <si>
    <t>ARBORA SAN FRANCISCO / PROYECTO PRINCIPAL</t>
  </si>
  <si>
    <t>2025-1511</t>
  </si>
  <si>
    <t>001928</t>
  </si>
  <si>
    <t>3 101 861274 SOCIEDAD ANONIMA</t>
  </si>
  <si>
    <t>EURO LINDORA FA S.A / ETAPA 3 **Lindora Village OV3893 OC 21903</t>
  </si>
  <si>
    <t>2025-1232</t>
  </si>
  <si>
    <t>6068</t>
  </si>
  <si>
    <t>EURO LINDORA FA S.A.</t>
  </si>
  <si>
    <t>CEI EPSILON DPS/ BILCO/ CHATBOX/ VD-25-08-08P</t>
  </si>
  <si>
    <t>2025-128</t>
  </si>
  <si>
    <t>004787</t>
  </si>
  <si>
    <t xml:space="preserve"> José Alberto Peraza Contreras</t>
  </si>
  <si>
    <t>Paneltec</t>
  </si>
  <si>
    <t>Facturar Venta sucesiva - 60% entrega equipo - Revisar BL</t>
  </si>
  <si>
    <t>SKY HOUSE / 3-101-818433 S.A.</t>
  </si>
  <si>
    <t>2025-1107</t>
  </si>
  <si>
    <t>001850</t>
  </si>
  <si>
    <t>3-101-818433 S.A.</t>
  </si>
  <si>
    <t>32998_Medium Racks</t>
  </si>
  <si>
    <t>2025-1416</t>
  </si>
  <si>
    <t>2212</t>
  </si>
  <si>
    <t>CONSTRUCTORA NAVARRO Y AVILES SOCIEDAD ANONIMA</t>
  </si>
  <si>
    <t>CIELO NUNCIATURA SOCIEDAD ANONIMA (SIIX) / ELECTROS</t>
  </si>
  <si>
    <t>2025-553</t>
  </si>
  <si>
    <t xml:space="preserve">001207    </t>
  </si>
  <si>
    <t>CIELO NUNCIATURA SOCIEDAD ANONIMA</t>
  </si>
  <si>
    <t>32551_Megarack</t>
  </si>
  <si>
    <t>2026-17</t>
  </si>
  <si>
    <t>3639</t>
  </si>
  <si>
    <t>ZONA FRANCA LA LIMA S.R.L</t>
  </si>
  <si>
    <t xml:space="preserve"> Leonardo garcia</t>
  </si>
  <si>
    <t>32876, 32547, 32687_Megarack</t>
  </si>
  <si>
    <t>2025-1391</t>
  </si>
  <si>
    <t>001321</t>
  </si>
  <si>
    <t>ESCAZU 121 // C.D.S INGENIERIA SOCIEDAD ANONIMA</t>
  </si>
  <si>
    <t>2025-556</t>
  </si>
  <si>
    <t xml:space="preserve">002366    </t>
  </si>
  <si>
    <t>C.D.S INGENIERIA SOCIEDAD ANONIMA</t>
  </si>
  <si>
    <t xml:space="preserve"> Mariana Araya</t>
  </si>
  <si>
    <t>32608_Megarack</t>
  </si>
  <si>
    <t>2025-1210</t>
  </si>
  <si>
    <t>002011</t>
  </si>
  <si>
    <t>SERVICIOS LOGISTICOS Y CORPORATIVOS FAVALQUE SOCIE</t>
  </si>
  <si>
    <t xml:space="preserve"> Jose Palacio</t>
  </si>
  <si>
    <t>2026-51</t>
  </si>
  <si>
    <t>002366</t>
  </si>
  <si>
    <t>EDIFISA 25-10-23P HOSPITAL METROPOLITANO</t>
  </si>
  <si>
    <t>2025-153</t>
  </si>
  <si>
    <t xml:space="preserve">002516    </t>
  </si>
  <si>
    <t>EDIFISA CONSTRUCTORA SOCIEDAD ANONIMA</t>
  </si>
  <si>
    <t xml:space="preserve"> Kenther Chaves</t>
  </si>
  <si>
    <t>Facturar 35% según avance - evidencia foto 30%</t>
  </si>
  <si>
    <t>BLOCK CONSTRUCTORA/ BOSTON SCIENTIFIC/ 25-10-03P</t>
  </si>
  <si>
    <t>2025-179</t>
  </si>
  <si>
    <t xml:space="preserve">002318    </t>
  </si>
  <si>
    <t>BLOCK CONSTRUCTORA SOCIEDAD ANONIMA</t>
  </si>
  <si>
    <t>Cobrar 50% - Facturado</t>
  </si>
  <si>
    <t>32443_Megarack</t>
  </si>
  <si>
    <t>2025-923</t>
  </si>
  <si>
    <t>1774</t>
  </si>
  <si>
    <t>ELECTROPLAST SOCIEDAD ANONIMA</t>
  </si>
  <si>
    <t>PANORAMA 270 / CONSULTORA T TRES LIMITADA</t>
  </si>
  <si>
    <t>2025-722</t>
  </si>
  <si>
    <t>001487</t>
  </si>
  <si>
    <t>CONSULTORA T TRES LIMITADA</t>
  </si>
  <si>
    <t xml:space="preserve"> Daniel Aguilar Villalobos</t>
  </si>
  <si>
    <t>32877_Megarack</t>
  </si>
  <si>
    <t>2025-1492</t>
  </si>
  <si>
    <t>2691</t>
  </si>
  <si>
    <t>JOPCO DE CENTRO AMERICA SOCIEDAD ANONIMA</t>
  </si>
  <si>
    <t>CEI EPSILON BWI/ BILCO/ 25-07-05P</t>
  </si>
  <si>
    <t>2025-155</t>
  </si>
  <si>
    <t xml:space="preserve">004787    </t>
  </si>
  <si>
    <t>Producto sitio 40% - Ana Valdivia</t>
  </si>
  <si>
    <t>ZONA FRANCA LA LIMA S.R.L 25-11-07 VD-25-11-16 VD-25-11-17</t>
  </si>
  <si>
    <t>2026-49</t>
  </si>
  <si>
    <t xml:space="preserve">3639      </t>
  </si>
  <si>
    <t>Cobrar 60% - consultar si se factura / correo en consulta pago</t>
  </si>
  <si>
    <t>CONCENTRIX/ 25-08-28 25-08-28A 25-08-25B 25-10-16 25-10-17 25-10-18 25-10-15</t>
  </si>
  <si>
    <t>2025-1410</t>
  </si>
  <si>
    <t>001823</t>
  </si>
  <si>
    <t>CONCENTRIX COSTA RICA SOCIEDAD ANONIMA</t>
  </si>
  <si>
    <t xml:space="preserve">Facturar 20mil dolares / facturado </t>
  </si>
  <si>
    <t>EURO NASARA S.A /  ETAPA 3</t>
  </si>
  <si>
    <t>2025-50</t>
  </si>
  <si>
    <t>1723</t>
  </si>
  <si>
    <t>HACIENDA CAFETO / EURO HACIENDA CFT SOCIEDAD ANONIMA</t>
  </si>
  <si>
    <t>2025-1227</t>
  </si>
  <si>
    <t>001903</t>
  </si>
  <si>
    <t>EURO HACIENDA CFT SOCIEDAD ANONIMA</t>
  </si>
  <si>
    <t/>
  </si>
  <si>
    <t>MUNICIPALIDAD DE HEREDIA 25-12-06 25-12-07 VD-25-12-11</t>
  </si>
  <si>
    <t>2026-4</t>
  </si>
  <si>
    <t xml:space="preserve">1827      </t>
  </si>
  <si>
    <t>MUNICIPALIDAD DE HEREDIA</t>
  </si>
  <si>
    <t xml:space="preserve"> Maria P. Villagra /Productividad Humana</t>
  </si>
  <si>
    <t>Inicio marzo 2026 - Contra entrega</t>
  </si>
  <si>
    <t>SERVICIOS DE ULTRASONIDO Y RADIOLOGÍA  ALFER SA - Cocina BC3 + fregadero + cachera+ lavaplatos + des</t>
  </si>
  <si>
    <t>2025-1157</t>
  </si>
  <si>
    <t xml:space="preserve">4791      </t>
  </si>
  <si>
    <t>SERVICIOS DE ULTRASONIDO Y RADIOLOGÍA  ALFER SA</t>
  </si>
  <si>
    <t>Hogar</t>
  </si>
  <si>
    <t xml:space="preserve"> Esteban Garcia</t>
  </si>
  <si>
    <t>32397_Megarack Trinidad y Tobago</t>
  </si>
  <si>
    <t>2025-893</t>
  </si>
  <si>
    <t>001731</t>
  </si>
  <si>
    <t>PriceSmart Clubs (TT) Ltd.</t>
  </si>
  <si>
    <t>ECO MORAVIA / 3-101-873996 S.A.</t>
  </si>
  <si>
    <t>2025-1404</t>
  </si>
  <si>
    <t>001946</t>
  </si>
  <si>
    <t>3-101-873996 S.A.</t>
  </si>
  <si>
    <t>33126_Megarack</t>
  </si>
  <si>
    <t>2026-104</t>
  </si>
  <si>
    <t>002505</t>
  </si>
  <si>
    <t>ARRENDADORA SARITA S.A.</t>
  </si>
  <si>
    <t xml:space="preserve"> Oscar Garcia</t>
  </si>
  <si>
    <t>CEI EPSILON BWI/ BILCO/ MODERNFOLD/ VD-25-07-12P</t>
  </si>
  <si>
    <t>2025-129</t>
  </si>
  <si>
    <t>UNIKO SAN FRANCISCO ETAPA # 3 / SAN FRANCISCO ETAPA # 3</t>
  </si>
  <si>
    <t>2025-930</t>
  </si>
  <si>
    <t>6267</t>
  </si>
  <si>
    <t>33194_Megarack (cerramiento)</t>
  </si>
  <si>
    <t>2026-106</t>
  </si>
  <si>
    <t>320172_Selectivo</t>
  </si>
  <si>
    <t>2025-791</t>
  </si>
  <si>
    <t>000482</t>
  </si>
  <si>
    <t>COMERCIALIZADORA Y PRODUCTORA DE BEBIDAS LOS VOLCA</t>
  </si>
  <si>
    <t>CONTRACT- U LATINA/ LAVAMANOS/ VD-25-05-08P</t>
  </si>
  <si>
    <t>2025-78</t>
  </si>
  <si>
    <t xml:space="preserve">004501    </t>
  </si>
  <si>
    <t>CONTRACT WORKPLACES COSTA RICA SOCIEDAD ANONIMA</t>
  </si>
  <si>
    <t xml:space="preserve"> Henry Calvo</t>
  </si>
  <si>
    <t>Tabla de avance facturado - pendiente pago</t>
  </si>
  <si>
    <t>CONTRACT/ U LATINA/ MOBILIARIO FIJO/ 25-09-06P VD-25-09-02P</t>
  </si>
  <si>
    <t>2025-184</t>
  </si>
  <si>
    <t>Tabla de avance pendiente - Stella</t>
  </si>
  <si>
    <t>ACCUDYN  26-02-04P VD-26-02-05P VD-26-02-01P</t>
  </si>
  <si>
    <t xml:space="preserve">004801    </t>
  </si>
  <si>
    <t xml:space="preserve">ACCUDYN DE COSTA RICA SOCIEDAD DE RESPONSABILIDAD </t>
  </si>
  <si>
    <t xml:space="preserve">Facturar hasta entrega final - 23 marzo - Cobrar 20% </t>
  </si>
  <si>
    <t>SPC TELECENTINEL SOCIEDAD ANONIMA - Proyecto completo</t>
  </si>
  <si>
    <t>2025-19</t>
  </si>
  <si>
    <t xml:space="preserve">5282      </t>
  </si>
  <si>
    <t>SPC TELECENTINEL SOCIEDAD ANONIMA</t>
  </si>
  <si>
    <t xml:space="preserve">TSE 25-03-18 LOS CHILES </t>
  </si>
  <si>
    <t>2025-1469</t>
  </si>
  <si>
    <t>5052</t>
  </si>
  <si>
    <t>TRIBUNAL SUPREMO DE ELECCIONES</t>
  </si>
  <si>
    <t>Facturar hasta entrega final</t>
  </si>
  <si>
    <t>32550_Megarack</t>
  </si>
  <si>
    <t>2025-1334</t>
  </si>
  <si>
    <t>1763</t>
  </si>
  <si>
    <t>INTACO COSTA RICA SOCIEDAD ANONIMA</t>
  </si>
  <si>
    <t>32032_Megarack plataforma</t>
  </si>
  <si>
    <t>2025-549</t>
  </si>
  <si>
    <t>001393</t>
  </si>
  <si>
    <t>DICORA SERVICIOS EMPRESARIALES SOCIEDAD ANONIMA</t>
  </si>
  <si>
    <t>32770_Megarack Guatemala</t>
  </si>
  <si>
    <t>2025-1295</t>
  </si>
  <si>
    <t>001562</t>
  </si>
  <si>
    <t>PriceSmart Inc</t>
  </si>
  <si>
    <t>LOS CRESTONES/ CONNECT MERIDIANO/ 25-04-05</t>
  </si>
  <si>
    <t>2025-938</t>
  </si>
  <si>
    <t xml:space="preserve">3739      </t>
  </si>
  <si>
    <t>FONDO DE INVERSION INMOB LOS CRESTONES</t>
  </si>
  <si>
    <t xml:space="preserve"> Productividad Humana-Mariana Araya</t>
  </si>
  <si>
    <t>Pendiente de facturar con tabla de avance</t>
  </si>
  <si>
    <t>MICROVENTION // TERUMO VD-25-12-03P</t>
  </si>
  <si>
    <t xml:space="preserve">001853    </t>
  </si>
  <si>
    <t>MICROVENTION COSTA RICA, S.R.L</t>
  </si>
  <si>
    <t>Gestión de cobro - pendiente pago</t>
  </si>
  <si>
    <t>33244_Push Back</t>
  </si>
  <si>
    <t>2026-108</t>
  </si>
  <si>
    <t>000932</t>
  </si>
  <si>
    <t>CORPORACION PIPASA SOCIEDAD DE RESPONSABILIDAD LIM</t>
  </si>
  <si>
    <t>CONTRACT/ U LATINA/ VD-25-07-03P</t>
  </si>
  <si>
    <t>2025-95</t>
  </si>
  <si>
    <t>32429_Selectivo</t>
  </si>
  <si>
    <t>2025-1036</t>
  </si>
  <si>
    <t>000531</t>
  </si>
  <si>
    <t>INARI MEDICAL COSTA RICA SOCIEDAD ANONIMA</t>
  </si>
  <si>
    <t>CONSTRUCTORA ENRIQUE MUÑOZ/ BCR ARANJUEZ 26-01-04P</t>
  </si>
  <si>
    <t>2026-8</t>
  </si>
  <si>
    <t xml:space="preserve">000606    </t>
  </si>
  <si>
    <t>CONSTRUCTORA ENRIQUE MUÑOZ S.A.</t>
  </si>
  <si>
    <t xml:space="preserve"> Carlos Ocampo</t>
  </si>
  <si>
    <t>Cobrar 35% - Facturar al final del proyecto</t>
  </si>
  <si>
    <t>EVOLUTION FREE ZONE/CODE VD-26-01-11</t>
  </si>
  <si>
    <t>2026-110</t>
  </si>
  <si>
    <t>Se factura mes a mes por tres meses / correo en consulta de la OC</t>
  </si>
  <si>
    <t>31714_Megaracks</t>
  </si>
  <si>
    <t>2025-728</t>
  </si>
  <si>
    <t>000240</t>
  </si>
  <si>
    <t>TERADYNE DECOSTA RICA SOCIEDAD DE RESPONSABILIDAD</t>
  </si>
  <si>
    <t xml:space="preserve"> Mauricio Garcia Mainieri</t>
  </si>
  <si>
    <t>BANCO PROMERICA DE COSTA RICA 26-01-12</t>
  </si>
  <si>
    <t xml:space="preserve">1784      </t>
  </si>
  <si>
    <t>BANCO PROMERICA DE COSTA RICA SOCIEDAD ANONIMA - PEZ VELA</t>
  </si>
  <si>
    <t>Pendiente entrega</t>
  </si>
  <si>
    <t>29774, 31932_Selectivo y gastos extras</t>
  </si>
  <si>
    <t>2025-1195</t>
  </si>
  <si>
    <t>5626</t>
  </si>
  <si>
    <t>CORPORACION DE SUPERMERCADOS UNIDOS SOCIEDAD DE RE</t>
  </si>
  <si>
    <t>CONTRACT WORKPLACE-SQUADFORCE VD-25-11-01P 25-11-02P</t>
  </si>
  <si>
    <t>2025-175</t>
  </si>
  <si>
    <t>004501</t>
  </si>
  <si>
    <t>Facturar 30% según avance y OC 76015</t>
  </si>
  <si>
    <t>CARIARI // Hotel Hyatt 25-11-04P VD-25-11-05P</t>
  </si>
  <si>
    <t>2026-5</t>
  </si>
  <si>
    <t xml:space="preserve">004798    </t>
  </si>
  <si>
    <t>CARIARI PREMIUM OUTLETS SOCIEDAD ANONIMA</t>
  </si>
  <si>
    <t>Cobrar segundo pago 30 días despues de firma - $6396</t>
  </si>
  <si>
    <t>BLOCK CONSTRUCTORA  25-12-06P</t>
  </si>
  <si>
    <t>2026-10</t>
  </si>
  <si>
    <t>002318</t>
  </si>
  <si>
    <t>Cobrar 35% - Facturar 100%</t>
  </si>
  <si>
    <t>RYTHMLINK/ MILLIKEN/ VD-25-10-04P</t>
  </si>
  <si>
    <t>2025-142</t>
  </si>
  <si>
    <t>004793</t>
  </si>
  <si>
    <t>GRUPO DESARROLLADOR DE PARQUES INDUSTRIALES SOCIED</t>
  </si>
  <si>
    <t>1 semana marzo el 35%</t>
  </si>
  <si>
    <t>MUNICIPALIDAD DE OSA VD-25-09-24</t>
  </si>
  <si>
    <t>2025-1337</t>
  </si>
  <si>
    <t xml:space="preserve">002156    </t>
  </si>
  <si>
    <t>MUNICIPALIDAD DE OSA</t>
  </si>
  <si>
    <t>32895_Medium Racks</t>
  </si>
  <si>
    <t>2025-1431</t>
  </si>
  <si>
    <t>000525</t>
  </si>
  <si>
    <t>CORPORACION DE COMPAÑIAS AGROINDUSTRIALES CCA SRL</t>
  </si>
  <si>
    <t>Sky Garden / Amenides / GN TWCR SOCIEDAD ANONIMA</t>
  </si>
  <si>
    <t>2026-59</t>
  </si>
  <si>
    <t>002062</t>
  </si>
  <si>
    <t>GN TWCR SOCIEDAD ANONIMA</t>
  </si>
  <si>
    <t xml:space="preserve"> Melissa Torres</t>
  </si>
  <si>
    <t>LOS CRESTONES/ STEWART/ 25-06-15 VD-25-06-15 VD-25-06-16</t>
  </si>
  <si>
    <t>2025-1234</t>
  </si>
  <si>
    <t>3739</t>
  </si>
  <si>
    <t>Pendiente entrega final</t>
  </si>
  <si>
    <t>CORPORACION DERMATOLOGICA S.A. - COCINA CON ELECTRODOMÉSTICOS</t>
  </si>
  <si>
    <t>2025-419</t>
  </si>
  <si>
    <t xml:space="preserve">5182      </t>
  </si>
  <si>
    <t>CORPORACION DERMATOLOGICA S.A.</t>
  </si>
  <si>
    <t xml:space="preserve"> Valeria Obando</t>
  </si>
  <si>
    <t>ULTRAPARK DOS // VD-25-11-12P</t>
  </si>
  <si>
    <t>2026-7</t>
  </si>
  <si>
    <t xml:space="preserve">002555    </t>
  </si>
  <si>
    <t>ULTRAPARK DOS SOCIEDAD ANONIMA</t>
  </si>
  <si>
    <t>Cobrar 35% hasta llegar a sitio - 1er semana marzo</t>
  </si>
  <si>
    <t>RYTHMLINK ACUSTICO VD-25-11-09P CLEANCO</t>
  </si>
  <si>
    <t>REPUBLIC OFFICE S.A VD-25-10-09</t>
  </si>
  <si>
    <t>2025-1366</t>
  </si>
  <si>
    <t xml:space="preserve">000368    </t>
  </si>
  <si>
    <t>REPUBLIC OFFICE S.A</t>
  </si>
  <si>
    <t>Factura contra entrega</t>
  </si>
  <si>
    <t>CARLOS ANDRES VILLALOBOS ARAYA - ELECTRODOMESTICOS MONOGRAM</t>
  </si>
  <si>
    <t>2025-1506</t>
  </si>
  <si>
    <t xml:space="preserve">000632    </t>
  </si>
  <si>
    <t>CARLOS ANDRES VILLALOBOS ARAYA</t>
  </si>
  <si>
    <t>IMS CONSTRUCCIONES/HOSP SAN VICENTE 25-09-17 25-09-18 VD-25-09-25</t>
  </si>
  <si>
    <t>2025-1450</t>
  </si>
  <si>
    <t xml:space="preserve">000794    </t>
  </si>
  <si>
    <t>IMS CONSTRUCCIONES SOCIEDAD ANONIMA</t>
  </si>
  <si>
    <t>Facturar hasta entrega final - 2da semana marzo</t>
  </si>
  <si>
    <t>33197_Megarack</t>
  </si>
  <si>
    <t>2026-105</t>
  </si>
  <si>
    <t>320173_Selectivo</t>
  </si>
  <si>
    <t>2025-792</t>
  </si>
  <si>
    <t>000481</t>
  </si>
  <si>
    <t>ALIMENTOS Y BEBIDAS ATLANTIDA S.A.</t>
  </si>
  <si>
    <t>31850_Megarack</t>
  </si>
  <si>
    <t>2025-1448</t>
  </si>
  <si>
    <t>000200</t>
  </si>
  <si>
    <t>A&amp;E FREIGHT LOGISTICS SOCIEDAD ANONIMA</t>
  </si>
  <si>
    <t>FINANCIERA CAFSA 26-01-03P VD-26-01-03P</t>
  </si>
  <si>
    <t>2026-21</t>
  </si>
  <si>
    <t xml:space="preserve">004513    </t>
  </si>
  <si>
    <t>FINANCIERA CAFSA SOCIEDAD ANONIMA</t>
  </si>
  <si>
    <t>Gestión de pago</t>
  </si>
  <si>
    <t>PANORAMA 270 // RODAPIÉ // CONSULTORA T TRES LIMITADA</t>
  </si>
  <si>
    <t>2025-1360</t>
  </si>
  <si>
    <t xml:space="preserve"> Andrea Azofeifa Venegas</t>
  </si>
  <si>
    <t>ANDRES RAMOS GUTIERREZ - VENTAS ONLINE</t>
  </si>
  <si>
    <t>2025-1519</t>
  </si>
  <si>
    <t xml:space="preserve">002202    </t>
  </si>
  <si>
    <t>ANDRES RAMOS GUTIERREZ</t>
  </si>
  <si>
    <t xml:space="preserve"> Diego Piedra</t>
  </si>
  <si>
    <t>32844_Medium Racks</t>
  </si>
  <si>
    <t>2026-75</t>
  </si>
  <si>
    <t>002475</t>
  </si>
  <si>
    <t>BAYER SOCIEDAD ANONIMA</t>
  </si>
  <si>
    <t>33034_Megarack</t>
  </si>
  <si>
    <t>2025-1460</t>
  </si>
  <si>
    <t>2717</t>
  </si>
  <si>
    <t>HERAEUS MEDICAL COMPONENTS SOCIEDAD DE RESPONSABIL</t>
  </si>
  <si>
    <t xml:space="preserve"> Giovanna Ortegon</t>
  </si>
  <si>
    <t>GINA PAOLA CHOCONTA MAHECHA - mueble BBQ y closet</t>
  </si>
  <si>
    <t>2025-966</t>
  </si>
  <si>
    <t xml:space="preserve">000715    </t>
  </si>
  <si>
    <t>GINA PAOLA CHOCONTA MAHECHA</t>
  </si>
  <si>
    <t xml:space="preserve"> Rolando Angulo Marin</t>
  </si>
  <si>
    <t>CONTRACT/ U LATINA/ PUERTAS METALICAS/ VD-25-05-03P</t>
  </si>
  <si>
    <t>2025-72</t>
  </si>
  <si>
    <t>33080_Selectivo</t>
  </si>
  <si>
    <t>2025-1477</t>
  </si>
  <si>
    <t>001718</t>
  </si>
  <si>
    <t>ALIMENTOS PROSALUD SOCIEDAD ANONIMA</t>
  </si>
  <si>
    <t>FERRETERIA EPA, SA VD-25-12-04P</t>
  </si>
  <si>
    <t xml:space="preserve">004729    </t>
  </si>
  <si>
    <t>FERRETERIA EPA, SOCIEDAD ANONIMA</t>
  </si>
  <si>
    <t>Cobrar 35% hasta llegar a sitio - revisar avance proxima semana</t>
  </si>
  <si>
    <t>32466_Megarack coyol</t>
  </si>
  <si>
    <t>2025-1467</t>
  </si>
  <si>
    <t>PriceSmart, Inc.</t>
  </si>
  <si>
    <t>32780_Movimiento</t>
  </si>
  <si>
    <t>2025-1513</t>
  </si>
  <si>
    <t>2675</t>
  </si>
  <si>
    <t>NESTLE GUATEMALA S.A.</t>
  </si>
  <si>
    <t xml:space="preserve"> Marco Camacho</t>
  </si>
  <si>
    <t>CIAPA 25-12-04 / VD-25-12-09</t>
  </si>
  <si>
    <t>002399</t>
  </si>
  <si>
    <t>ASOCIACION CENTRO DE INVESTIGACION Y ADIESTRAMIENT</t>
  </si>
  <si>
    <t>Facturar 100%</t>
  </si>
  <si>
    <t>SINSE/ ASECCSS/ 25-05-32A VD-25-05-24</t>
  </si>
  <si>
    <t>2025-1305</t>
  </si>
  <si>
    <t>1529</t>
  </si>
  <si>
    <t>SUMINISTROS INDUSTRIALES SOTO ESPINOZA S.A.</t>
  </si>
  <si>
    <t>Pendiente correción contrato - facturar despues de memo</t>
  </si>
  <si>
    <t>EVOLUTION FREE ZONE - INTRICON 25-04-13</t>
  </si>
  <si>
    <t>2025-610</t>
  </si>
  <si>
    <t>Facturar saldo pendiente - tabla avance</t>
  </si>
  <si>
    <t>EVOLUTION FREE ZONE/ ACCUDYN VD-25-11-18</t>
  </si>
  <si>
    <t>2026-11</t>
  </si>
  <si>
    <t xml:space="preserve"> Productividad Humana-Julian Sibaja</t>
  </si>
  <si>
    <t>33109_Megarack</t>
  </si>
  <si>
    <t>2026-43</t>
  </si>
  <si>
    <t>002452</t>
  </si>
  <si>
    <t>EMPRESAS CLEVELAND SOCIEDAD ANONIMA</t>
  </si>
  <si>
    <t xml:space="preserve"> Johnny Segura Arguedas</t>
  </si>
  <si>
    <t>COMPANIA CONSTRUCTORA VAN DER LAAT Y JIMENEZ S.A.  HOSP PUNTARENAS VD-25-01-12</t>
  </si>
  <si>
    <t>2025-176</t>
  </si>
  <si>
    <t>Facturar 100% - Consultar a cliente</t>
  </si>
  <si>
    <t>33137_Selectivo</t>
  </si>
  <si>
    <t>2026-107</t>
  </si>
  <si>
    <t>2723</t>
  </si>
  <si>
    <t>LANCO PAINTS GUATEMALA,  S.A.</t>
  </si>
  <si>
    <t>DENNIS JOSE RODRIGUEZ ARCE - COCINA HANNOVER</t>
  </si>
  <si>
    <t>2025-1111</t>
  </si>
  <si>
    <t>000659</t>
  </si>
  <si>
    <t>DENNIS JOSE RODRIGUEZ ARCE</t>
  </si>
  <si>
    <t>PARKWOOD / TORRE DM PARQUE PERU SA</t>
  </si>
  <si>
    <t>2025-1407</t>
  </si>
  <si>
    <t>000421</t>
  </si>
  <si>
    <t>TORRE DM PARQUE PERU SA</t>
  </si>
  <si>
    <t>Flavio Casalvolone Rodríguez - VENTA ONLINE</t>
  </si>
  <si>
    <t>2025-1386</t>
  </si>
  <si>
    <t>002196</t>
  </si>
  <si>
    <t>Flavio Casalvolone Rodríguez</t>
  </si>
  <si>
    <t>NUCLEO / REGUS 24-09-05 24-09-06 VD-24-09-03</t>
  </si>
  <si>
    <t>2025-272</t>
  </si>
  <si>
    <t>000366</t>
  </si>
  <si>
    <t>NUCLEO BUSINESS CENTER SOCIEDAD ANONIMA</t>
  </si>
  <si>
    <t>TECNOMED QUINIENTOS 26-01-05</t>
  </si>
  <si>
    <t>2026-113</t>
  </si>
  <si>
    <t xml:space="preserve">002400    </t>
  </si>
  <si>
    <t>TECNOMED QUINIENTOS SEIS SOCIEDAD ANONIMA</t>
  </si>
  <si>
    <t>Facturar 60% / facturado</t>
  </si>
  <si>
    <t>EVOLUTION 25-11-06 VD-25-11-08  EPSILON-HYM FUSION</t>
  </si>
  <si>
    <t>2026-67</t>
  </si>
  <si>
    <t>ULTRAPARK- NEWMONT/ MODERNFOLD/ VD-25-05-20P</t>
  </si>
  <si>
    <t>2025-86</t>
  </si>
  <si>
    <t>002555</t>
  </si>
  <si>
    <t>Cobrar y facturar el saldo</t>
  </si>
  <si>
    <t>31580_Megarack</t>
  </si>
  <si>
    <t>2025-248</t>
  </si>
  <si>
    <t>001124</t>
  </si>
  <si>
    <t>ALIMENTOS Y BEBIDAS REGIONALES SOCIEDAD ANONIMA</t>
  </si>
  <si>
    <t xml:space="preserve"> Ana Evelyn Perez</t>
  </si>
  <si>
    <t>CONSTRUCTORA ENRIQUE MUÑOZ/ BCR ARANJUEZ VD-26-01-05P</t>
  </si>
  <si>
    <t>BOSQUES DEL CAFÉ / CONSTRUCTORA BRK S.A.</t>
  </si>
  <si>
    <t>2025-956</t>
  </si>
  <si>
    <t>1507</t>
  </si>
  <si>
    <t>CONSTRUCTORA BRK S.A.</t>
  </si>
  <si>
    <t>TECNOMED QUINIENTOS SEIS  25-12-03</t>
  </si>
  <si>
    <t>2026-134</t>
  </si>
  <si>
    <t>ALFONSO ENRIQUE MAIRENA ESPINOZA - VENTAS ONLINE</t>
  </si>
  <si>
    <t>2025-1318</t>
  </si>
  <si>
    <t>002141</t>
  </si>
  <si>
    <t>ALFONSO ENRIQUE MAIRENA ESPINOZA</t>
  </si>
  <si>
    <t>Tecnomed quinientos seis S.A 25-12-08</t>
  </si>
  <si>
    <t>2026-112</t>
  </si>
  <si>
    <t>Facturar 50%</t>
  </si>
  <si>
    <t>ABBOTT MEDICAL 25-11-01 VD-25-11-04</t>
  </si>
  <si>
    <t>2025-1471</t>
  </si>
  <si>
    <t>33130_Accesorios Modula</t>
  </si>
  <si>
    <t>2026-91</t>
  </si>
  <si>
    <t>000515</t>
  </si>
  <si>
    <t>MEGA LINEAS SOCIEDAD ANONIMA</t>
  </si>
  <si>
    <t xml:space="preserve"> Juan Jose Marten</t>
  </si>
  <si>
    <t>33235_Megarack</t>
  </si>
  <si>
    <t>2026-94</t>
  </si>
  <si>
    <t>2674</t>
  </si>
  <si>
    <t>CENTRO INTERNACIONAL DE INVERSIONES CII SOCIEDAD A</t>
  </si>
  <si>
    <t xml:space="preserve"> Dariel Andres Cinchilla Oviedo</t>
  </si>
  <si>
    <t>CONSTRUCTORA GONZALO DELGADO / NARANJO 25-08-07 VD-25-08-03</t>
  </si>
  <si>
    <t>2025-1089</t>
  </si>
  <si>
    <t xml:space="preserve">1841      </t>
  </si>
  <si>
    <t>CONSTRUCTORA GONZALO DELGADO SOCIEDAD ANONIMA</t>
  </si>
  <si>
    <t>VILMA PATRICIA OCONITRILLO ORTIZ - 2 CLOSET</t>
  </si>
  <si>
    <t>2025-753</t>
  </si>
  <si>
    <t>2050</t>
  </si>
  <si>
    <t>VILMA PATRICIA OCONITRILLO ORTIZ</t>
  </si>
  <si>
    <t xml:space="preserve">L L BEAN INC VD-25-12-07 </t>
  </si>
  <si>
    <t>2026-58</t>
  </si>
  <si>
    <t xml:space="preserve">000157    </t>
  </si>
  <si>
    <t>L L BEAN INC</t>
  </si>
  <si>
    <t>CRISTINA PATRICIA MONTES GONZALEZ - cocina y fregadero (MDG)</t>
  </si>
  <si>
    <t>2025-436</t>
  </si>
  <si>
    <t>6340</t>
  </si>
  <si>
    <t>CRISTINA PATRICIA MONTES GONZALEZ</t>
  </si>
  <si>
    <t xml:space="preserve"> Oldemar Mairena</t>
  </si>
  <si>
    <t>CONSTRUCTORA TABOR VD-26-01-27</t>
  </si>
  <si>
    <t>2026-109</t>
  </si>
  <si>
    <t xml:space="preserve">002492    </t>
  </si>
  <si>
    <t>CONSTRUCTORA TABOR REIMERS SOCIEDAD ANONIMA</t>
  </si>
  <si>
    <t>Se factura contra entrega</t>
  </si>
  <si>
    <t>CONSTRUCTORA GONZALO/ AREA DE SALUD NARANJO 25-08-14</t>
  </si>
  <si>
    <t>2025-1092</t>
  </si>
  <si>
    <t>MIGUEL AVENDAÑO ZELEDON - ELECTROS</t>
  </si>
  <si>
    <t>2025-145</t>
  </si>
  <si>
    <t xml:space="preserve">2298      </t>
  </si>
  <si>
    <t>MIGUEL AVENDAÑO ZELEDON</t>
  </si>
  <si>
    <t>33087_Accesorios</t>
  </si>
  <si>
    <t>2025-1515</t>
  </si>
  <si>
    <t>002394</t>
  </si>
  <si>
    <t>INARI MEDICAL COSTA RICA SOCIEDAD DE RESPONSABILID</t>
  </si>
  <si>
    <t>DENNIS JOSE RODRIGUEZ ARCE - ELECTRODOMESTICOS</t>
  </si>
  <si>
    <t>2025-1167</t>
  </si>
  <si>
    <t xml:space="preserve">000659    </t>
  </si>
  <si>
    <t>RESIDENCIA CP // BAUNZEN SOCIEDAD DE RESPONSABILIDAD LIMITADA</t>
  </si>
  <si>
    <t>2025-464</t>
  </si>
  <si>
    <t>001264</t>
  </si>
  <si>
    <t>BAUNZEN SOCIEDAD DE RESPONSABILIDAD LIMITADA</t>
  </si>
  <si>
    <t>CONSTRUCTORA NAVARRO Y AVILES 25-08-13</t>
  </si>
  <si>
    <t>2025-1292</t>
  </si>
  <si>
    <t xml:space="preserve">2212      </t>
  </si>
  <si>
    <t>Caso especial</t>
  </si>
  <si>
    <t>NOUVELLE SOCIEDAD ANONIMA VD-25-06-14</t>
  </si>
  <si>
    <t>2025-933</t>
  </si>
  <si>
    <t xml:space="preserve">5078      </t>
  </si>
  <si>
    <t>NOUVELLE SOCIEDAD ANONIMA</t>
  </si>
  <si>
    <t xml:space="preserve"> Jennifer Hooker Nuñez</t>
  </si>
  <si>
    <t xml:space="preserve">VAN DER LAAT/HOSPITAL DE PUNTARENAS VD-25-11-15 </t>
  </si>
  <si>
    <t>2026-133</t>
  </si>
  <si>
    <t xml:space="preserve">1450      </t>
  </si>
  <si>
    <t>AKV PROJECTS SRL - ELECTRODOMESTICOS</t>
  </si>
  <si>
    <t>2026-129</t>
  </si>
  <si>
    <t>002101</t>
  </si>
  <si>
    <t>AKV PROJECTS SRL</t>
  </si>
  <si>
    <t>FONDO DE INVERSION INMOB./ TERRAZA MULTIPARK  VD-25-05-06</t>
  </si>
  <si>
    <t>2025-612</t>
  </si>
  <si>
    <t xml:space="preserve">3629      </t>
  </si>
  <si>
    <t>FONDO DE INVERSION INMOBILIARIO GIBRALTAR</t>
  </si>
  <si>
    <t xml:space="preserve"> Diego Baldizon</t>
  </si>
  <si>
    <t>Revisar si debemos facturar y cobrar</t>
  </si>
  <si>
    <t>COMPANIA NACIONAL DE CHOCOLATES DCR S.A. VD-26-01-25</t>
  </si>
  <si>
    <t>2026-114</t>
  </si>
  <si>
    <t xml:space="preserve">1896      </t>
  </si>
  <si>
    <t>COMPANIA NACIONAL DE CHOCOLATES DCR S.A.</t>
  </si>
  <si>
    <t>Facturar 60%</t>
  </si>
  <si>
    <t>PARKWOOD / MUEBLES FIJOS / TORRE DM PARQUE PERU SA</t>
  </si>
  <si>
    <t>2025-1423</t>
  </si>
  <si>
    <t>GUANACASTE CARGA JEJ SOCIEDAD ANONIMA - Cocina BC3</t>
  </si>
  <si>
    <t>2025-685</t>
  </si>
  <si>
    <t>000749</t>
  </si>
  <si>
    <t>GUANACASTE CARGA JEJ SOCIEDAD ANONIMA</t>
  </si>
  <si>
    <t xml:space="preserve"> Mauricio Cortes</t>
  </si>
  <si>
    <t>ERIC EDUARDO DE JESUS ALVAREZ PEREZ - electrodomésticos a entregar con contrato de cocin</t>
  </si>
  <si>
    <t>2025-1068</t>
  </si>
  <si>
    <t xml:space="preserve">001715    </t>
  </si>
  <si>
    <t>ERIC EDUARDO DE JESUS ALVAREZ PEREZ</t>
  </si>
  <si>
    <t>SKY GARDEN / AMENIDADES</t>
  </si>
  <si>
    <t>2025-1262</t>
  </si>
  <si>
    <t>EDIFICAR S.A VD-26-01-12 VD-26-01-13</t>
  </si>
  <si>
    <t>2026-77</t>
  </si>
  <si>
    <t xml:space="preserve">3479      </t>
  </si>
  <si>
    <t>EDIFICAR S.A</t>
  </si>
  <si>
    <t>TERUMO CARDIOVASCULAR CR LLC SRL VD-25-09-21</t>
  </si>
  <si>
    <t>2025-1362</t>
  </si>
  <si>
    <t xml:space="preserve">002177    </t>
  </si>
  <si>
    <t>TERUMO CARDIOVASCULAR CR LLC SRL</t>
  </si>
  <si>
    <t>VIVIANA LORENA VASQUEZ RODRIGUEZ - ELECTROS</t>
  </si>
  <si>
    <t>2025-809</t>
  </si>
  <si>
    <t xml:space="preserve">2225      </t>
  </si>
  <si>
    <t>VIVIANA LORENA VASQUEZ RODRIGUEZ</t>
  </si>
  <si>
    <t xml:space="preserve"> Carlos Mauricio Chavarría Oviedo / Proyectos-Hogar</t>
  </si>
  <si>
    <t>ZONA FRANCA LA LIMA, SRL VD-25-10-06P EVCO WE WORK</t>
  </si>
  <si>
    <t>2026-18</t>
  </si>
  <si>
    <t xml:space="preserve">003698    </t>
  </si>
  <si>
    <t>ZONA FRANCA LA LIMA, SOCIEDAD DE RESPONSABILIDAD L</t>
  </si>
  <si>
    <t>Facturar y cobrar - Stella</t>
  </si>
  <si>
    <t>STEWART // IMPROSA COMEDOR VD-25-06-17 VD-25-06-18</t>
  </si>
  <si>
    <t>2025-1257</t>
  </si>
  <si>
    <t xml:space="preserve">002023    </t>
  </si>
  <si>
    <t>STEWART TITLE GUARANTY COMPANY</t>
  </si>
  <si>
    <t>Memo por NC - asistentes</t>
  </si>
  <si>
    <t>RAUL ALFREDO VARGAS CAMPOS - electros</t>
  </si>
  <si>
    <t>2026-37</t>
  </si>
  <si>
    <t xml:space="preserve">001741    </t>
  </si>
  <si>
    <t>RAUL ALFREDO VARGAS CAMPOS</t>
  </si>
  <si>
    <t xml:space="preserve"> Marianela Diaz / Hogares</t>
  </si>
  <si>
    <t>JOAQUIN CALIVA - ELECTROS + ACCESORIOS</t>
  </si>
  <si>
    <t>2025-157</t>
  </si>
  <si>
    <t xml:space="preserve">5515      </t>
  </si>
  <si>
    <t>JOAQUIN CALIVA</t>
  </si>
  <si>
    <t>ULTRAPARK/ KAISER PERMANENTE/ MODERNFOLD/ VD-25-08-03P</t>
  </si>
  <si>
    <t>2025-127</t>
  </si>
  <si>
    <t>Consultar con instalaciones Stef</t>
  </si>
  <si>
    <t>GOLDEN VALLEY VD-25-12-10</t>
  </si>
  <si>
    <t xml:space="preserve">002419    </t>
  </si>
  <si>
    <t>VALLE DORADO MONTESSORI SOCIEDAD ANONIMA</t>
  </si>
  <si>
    <t>CONTRACT/ U LATINA/ PUERTAS MADERA/ VD-25-05-04P, 25-08-04P, 25-08-05P, 25-08-06P, 25-08-07P, 25-08-08P</t>
  </si>
  <si>
    <t>2025-70</t>
  </si>
  <si>
    <t>Revisar con ingeniero la forma de facturación</t>
  </si>
  <si>
    <t>IMC 25-04-01 VD-25-04-01 VD-25-07-20</t>
  </si>
  <si>
    <t>2025-571</t>
  </si>
  <si>
    <t>001404</t>
  </si>
  <si>
    <t>I M C INTERAMERICANA MEDIOS DE COMUNICACION SOCIED</t>
  </si>
  <si>
    <t>Canje 33%</t>
  </si>
  <si>
    <t>CAROLINA MARIA GARCIA ROJAS - Closet</t>
  </si>
  <si>
    <t>2026-111</t>
  </si>
  <si>
    <t>2041</t>
  </si>
  <si>
    <t>CAROLINA MARIA GARCIA ROJAS</t>
  </si>
  <si>
    <t xml:space="preserve"> Daniel Toruno Gomez</t>
  </si>
  <si>
    <t>33118, 33076_Medium Racks</t>
  </si>
  <si>
    <t>2025-1507</t>
  </si>
  <si>
    <t>002362</t>
  </si>
  <si>
    <t>AUTO MERCADO SOCIEDAD ANONIMA</t>
  </si>
  <si>
    <t>Banco Bac San Jose S.A. 25-06-01P  VD-25-06-06P</t>
  </si>
  <si>
    <t>2026-19</t>
  </si>
  <si>
    <t xml:space="preserve">00051     </t>
  </si>
  <si>
    <t>Banco Bac San Jose S.A.</t>
  </si>
  <si>
    <t>Instalacion se define viernes 20 febrero</t>
  </si>
  <si>
    <t>3-101-652189 SOCIEDAD ANONIMA - electrodomésticos</t>
  </si>
  <si>
    <t>2025-1524</t>
  </si>
  <si>
    <t xml:space="preserve">002058    </t>
  </si>
  <si>
    <t>3-101-652189 SOCIEDAD ANONIMA</t>
  </si>
  <si>
    <t>CGD PUESTOS FONTERIZOS 25-10-12</t>
  </si>
  <si>
    <t>2025-1335</t>
  </si>
  <si>
    <t>32163_Movimiento</t>
  </si>
  <si>
    <t>2025-734</t>
  </si>
  <si>
    <t>32951_Movimiento</t>
  </si>
  <si>
    <t>2025-1411</t>
  </si>
  <si>
    <t>CONTRACT/ KRAFT/ VD-25-02-09P</t>
  </si>
  <si>
    <t>2025-39</t>
  </si>
  <si>
    <t>NC Puertas  - Revisar caso</t>
  </si>
  <si>
    <t>INCASA/MESOAMERICA 25-08-10P VD-25-08-10P</t>
  </si>
  <si>
    <t xml:space="preserve">004796    </t>
  </si>
  <si>
    <t>ACUÑA &amp; HANSON INCA SOCIEDAD ANONIMA</t>
  </si>
  <si>
    <t>Proxima semana revisamos avance</t>
  </si>
  <si>
    <t>3101820946 S.A._UNIKO POSTVENTA</t>
  </si>
  <si>
    <t>2025-1429</t>
  </si>
  <si>
    <t xml:space="preserve"> Jessica Bonilla</t>
  </si>
  <si>
    <t>Eron Sabre Internacional S.A - alacenas</t>
  </si>
  <si>
    <t>2025-587</t>
  </si>
  <si>
    <t>9196</t>
  </si>
  <si>
    <t>Eron Sabre Internacional S.A</t>
  </si>
  <si>
    <t>33132_Medium racks</t>
  </si>
  <si>
    <t>2026-126</t>
  </si>
  <si>
    <t>1911</t>
  </si>
  <si>
    <t>PANELTECH S.A.</t>
  </si>
  <si>
    <t>MARIO ALEXANDER VEGA VALDERRAMA - LAVANDERIA</t>
  </si>
  <si>
    <t>2026-40</t>
  </si>
  <si>
    <t xml:space="preserve">015282    </t>
  </si>
  <si>
    <t>MARIO ALEXANDER VEGA VALDERRAMA</t>
  </si>
  <si>
    <t>UNOPETROL COSTA RICA VD-25-11-14</t>
  </si>
  <si>
    <t>2025-1472</t>
  </si>
  <si>
    <t xml:space="preserve">002288    </t>
  </si>
  <si>
    <t>UNOPETROL COSTA RICA SOCIEDAD DE RESPONSABILIDAD L</t>
  </si>
  <si>
    <t>BILCO/ EPSILON DPS/ MODERNFOLD/ VD-25-09-04P</t>
  </si>
  <si>
    <t>2025-130</t>
  </si>
  <si>
    <t>Ya está en sitio - tabla de avance</t>
  </si>
  <si>
    <t>33010_Megarack</t>
  </si>
  <si>
    <t>2025-1512</t>
  </si>
  <si>
    <t>ELECTRO PLAS SOCIEDAD ANONIMA</t>
  </si>
  <si>
    <t>VML/ VD-25-03-11P</t>
  </si>
  <si>
    <t>2025-56</t>
  </si>
  <si>
    <t xml:space="preserve">004779    </t>
  </si>
  <si>
    <t>VML COSTA RICA SOCIEDAD DE RESPONSABILIDAD LIMITAD</t>
  </si>
  <si>
    <t>Facturar saldo</t>
  </si>
  <si>
    <t>Bujan Arquitectos SRL - venta online</t>
  </si>
  <si>
    <t>2025-1159</t>
  </si>
  <si>
    <t xml:space="preserve">001971    </t>
  </si>
  <si>
    <t>Bujan Arquitectos SRL</t>
  </si>
  <si>
    <t xml:space="preserve">SEAR INGENIERIA DISEÑO VD-25-11-20 </t>
  </si>
  <si>
    <t>2025-1482</t>
  </si>
  <si>
    <t xml:space="preserve">001054    </t>
  </si>
  <si>
    <t>SEAR INGENIERIA DISEÑO Y CONSTRUCCION S.A.</t>
  </si>
  <si>
    <t>Facturar 40%</t>
  </si>
  <si>
    <t>32394, 32420, 32201_Megarack</t>
  </si>
  <si>
    <t>2025-1154</t>
  </si>
  <si>
    <t>TORRE VELO 1701 / ASESORIAS ASMP DE COSTA RICA SOCIEDAD ANONIMA</t>
  </si>
  <si>
    <t>2025-1250</t>
  </si>
  <si>
    <t>002053</t>
  </si>
  <si>
    <t>ASESORIAS ASMP DE COSTA RICA SOCIEDAD ANONIMA</t>
  </si>
  <si>
    <t>ABBOTT MEDICAL VD-26-01-04</t>
  </si>
  <si>
    <t>2026-100</t>
  </si>
  <si>
    <t>2701</t>
  </si>
  <si>
    <t>FLOWZONE/ VD-24-11-06P</t>
  </si>
  <si>
    <t>2025-29</t>
  </si>
  <si>
    <t xml:space="preserve">004762    </t>
  </si>
  <si>
    <t>THE FLOWZONE SOCIEDAD DE RESPONSABILIDAD LIMITADA</t>
  </si>
  <si>
    <t xml:space="preserve"> Giselle Alfaro Soto</t>
  </si>
  <si>
    <t>32851_Selectivo</t>
  </si>
  <si>
    <t>2025-1398</t>
  </si>
  <si>
    <t>001540</t>
  </si>
  <si>
    <t>BRIDGESTONE DE COSTA RICA SOCIEDAD ANONIMA</t>
  </si>
  <si>
    <t>INSTITUTO TECNOLOGICO DE COSTA RICA 25-10-20</t>
  </si>
  <si>
    <t>2025-1468</t>
  </si>
  <si>
    <t xml:space="preserve">002251    </t>
  </si>
  <si>
    <t>INSTITUTO TECNOLOGICO DE COSTA RICA</t>
  </si>
  <si>
    <t>TERMINTEU CRISTINA ROPER WILLIAMS - fregadero y electros</t>
  </si>
  <si>
    <t>2025-1065</t>
  </si>
  <si>
    <t xml:space="preserve">001713    </t>
  </si>
  <si>
    <t>TERMINTEU CRISTINA ROPER WILLIAMS</t>
  </si>
  <si>
    <t>BERNARDITA DEL ROSARIO SANDI RETANA - Adicional backsplash y modulo de vinera</t>
  </si>
  <si>
    <t>2025-338</t>
  </si>
  <si>
    <t>001109</t>
  </si>
  <si>
    <t>BERNARDITA DEL ROSARIO SANDI RETANA</t>
  </si>
  <si>
    <t>CONSTRUCTORA GONZALO DELGADO VD-25-02-12</t>
  </si>
  <si>
    <t>2025-810</t>
  </si>
  <si>
    <t xml:space="preserve"> Eduardo M. Alfaro /Productividad Humana, Indira Solano</t>
  </si>
  <si>
    <t>GREGORY GERARDO EDMOND HENRY - lavadora de platos - microondas extractor</t>
  </si>
  <si>
    <t>2025-1075</t>
  </si>
  <si>
    <t xml:space="preserve">001734    </t>
  </si>
  <si>
    <t>GREGORY GERARDO EDMOND HENRY</t>
  </si>
  <si>
    <t>ALLEN MAURILIO ARGUELLO COTO - VENTAS ONLINE</t>
  </si>
  <si>
    <t>2026-130</t>
  </si>
  <si>
    <t>002531</t>
  </si>
  <si>
    <t>ALLEN MAURILIO ARGUELLO COTO</t>
  </si>
  <si>
    <t>Liberaterra Inmobiliaria SRL - Venta Online</t>
  </si>
  <si>
    <t>2026-102</t>
  </si>
  <si>
    <t xml:space="preserve">002498    </t>
  </si>
  <si>
    <t>Liberaterra Inmobiliaria SRL</t>
  </si>
  <si>
    <t>DENNIS MONGE CHAVARRIA - Cocina + fregadero</t>
  </si>
  <si>
    <t>2025-112</t>
  </si>
  <si>
    <t xml:space="preserve">6409      </t>
  </si>
  <si>
    <t>DENNIS MONGE CHAVARRIA</t>
  </si>
  <si>
    <t>GREGORY GERARDO EDMOND HENRY - Plantilla - cachera</t>
  </si>
  <si>
    <t>2025-1074</t>
  </si>
  <si>
    <t>ROBERTO JESUS GAMBOA AREND - Electrodomesticos Entregar con el contrato de mubl</t>
  </si>
  <si>
    <t>2025-1527</t>
  </si>
  <si>
    <t>001976</t>
  </si>
  <si>
    <t>ROBERTO JESUS GAMBOA AREND</t>
  </si>
  <si>
    <t xml:space="preserve"> Noel Paguaga</t>
  </si>
  <si>
    <t>32905_Megarack</t>
  </si>
  <si>
    <t>2026-16</t>
  </si>
  <si>
    <t>001709</t>
  </si>
  <si>
    <t>SERACSA COMERCIAL SOCIEDAD ANONIMA</t>
  </si>
  <si>
    <t xml:space="preserve"> Oscar Josué Carrillo Jiménez</t>
  </si>
  <si>
    <t>SINSE/ ASECCSS VD-26-01-15</t>
  </si>
  <si>
    <t>2026-47</t>
  </si>
  <si>
    <t xml:space="preserve">1529      </t>
  </si>
  <si>
    <t>ROBERT BOSCH SERVICE VD-25-11-19P BOSH VD-25-12-01P</t>
  </si>
  <si>
    <t>2026-14</t>
  </si>
  <si>
    <t xml:space="preserve">004789    </t>
  </si>
  <si>
    <t>ROBERT BOSCH SERVICE SOLUTIONS COSTA RICA SOCIEDAD</t>
  </si>
  <si>
    <t>Facturar - Revisar correo 17/02</t>
  </si>
  <si>
    <t>GAS TOMZA DE COSTA RICA VD-25-03-12</t>
  </si>
  <si>
    <t>2025-422</t>
  </si>
  <si>
    <t>000829</t>
  </si>
  <si>
    <t>GAS TOMZA DE COSTA RICA SOCIEDAD ANONIMA</t>
  </si>
  <si>
    <t>LUMEN ILUMINACION 26-01-08</t>
  </si>
  <si>
    <t>2026-93</t>
  </si>
  <si>
    <t xml:space="preserve">1340      </t>
  </si>
  <si>
    <t>LUMEN ILUMINACION SOCIEDAD ANONIMA</t>
  </si>
  <si>
    <t>31699, 31896, 32095 y 32386</t>
  </si>
  <si>
    <t>2025-623</t>
  </si>
  <si>
    <t>3751</t>
  </si>
  <si>
    <t>SPORT RETAIL CR SOCIEDAD ANONIMA</t>
  </si>
  <si>
    <t>RONNY SALAZAR MORALES VD-25-07-19</t>
  </si>
  <si>
    <t>2025-928</t>
  </si>
  <si>
    <t xml:space="preserve">001775    </t>
  </si>
  <si>
    <t>RONNY SALAZAR MORALES</t>
  </si>
  <si>
    <t>Andreas Duin - Venta Online</t>
  </si>
  <si>
    <t>2026-103</t>
  </si>
  <si>
    <t xml:space="preserve">002504    </t>
  </si>
  <si>
    <t>Andreas Duin</t>
  </si>
  <si>
    <t>DOT DESING AND BUILS S.A VD-26-01-17</t>
  </si>
  <si>
    <t>2026-57</t>
  </si>
  <si>
    <t xml:space="preserve">000431    </t>
  </si>
  <si>
    <t>DOT DESING AND BUILS S.A</t>
  </si>
  <si>
    <t>ABBOTT MEDICAL VD-26-01-01</t>
  </si>
  <si>
    <t>2026-2</t>
  </si>
  <si>
    <t>A3 ARQUITECTOS VD-25-10-30</t>
  </si>
  <si>
    <t>2025-1378</t>
  </si>
  <si>
    <t>001197</t>
  </si>
  <si>
    <t>ATRES ARQUITECTOS SOCIEDAD DE RESPONSABILIDAD LIMI</t>
  </si>
  <si>
    <t>jeffrey G salamone - Venta online</t>
  </si>
  <si>
    <t>2025-1224</t>
  </si>
  <si>
    <t>001992</t>
  </si>
  <si>
    <t>jeffrey G salamone</t>
  </si>
  <si>
    <t>CARIARI - HOTEL HYATT VD-26-01-02P  26-01-01P</t>
  </si>
  <si>
    <t>2026-22</t>
  </si>
  <si>
    <t>004798</t>
  </si>
  <si>
    <t>CONTRACT WORKPLACES // SQUARFORCE  26-01-05P</t>
  </si>
  <si>
    <t>2026-23</t>
  </si>
  <si>
    <t>Facturar y cobrar 100%</t>
  </si>
  <si>
    <t>TELEDOLAR SOCIEDAD ANONIMA 25-12-01</t>
  </si>
  <si>
    <t xml:space="preserve">001115    </t>
  </si>
  <si>
    <t>TELEDOLAR SOCIEDAD ANONIMA</t>
  </si>
  <si>
    <t>SAMTEC INTERCONNECT VD-25-11-11</t>
  </si>
  <si>
    <t>2025-1470</t>
  </si>
  <si>
    <t xml:space="preserve">1807      </t>
  </si>
  <si>
    <t>SAMTEC INTERCONNECT ASSEMBLY SIA COSTA RICA S.R.L</t>
  </si>
  <si>
    <t>IMS CONSTRUCCIONES 25-03630F</t>
  </si>
  <si>
    <t>2026-53</t>
  </si>
  <si>
    <t>Diana
 Zamora Ramirez - Venta online</t>
  </si>
  <si>
    <t>2025-1052</t>
  </si>
  <si>
    <t xml:space="preserve">001870    </t>
  </si>
  <si>
    <t>Diana
 Zamora Ramirez</t>
  </si>
  <si>
    <t>Maersk Costa Rica S.A VD-25-10-05</t>
  </si>
  <si>
    <t>2025-1315</t>
  </si>
  <si>
    <t xml:space="preserve">3530      </t>
  </si>
  <si>
    <t>Maersk Costa Rica S.A</t>
  </si>
  <si>
    <t>RAUL ALFREDO VARGAS CAMPOS - MICRO KUPPER</t>
  </si>
  <si>
    <t>2026-36</t>
  </si>
  <si>
    <t>DANIEL EDUARDO FERNANDEZ SANCHEZ - Extractor integrado Kupper + luces</t>
  </si>
  <si>
    <t>2025-310</t>
  </si>
  <si>
    <t>2886</t>
  </si>
  <si>
    <t>DANIEL EDUARDO FERNANDEZ SANCHEZ</t>
  </si>
  <si>
    <t>INVERSIONES ALMA SOCIEDAD ANONIMA - luces y fregadero</t>
  </si>
  <si>
    <t>2025-972</t>
  </si>
  <si>
    <t xml:space="preserve">000548    </t>
  </si>
  <si>
    <t>INVERSIONES ALMA SOCIEDAD ANONIMA</t>
  </si>
  <si>
    <t>320171,32594_ Selectivo y movimiento</t>
  </si>
  <si>
    <t>2025-789</t>
  </si>
  <si>
    <t>000480</t>
  </si>
  <si>
    <t>EMBOTELLADORA CENTRAL S.A.</t>
  </si>
  <si>
    <t>32270_Accesorio</t>
  </si>
  <si>
    <t>2025-1080</t>
  </si>
  <si>
    <t>CARLOS SANCHEZ SANCHEZ - LENTZ</t>
  </si>
  <si>
    <t>2025-385</t>
  </si>
  <si>
    <t>9319</t>
  </si>
  <si>
    <t>CARLOS SANCHEZ SANCHEZ</t>
  </si>
  <si>
    <t xml:space="preserve">VD-26-01-16 INSTITUTO WEIZMAN </t>
  </si>
  <si>
    <t>2026-52</t>
  </si>
  <si>
    <t xml:space="preserve">000554    </t>
  </si>
  <si>
    <t>ASOCIACION CENTRO ISRAELITA SIONISTA DE COSTA RICA</t>
  </si>
  <si>
    <t>AMONFA SOCIEDAD ANONIMA - ELECTROS</t>
  </si>
  <si>
    <t>2025-25</t>
  </si>
  <si>
    <t xml:space="preserve">000494    </t>
  </si>
  <si>
    <t>AMONFA SOCIEDAD ANONIMA</t>
  </si>
  <si>
    <t>2025-1225</t>
  </si>
  <si>
    <t xml:space="preserve">001992    </t>
  </si>
  <si>
    <t>Ileana Rojas Saborío - ELECTROS CAFE</t>
  </si>
  <si>
    <t>2026-97</t>
  </si>
  <si>
    <t>001617</t>
  </si>
  <si>
    <t>Ileana Rojas Saborío</t>
  </si>
  <si>
    <t>MARIA FERNANDA MORALES SEGURA - COCINA HANN</t>
  </si>
  <si>
    <t>2025-243</t>
  </si>
  <si>
    <t>001007</t>
  </si>
  <si>
    <t>MARIA FERNANDA MORALES SEGURA</t>
  </si>
  <si>
    <t>32454_Pin de Seguridad</t>
  </si>
  <si>
    <t>2025-917</t>
  </si>
  <si>
    <t>000940</t>
  </si>
  <si>
    <t>CORPORACION DE SUMINISTROS Y MATERIALES DE CONSTRU</t>
  </si>
  <si>
    <t>MELISSA MARIA SOLIS CESPEDES - VENTAS ONLINE</t>
  </si>
  <si>
    <t xml:space="preserve">002021    </t>
  </si>
  <si>
    <t>MELISSA MARIA SOLIS CESPEDES</t>
  </si>
  <si>
    <t>Bryan Barrientos Alvarado - venta online</t>
  </si>
  <si>
    <t>2025-105</t>
  </si>
  <si>
    <t xml:space="preserve">015426    </t>
  </si>
  <si>
    <t>Bryan Barrientos Alvarado</t>
  </si>
  <si>
    <t>CARLOS SANCHEZ SANCHEZ - Nobili</t>
  </si>
  <si>
    <t>2025-383</t>
  </si>
  <si>
    <t>ZONA FRANCA LA LIMA SRL EVCO WE WORK VD-25-11-07P</t>
  </si>
  <si>
    <t>Gestión de cobro</t>
  </si>
  <si>
    <t>LUX SOLUTIONS LIMITADA VALURA 25-11-08</t>
  </si>
  <si>
    <t>2026-13</t>
  </si>
  <si>
    <t xml:space="preserve">000056    </t>
  </si>
  <si>
    <t>LUX SOLUTIONS LIMITADA</t>
  </si>
  <si>
    <t>IGZ DENTAL SOCIEDAD ANONIMA - CLINICA DENTAL</t>
  </si>
  <si>
    <t>2025-154</t>
  </si>
  <si>
    <t>000833</t>
  </si>
  <si>
    <t>IGZ DENTAL SOCIEDAD ANONIMA</t>
  </si>
  <si>
    <t>33082_Accesorio</t>
  </si>
  <si>
    <t>2025-1504</t>
  </si>
  <si>
    <t>LAKARI SOCIEDAD ANONIMA - CLOSET#1 CLOSET#2</t>
  </si>
  <si>
    <t>2025-919</t>
  </si>
  <si>
    <t xml:space="preserve">000241    </t>
  </si>
  <si>
    <t>LAKARI SOCIEDAD ANONIMA</t>
  </si>
  <si>
    <t>P Y P CONSTRUCCIONES SOCIEDAD ANONIMA VD-25-09-10</t>
  </si>
  <si>
    <t>2025-1192</t>
  </si>
  <si>
    <t xml:space="preserve">000359    </t>
  </si>
  <si>
    <t>P Y P CONSTRUCCIONES SOCIEDAD ANONIMA</t>
  </si>
  <si>
    <t>MICROVENTION COSTA RICA SRL VD-25-09-20</t>
  </si>
  <si>
    <t>2025-1340</t>
  </si>
  <si>
    <t xml:space="preserve">1747      </t>
  </si>
  <si>
    <t>MICROVENTION COSTA RICA SRL</t>
  </si>
  <si>
    <t>CARLOS SANCHEZ SANCHEZ - CATA</t>
  </si>
  <si>
    <t>2025-382</t>
  </si>
  <si>
    <t>EVOLUTION FREE ZONE / ACCUDYN VD-25-12-08</t>
  </si>
  <si>
    <t>2026-15</t>
  </si>
  <si>
    <t>31265_Movimiento</t>
  </si>
  <si>
    <t>2025-2</t>
  </si>
  <si>
    <t>1442</t>
  </si>
  <si>
    <t>ALMACENADORA HEREDIA S.A</t>
  </si>
  <si>
    <t>ROY MARIN FONSECA - COCINA HANN</t>
  </si>
  <si>
    <t>2025-241</t>
  </si>
  <si>
    <t>1594</t>
  </si>
  <si>
    <t>ROY MARIN FONSECA</t>
  </si>
  <si>
    <t>ALEJANDRA ZAMORA GOMEZ - MUEBLE DE BAÑO</t>
  </si>
  <si>
    <t>2025-100</t>
  </si>
  <si>
    <t>2525</t>
  </si>
  <si>
    <t>ALEJANDRA ZAMORA GOMEZ</t>
  </si>
  <si>
    <t>MARIO ANTONIO CISNEROS ARCE - COCINA Y LAVANDERIA</t>
  </si>
  <si>
    <t>2025-92</t>
  </si>
  <si>
    <t>000890</t>
  </si>
  <si>
    <t>MARIO ANTONIO CISNEROS ARCE</t>
  </si>
  <si>
    <t>ADRIANA MARIA MORA BERMUDEZ - adicional piezas sobres pequeñas</t>
  </si>
  <si>
    <t>2025-973</t>
  </si>
  <si>
    <t>000650</t>
  </si>
  <si>
    <t>ADRIANA MARIA MORA BERMUDEZ</t>
  </si>
  <si>
    <t>00151813_Protector</t>
  </si>
  <si>
    <t>2025-1414</t>
  </si>
  <si>
    <t>002246</t>
  </si>
  <si>
    <t>DUWEST CAFESA SOCIEDAD ANONIMA</t>
  </si>
  <si>
    <t xml:space="preserve"> Miriam Clemencia Bustamante Mata</t>
  </si>
  <si>
    <t>ADMEDES SOCIEDAD ANONIMA 25-11-09</t>
  </si>
  <si>
    <t>2025-1478</t>
  </si>
  <si>
    <t xml:space="preserve">002008    </t>
  </si>
  <si>
    <t>ADMEDES SOCIEDAD ANONIMA</t>
  </si>
  <si>
    <t>UCR/ 25-07-03P VD-25-07-05P</t>
  </si>
  <si>
    <t>2025-114</t>
  </si>
  <si>
    <t xml:space="preserve">00550     </t>
  </si>
  <si>
    <t>Universidad de Costa Rica</t>
  </si>
  <si>
    <t>Pagaron</t>
  </si>
  <si>
    <t xml:space="preserve">CCSS- SAN JUAN DE DIOS/ GARANTIA/ VD-25-05-05P </t>
  </si>
  <si>
    <t>2025-88</t>
  </si>
  <si>
    <t xml:space="preserve">004433    </t>
  </si>
  <si>
    <t>CAJA COSTARRICENSE DE SEGURO SOCIAL</t>
  </si>
  <si>
    <t xml:space="preserve"> Stefanny Dayana González Salazar</t>
  </si>
  <si>
    <t>MANUEL ANTONIO SERRANO GARCIA VD-25-08-21</t>
  </si>
  <si>
    <t>2025-1118</t>
  </si>
  <si>
    <t xml:space="preserve">001672    </t>
  </si>
  <si>
    <t>MANUEL ANTONIO SERRANO GARCIA</t>
  </si>
  <si>
    <t>32249_Megarack</t>
  </si>
  <si>
    <t>2025-735</t>
  </si>
  <si>
    <t>32122_Mediun Racks</t>
  </si>
  <si>
    <t>2025-798</t>
  </si>
  <si>
    <t>001612</t>
  </si>
  <si>
    <t>FAVE MANTENIMIENTOS SOCIEDAD ANONIMA</t>
  </si>
  <si>
    <t>OSCAR EDUARDO GOMEZ SANABRIA - CASCADA ADICIONAL</t>
  </si>
  <si>
    <t>2025-626</t>
  </si>
  <si>
    <t>000459</t>
  </si>
  <si>
    <t>OSCAR EDUARDO GOMEZ SANABRIA</t>
  </si>
  <si>
    <t>JACOB JOSEPH STRIKOWSKI - MUEBLE TV</t>
  </si>
  <si>
    <t>2025-543</t>
  </si>
  <si>
    <t>001220</t>
  </si>
  <si>
    <t>JACOB JOSEPH STRIKOWSKI</t>
  </si>
  <si>
    <t>WARNER GERARDO CORDOBA MILTON - extractor</t>
  </si>
  <si>
    <t>2025-417</t>
  </si>
  <si>
    <t>000992</t>
  </si>
  <si>
    <t>WARNER GERARDO CORDOBA MILTON</t>
  </si>
  <si>
    <t>32455_Selectivo</t>
  </si>
  <si>
    <t>2025-916</t>
  </si>
  <si>
    <t>HEIDY REBECA MURILLO GALCERAN - COCINA HANNOVER + PORCERÁMICO</t>
  </si>
  <si>
    <t>2025-93</t>
  </si>
  <si>
    <t>000778</t>
  </si>
  <si>
    <t>HEIDY REBECA MURILLO GALCERAN</t>
  </si>
  <si>
    <t xml:space="preserve"> Krisnell Olivas</t>
  </si>
  <si>
    <t>32076_Megarack Guatemala</t>
  </si>
  <si>
    <t>2025-812</t>
  </si>
  <si>
    <t>31345_Movimiento estanteria</t>
  </si>
  <si>
    <t>31656_megarack</t>
  </si>
  <si>
    <t>2025-229</t>
  </si>
  <si>
    <t>1814</t>
  </si>
  <si>
    <t>PURDY MOTOR SOCIEDAD ANONIMA</t>
  </si>
  <si>
    <t>NUCLEO BUSINESS CENTER 25-05-21</t>
  </si>
  <si>
    <t>2025-590</t>
  </si>
  <si>
    <t xml:space="preserve">000366    </t>
  </si>
  <si>
    <t>CONTRACT-MAERSK/ VD-25-02-12P 25-02-02P 25-02-04P</t>
  </si>
  <si>
    <t>2025-36</t>
  </si>
  <si>
    <t>32026_Megarack</t>
  </si>
  <si>
    <t>2025-517</t>
  </si>
  <si>
    <t>001357</t>
  </si>
  <si>
    <t>CENTROAMERICANA DE COMERCIO CENCO SOCIEDAD ANONIMA</t>
  </si>
  <si>
    <t>32140_Megarack</t>
  </si>
  <si>
    <t>2025-718</t>
  </si>
  <si>
    <t>001564</t>
  </si>
  <si>
    <t>COMERCIAL ALEMORA SOCIEDAD ANONIMA</t>
  </si>
  <si>
    <t xml:space="preserve"> Ismael Bolanos</t>
  </si>
  <si>
    <t>31893_Megarack</t>
  </si>
  <si>
    <t>2025-346</t>
  </si>
  <si>
    <t>5678</t>
  </si>
  <si>
    <t>GRUPO LOGISTICO JMA SOCIEDAD ANONIMA</t>
  </si>
  <si>
    <t>32380_Megarack</t>
  </si>
  <si>
    <t>2025-856</t>
  </si>
  <si>
    <t>001678</t>
  </si>
  <si>
    <t>GRUPO CORPORATIVO SMCR NORTE SOCIEDAD ANONIMA</t>
  </si>
  <si>
    <t>MARIA ALEJANDRA GAMBOA ALVARADO - COCINA HANNOVER + GRANITO</t>
  </si>
  <si>
    <t>000990</t>
  </si>
  <si>
    <t>MARIA ALEJANDRA GAMBOA ALVARADO</t>
  </si>
  <si>
    <t>31987_Megarack</t>
  </si>
  <si>
    <t>2025-710</t>
  </si>
  <si>
    <t>5568</t>
  </si>
  <si>
    <t>DAVIVIENDA LEASING S.A.</t>
  </si>
  <si>
    <t>32118, 32217_Megarack</t>
  </si>
  <si>
    <t>2025-591</t>
  </si>
  <si>
    <t>001434</t>
  </si>
  <si>
    <t>COMERCIAL INDUSTRIAL Y DE SERVICIOS COSTA RICA ,CI</t>
  </si>
  <si>
    <t>31735_cantilever</t>
  </si>
  <si>
    <t>2025-257</t>
  </si>
  <si>
    <t>001129</t>
  </si>
  <si>
    <t>SOLUCIONES MECANO ESTAN SOCIEDAD ANONIMA</t>
  </si>
  <si>
    <t xml:space="preserve"> Carlos Rojas Pineda</t>
  </si>
  <si>
    <t>31190_Megarack</t>
  </si>
  <si>
    <t>2025-686</t>
  </si>
  <si>
    <t>JONES LANG LASALLE LIMITADA 25-01-07 / 25-01-07A JLL EDICA, SCALA</t>
  </si>
  <si>
    <t>2025-275</t>
  </si>
  <si>
    <t>1758</t>
  </si>
  <si>
    <t>JONES LANG LASALLE LIMITADA</t>
  </si>
  <si>
    <t>31875_Megarack</t>
  </si>
  <si>
    <t>2025-488</t>
  </si>
  <si>
    <t>001332</t>
  </si>
  <si>
    <t>R RUBINSTEIN Y COMPAÑIA SOCIEDAD ANONIMA</t>
  </si>
  <si>
    <t>32169_megarack</t>
  </si>
  <si>
    <t>2025-717</t>
  </si>
  <si>
    <t>001496</t>
  </si>
  <si>
    <t>AGUNSA GUATEMALA S.A.</t>
  </si>
  <si>
    <t>UCR/ SINFONICA/ CONVENIO MARCO/ 25-09-02P</t>
  </si>
  <si>
    <t>2025-120</t>
  </si>
  <si>
    <t>MUNICIPALIDAD DE PARRITA/ 25-03-02P</t>
  </si>
  <si>
    <t>2025-38</t>
  </si>
  <si>
    <t>004775</t>
  </si>
  <si>
    <t>MUNICIPALIDAD DE PARRITA</t>
  </si>
  <si>
    <t>Patricia Segura Alvarado - Venta online</t>
  </si>
  <si>
    <t>2025-481</t>
  </si>
  <si>
    <t>001324</t>
  </si>
  <si>
    <t>Patricia Segura Alvarado</t>
  </si>
  <si>
    <t>32458,32476_Megarack</t>
  </si>
  <si>
    <t>2025-942</t>
  </si>
  <si>
    <t>3020</t>
  </si>
  <si>
    <t>CORICAR S.A</t>
  </si>
  <si>
    <t>31433_Estanteria</t>
  </si>
  <si>
    <t>2025-91</t>
  </si>
  <si>
    <t>000968</t>
  </si>
  <si>
    <t>FABRICA CENTROAMERICANA DE NIPLES SOCIEDAD ANONIMA</t>
  </si>
  <si>
    <t>31988, 32067_Megarack e instalación</t>
  </si>
  <si>
    <t>2025-437</t>
  </si>
  <si>
    <t>001282</t>
  </si>
  <si>
    <t>INDUSTRIAL LUGUME SOCIEDAD ANONIMA</t>
  </si>
  <si>
    <t>31226_Movimiento</t>
  </si>
  <si>
    <t>2025-9</t>
  </si>
  <si>
    <t>3719</t>
  </si>
  <si>
    <t>DISTRIBUIDORA LA FLORIDA S.A.</t>
  </si>
  <si>
    <t>Adam Pino - venta online</t>
  </si>
  <si>
    <t>2025-380</t>
  </si>
  <si>
    <t>001210</t>
  </si>
  <si>
    <t>Adam Pino</t>
  </si>
  <si>
    <t>31610_Megaracks</t>
  </si>
  <si>
    <t>2025-1189</t>
  </si>
  <si>
    <t>1321</t>
  </si>
  <si>
    <t>BOSTON SCIENTIFIC DE COSTA RICA S.R.L</t>
  </si>
  <si>
    <t>Vanessa Palacios Gómez - venta online</t>
  </si>
  <si>
    <t>2026-54</t>
  </si>
  <si>
    <t>002372</t>
  </si>
  <si>
    <t>Vanessa Palacios Gómez</t>
  </si>
  <si>
    <t>31706_megarack</t>
  </si>
  <si>
    <t>2025-247</t>
  </si>
  <si>
    <t>001125</t>
  </si>
  <si>
    <t>DISTRIBUIDORA MEYA DRM SOCIEDAD ANONIMA</t>
  </si>
  <si>
    <t>31818_Selectivo</t>
  </si>
  <si>
    <t>2025-800</t>
  </si>
  <si>
    <t>2732</t>
  </si>
  <si>
    <t>SWAV CR SOCIEDAD DE RESPONSABILIDAD LIMITADA</t>
  </si>
  <si>
    <t>32033_Megarack</t>
  </si>
  <si>
    <t>2025-533</t>
  </si>
  <si>
    <t>8392</t>
  </si>
  <si>
    <t>COVESA COMERCIALIZADORA VELA SOCIEDAD ANONIMA</t>
  </si>
  <si>
    <t>31458_Megarack</t>
  </si>
  <si>
    <t>2025-113</t>
  </si>
  <si>
    <t>000994</t>
  </si>
  <si>
    <t>GRUPO SOLUCRET BRP S.A.</t>
  </si>
  <si>
    <t>MARCO ANTONIO ARAUJO ROMERO - ADICIONAL COCINA</t>
  </si>
  <si>
    <t>2025-412</t>
  </si>
  <si>
    <t>001082</t>
  </si>
  <si>
    <t>MARCO ANTONIO ARAUJO ROMERO</t>
  </si>
  <si>
    <t xml:space="preserve"> Agente Base Hogar</t>
  </si>
  <si>
    <t>31363_megarack</t>
  </si>
  <si>
    <t>2025-253</t>
  </si>
  <si>
    <t>1466</t>
  </si>
  <si>
    <t>SABO INTERNACIONAL SOCIEDAD ANONIMA</t>
  </si>
  <si>
    <t>INGRID GUISELLE MARTINEZ ORTIZ - Venta Online</t>
  </si>
  <si>
    <t>2025-334</t>
  </si>
  <si>
    <t>000495</t>
  </si>
  <si>
    <t>INGRID GUISELLE MARTINEZ ORTIZ</t>
  </si>
  <si>
    <t>32120_Megarack</t>
  </si>
  <si>
    <t>2025-700</t>
  </si>
  <si>
    <t>001543</t>
  </si>
  <si>
    <t>MUSHROOM FACTORY SOCIEDAD ANONIMA</t>
  </si>
  <si>
    <t>EURO NASARA / ETAPA 2</t>
  </si>
  <si>
    <t>2025-296</t>
  </si>
  <si>
    <t>31707_Megarack</t>
  </si>
  <si>
    <t>2025-281</t>
  </si>
  <si>
    <t>4936</t>
  </si>
  <si>
    <t>RAU PRECISION METALS S.A.</t>
  </si>
  <si>
    <t>32257_Megarack</t>
  </si>
  <si>
    <t>2025-980</t>
  </si>
  <si>
    <t>000882</t>
  </si>
  <si>
    <t>VERTICAL SOLUCIONES INDUSTRIALES SOCIEDAD ANONIMA</t>
  </si>
  <si>
    <t>32223_Selectivo</t>
  </si>
  <si>
    <t>2025-661</t>
  </si>
  <si>
    <t>5648</t>
  </si>
  <si>
    <t>Didema S.R.L</t>
  </si>
  <si>
    <t>NUCLEO BUSINESS VD-25-04-11</t>
  </si>
  <si>
    <t>2025-348</t>
  </si>
  <si>
    <t>32625_Megaracks</t>
  </si>
  <si>
    <t>2025-1136</t>
  </si>
  <si>
    <t>31895_Megarack</t>
  </si>
  <si>
    <t>2025-669</t>
  </si>
  <si>
    <t>31387_Megarack</t>
  </si>
  <si>
    <t>2025-37</t>
  </si>
  <si>
    <t xml:space="preserve">RYTHMLINK/ F3/ 25-10-04P CLEANCO </t>
  </si>
  <si>
    <t>2025-143</t>
  </si>
  <si>
    <t>Facturado</t>
  </si>
  <si>
    <t>32758_Megarack</t>
  </si>
  <si>
    <t>2025-1251</t>
  </si>
  <si>
    <t>002045</t>
  </si>
  <si>
    <t>CORPORACION MALMO SOCIEDAD DE RESPONSABILIDAD LIMI</t>
  </si>
  <si>
    <t>32210_Selectivo</t>
  </si>
  <si>
    <t>2025-876</t>
  </si>
  <si>
    <t>001679</t>
  </si>
  <si>
    <t>INDUSTRIAL SOLUTIONS SOCIEDAD ANONIMA</t>
  </si>
  <si>
    <t>HARLAND MEDICAL/ 25-03-06P VD-25-03-07P</t>
  </si>
  <si>
    <t>2025-55</t>
  </si>
  <si>
    <t>004776</t>
  </si>
  <si>
    <t>HARLAND MEDICAL SYSTEMS COSTA RICA SOCIEDAD DE RES</t>
  </si>
  <si>
    <t>31476_Megarack</t>
  </si>
  <si>
    <t>2025-109</t>
  </si>
  <si>
    <t>000987</t>
  </si>
  <si>
    <t>ETIQUETAS Y SUMINISTROS TRIBU DE COSTA RICA SOCIED</t>
  </si>
  <si>
    <t>31807_Megarack</t>
  </si>
  <si>
    <t>2025-892</t>
  </si>
  <si>
    <t>BAC SAN JOSE S.A. VD-25-12-08P</t>
  </si>
  <si>
    <t>2026-1</t>
  </si>
  <si>
    <t>00051</t>
  </si>
  <si>
    <t>31407_Megarack</t>
  </si>
  <si>
    <t>3537</t>
  </si>
  <si>
    <t>AROMAS Y SABORES TECNICOS S.A.</t>
  </si>
  <si>
    <t>31444_SELECTIVO</t>
  </si>
  <si>
    <t>2025-65</t>
  </si>
  <si>
    <t>000923</t>
  </si>
  <si>
    <t>FUENTES ORNAMENTALES SOCIEDAD ANONIMA</t>
  </si>
  <si>
    <t>CCSS- HOSPITAL LA ANEXION/ 25-10-05P</t>
  </si>
  <si>
    <t>2025-140</t>
  </si>
  <si>
    <t>004433</t>
  </si>
  <si>
    <t>FLORIDA/ 25-10-22P VD-25-10-11P</t>
  </si>
  <si>
    <t>00219</t>
  </si>
  <si>
    <t>CONTRACT- HERBALIFE/ MACETEROS Y LOCKERS/ 25-05-02P</t>
  </si>
  <si>
    <t>2025-79</t>
  </si>
  <si>
    <t>32714_Megarack</t>
  </si>
  <si>
    <t>2025-1281</t>
  </si>
  <si>
    <t>6377</t>
  </si>
  <si>
    <t>INDUSTRIAS GAREND SOCIEDAD ANONIMA</t>
  </si>
  <si>
    <t>32125_Megarack</t>
  </si>
  <si>
    <t>2025-985</t>
  </si>
  <si>
    <t>NUCLEO BUSINESS CENTER SA REGUS VD-25-03-04</t>
  </si>
  <si>
    <t>2025-231</t>
  </si>
  <si>
    <t>31776_Megarack</t>
  </si>
  <si>
    <t>2025-463</t>
  </si>
  <si>
    <t>1871</t>
  </si>
  <si>
    <t>CSI LEASING DE CENTROAMERICA SOCIEDAD DE RESPONSAB</t>
  </si>
  <si>
    <t>EVERTEC COSTA RICA SA 25-08-11</t>
  </si>
  <si>
    <t>2025-1150</t>
  </si>
  <si>
    <t>000292</t>
  </si>
  <si>
    <t>EVERTEC COSTA RICA SOCIEDAD ANONIMA</t>
  </si>
  <si>
    <t>SAN JOSE INDOOR CLUB VD-25-06-03 25-07-12</t>
  </si>
  <si>
    <t>2025-832</t>
  </si>
  <si>
    <t>001382</t>
  </si>
  <si>
    <t>SAN JOSE INDOOR CLUB SOCIEDAD ANONIMA</t>
  </si>
  <si>
    <t>DUWEST/ VD-25-03-05P</t>
  </si>
  <si>
    <t>2025-89</t>
  </si>
  <si>
    <t>002479</t>
  </si>
  <si>
    <t>UNIVERSIDAD DE COSTA RICA 25-06-09</t>
  </si>
  <si>
    <t>2025-911</t>
  </si>
  <si>
    <t>1849</t>
  </si>
  <si>
    <t>UNIVERSIDAD DE COSTA RICA</t>
  </si>
  <si>
    <t>EDISOLUCIONES INTEGRALES EDISOL SRL VD-24-12-12</t>
  </si>
  <si>
    <t>2025-5</t>
  </si>
  <si>
    <t>000322</t>
  </si>
  <si>
    <t>EDISOLUCIONES INTEGRALES EDISOL SOCIEDAD DE RESPON</t>
  </si>
  <si>
    <t>EDINE ILEANA VON HEROLD DUARTE - cocina hannover</t>
  </si>
  <si>
    <t>000945</t>
  </si>
  <si>
    <t>EDINE ILEANA VON HEROLD DUARTE</t>
  </si>
  <si>
    <t>32727_Megarack</t>
  </si>
  <si>
    <t>2025-1327</t>
  </si>
  <si>
    <t>002154</t>
  </si>
  <si>
    <t>GRUPO LOGISTICO SEA INTERNATIONAL SOCIEDAD DE RESP</t>
  </si>
  <si>
    <t>32799_Megarack</t>
  </si>
  <si>
    <t>2025-1332</t>
  </si>
  <si>
    <t>002160</t>
  </si>
  <si>
    <t>STIA COMERCIALIZADORA SOCIEDAD ANONIMA</t>
  </si>
  <si>
    <t>Mark Smoljanovic - Mueble nicho</t>
  </si>
  <si>
    <t>2025-150</t>
  </si>
  <si>
    <t>000861</t>
  </si>
  <si>
    <t>Mark Smoljanovic</t>
  </si>
  <si>
    <t>33031_Megarack</t>
  </si>
  <si>
    <t>2025-1417</t>
  </si>
  <si>
    <t>1841</t>
  </si>
  <si>
    <t>32761_Megarack</t>
  </si>
  <si>
    <t>2025-1269</t>
  </si>
  <si>
    <t>2768</t>
  </si>
  <si>
    <t>ASOCIACION CAMARA DE GANADEROS UNIDOS DEL SUR</t>
  </si>
  <si>
    <t>32786_Megarack</t>
  </si>
  <si>
    <t>2025-1345</t>
  </si>
  <si>
    <t>002168</t>
  </si>
  <si>
    <t>MULTICLIMA SOCIEDAD ANONIMA</t>
  </si>
  <si>
    <t>Representaciones JL Casalvolone S.A. - Venta online</t>
  </si>
  <si>
    <t>2025-330</t>
  </si>
  <si>
    <t>001173</t>
  </si>
  <si>
    <t>Representaciones JL Casalvolone S.A.</t>
  </si>
  <si>
    <t>César Zúñiga Zamora - venta online</t>
  </si>
  <si>
    <t>2025-495</t>
  </si>
  <si>
    <t>001335</t>
  </si>
  <si>
    <t>César Zúñiga Zamora</t>
  </si>
  <si>
    <t>ASOCIACION SOLIDARISTA ASECCSS VD-25-05-02</t>
  </si>
  <si>
    <t>2025-588</t>
  </si>
  <si>
    <t>8246</t>
  </si>
  <si>
    <t>ASOCIACION SOLIDARISTA DE EMPLEADOS DE LA CCSS</t>
  </si>
  <si>
    <t>INVERSIONES EL AGUALOTE URUCA S.A. PUENTE PIEDRA VD-25-04-19</t>
  </si>
  <si>
    <t>2025-566</t>
  </si>
  <si>
    <t>000070</t>
  </si>
  <si>
    <t>INVERSIONES EL AGUALOTE URUCA S.A.</t>
  </si>
  <si>
    <t>Sofía Rojas Rodríguez - Venta Online</t>
  </si>
  <si>
    <t>2025-485</t>
  </si>
  <si>
    <t>001326</t>
  </si>
  <si>
    <t>Sofía Rojas Rodríguez</t>
  </si>
  <si>
    <t>JAIME ANDRES ESCALONA RODRIGUEZ - electros</t>
  </si>
  <si>
    <t>2025-565</t>
  </si>
  <si>
    <t>001248</t>
  </si>
  <si>
    <t>JAIME ANDRES ESCALONA RODRIGUEZ</t>
  </si>
  <si>
    <t>OSVALDO JOSE BOLAÑOS MONGE - HORNO 24" KUPPER (ENTREGAR CON COCINA)</t>
  </si>
  <si>
    <t>2025-459</t>
  </si>
  <si>
    <t>000905</t>
  </si>
  <si>
    <t>OSVALDO JOSE BOLAÑOS MONGE</t>
  </si>
  <si>
    <t>Elam Javier Fernández Muñoz - Venta online</t>
  </si>
  <si>
    <t>2025-650</t>
  </si>
  <si>
    <t>001490</t>
  </si>
  <si>
    <t>Elam Javier Fernández Muñoz</t>
  </si>
  <si>
    <t>BREYSSY MARTINEZ SANDI - venta online</t>
  </si>
  <si>
    <t>2025-335</t>
  </si>
  <si>
    <t>000552</t>
  </si>
  <si>
    <t>BREYSSY MARTINEZ SANDI</t>
  </si>
  <si>
    <t>31774_Selectivo</t>
  </si>
  <si>
    <t>2025-258</t>
  </si>
  <si>
    <t>UNICOMER VD-25-05-12</t>
  </si>
  <si>
    <t>2025-510</t>
  </si>
  <si>
    <t>001341</t>
  </si>
  <si>
    <t>UNION COMERCIAL DE COSTA RICA, UNICOMER SOCIEDAD A</t>
  </si>
  <si>
    <t>31677_ Megarack</t>
  </si>
  <si>
    <t>2025-725</t>
  </si>
  <si>
    <t>001548</t>
  </si>
  <si>
    <t>CARSO CONSTRUCCION DE COSTA RICA SOCIEDAD ANONIMA</t>
  </si>
  <si>
    <t>32543, 32861_Megarack</t>
  </si>
  <si>
    <t>2025-1035</t>
  </si>
  <si>
    <t>SAGA INGENIERIA/ MMC/ F3/ 25-09-15</t>
  </si>
  <si>
    <t>2025-1229</t>
  </si>
  <si>
    <t xml:space="preserve">000534    </t>
  </si>
  <si>
    <t>SAGA INGENIERIA SOCIEDAD ANONIMA</t>
  </si>
  <si>
    <t>Revisar entrega</t>
  </si>
  <si>
    <t>32172_Selectivo</t>
  </si>
  <si>
    <t>2025-898</t>
  </si>
  <si>
    <t>001748</t>
  </si>
  <si>
    <t>ALIMENTOS JACKS DE CENTROAMERICA SOCIEDAD ANONIMA</t>
  </si>
  <si>
    <t>SAGA/ MMC/ MODERNFOLD/ VD-25-09-23</t>
  </si>
  <si>
    <t>2025-1230</t>
  </si>
  <si>
    <t>SKY GARDEN MOBLIARIO Y FREGADEROS // EDICA LIMITADA</t>
  </si>
  <si>
    <t>2025-1164</t>
  </si>
  <si>
    <t>1867</t>
  </si>
  <si>
    <t>EDICA LIMITADA</t>
  </si>
  <si>
    <t>30997_Megarack</t>
  </si>
  <si>
    <t>2025-637</t>
  </si>
  <si>
    <t>32364, 32351_Megatico</t>
  </si>
  <si>
    <t>2025-1105</t>
  </si>
  <si>
    <t>CIELO NUNCIATURA SOCIEDAD ANONIMA (URBN)</t>
  </si>
  <si>
    <t>2025-1130</t>
  </si>
  <si>
    <t>001207</t>
  </si>
  <si>
    <t xml:space="preserve">CCSS NARANJO VD-23-10-18 23-10-32 23-10-33 23-10-34 23-10-34 23-10-35 23-10-36 23-10-37  </t>
  </si>
  <si>
    <t>2025-189</t>
  </si>
  <si>
    <t>En conciliación</t>
  </si>
  <si>
    <t>32139_Modula</t>
  </si>
  <si>
    <t>2025-936</t>
  </si>
  <si>
    <t>P Y P CONSTRUCCIONES AS CARIARI 24-02-11 24-02-12 24-02-13 24-02-14 VD-24-02-22</t>
  </si>
  <si>
    <t>2025-555</t>
  </si>
  <si>
    <t>Gestión de cobro 17/02</t>
  </si>
  <si>
    <t>CONSTRUCTORA GONZALO DELGADO/PUESTOS FRONTERIZOS 25-08-18</t>
  </si>
  <si>
    <t>2025-1115</t>
  </si>
  <si>
    <t>32031_ Modula</t>
  </si>
  <si>
    <t>2025-748</t>
  </si>
  <si>
    <t>32003_Selectivo</t>
  </si>
  <si>
    <t>2025-784</t>
  </si>
  <si>
    <t>32637_Megarack</t>
  </si>
  <si>
    <t>2025-1439</t>
  </si>
  <si>
    <t>1889</t>
  </si>
  <si>
    <t>IMPROSA SERVICIOS INTERNACIONALES SOCIEDAD ANONIMA</t>
  </si>
  <si>
    <t>32806_Megarack</t>
  </si>
  <si>
    <t>2025-1344</t>
  </si>
  <si>
    <t>002167</t>
  </si>
  <si>
    <t>SERIGRAFICOS SURETKA SOCIEDAD ANONIMA</t>
  </si>
  <si>
    <t>31193_x001F__Movimientos</t>
  </si>
  <si>
    <t>2025-1326</t>
  </si>
  <si>
    <t>30952_Megarack</t>
  </si>
  <si>
    <t>2025-1049</t>
  </si>
  <si>
    <t>6126</t>
  </si>
  <si>
    <t>BAC SAN JOSE LEASING S.A.</t>
  </si>
  <si>
    <t>OFICENTRO LA VIRGEN 25-09-03</t>
  </si>
  <si>
    <t>2025-1179</t>
  </si>
  <si>
    <t>001986</t>
  </si>
  <si>
    <t>RAE INGENIEROS SOCIEDAD ANONIMA</t>
  </si>
  <si>
    <t>CNFL 25-10-16P OC 0038 CONVENIO MARCO</t>
  </si>
  <si>
    <t>2025-167</t>
  </si>
  <si>
    <t xml:space="preserve">00128     </t>
  </si>
  <si>
    <t>Compania Nacional de Fuerza y Luz S.A.</t>
  </si>
  <si>
    <t>CARLOS ALFREDO MADRIGAL VILLALOBOS - PROYECTO COMPLETO</t>
  </si>
  <si>
    <t>2025-1198</t>
  </si>
  <si>
    <t xml:space="preserve">001906    </t>
  </si>
  <si>
    <t>CARLOS ALFREDO MADRIGAL VILLALOBOS</t>
  </si>
  <si>
    <t xml:space="preserve">AJIP INGENIERIA LIMITADA 25-01-10 UCR LIBERIA </t>
  </si>
  <si>
    <t>2025-607</t>
  </si>
  <si>
    <t xml:space="preserve">000953    </t>
  </si>
  <si>
    <t>AJIP INGENIERIA LIMITADA</t>
  </si>
  <si>
    <t xml:space="preserve"> Eduardo M. Alfaro /Productividad Humana</t>
  </si>
  <si>
    <t>32515,32516_Megarack- Selectivo</t>
  </si>
  <si>
    <t>2025-1320</t>
  </si>
  <si>
    <t>2729</t>
  </si>
  <si>
    <t>PROQUINAL COSTA RICA SOCIEDAD ANONIMA</t>
  </si>
  <si>
    <t>JOHNNY FERNANDO HUERTAS SEGURA - Proyecto completo - sin sobres- sin electrodomésti</t>
  </si>
  <si>
    <t>2025-1200</t>
  </si>
  <si>
    <t>001842</t>
  </si>
  <si>
    <t>JOHNNY FERNANDO HUERTAS SEGURA</t>
  </si>
  <si>
    <t>CARLOS SANCHEZ SANCHEZ - Proyecto completo</t>
  </si>
  <si>
    <t>2025-766</t>
  </si>
  <si>
    <t xml:space="preserve">9319      </t>
  </si>
  <si>
    <t>DESARROLLOS ECOLOGICOS EL CANAL LIMITADA **TORRE K-3 OC PO-1308</t>
  </si>
  <si>
    <t>1632</t>
  </si>
  <si>
    <t>DESARROLLOS ECOLOGICOS EL CANAL LIMITADA</t>
  </si>
  <si>
    <t xml:space="preserve"> Fabian Brenes</t>
  </si>
  <si>
    <t>VOLIO &amp; TREJOS ASOCIADOS ***PUERTAS SILENTIA***</t>
  </si>
  <si>
    <t>2025-208</t>
  </si>
  <si>
    <t>1566</t>
  </si>
  <si>
    <t xml:space="preserve"> Juan Jimenez</t>
  </si>
  <si>
    <t>32503, 32505, 32005_Selectivo Guatemala</t>
  </si>
  <si>
    <t>2025-736</t>
  </si>
  <si>
    <t>32293_Megarack</t>
  </si>
  <si>
    <t>2025-743</t>
  </si>
  <si>
    <t>001582</t>
  </si>
  <si>
    <t>AYURVEDA CENTROAMERICANA SOCIEDAD ANONIMA</t>
  </si>
  <si>
    <t>31910_Selectivo</t>
  </si>
  <si>
    <t>2025-920</t>
  </si>
  <si>
    <t>2693</t>
  </si>
  <si>
    <t>ALMACENES EL REY LIMITADA</t>
  </si>
  <si>
    <t>CARLOS ANDRES VILLALOBOS ARAYA - Baños y closet huespedes</t>
  </si>
  <si>
    <t>2025-1505</t>
  </si>
  <si>
    <t>TTA/ VD-25-09-03P</t>
  </si>
  <si>
    <t>2025-151</t>
  </si>
  <si>
    <t xml:space="preserve">004791    </t>
  </si>
  <si>
    <t>TTA PROJECT MANAGEMENT SOCIEDAD DE RESPONSABILIDAD</t>
  </si>
  <si>
    <t>Gestiónde cobro - Kenther me avisa</t>
  </si>
  <si>
    <t>31872, 32233_ Megaracks</t>
  </si>
  <si>
    <t>2025-740</t>
  </si>
  <si>
    <t>YARKONI ORLANDO ROJAS ALVARADO - COCINA HANN PLUS</t>
  </si>
  <si>
    <t>2025-527</t>
  </si>
  <si>
    <t>001112</t>
  </si>
  <si>
    <t>YARKONI ORLANDO ROJAS ALVARADO</t>
  </si>
  <si>
    <t>CONCENTRIX COSTA RICA 26-01-02</t>
  </si>
  <si>
    <t>2026-83</t>
  </si>
  <si>
    <t xml:space="preserve">001823    </t>
  </si>
  <si>
    <t>Facturar 100% / facturado</t>
  </si>
  <si>
    <t>32477_Selectivo</t>
  </si>
  <si>
    <t>2025-921</t>
  </si>
  <si>
    <t>ELECTROPLAST SA / 25-11-03 VD-25-11-05</t>
  </si>
  <si>
    <t>2025-1481</t>
  </si>
  <si>
    <t xml:space="preserve">1774      </t>
  </si>
  <si>
    <t>Facturar final</t>
  </si>
  <si>
    <t>ASOCIACIÓN DE SERVICIOS MEDICOS 25-06-18</t>
  </si>
  <si>
    <t>2025-1128</t>
  </si>
  <si>
    <t xml:space="preserve">3651      </t>
  </si>
  <si>
    <t>ASOCIACIÓN DE SERVICIOS MEDICOS COSTARRICENSES</t>
  </si>
  <si>
    <t>OC cancelada por cliente</t>
  </si>
  <si>
    <t>OLIVIER GREAUX - Cocina</t>
  </si>
  <si>
    <t>2025-506</t>
  </si>
  <si>
    <t>000985</t>
  </si>
  <si>
    <t>OLIVIER GREAUX</t>
  </si>
  <si>
    <t>ANDREEA ZALOMIR - Cocina BC3</t>
  </si>
  <si>
    <t>2025-375</t>
  </si>
  <si>
    <t>001191</t>
  </si>
  <si>
    <t>ANDREEA ZALOMIR</t>
  </si>
  <si>
    <t>31990_Megarack</t>
  </si>
  <si>
    <t>2025-1146</t>
  </si>
  <si>
    <t>1838</t>
  </si>
  <si>
    <t>CREGANNA MEDICAL, SOCIEDAD DE RESPONSABILIDAD LIMI</t>
  </si>
  <si>
    <t>EVERTY TOWER / BILCO COSTA RICA S.A. **PUERTAS**</t>
  </si>
  <si>
    <t>2025-520</t>
  </si>
  <si>
    <t>1431</t>
  </si>
  <si>
    <t>BILCO COSTA RICA S.A.</t>
  </si>
  <si>
    <t>ILEANA MARIA ALVAREZ PEREZ - Cocina BC3</t>
  </si>
  <si>
    <t>2025-1447</t>
  </si>
  <si>
    <t xml:space="preserve">002114    </t>
  </si>
  <si>
    <t>ILEANA MARIA ALVAREZ PEREZ</t>
  </si>
  <si>
    <t>32113_ Selectivo</t>
  </si>
  <si>
    <t>2025-783</t>
  </si>
  <si>
    <t>RAFAEL  JOSE RENDON  MUÑOZ - COCINA+LUCES Y CUBERTERO 80CMS</t>
  </si>
  <si>
    <t>2025-908</t>
  </si>
  <si>
    <t xml:space="preserve">000159    </t>
  </si>
  <si>
    <t>RAFAEL  JOSE RENDON  MUÑOZ</t>
  </si>
  <si>
    <t>CCSS MONSEÑOR SANABRIA 25-10-19</t>
  </si>
  <si>
    <t>2025-1363</t>
  </si>
  <si>
    <t xml:space="preserve">1863      </t>
  </si>
  <si>
    <t>SOWEST SOCIEDAD DE RESPONSABILIDAD LIMITADA - Mueble Tv y bufetera MITON</t>
  </si>
  <si>
    <t>2025-1307</t>
  </si>
  <si>
    <t>001996</t>
  </si>
  <si>
    <t>SOWEST SOCIEDAD DE RESPONSABILIDAD LIMITADA</t>
  </si>
  <si>
    <t>31958_Megarack Drive IN</t>
  </si>
  <si>
    <t>2025-694</t>
  </si>
  <si>
    <t xml:space="preserve"> Ana Evelyn Perez, Jose Palacio</t>
  </si>
  <si>
    <t>32541_Selectivo</t>
  </si>
  <si>
    <t>2025-1187</t>
  </si>
  <si>
    <t>1914</t>
  </si>
  <si>
    <t>ROMA PRINCE SOCIEDAD ANONIMA</t>
  </si>
  <si>
    <t xml:space="preserve">Municipalidad de Montes de Oca VD-25-11-11P </t>
  </si>
  <si>
    <t>2025-178</t>
  </si>
  <si>
    <t xml:space="preserve">00422     </t>
  </si>
  <si>
    <t>Municipalidad de Montes de Oca</t>
  </si>
  <si>
    <t>LUIS DIEGO CABALCETA GUTIERREZ - Cocina</t>
  </si>
  <si>
    <t>2025-767</t>
  </si>
  <si>
    <t>000980</t>
  </si>
  <si>
    <t>LUIS DIEGO CABALCETA GUTIERREZ</t>
  </si>
  <si>
    <t>CONTRACT 24-10-01 VD-24-10-05 KRAFT HEINZ</t>
  </si>
  <si>
    <t>2025-174</t>
  </si>
  <si>
    <t>1823</t>
  </si>
  <si>
    <t xml:space="preserve"> Alberto Sanchez</t>
  </si>
  <si>
    <t>Retenciones de Bayer</t>
  </si>
  <si>
    <t>MONICA LUCIA GAMBOA SIBAJA - COCINA MAS ELECTRODOMESTICOS</t>
  </si>
  <si>
    <t>2025-768</t>
  </si>
  <si>
    <t>000986</t>
  </si>
  <si>
    <t>MONICA LUCIA GAMBOA SIBAJA</t>
  </si>
  <si>
    <t>Brillante Tica Kleen S.A - COCINA REGALIA FREGADERO Y CACHERA</t>
  </si>
  <si>
    <t>2025-1201</t>
  </si>
  <si>
    <t xml:space="preserve">10063     </t>
  </si>
  <si>
    <t xml:space="preserve">Brillante Tica Kleen S.A                                                   </t>
  </si>
  <si>
    <t>MUNICIPALIDAD DE PALMARES 24-12-01</t>
  </si>
  <si>
    <t>2025-7</t>
  </si>
  <si>
    <t>000826</t>
  </si>
  <si>
    <t>MUNICIPALIDAD DE PALMARES</t>
  </si>
  <si>
    <t>BILCO COSTA RICA S.A / SOLARIS CONCHAL / OC: PO010272</t>
  </si>
  <si>
    <t>2025-654</t>
  </si>
  <si>
    <t>3-101-652189 SOCIEDAD ANONIMA - Cocina Hanover + porcelanico + electros sin refrig</t>
  </si>
  <si>
    <t>2025-1525</t>
  </si>
  <si>
    <t>Euroramstack 25-12-02 VD-25-12-05</t>
  </si>
  <si>
    <t>2025-560</t>
  </si>
  <si>
    <t xml:space="preserve">002355    </t>
  </si>
  <si>
    <t>EURORAMSTACK C.R SOCIEDAD ANONIMA</t>
  </si>
  <si>
    <t>Facturar 35%</t>
  </si>
  <si>
    <t>CARLOS SANCHEZ SANCHEZ - Electros Frigidaire</t>
  </si>
  <si>
    <t>2025-384</t>
  </si>
  <si>
    <t>CONSTRUCTORA GONZALO DELGADO 25-05-16 CCSS NARANJO</t>
  </si>
  <si>
    <t>2025-614</t>
  </si>
  <si>
    <t>ROY ALFARO BARRANTES - proyecto completo</t>
  </si>
  <si>
    <t>2025-755</t>
  </si>
  <si>
    <t>001419</t>
  </si>
  <si>
    <t>ROY ALFARO BARRANTES</t>
  </si>
  <si>
    <t>32268_Megarack</t>
  </si>
  <si>
    <t>2025-738</t>
  </si>
  <si>
    <t>001574</t>
  </si>
  <si>
    <t>CRISTIAN ANDRES RODRIGUEZ CHAVARRIA</t>
  </si>
  <si>
    <t>EULLEN GIMENA CHAVARRIA ELIZONDO - COCINA BC3 + PORCELÁNICO</t>
  </si>
  <si>
    <t>2025-387</t>
  </si>
  <si>
    <t>001213</t>
  </si>
  <si>
    <t>EULLEN GIMENA CHAVARRIA ELIZONDO</t>
  </si>
  <si>
    <t>32933_Medium Racks</t>
  </si>
  <si>
    <t>2025-1409</t>
  </si>
  <si>
    <t>4802</t>
  </si>
  <si>
    <t>CONSULTORIA INTEGRAL DE LA CONSTRUCCION (CONICO CO</t>
  </si>
  <si>
    <t xml:space="preserve">PLAZA RIVIERA // COCA COLA EDICA 25-02-13 25-02-14 </t>
  </si>
  <si>
    <t>2025-1112</t>
  </si>
  <si>
    <t xml:space="preserve">001511    </t>
  </si>
  <si>
    <t>PLAZA RIVIERA SOCIEDAD ANONIMA</t>
  </si>
  <si>
    <t>En gestión de retenciones</t>
  </si>
  <si>
    <t>CAFETOS ETAPA # 3 / CAFETOS ETAPA # 3 / EURO HACIENDA</t>
  </si>
  <si>
    <t>2025-1124</t>
  </si>
  <si>
    <t>PARQUE CENTRAL/ EX AURA/ 25-10-01P VD-25-10-01P</t>
  </si>
  <si>
    <t>004583</t>
  </si>
  <si>
    <t>PARQUE CENTRAL SOCIEDAD ANONIMA</t>
  </si>
  <si>
    <t>33252_Protectores</t>
  </si>
  <si>
    <t>2026-124</t>
  </si>
  <si>
    <t xml:space="preserve"> Dariel Andrés Chinchilla Oviedo</t>
  </si>
  <si>
    <t>CITY PLACE / CONSTRUCTORA BRK S.A.</t>
  </si>
  <si>
    <t>2025-1389</t>
  </si>
  <si>
    <t>YARITZA YAVE MUNGUIA SIEZAR - COCINA HANNOVER PLUS</t>
  </si>
  <si>
    <t>2025-655</t>
  </si>
  <si>
    <t>001440</t>
  </si>
  <si>
    <t>YARITZA YAVE MUNGUIA SIEZAR</t>
  </si>
  <si>
    <t>32099_ Selectivo</t>
  </si>
  <si>
    <t>2025-788</t>
  </si>
  <si>
    <t>MUNICIPALIDAD DE ALAJUELA 25-10-26</t>
  </si>
  <si>
    <t>2025-1374</t>
  </si>
  <si>
    <t xml:space="preserve">000010    </t>
  </si>
  <si>
    <t>MUNICIPALIDAD DE ALAJUELA</t>
  </si>
  <si>
    <t>CONICO/ CCP LIMON/ 25-05-03P VD-25-05-07P</t>
  </si>
  <si>
    <t xml:space="preserve">004726    </t>
  </si>
  <si>
    <t>CONICO, CONSULTORIA INTEGRAL DE LA CONSTRUCCION, S</t>
  </si>
  <si>
    <t>ERIC EDUARDO DE JESUS ALVAREZ PEREZ - Cocina + sobre + electros+ desintalacion</t>
  </si>
  <si>
    <t>2025-1069</t>
  </si>
  <si>
    <t>001715</t>
  </si>
  <si>
    <t>31615, 31616_Movimiento Selectivo</t>
  </si>
  <si>
    <t>2025-713</t>
  </si>
  <si>
    <t>CARLOS SANCHEZ SANCHEZ - WOLF</t>
  </si>
  <si>
    <t>2025-381</t>
  </si>
  <si>
    <t xml:space="preserve">CARLOS SANCHEZ SANCHEZ                                                     </t>
  </si>
  <si>
    <t>32168, 33141_Megarack</t>
  </si>
  <si>
    <t>2025-1486</t>
  </si>
  <si>
    <t>002235</t>
  </si>
  <si>
    <t>SECANT GROUP SOCIEDAD DE RESPONSABILIDAD LIMITADA</t>
  </si>
  <si>
    <t>CSI LEASING 25-09-10 VD-25-09-17 VD-25-09-18</t>
  </si>
  <si>
    <t>2025-1373</t>
  </si>
  <si>
    <t xml:space="preserve">1871      </t>
  </si>
  <si>
    <t>Asesor nos ayuda con contacto 13/02</t>
  </si>
  <si>
    <t>CONSTRUCTORA TOTEM/ VD-25-07-21 25-07-24</t>
  </si>
  <si>
    <t>2025-1222</t>
  </si>
  <si>
    <t>000211</t>
  </si>
  <si>
    <t>CONSTRUCTORA TOTEM SOCIEDAD ANONIMA</t>
  </si>
  <si>
    <t>FRACESCA MAZZARA - COCINA HANNOVER PLUS</t>
  </si>
  <si>
    <t>2025-1528</t>
  </si>
  <si>
    <t>000490</t>
  </si>
  <si>
    <t>FRACESCA MAZZARA</t>
  </si>
  <si>
    <t>INVERSIONES ALMA SOCIEDAD ANONIMA - MUEBLES TV</t>
  </si>
  <si>
    <t>2025-333</t>
  </si>
  <si>
    <t>000548</t>
  </si>
  <si>
    <t>MAR A MAR // LUCES LED // PRODEYCO S.A.</t>
  </si>
  <si>
    <t>2025-573</t>
  </si>
  <si>
    <t>1571</t>
  </si>
  <si>
    <t>PRODEYCO S.A.</t>
  </si>
  <si>
    <t>JOAQUIN CALIVA - COCINA HANNOVER + PORCELÁNICO</t>
  </si>
  <si>
    <t>2025-156</t>
  </si>
  <si>
    <t>WENDY MARIA ZUMBADO RIVERA - PROYECTO</t>
  </si>
  <si>
    <t>2025-1403</t>
  </si>
  <si>
    <t>002028</t>
  </si>
  <si>
    <t>WENDY MARIA ZUMBADO RIVERA</t>
  </si>
  <si>
    <t>32750,32850,33072_Megarack</t>
  </si>
  <si>
    <t>2025-1355</t>
  </si>
  <si>
    <t>3584</t>
  </si>
  <si>
    <t>CIA VETERINARIA DE IMPORTACIONES VETIM S.A.</t>
  </si>
  <si>
    <t>ADRIANA AUXILIADORA MORALES MARTINEZ - COCINA</t>
  </si>
  <si>
    <t>2025-1067</t>
  </si>
  <si>
    <t>001749</t>
  </si>
  <si>
    <t>ADRIANA AUXILIADORA MORALES MARTINEZ</t>
  </si>
  <si>
    <t>EL CANAL TORRE L-2 / DESARROLLOS ECOLOGICOS EL CANAL LIMITADA L2</t>
  </si>
  <si>
    <t>2025-512</t>
  </si>
  <si>
    <t>30422_Placas</t>
  </si>
  <si>
    <t>2025-354</t>
  </si>
  <si>
    <t>31604_Megarack</t>
  </si>
  <si>
    <t>2025-642</t>
  </si>
  <si>
    <t>001405</t>
  </si>
  <si>
    <t>CAPRIS SERVICES AND ENGINEERING CO SOCIEDAD ANONIM</t>
  </si>
  <si>
    <t>COMPAÑIA DE GALLETAS POZUELO 25-10-10</t>
  </si>
  <si>
    <t>2025-1375</t>
  </si>
  <si>
    <t xml:space="preserve">1525      </t>
  </si>
  <si>
    <t>COMPAÑIA DE GALLETAS POZUELO DCR SOCIEDAD ANONIMA</t>
  </si>
  <si>
    <t>Cobrar contra entrega</t>
  </si>
  <si>
    <t>ENRIQUE JOSE ACEVEDO SANDINO - PROYECTO</t>
  </si>
  <si>
    <t>2025-1196</t>
  </si>
  <si>
    <t>001796</t>
  </si>
  <si>
    <t>ENRIQUE JOSE ACEVEDO SANDINO</t>
  </si>
  <si>
    <t>GREGORY GERARDO EDMOND HENRY - Cocina Hannover + porcelanico + electros</t>
  </si>
  <si>
    <t>2025-1073</t>
  </si>
  <si>
    <t>001734</t>
  </si>
  <si>
    <t>BOSCH/ MILLIKEN/ VD-25-08-05P</t>
  </si>
  <si>
    <t>2025-137</t>
  </si>
  <si>
    <t>Gestión de cobro según boleta de entrega</t>
  </si>
  <si>
    <t>BERNARDITA DEL ROSARIO SANDI RETANA - COCINA HANNOVER</t>
  </si>
  <si>
    <t>2025-647</t>
  </si>
  <si>
    <t xml:space="preserve">001109    </t>
  </si>
  <si>
    <t>32464, 32465_Selectivo</t>
  </si>
  <si>
    <t>2025-1459</t>
  </si>
  <si>
    <t>3711</t>
  </si>
  <si>
    <t>MERCORICA S.A.</t>
  </si>
  <si>
    <t>ANA PAOLA ALVARADO MENDEZ - COCINA HANNOVER PLUS</t>
  </si>
  <si>
    <t>2025-749</t>
  </si>
  <si>
    <t>001305</t>
  </si>
  <si>
    <t>ANA PAOLA ALVARADO MENDEZ</t>
  </si>
  <si>
    <t>CONSTRUCTORA NAVARRO Y AVILES SA VD-25-02-02</t>
  </si>
  <si>
    <t>2025-116</t>
  </si>
  <si>
    <t>EVERTY TOWER F2(ZF) // BILCO COSTA RICA S.A.</t>
  </si>
  <si>
    <t>2025-1388</t>
  </si>
  <si>
    <t>BOSTON SCIENTIFIC 25-08-33</t>
  </si>
  <si>
    <t>2025-1493</t>
  </si>
  <si>
    <t xml:space="preserve">1321      </t>
  </si>
  <si>
    <t>UCR/ CONVENIO MARCO 25-08-31</t>
  </si>
  <si>
    <t>2025-1316</t>
  </si>
  <si>
    <t xml:space="preserve">1849      </t>
  </si>
  <si>
    <t>BILCO COSTA RICA S.A. 24-12-16 INARI</t>
  </si>
  <si>
    <t>2025-85</t>
  </si>
  <si>
    <t xml:space="preserve">1431      </t>
  </si>
  <si>
    <t>Retenciones</t>
  </si>
  <si>
    <t>RAE INGENIEROS VD-26-01-09P ABANGARES</t>
  </si>
  <si>
    <t xml:space="preserve">004476    </t>
  </si>
  <si>
    <t>CINEPOLIS DESAMPARADOS / INVERSIONES DE CINEMA DE COSTA RICA SOCIEDAD ANONIMA</t>
  </si>
  <si>
    <t>2025-1532</t>
  </si>
  <si>
    <t>002236</t>
  </si>
  <si>
    <t>INVERSIONES DE CINEMA DE COSTA RICA SOCIEDAD ANONI</t>
  </si>
  <si>
    <t>30669_Botas</t>
  </si>
  <si>
    <t>2025-53</t>
  </si>
  <si>
    <t>CONSTRIAL SOCIEDAD ANONIMA  VD-25-05-21</t>
  </si>
  <si>
    <t>2025-715</t>
  </si>
  <si>
    <t xml:space="preserve">001551    </t>
  </si>
  <si>
    <t>CONSTRIAL SOCIEDAD ANONIMA</t>
  </si>
  <si>
    <t>MARIA LAURA MORA RAMIREZ - Cocona Miton + cocina Kutck + fregadero + extracto</t>
  </si>
  <si>
    <t>2025-762</t>
  </si>
  <si>
    <t>001504</t>
  </si>
  <si>
    <t>MARIA LAURA MORA RAMIREZ</t>
  </si>
  <si>
    <t>33022_Megarack</t>
  </si>
  <si>
    <t>2025-1458</t>
  </si>
  <si>
    <t>2230</t>
  </si>
  <si>
    <t>OKAY INDUSTRIES COSTA RICA SRL</t>
  </si>
  <si>
    <t>CORE SECRET ESCALANTE 25-09-09</t>
  </si>
  <si>
    <t>2025-1231</t>
  </si>
  <si>
    <t>001352</t>
  </si>
  <si>
    <t>FDO INV. DESARROLLO PROYECTOS MULTIFONDOS SECRT ES</t>
  </si>
  <si>
    <t>Gestión de cobro 13/02</t>
  </si>
  <si>
    <t>UCR VD-25-10-10P</t>
  </si>
  <si>
    <t>2025-172</t>
  </si>
  <si>
    <t>32633_Selectivo</t>
  </si>
  <si>
    <t>2025-1457</t>
  </si>
  <si>
    <t>1452</t>
  </si>
  <si>
    <t>DHL COSTA RICA SOCIEDAD ANONIMA</t>
  </si>
  <si>
    <t>ECO-MORAVIA *TOPES-PARED-PUERTA*</t>
  </si>
  <si>
    <t>2025-1499</t>
  </si>
  <si>
    <t>TERMINTEU CRISTINA ROPER WILLIAMS - COCINA sin sobre</t>
  </si>
  <si>
    <t>2025-1066</t>
  </si>
  <si>
    <t>MARIA DE MONSERRAT GUITART PIGUILLEM - COCINA HANNOVER PLUS CON DESINSTALACION</t>
  </si>
  <si>
    <t>2025-1310</t>
  </si>
  <si>
    <t>001989</t>
  </si>
  <si>
    <t>MARIA DE MONSERRAT GUITART PIGUILLEM</t>
  </si>
  <si>
    <t>BENEMERITO CUERPO DE BOMBEROS 25-10-28</t>
  </si>
  <si>
    <t>2025-1484</t>
  </si>
  <si>
    <t xml:space="preserve">002018    </t>
  </si>
  <si>
    <t>BENEMERITO CUERPO DE BOMBEROS DE COSTA RICA</t>
  </si>
  <si>
    <t>DUNIA DEL CARMEN ZAMORA SOLANO - COCINA HANN</t>
  </si>
  <si>
    <t>2025-1308</t>
  </si>
  <si>
    <t>001925</t>
  </si>
  <si>
    <t>DUNIA DEL CARMEN ZAMORA SOLANO</t>
  </si>
  <si>
    <t>MINISTERIO DE SALUD 25-10-24</t>
  </si>
  <si>
    <t>2025-1383</t>
  </si>
  <si>
    <t xml:space="preserve">001916    </t>
  </si>
  <si>
    <t>CONTRATO DE FIDEICOMISO NO OCHO SIETE DOS MINISTER</t>
  </si>
  <si>
    <t>ANDRES ALBERTO MADRIGAL RETANA - Cocina + Electros</t>
  </si>
  <si>
    <t>2025-1518</t>
  </si>
  <si>
    <t>002317</t>
  </si>
  <si>
    <t>ANDRES ALBERTO MADRIGAL RETANA</t>
  </si>
  <si>
    <t>ALBERTO JOSE MESEGUER CABALCETA - MUEBLE DE COCINA Y SOBRE</t>
  </si>
  <si>
    <t>2025-726</t>
  </si>
  <si>
    <t xml:space="preserve">000144    </t>
  </si>
  <si>
    <t>ALBERTO JOSE MESEGUER CABALCETA</t>
  </si>
  <si>
    <t>MARIA VANESSA SEGURA PICADO - COCINA HANNOVER PLUS</t>
  </si>
  <si>
    <t>2025-1520</t>
  </si>
  <si>
    <t xml:space="preserve">002149    </t>
  </si>
  <si>
    <t>MARIA VANESSA SEGURA PICADO</t>
  </si>
  <si>
    <t>INACON SOCIEDAD ANONIMA - CASA FINCA OROTINA</t>
  </si>
  <si>
    <t>2025-1022</t>
  </si>
  <si>
    <t>001710</t>
  </si>
  <si>
    <t>INACON SOCIEDAD ANONIMA</t>
  </si>
  <si>
    <t>ADRIANA MARIA CAMPOS FUMERO - CLOSET 1 Y 2</t>
  </si>
  <si>
    <t>2025-1184</t>
  </si>
  <si>
    <t>2190</t>
  </si>
  <si>
    <t>ADRIANA MARIA CAMPOS FUMERO</t>
  </si>
  <si>
    <t>30177, 29968_Selectivo</t>
  </si>
  <si>
    <t>2025-1396</t>
  </si>
  <si>
    <t>1780</t>
  </si>
  <si>
    <t>KIMBERLY CLARK COSTA RICA LIMITADA</t>
  </si>
  <si>
    <t>CARLOS ANDRES VILLALOBOS ARAYA - COCINA BC3 + SOBRE PORCERÁMICO</t>
  </si>
  <si>
    <t>2025-1059</t>
  </si>
  <si>
    <t>32496_Selectivo</t>
  </si>
  <si>
    <t>2025-1223</t>
  </si>
  <si>
    <t>32623_Protectores</t>
  </si>
  <si>
    <t>2025-1325</t>
  </si>
  <si>
    <t>HAILYN ESQUIVEL PEREZ - COCINA HANNOVER PLUS</t>
  </si>
  <si>
    <t>2025-1309</t>
  </si>
  <si>
    <t>001997</t>
  </si>
  <si>
    <t>HAILYN ESQUIVEL PEREZ</t>
  </si>
  <si>
    <t>ROMAN MYJAILOVSKY MYJAILOVSKA - Cocina hannover</t>
  </si>
  <si>
    <t>2025-1435</t>
  </si>
  <si>
    <t>002184</t>
  </si>
  <si>
    <t>ROMAN MYJAILOVSKY MYJAILOVSKA</t>
  </si>
  <si>
    <t>CONTRACT- EMBAJADA DE LUXEMBURGO/ AREA EMBASSY/VD-25-07-06P</t>
  </si>
  <si>
    <t>2025-122</t>
  </si>
  <si>
    <t>33094_Megarack</t>
  </si>
  <si>
    <t>2026-42</t>
  </si>
  <si>
    <t>002060</t>
  </si>
  <si>
    <t>SIGMA ALIMENTOS COSTA RICA SOCIEDAD ANONIMA</t>
  </si>
  <si>
    <t>G5/ 25-01-04P</t>
  </si>
  <si>
    <t>2025-23</t>
  </si>
  <si>
    <t xml:space="preserve">004689    </t>
  </si>
  <si>
    <t>INTERACTIVE LIGHTNING SOCIEDAD ANONIMA</t>
  </si>
  <si>
    <t>Pendiente de revisar</t>
  </si>
  <si>
    <t>SERVICIOS PROFESIONALES DE MANO DE OBRA SEPROMO SOCIEDAD ANONIMA - COCINA HANNOVER SIN SOBRE</t>
  </si>
  <si>
    <t>2025-793</t>
  </si>
  <si>
    <t>000824</t>
  </si>
  <si>
    <t>SERVICIOS PROFESIONALES DE MANO DE OBRA SEPROMO SO</t>
  </si>
  <si>
    <t>33271_Megarack</t>
  </si>
  <si>
    <t>2026-116</t>
  </si>
  <si>
    <t>002520</t>
  </si>
  <si>
    <t>AQUA POOL BLUE CR SOCIEDAD ANONIMA</t>
  </si>
  <si>
    <t xml:space="preserve"> Jonathan Saenz</t>
  </si>
  <si>
    <t>BILCO COSTA RICA S.A. // INARI 25-08-09</t>
  </si>
  <si>
    <t>2025-1108</t>
  </si>
  <si>
    <t>Gestión de cobro 18/02</t>
  </si>
  <si>
    <t>FREUDENBERG MEDICAL S.A  VD-26-01-07P</t>
  </si>
  <si>
    <t xml:space="preserve">004766    </t>
  </si>
  <si>
    <t>FREUDENBERG MEDICAL SOCIEDAD DE RESPONSABILIDAD LI</t>
  </si>
  <si>
    <t>ANTONIO ROLDAN RAMIREZ - ELECTROS KUPPER</t>
  </si>
  <si>
    <t>2025-1299</t>
  </si>
  <si>
    <t xml:space="preserve">002055    </t>
  </si>
  <si>
    <t>ANTONIO ROLDAN RAMIREZ</t>
  </si>
  <si>
    <t>PARQUE CENTRAL/ GRUPO DOMAR/ 25-01-01P VD-25-01-02P</t>
  </si>
  <si>
    <t>2025-20</t>
  </si>
  <si>
    <t xml:space="preserve">004583    </t>
  </si>
  <si>
    <t>YARKONI ORLANDO ROJAS ALVARADO - regalia fregadero cachera vinera</t>
  </si>
  <si>
    <t>2025-628</t>
  </si>
  <si>
    <t>CORPORACION COSTARRICENSE ENSON VD-25-06-07</t>
  </si>
  <si>
    <t>2025-831</t>
  </si>
  <si>
    <t>3181</t>
  </si>
  <si>
    <t>CORPORACION COSTARRICENSE DE MERCADEO INTER</t>
  </si>
  <si>
    <t>32908_Selectivo</t>
  </si>
  <si>
    <t>2025-1415</t>
  </si>
  <si>
    <t>MINISTERIO DE SALUD/ 25-08-01</t>
  </si>
  <si>
    <t>2025-1152</t>
  </si>
  <si>
    <t>UCR VD-25-12-07P</t>
  </si>
  <si>
    <t>2025-182</t>
  </si>
  <si>
    <t>00550</t>
  </si>
  <si>
    <t>NOILY QUIROS MORA - ISLA</t>
  </si>
  <si>
    <t>2025-329</t>
  </si>
  <si>
    <t>2111</t>
  </si>
  <si>
    <t>NOILY QUIROS MORA</t>
  </si>
  <si>
    <t>LINDORA VILLAGE-CASA CLUB / EURO LINDORA FA S.A.</t>
  </si>
  <si>
    <t>2025-889</t>
  </si>
  <si>
    <t>32626,32656_Movimiento</t>
  </si>
  <si>
    <t>2026-69</t>
  </si>
  <si>
    <t>KPMG/ 25-07-13</t>
  </si>
  <si>
    <t>2025-1081</t>
  </si>
  <si>
    <t xml:space="preserve">001771    </t>
  </si>
  <si>
    <t>KPMG DELIVERY NETWORK COSTA RICA  T&amp;L SOCIEDAD ANO</t>
  </si>
  <si>
    <t>CENTRO COMERCIAL MULTIPLAZA/ SILLAS/ VD-24-12-05P</t>
  </si>
  <si>
    <t>2025-76</t>
  </si>
  <si>
    <t>004751</t>
  </si>
  <si>
    <t>CENTRO COMERCIAL MULTIPLAZA SOCIEDAD ANONIMA</t>
  </si>
  <si>
    <t>ALLERGAN- ABBVIE/ COPAS/ 25-10-02P</t>
  </si>
  <si>
    <t>2025-141</t>
  </si>
  <si>
    <t xml:space="preserve">004615    </t>
  </si>
  <si>
    <t>ALLERGAN COSTA RICA SOCIENDAD RESPONSABILIDAD LIMI</t>
  </si>
  <si>
    <t>WALMART VD-25-02-10</t>
  </si>
  <si>
    <t>2025-235</t>
  </si>
  <si>
    <t>6320</t>
  </si>
  <si>
    <t>Corporacion de Supermercados Unidos SRL</t>
  </si>
  <si>
    <t>31340_selectivo</t>
  </si>
  <si>
    <t>2725</t>
  </si>
  <si>
    <t>NESTLE EL SALVADOR, S.A. DE C.V.</t>
  </si>
  <si>
    <t>RUTH MARIA MORA RUIZ - Cocina + electrodomesticos</t>
  </si>
  <si>
    <t>2025-786</t>
  </si>
  <si>
    <t>5056</t>
  </si>
  <si>
    <t>RUTH MARIA MORA RUIZ</t>
  </si>
  <si>
    <t>CORE DESARROLLADORA SOCIEDAD DE RESPONSABILIDAD LI - VENTAS ONLINE</t>
  </si>
  <si>
    <t>2025-1302</t>
  </si>
  <si>
    <t xml:space="preserve">1471      </t>
  </si>
  <si>
    <t>CORE DESARROLLADORA SOCIEDAD DE RESPONSABILIDAD LI</t>
  </si>
  <si>
    <t>A3 ARQUITECTOS/ VD-25-07-01/ LVT MILLIKEN</t>
  </si>
  <si>
    <t>2025-1208</t>
  </si>
  <si>
    <t>33074_Medium Racks</t>
  </si>
  <si>
    <t>2026-30</t>
  </si>
  <si>
    <t>3238</t>
  </si>
  <si>
    <t>GREIF COSTA RICA S.A.</t>
  </si>
  <si>
    <t>RANDALL ALBERTO AGUILAR MORA - Venta online</t>
  </si>
  <si>
    <t>2025-41</t>
  </si>
  <si>
    <t xml:space="preserve">2558      </t>
  </si>
  <si>
    <t>RANDALL ALBERTO AGUILAR MORA</t>
  </si>
  <si>
    <t>LOS ARALLANES/MATERNIDAD VD-26-01-07</t>
  </si>
  <si>
    <t>2026-71</t>
  </si>
  <si>
    <t xml:space="preserve">1589      </t>
  </si>
  <si>
    <t>LOS ARALLANES SOCIEDAD ANONIMA</t>
  </si>
  <si>
    <t>SAMTEC/ VD-24-12-06P</t>
  </si>
  <si>
    <t>2025-17</t>
  </si>
  <si>
    <t xml:space="preserve">000910    </t>
  </si>
  <si>
    <t>Enviar factura en fisico</t>
  </si>
  <si>
    <t>DHL/ 25-10-09P</t>
  </si>
  <si>
    <t xml:space="preserve">004562    </t>
  </si>
  <si>
    <t>DHL CUSTOMS (COSTA RICA) SOCIEDAD ANONIMA</t>
  </si>
  <si>
    <t>Pagan 03 marzo</t>
  </si>
  <si>
    <t>INVERSOTH SRL - vinera</t>
  </si>
  <si>
    <t>2025-807</t>
  </si>
  <si>
    <t xml:space="preserve">5363      </t>
  </si>
  <si>
    <t>INVERSOTH SRL</t>
  </si>
  <si>
    <t>33208_Megarack</t>
  </si>
  <si>
    <t>2026-122</t>
  </si>
  <si>
    <t>CAFSA/ SUPERFICIES/ VD-25-08-02P</t>
  </si>
  <si>
    <t>2025-110</t>
  </si>
  <si>
    <t>Cancelado</t>
  </si>
  <si>
    <t>LOS ARALLANES SOCIEDAD ANONIMA 25-06-01 AFZ</t>
  </si>
  <si>
    <t>2025-698</t>
  </si>
  <si>
    <t>2025-401</t>
  </si>
  <si>
    <t xml:space="preserve"> Katherine Chacon PI</t>
  </si>
  <si>
    <t>SAMTEC INTERCONNECT 25-08-36</t>
  </si>
  <si>
    <t>2025-1480</t>
  </si>
  <si>
    <t>CENTRO COMERCIAL MULTIPLAZA/ OFICINAS ADMINISTRATIVAS/MILLIKEN/ VD-25-02-04P</t>
  </si>
  <si>
    <t>2025-42</t>
  </si>
  <si>
    <t xml:space="preserve">004751    </t>
  </si>
  <si>
    <t>MAYCA DISTRIBUIDORES, S.A VD-26-01-21</t>
  </si>
  <si>
    <t>2026-92</t>
  </si>
  <si>
    <t xml:space="preserve">3607      </t>
  </si>
  <si>
    <t>MAYCA DISTRIBUIDORES, S.A</t>
  </si>
  <si>
    <t>EDICA LIMITADA VD-25-10-06</t>
  </si>
  <si>
    <t>2025-1354</t>
  </si>
  <si>
    <t xml:space="preserve">1867      </t>
  </si>
  <si>
    <t>CHIQUITA BRANDS VD-25-12-02P</t>
  </si>
  <si>
    <t>002337</t>
  </si>
  <si>
    <t>CHIQUITA BRANDS COSTA RICA SRL</t>
  </si>
  <si>
    <t>Gestión de cobro 1eros días de marzo</t>
  </si>
  <si>
    <t>32048_Megarack</t>
  </si>
  <si>
    <t>2025-802</t>
  </si>
  <si>
    <t>001442</t>
  </si>
  <si>
    <t>COMPAÑIA NACIONAL DE FUERZA Y LUZ SOCIEDAD ANONIMA</t>
  </si>
  <si>
    <t>ROGER ANTONIO GARITA VARGAS - Cocina Hannover/ Asesor Jose Rojas</t>
  </si>
  <si>
    <t>2025-46</t>
  </si>
  <si>
    <t>000803</t>
  </si>
  <si>
    <t>ROGER ANTONIO GARITA VARGAS</t>
  </si>
  <si>
    <t>EMBAJADA DE LOS ESTADOS UNIDOS DE AMERICA 25-09-08</t>
  </si>
  <si>
    <t>2025-1379</t>
  </si>
  <si>
    <t xml:space="preserve">2711      </t>
  </si>
  <si>
    <t>EMBAJADA DE LOS ESTADOS UNIDOS DE AMERICA</t>
  </si>
  <si>
    <t>33205_Inspeccion</t>
  </si>
  <si>
    <t>2026-88</t>
  </si>
  <si>
    <t>000365</t>
  </si>
  <si>
    <t>BIMBO DE COSTA RICA SOCIEDAD ANONIMA</t>
  </si>
  <si>
    <t>32310_Selectivo</t>
  </si>
  <si>
    <t>2025-1032</t>
  </si>
  <si>
    <t>001869</t>
  </si>
  <si>
    <t>JUNTA ADMINISTRATIVA DEL SERVICIO ELECTRICO MUNICI</t>
  </si>
  <si>
    <t>CORE DESARROLLADORA SRL. 25-06-08</t>
  </si>
  <si>
    <t>2025-1212</t>
  </si>
  <si>
    <t xml:space="preserve">9542      </t>
  </si>
  <si>
    <t>CORE DESARROLLADORA SRL.</t>
  </si>
  <si>
    <t>CORE DESARROLLADORA SRL. 25-06-08A</t>
  </si>
  <si>
    <t>2025-1214</t>
  </si>
  <si>
    <t>CONTRACT WORKPLACES VD-26-01-08P EMBAJA DE LUXEMBURGO</t>
  </si>
  <si>
    <t>2026-20</t>
  </si>
  <si>
    <t>NITINOL DEVICES/CONFLUENT VD-25-11-09</t>
  </si>
  <si>
    <t>2025-1454</t>
  </si>
  <si>
    <t xml:space="preserve">1854      </t>
  </si>
  <si>
    <t>NITINOL DEVICES &amp; COMPONENTS COSTA RICA SRL</t>
  </si>
  <si>
    <t>CONTRACT- EMBAJADA DE LUXEMBURGO/ AREA COMUN/ VD-25-07-04P</t>
  </si>
  <si>
    <t>2025-121</t>
  </si>
  <si>
    <t>2025-1301</t>
  </si>
  <si>
    <t>ERP CONSULTING GRUOP S.A - Venta Online</t>
  </si>
  <si>
    <t>2026-119</t>
  </si>
  <si>
    <t xml:space="preserve">002511    </t>
  </si>
  <si>
    <t>ERP CONSULTING GRUOP S.A</t>
  </si>
  <si>
    <t>2025-400</t>
  </si>
  <si>
    <t xml:space="preserve">MAYCA DISTRIBUIDORES, S.A VD-26-01-28 </t>
  </si>
  <si>
    <t>2026-95</t>
  </si>
  <si>
    <t>PURDY MOTOR VD-26-01-14</t>
  </si>
  <si>
    <t>2026-35</t>
  </si>
  <si>
    <t xml:space="preserve">1814      </t>
  </si>
  <si>
    <t xml:space="preserve">ELECTRONICA CENTROAM. BIOCIENTIFICA 26-01-02P </t>
  </si>
  <si>
    <t xml:space="preserve">004716    </t>
  </si>
  <si>
    <t>ELECTRONICA CENTROAMERICANA SOCIEDAD ANONIMA</t>
  </si>
  <si>
    <t>MARSH ASPROSE CORREDORA VD-25-09-26</t>
  </si>
  <si>
    <t>2025-1289</t>
  </si>
  <si>
    <t xml:space="preserve">002104    </t>
  </si>
  <si>
    <t>MARSH ASPROSE CORREDORA DE SEGUROS SOCIEDAD ANONIM</t>
  </si>
  <si>
    <t>INS/ CONVENIO MARCO/ 25-08-30</t>
  </si>
  <si>
    <t>2025-1293</t>
  </si>
  <si>
    <t xml:space="preserve">1806      </t>
  </si>
  <si>
    <t>INSTITUTO NACIONAL DE SEGUROS</t>
  </si>
  <si>
    <t>3-101-795629 SOCIEDAD ANONIMA - COCINA MAS ELECTRODOMESTICOS</t>
  </si>
  <si>
    <t>2025-337</t>
  </si>
  <si>
    <t>001201</t>
  </si>
  <si>
    <t>3-101-795629 SOCIEDAD ANONIMA</t>
  </si>
  <si>
    <t>31416_Selectivo</t>
  </si>
  <si>
    <t>2025-433</t>
  </si>
  <si>
    <t>001274</t>
  </si>
  <si>
    <t>SELECT SOLUTIONS LTDA DE C.V.</t>
  </si>
  <si>
    <t>31859_Megarack</t>
  </si>
  <si>
    <t>2025-548</t>
  </si>
  <si>
    <t>001389</t>
  </si>
  <si>
    <t>INVERSIONES 9.9013 S.A.</t>
  </si>
  <si>
    <t>JEANNIE DELGADO BOLAÑOS - COCINA BC3</t>
  </si>
  <si>
    <t>2025-294</t>
  </si>
  <si>
    <t>000817</t>
  </si>
  <si>
    <t>JEANNIE DELGADO BOLAÑOS</t>
  </si>
  <si>
    <t>32451_Megarack</t>
  </si>
  <si>
    <t>2025-1296</t>
  </si>
  <si>
    <t>002117</t>
  </si>
  <si>
    <t>MUSEO NACIONAL DE COSTA RICA</t>
  </si>
  <si>
    <t>EMBAJADA DE LOS ESTADOS UNIDOS DE AMERICA 25-04-12 VD-25-04-03</t>
  </si>
  <si>
    <t>2025-562</t>
  </si>
  <si>
    <t>32982_Megarack</t>
  </si>
  <si>
    <t>2025-1432</t>
  </si>
  <si>
    <t>000341</t>
  </si>
  <si>
    <t>CAFE BRITT COSTA RICA SOCIEDAD ANONIMA</t>
  </si>
  <si>
    <t>32249_Selectivo</t>
  </si>
  <si>
    <t>2025-692</t>
  </si>
  <si>
    <t>JUNTA ADMINISTRATIVA DEL ARCHIVO NACIONAL/ 25-07-18</t>
  </si>
  <si>
    <t>2025-1264</t>
  </si>
  <si>
    <t>001787</t>
  </si>
  <si>
    <t>JUNTA ADMINISTRATIVA DEL ARCHIVO NACIONAL</t>
  </si>
  <si>
    <t>PLAZA RIVIERA // COCA COLA VD-25-09-04</t>
  </si>
  <si>
    <t>2025-1268</t>
  </si>
  <si>
    <t>32443_Selectivo</t>
  </si>
  <si>
    <t>2025-922</t>
  </si>
  <si>
    <t>001756</t>
  </si>
  <si>
    <t>PROYECTOS TAUCA SOCIEDAD ANONIMA</t>
  </si>
  <si>
    <t>MARMARALYSA SOCIEDAD ANONIMA - COCINETAS</t>
  </si>
  <si>
    <t>2026-66</t>
  </si>
  <si>
    <t>002230</t>
  </si>
  <si>
    <t>MARMARALYSA SOCIEDAD ANONIMA</t>
  </si>
  <si>
    <t>32618_Megarack</t>
  </si>
  <si>
    <t>2025-1461</t>
  </si>
  <si>
    <t>ANA ELISA SAENZ NARANJO - Electrodomésticos</t>
  </si>
  <si>
    <t>2025-902</t>
  </si>
  <si>
    <t>001619</t>
  </si>
  <si>
    <t>ANA ELISA SAENZ NARANJO</t>
  </si>
  <si>
    <t>33176, 33200_Megarack</t>
  </si>
  <si>
    <t>002437</t>
  </si>
  <si>
    <t>ACABADOS AUTOMOTRICES MATRIX SOCIEDAD ANONIMA</t>
  </si>
  <si>
    <t>31873, 32345,32881_Megarack</t>
  </si>
  <si>
    <t>2025-404</t>
  </si>
  <si>
    <t>2692</t>
  </si>
  <si>
    <t>GRUPO BM SP SOCIEDAD ANONIMA</t>
  </si>
  <si>
    <t>32440_Megarack</t>
  </si>
  <si>
    <t>2025-958</t>
  </si>
  <si>
    <t>2708</t>
  </si>
  <si>
    <t>Belina Nutricion Animal S.A</t>
  </si>
  <si>
    <t>31515_Megarack</t>
  </si>
  <si>
    <t>2025-125</t>
  </si>
  <si>
    <t>32680_selectivo</t>
  </si>
  <si>
    <t>2025-1508</t>
  </si>
  <si>
    <t>5782</t>
  </si>
  <si>
    <t>BICSA LEASING SOCIEDAD ANONIMA</t>
  </si>
  <si>
    <t>32297_ Megarack</t>
  </si>
  <si>
    <t>2025-811</t>
  </si>
  <si>
    <t>000929</t>
  </si>
  <si>
    <t>PRIME LOGISTICS GAG SOCIEDAD ANONIMA</t>
  </si>
  <si>
    <t>32090_Megarack</t>
  </si>
  <si>
    <t>2025-546</t>
  </si>
  <si>
    <t>32025, 32560_Megarack</t>
  </si>
  <si>
    <t>2025-828</t>
  </si>
  <si>
    <t>001542</t>
  </si>
  <si>
    <t>ZONA FRANCA PARQUE COYOL TRES SOCIEDAD DE RESPONSA</t>
  </si>
  <si>
    <t>32203_Megarack</t>
  </si>
  <si>
    <t>2025-794</t>
  </si>
  <si>
    <t>001495</t>
  </si>
  <si>
    <t>3-101-913059 SOCIEDAD ANONIMA - Electros Sub Zero + Wolf + Cove</t>
  </si>
  <si>
    <t>2025-466</t>
  </si>
  <si>
    <t>001232</t>
  </si>
  <si>
    <t>3-101-913059 SOCIEDAD ANONIMA</t>
  </si>
  <si>
    <t>31360_SELECTIVO</t>
  </si>
  <si>
    <t>2025-77</t>
  </si>
  <si>
    <t xml:space="preserve"> LE-Serv Adminis-Sonia Ruiz</t>
  </si>
  <si>
    <t>SECRET ESCALANTE R01 / ODV 2683 / PROYECTO PRINCIPAL</t>
  </si>
  <si>
    <t>2025-350</t>
  </si>
  <si>
    <t>1710</t>
  </si>
  <si>
    <t>DESARROLLO CIELO ESCALANTE SOCIEDAD ANONIMA</t>
  </si>
  <si>
    <t>JENIZARO CRIOLLO LIMITADA - PROYECTO COMPLETO MUEBLES</t>
  </si>
  <si>
    <t>2025-1266</t>
  </si>
  <si>
    <t>6414</t>
  </si>
  <si>
    <t>JENIZARO CRIOLLO LIMITADA</t>
  </si>
  <si>
    <t>GRUPO MIDAS MANAGEMENT SOCIEDAD ANONIMA - ELECTRODOMÉSTICOS SUBZERO-WOLF-COVE</t>
  </si>
  <si>
    <t>002299</t>
  </si>
  <si>
    <t>GRUPO MIDAS MANAGEMENT SOCIEDAD ANONIMA</t>
  </si>
  <si>
    <t>32255, 32068_Movimiento-Megarack</t>
  </si>
  <si>
    <t>2025-975</t>
  </si>
  <si>
    <t>2666</t>
  </si>
  <si>
    <t>Viant Costa Rica S.A.</t>
  </si>
  <si>
    <t>GREGORIO SEGURA COTO - Proyecto completo</t>
  </si>
  <si>
    <t>2025-636</t>
  </si>
  <si>
    <t>001375</t>
  </si>
  <si>
    <t>GREGORIO SEGURA COTO</t>
  </si>
  <si>
    <t>32467_Selectivo</t>
  </si>
  <si>
    <t>2025-1047</t>
  </si>
  <si>
    <t>KARINAMAYPA SOCIEDAD DE RESPONSABILIDAD LIMITADA - COCINA + PORCELANICO</t>
  </si>
  <si>
    <t>2025-960</t>
  </si>
  <si>
    <t>000466</t>
  </si>
  <si>
    <t>KARINAMAYPA SOCIEDAD DE RESPONSABILIDAD LIMITADA</t>
  </si>
  <si>
    <t xml:space="preserve"> Bryan Solis Prado</t>
  </si>
  <si>
    <t>31491,32348_Megarack</t>
  </si>
  <si>
    <t>2025-746</t>
  </si>
  <si>
    <t>2718</t>
  </si>
  <si>
    <t>HOLOGIC SURGICAL PRODUCTS COSTA RICA S.R.L</t>
  </si>
  <si>
    <t>32186_ Medium Rack</t>
  </si>
  <si>
    <t>2025-826</t>
  </si>
  <si>
    <t>001641</t>
  </si>
  <si>
    <t>CENTRO DE CIENCIA Y TECNOLOGIA ULTRAPARK SOCIEDAD</t>
  </si>
  <si>
    <t>VARGAS Y CORDERO SOCIEDAD DE RESPONSABILIDAD LIMITADA - COCINA Y LAVANDERÍA</t>
  </si>
  <si>
    <t>2025-295</t>
  </si>
  <si>
    <t>000739</t>
  </si>
  <si>
    <t>VARGAS Y CORDERO SOCIEDAD DE RESPONSABILIDAD LIMIT</t>
  </si>
  <si>
    <t>PAMELA SANDOVAL SALAZAR - proyecto completo</t>
  </si>
  <si>
    <t>2025-251</t>
  </si>
  <si>
    <t>000971</t>
  </si>
  <si>
    <t>PAMELA SANDOVAL SALAZAR</t>
  </si>
  <si>
    <t>RENE CARDONA GARCIA - COCINA BC3</t>
  </si>
  <si>
    <t>2025-1021</t>
  </si>
  <si>
    <t>001633</t>
  </si>
  <si>
    <t>RENE CARDONA GARCIA</t>
  </si>
  <si>
    <t>DESARROLLOS TECNICOS S.A.*CAFETOS BLOQUE 9*</t>
  </si>
  <si>
    <t>2025-785</t>
  </si>
  <si>
    <t>1617</t>
  </si>
  <si>
    <t>DESARROLLOS TECNICOS S.A.</t>
  </si>
  <si>
    <t>HUGO ANDRES MORA CHAVES - Cocina madera BC3</t>
  </si>
  <si>
    <t>2025-751</t>
  </si>
  <si>
    <t>001373</t>
  </si>
  <si>
    <t>HUGO ANDRES MORA CHAVES</t>
  </si>
  <si>
    <t>OSWALDO JOSE ALVAREZ VELASQUEZ - COCINA BC3 + BAR + CLOSET</t>
  </si>
  <si>
    <t>2025-754</t>
  </si>
  <si>
    <t>001224</t>
  </si>
  <si>
    <t>OSWALDO JOSE ALVAREZ VELASQUEZ</t>
  </si>
  <si>
    <t>32152_Rejillas</t>
  </si>
  <si>
    <t>2025-1030</t>
  </si>
  <si>
    <t>3607</t>
  </si>
  <si>
    <t>MARIANELLA SANCHEZ CAMPOS - Cocina BC3</t>
  </si>
  <si>
    <t>2025-134</t>
  </si>
  <si>
    <t>000763</t>
  </si>
  <si>
    <t>MARIANELLA SANCHEZ CAMPOS</t>
  </si>
  <si>
    <t>SECRT ESCALANTE / DESARROLLO CIELO ESCALANTE SOCIEDAD ANONIMA</t>
  </si>
  <si>
    <t>2025-599</t>
  </si>
  <si>
    <t>DESARROLLO CIELO ESCALANTE SOCIEDAD ANONIMA - 35 paquetes de electros (plantillas+hornos)</t>
  </si>
  <si>
    <t>2025-290</t>
  </si>
  <si>
    <t>EDUARDO JOSE GAZEL LOPEZ - Cocina+Area lavado+alacena+closets</t>
  </si>
  <si>
    <t>2026-82</t>
  </si>
  <si>
    <t>002061</t>
  </si>
  <si>
    <t>EDUARDO JOSE GAZEL LOPEZ</t>
  </si>
  <si>
    <t>VIRGINIA ULLOA VARGAS - Cocina BC3</t>
  </si>
  <si>
    <t>2025-99</t>
  </si>
  <si>
    <t>000756</t>
  </si>
  <si>
    <t>VIRGINIA ULLOA VARGAS</t>
  </si>
  <si>
    <t>32691, 32574_Selectivo</t>
  </si>
  <si>
    <t>2025-1246</t>
  </si>
  <si>
    <t>MARVIN GERARDO PERAZA MORALES - Proyecto completo</t>
  </si>
  <si>
    <t>2025-1199</t>
  </si>
  <si>
    <t>001883</t>
  </si>
  <si>
    <t>MARVIN GERARDO PERAZA MORALES</t>
  </si>
  <si>
    <t>MARIA ANDREA MOLIGNANO - Cocina BC3 + Refri GEcafe</t>
  </si>
  <si>
    <t>2025-164</t>
  </si>
  <si>
    <t>000958</t>
  </si>
  <si>
    <t>MARIA ANDREA MOLIGNANO</t>
  </si>
  <si>
    <t>31980_Megarack</t>
  </si>
  <si>
    <t>2025-213</t>
  </si>
  <si>
    <t>Génesis Cordero Brenes - COCINA</t>
  </si>
  <si>
    <t>2025-1023</t>
  </si>
  <si>
    <t>001654</t>
  </si>
  <si>
    <t>Génesis Cordero Brenes</t>
  </si>
  <si>
    <t>RODRIGO LARIOS ROBERT - COCINA MEL BC3 + PORCERÁMICO</t>
  </si>
  <si>
    <t>2025-496</t>
  </si>
  <si>
    <t>000557</t>
  </si>
  <si>
    <t>RODRIGO LARIOS ROBERT</t>
  </si>
  <si>
    <t>MARION PAMELA ROJAS HERRERA - COCINA+CLOSET+BAÑOS</t>
  </si>
  <si>
    <t>2025-528</t>
  </si>
  <si>
    <t>000331</t>
  </si>
  <si>
    <t>MARION PAMELA ROJAS HERRERA</t>
  </si>
  <si>
    <t>3-102-780575 SOCIEDAD DE RESPONSABILIDAD LIMITADA - PROYECTO COMPLETO BC3 Y NACIONAL</t>
  </si>
  <si>
    <t>2025-149</t>
  </si>
  <si>
    <t>000489</t>
  </si>
  <si>
    <t>3-102-780575 SOCIEDAD DE RESPONSABILIDAD LIMITADA</t>
  </si>
  <si>
    <t>CASA DOBLE PLAYA TAMARINDO SOCIEDAD ANONIMA - Cocina BC3</t>
  </si>
  <si>
    <t>2025-165</t>
  </si>
  <si>
    <t>000801</t>
  </si>
  <si>
    <t>CASA DOBLE PLAYA TAMARINDO SOCIEDAD ANONIMA</t>
  </si>
  <si>
    <t>JOHN HENRY RONALD - COCINA DE LIQUIDACIÓN MITON CON ELECROS</t>
  </si>
  <si>
    <t>2025-808</t>
  </si>
  <si>
    <t>000747</t>
  </si>
  <si>
    <t>JOHN HENRY RONALD</t>
  </si>
  <si>
    <t>PURA VIDA ESPAIS PVE SRL - PROYECTO LOS REYES</t>
  </si>
  <si>
    <t>2025-374</t>
  </si>
  <si>
    <t>000281</t>
  </si>
  <si>
    <t>PURA VIDA ESPAIS PVE SRL</t>
  </si>
  <si>
    <t>RRHH Metamorfosis SRL - COCINA CON SOBRE REGALÍA EXTRACTOR</t>
  </si>
  <si>
    <t>2025-1058</t>
  </si>
  <si>
    <t>001719</t>
  </si>
  <si>
    <t>RRHH Metamorfosis SRL</t>
  </si>
  <si>
    <t>MARICELA MORA MORA - PROYECTO</t>
  </si>
  <si>
    <t>2025-760</t>
  </si>
  <si>
    <t>001283</t>
  </si>
  <si>
    <t>MARICELA MORA MORA</t>
  </si>
  <si>
    <t>31969_Megarack</t>
  </si>
  <si>
    <t>2025-446</t>
  </si>
  <si>
    <t>4797</t>
  </si>
  <si>
    <t>LA NAPOLI BAJUREÑA, S.A</t>
  </si>
  <si>
    <t>31283_mega rack</t>
  </si>
  <si>
    <t>2025-215</t>
  </si>
  <si>
    <t>2684</t>
  </si>
  <si>
    <t>Corporacion Frionet S.A</t>
  </si>
  <si>
    <t>EDIFITEC CONSTRUCCIONES TECNICAS SOCIEDAD ANONIMA - Proyecto completo</t>
  </si>
  <si>
    <t>2025-929</t>
  </si>
  <si>
    <t>2074</t>
  </si>
  <si>
    <t>EDIFITEC CONSTRUCCIONES TECNICAS SOCIEDAD ANONIMA</t>
  </si>
  <si>
    <t>ELIZABETH JIMENEZ JIMENEZ - PROYECTO</t>
  </si>
  <si>
    <t>2025-373</t>
  </si>
  <si>
    <t>001203</t>
  </si>
  <si>
    <t>ELIZABETH JIMENEZ JIMENEZ</t>
  </si>
  <si>
    <t>ELKIN ANDRES SUAREZ DURALL - COCINA HANNOVER Y CUARTO DE PILAS</t>
  </si>
  <si>
    <t>2025-758</t>
  </si>
  <si>
    <t>001453</t>
  </si>
  <si>
    <t>ELKIN ANDRES SUAREZ DURALL</t>
  </si>
  <si>
    <t>LKC ARRENDAMIENTOS S.A - MOBILIARIO DE COCINA</t>
  </si>
  <si>
    <t>2025-138</t>
  </si>
  <si>
    <t>5972</t>
  </si>
  <si>
    <t>LKC ARRENDAMIENTOS S.A</t>
  </si>
  <si>
    <t>29523_Dinámicos</t>
  </si>
  <si>
    <t>2025-1100</t>
  </si>
  <si>
    <t>3740</t>
  </si>
  <si>
    <t>CORPORACION PIPASA S.R.L</t>
  </si>
  <si>
    <t>31284_Piso resina</t>
  </si>
  <si>
    <t>2025-567</t>
  </si>
  <si>
    <t>REINER STEVEN SANCHEZ CARBALLO - COCINA BC3 + PORCELÁNICO</t>
  </si>
  <si>
    <t>2025-390</t>
  </si>
  <si>
    <t>001215</t>
  </si>
  <si>
    <t>REINER STEVEN SANCHEZ CARBALLO</t>
  </si>
  <si>
    <t>32527_Megarack</t>
  </si>
  <si>
    <t>2025-1249</t>
  </si>
  <si>
    <t>JOSE ADRIAN LEITON ZUÑIGA - PROYECTO COMPLETO</t>
  </si>
  <si>
    <t>2025-1166</t>
  </si>
  <si>
    <t>001866</t>
  </si>
  <si>
    <t>JOSE ADRIAN LEITON ZUÑIGA</t>
  </si>
  <si>
    <t>JOHANA JOSE GABOUREL RODAS - Cocina BC3</t>
  </si>
  <si>
    <t>2025-1015</t>
  </si>
  <si>
    <t>000961</t>
  </si>
  <si>
    <t>JOHANA JOSE GABOUREL RODAS</t>
  </si>
  <si>
    <t>AKV PROJECTS SRL - Cocina hannover plus blanco brillante linea gola +</t>
  </si>
  <si>
    <t>2026-128</t>
  </si>
  <si>
    <t>ARLENE MARIA ROBERT BONILLA - Cocina + Fregadero</t>
  </si>
  <si>
    <t>2025-730</t>
  </si>
  <si>
    <t>000723</t>
  </si>
  <si>
    <t>ARLENE MARIA ROBERT BONILLA</t>
  </si>
  <si>
    <t>HEIZEL VIVIANNA HERNANDEZ MURILLO - Cocina Hannover plus + sobre porcelanico +electrod</t>
  </si>
  <si>
    <t>2025-1311</t>
  </si>
  <si>
    <t>001995</t>
  </si>
  <si>
    <t>HEIZEL VIVIANNA HERNANDEZ MURILLO</t>
  </si>
  <si>
    <t>31686_mega rack</t>
  </si>
  <si>
    <t>2025-228</t>
  </si>
  <si>
    <t>REAL STONE DEPOT DEKOSTONE SOCIEDAD ANONIMA - ELECTRODOMESTICOS</t>
  </si>
  <si>
    <t>2025-1351</t>
  </si>
  <si>
    <t>001761</t>
  </si>
  <si>
    <t>REAL STONE DEPOT DEKOSTONE SOCIEDAD ANONIMA</t>
  </si>
  <si>
    <t>MARCOS MAURICIO BONILLA VALERIN - Cocina BC3</t>
  </si>
  <si>
    <t>2025-96</t>
  </si>
  <si>
    <t>000681</t>
  </si>
  <si>
    <t>MARCOS MAURICIO BONILLA VALERIN</t>
  </si>
  <si>
    <t>ALVARO ANTONIO SUAREZ ARIAS - cocina + bar BC3</t>
  </si>
  <si>
    <t>2025-693</t>
  </si>
  <si>
    <t>000711</t>
  </si>
  <si>
    <t>ALVARO ANTONIO SUAREZ ARIAS</t>
  </si>
  <si>
    <t>LILLIAM ESCALANTE ARAUZ - COCINA</t>
  </si>
  <si>
    <t>2025-449</t>
  </si>
  <si>
    <t>001266</t>
  </si>
  <si>
    <t>LILLIAM ESCALANTE ARAUZ</t>
  </si>
  <si>
    <t>GUISELLE MARIA DE LA TRINIDAD UMAÑA UREÑA - COCINA+ELECTROS</t>
  </si>
  <si>
    <t>2025-944</t>
  </si>
  <si>
    <t>2297</t>
  </si>
  <si>
    <t>GUISELLE MARIA DE LA TRINIDAD UMAÑA UREÑA</t>
  </si>
  <si>
    <t>31034_Megarack</t>
  </si>
  <si>
    <t>2025-1491</t>
  </si>
  <si>
    <t>31521_Megarack</t>
  </si>
  <si>
    <t>2025-103</t>
  </si>
  <si>
    <t>1462</t>
  </si>
  <si>
    <t>MOBILEPRO COSTA RICA SOCIEDAD ANONIMA</t>
  </si>
  <si>
    <t>COMERCIAL BANTE SOCIEDAD ANONIMA - COCINA</t>
  </si>
  <si>
    <t>2025-271</t>
  </si>
  <si>
    <t>6131</t>
  </si>
  <si>
    <t>COMERCIAL BANTE SOCIEDAD ANONIMA</t>
  </si>
  <si>
    <t>MARIA EMILIA FERNANDEZ MORA - Cocina Hannover+ electrodomésticos+ baño + alacena</t>
  </si>
  <si>
    <t>2025-1155</t>
  </si>
  <si>
    <t>001811</t>
  </si>
  <si>
    <t>MARIA EMILIA FERNANDEZ MORA</t>
  </si>
  <si>
    <t>SALUD NEONATAL SOCIEDAD ANONIMA - Cocina Navidad + sobre porcelanico +electros +desi</t>
  </si>
  <si>
    <t>2025-1304</t>
  </si>
  <si>
    <t>002030</t>
  </si>
  <si>
    <t>SALUD NEONATAL SOCIEDAD ANONIMA</t>
  </si>
  <si>
    <t>ROSWELL DRYWALL CR SOCIEDAD ANONIMA - cocina, dos baños, pilas, wc + electrodomesticos</t>
  </si>
  <si>
    <t>2025-292</t>
  </si>
  <si>
    <t>000625</t>
  </si>
  <si>
    <t>ROSWELL DRYWALL CR SOCIEDAD ANONIMA</t>
  </si>
  <si>
    <t>31630_megarack</t>
  </si>
  <si>
    <t>2025-160</t>
  </si>
  <si>
    <t>KATALINA ELENA VELARDE BARQUERO - Mueble de cocina miton + plantilla + fregadero + c</t>
  </si>
  <si>
    <t>2025-530</t>
  </si>
  <si>
    <t>001312</t>
  </si>
  <si>
    <t>KATALINA ELENA VELARDE BARQUERO</t>
  </si>
  <si>
    <t>BIENES Y SERVICIOS MACRUZCO LIMITADA - Cocina BC3 + SOBRE</t>
  </si>
  <si>
    <t>2025-1000</t>
  </si>
  <si>
    <t>001834</t>
  </si>
  <si>
    <t>BIENES Y SERVICIOS MACRUZCO LIMITADA</t>
  </si>
  <si>
    <t>KAREN CHRISTIANA FIGUERES OLSEN - COCINA</t>
  </si>
  <si>
    <t>2025-1175</t>
  </si>
  <si>
    <t>5885</t>
  </si>
  <si>
    <t>KAREN CHRISTIANA FIGUERES OLSEN</t>
  </si>
  <si>
    <t>STEVE  MICHAEL CAPOCCIA - COCINA BC3 + EXTRACTOR KUPPER</t>
  </si>
  <si>
    <t>2025-602</t>
  </si>
  <si>
    <t>001169</t>
  </si>
  <si>
    <t>STEVE  MICHAEL CAPOCCIA</t>
  </si>
  <si>
    <t xml:space="preserve"> José Sandi</t>
  </si>
  <si>
    <t>GRUPO ISTMO DE PAPAGAYO SOCIEDAD ANONIMA - Lavanderias (12)</t>
  </si>
  <si>
    <t>8785</t>
  </si>
  <si>
    <t>GRUPO ISTMO DE PAPAGAYO SOCIEDAD ANONIMA</t>
  </si>
  <si>
    <t>LUXE GREEN PARADISE INC SOCIEDAD DE RESPONSABILIDAD LIMITADA - BAÑOS</t>
  </si>
  <si>
    <t>2025-270</t>
  </si>
  <si>
    <t>000464</t>
  </si>
  <si>
    <t>LUXE GREEN PARADISE INC SOCIEDAD DE RESPONSABILIDA</t>
  </si>
  <si>
    <t>32544_Megarack</t>
  </si>
  <si>
    <t>2025-1346</t>
  </si>
  <si>
    <t>002169</t>
  </si>
  <si>
    <t>HILIX Y COMPA IA SOCIEDAD ANONIMA</t>
  </si>
  <si>
    <t>FEATHER STARFISH B FOUR SOCIEDAD ANONIMA - Cocina BC3 + Baño + Closet</t>
  </si>
  <si>
    <t>2025-529</t>
  </si>
  <si>
    <t>001281</t>
  </si>
  <si>
    <t>FEATHER STARFISH B FOUR SOCIEDAD ANONIMA</t>
  </si>
  <si>
    <t>Riviera del Mar Azul YZY Inc SRL - Electrodomesticos - retira en el CEDI</t>
  </si>
  <si>
    <t>2025-918</t>
  </si>
  <si>
    <t>001738</t>
  </si>
  <si>
    <t>Riviera del Mar Azul YZY Inc SRL</t>
  </si>
  <si>
    <t>33018_Selectivo</t>
  </si>
  <si>
    <t>2025-1422</t>
  </si>
  <si>
    <t>2707</t>
  </si>
  <si>
    <t>AUTO REPUESTOS AVENIDA DIEZ S.A.</t>
  </si>
  <si>
    <t>ALEJANDRO ESTEBAN TREJOS GOMEZ - COCINA HANN</t>
  </si>
  <si>
    <t>2025-320</t>
  </si>
  <si>
    <t>001092</t>
  </si>
  <si>
    <t>ALEJANDRO ESTEBAN TREJOS GOMEZ</t>
  </si>
  <si>
    <t>MARGARET JONGEJANS DE LATJES - COCINA</t>
  </si>
  <si>
    <t>2025-147</t>
  </si>
  <si>
    <t>000208</t>
  </si>
  <si>
    <t>MARGARET JONGEJANS DE LATJES</t>
  </si>
  <si>
    <t>MELANIA CASTRO ANDERSON - COCINA</t>
  </si>
  <si>
    <t>2025-238</t>
  </si>
  <si>
    <t>000722</t>
  </si>
  <si>
    <t>MELANIA CASTRO ANDERSON</t>
  </si>
  <si>
    <t>SERGIO ALVAREZ CABALCETA - COCINA 40% Y ELECTROS 25%</t>
  </si>
  <si>
    <t>2025-232</t>
  </si>
  <si>
    <t>4742</t>
  </si>
  <si>
    <t>SERGIO ALVAREZ CABALCETA</t>
  </si>
  <si>
    <t>31465_Megarack</t>
  </si>
  <si>
    <t>2025-68</t>
  </si>
  <si>
    <t>MARIA GABRIELA ESQUIVEL CALVO - cocina, alacena, baños, closets , pilas</t>
  </si>
  <si>
    <t>2025-264</t>
  </si>
  <si>
    <t>001144</t>
  </si>
  <si>
    <t>MARIA GABRIELA ESQUIVEL CALVO</t>
  </si>
  <si>
    <t>ROBERTO JESUS GAMBOA AREND - Cocina Pamela Turcios</t>
  </si>
  <si>
    <t>2025-1526</t>
  </si>
  <si>
    <t>Ximena Miranda - Cocina BC3</t>
  </si>
  <si>
    <t>2025-1371</t>
  </si>
  <si>
    <t>6437</t>
  </si>
  <si>
    <t>Ximena Miranda</t>
  </si>
  <si>
    <t>MARIA FERNANDA RAMIREZ PEREZ - COCINA MAS ELECTRODOMESTICOS</t>
  </si>
  <si>
    <t>2025-210</t>
  </si>
  <si>
    <t>000972</t>
  </si>
  <si>
    <t>MARIA FERNANDA RAMIREZ PEREZ</t>
  </si>
  <si>
    <t>WILLIAM ALBERTO FERNANDEZ PLANAS - COCINA HANNOVE PLUS+ ELECTROS</t>
  </si>
  <si>
    <t>2025-1385</t>
  </si>
  <si>
    <t>001492</t>
  </si>
  <si>
    <t>WILLIAM ALBERTO FERNANDEZ PLANAS</t>
  </si>
  <si>
    <t>Trent Justin Reifert - Cocina Miton + sobre porcelanico+electrodomesticos</t>
  </si>
  <si>
    <t>2025-601</t>
  </si>
  <si>
    <t>001334</t>
  </si>
  <si>
    <t>Trent Justin Reifert</t>
  </si>
  <si>
    <t>JOSE PABLO VEGA ULATE - COCINA BC3 sobre calacatta gold</t>
  </si>
  <si>
    <t>2025-1350</t>
  </si>
  <si>
    <t>001576</t>
  </si>
  <si>
    <t>JOSE PABLO VEGA ULATE</t>
  </si>
  <si>
    <t>nuevo horizonte pye s.a - COCINA HANOVER PLUS +SOBRE PORCELANICO</t>
  </si>
  <si>
    <t>2025-266</t>
  </si>
  <si>
    <t>001093</t>
  </si>
  <si>
    <t>nuevo horizonte pye s.a</t>
  </si>
  <si>
    <t>FREUDENBERG/ SUNON-INTERSTUHL- NARBUTAS/ VD-25-01-05P</t>
  </si>
  <si>
    <t>2025-58</t>
  </si>
  <si>
    <t>004766</t>
  </si>
  <si>
    <t>CONOBRA LIMITADA / OC: 43586 RODAPIE</t>
  </si>
  <si>
    <t>2025-339</t>
  </si>
  <si>
    <t>1476</t>
  </si>
  <si>
    <t>CONOBRA LIMITADA</t>
  </si>
  <si>
    <t xml:space="preserve"> SIN ASIGNAR1</t>
  </si>
  <si>
    <t>32051_Megarack</t>
  </si>
  <si>
    <t>2025-813</t>
  </si>
  <si>
    <t>001603</t>
  </si>
  <si>
    <t>ILG SUPPLY CHAIN SERVICES, SOCIEDAD ANONIMA</t>
  </si>
  <si>
    <t>RESIDENCIAS DE SANTA ANA / VENTUS 3</t>
  </si>
  <si>
    <t>2025-297</t>
  </si>
  <si>
    <t>1500</t>
  </si>
  <si>
    <t>RESIDENCIAS DE SANTA ANA RS S.A.</t>
  </si>
  <si>
    <t>GUACAMAYA 25-06-10 F3</t>
  </si>
  <si>
    <t>2025-993</t>
  </si>
  <si>
    <t>FIOREGUIDO SOCIEDAD ANONIMA - COCINA MELAMINA + CUARZO (kris)</t>
  </si>
  <si>
    <t>2025-26</t>
  </si>
  <si>
    <t>000166</t>
  </si>
  <si>
    <t>FIOREGUIDO SOCIEDAD ANONIMA</t>
  </si>
  <si>
    <t>ZONA FRANCA COYOL/ CLEANCO- FREUDENBERG/ VD-24-06-12P 24-06-09P</t>
  </si>
  <si>
    <t>2025-33</t>
  </si>
  <si>
    <t>004772</t>
  </si>
  <si>
    <t>ZONA FRANCA COYOL SOCIEDAD ANONIMA</t>
  </si>
  <si>
    <t>ANA ELISA SAENZ NARANJO - COcina Hannover plus + calacta gold + electros</t>
  </si>
  <si>
    <t>2025-959</t>
  </si>
  <si>
    <t>LOS ARALLANES COHESITY  25-01-01 VD-25-01-02</t>
  </si>
  <si>
    <t>1589</t>
  </si>
  <si>
    <t>BAMBU SA 25-02-10 VD-25-02-08 MINISTERIO HACIENDA SAN CARLOS</t>
  </si>
  <si>
    <t>2025-344</t>
  </si>
  <si>
    <t>001045</t>
  </si>
  <si>
    <t>BAMBU EN NACASCOLO SOCIEDAD ANONIMA</t>
  </si>
  <si>
    <t>GRUPO SANBETANCOURT DEL SUR DE LA FL SOCIEDAD ANONIMA - COCINA + 5 BAÑOS</t>
  </si>
  <si>
    <t>2025-1313</t>
  </si>
  <si>
    <t>001886</t>
  </si>
  <si>
    <t>GRUPO SANBETANCOURT DEL SUR DE LA FL SOCIEDAD ANON</t>
  </si>
  <si>
    <t>JENIZARO CRIOLLO LIMITADA - ELECTROS</t>
  </si>
  <si>
    <t>2025-1273</t>
  </si>
  <si>
    <t>GUACAMAYA 25-06-05</t>
  </si>
  <si>
    <t>2025-835</t>
  </si>
  <si>
    <t>FONDO DE INVERSION NCH VD-24-11-15/16 24-11-11</t>
  </si>
  <si>
    <t>2025-316</t>
  </si>
  <si>
    <t>CENTRO COMERCIAL MULTIPLAZA/ OFICINAS ADMINISTRATIVAS/ VD-25-02-03P</t>
  </si>
  <si>
    <t>2025-48</t>
  </si>
  <si>
    <t>32815, 33064_Megarack</t>
  </si>
  <si>
    <t>2025-1357</t>
  </si>
  <si>
    <t>002180</t>
  </si>
  <si>
    <t>TERRAMIX SOCIEDAD ANONIMA</t>
  </si>
  <si>
    <t>CURTISSWRIGHT CONTROLS 24-06-24</t>
  </si>
  <si>
    <t>2025-312</t>
  </si>
  <si>
    <t>000934</t>
  </si>
  <si>
    <t>CURTISSWRIGHT CONTROLS COSTA RICA SOCIEDAD ANONIMA</t>
  </si>
  <si>
    <t>ARIEL SAFFATI PISZK - ELECTRODOMESTICOS</t>
  </si>
  <si>
    <t>2025-1102</t>
  </si>
  <si>
    <t>4794</t>
  </si>
  <si>
    <t>ARIEL SAFFATI PISZK</t>
  </si>
  <si>
    <t>MILTON BALTODANO BALTODANO - cocina hann</t>
  </si>
  <si>
    <t>2025-187</t>
  </si>
  <si>
    <t>001025</t>
  </si>
  <si>
    <t>MILTON BALTODANO BALTODANO</t>
  </si>
  <si>
    <t>ADRIANA MARIA MORA BERMUDEZ - COCINA HANNOVER</t>
  </si>
  <si>
    <t>2025-974</t>
  </si>
  <si>
    <t>ARRENDADORA COMERCIAL R &amp; H SOCIEDAD ANONIMA - COCINA HANNOVER + PROCELÁNICO</t>
  </si>
  <si>
    <t>2025-185</t>
  </si>
  <si>
    <t>001034</t>
  </si>
  <si>
    <t>ARRENDADORA COMERCIAL R &amp; H SOCIEDAD ANONIMA</t>
  </si>
  <si>
    <t>MELISSA VARGAS CARVAJAL - cocina y closet</t>
  </si>
  <si>
    <t>2026-115</t>
  </si>
  <si>
    <t>002054</t>
  </si>
  <si>
    <t>MELISSA VARGAS CARVAJAL</t>
  </si>
  <si>
    <t>PRISCILLA BENAVIDES AMORES - COCINA HANNO PLUS+EXTRACTOR</t>
  </si>
  <si>
    <t>2025-583</t>
  </si>
  <si>
    <t>001120</t>
  </si>
  <si>
    <t>PRISCILLA BENAVIDES AMORES</t>
  </si>
  <si>
    <t>FORESTALES PUNTA ISLITA SOCIEDAD ANONIMA - Cocina Hanover plus + sobre Porcelanico + electrod</t>
  </si>
  <si>
    <t>2025-584</t>
  </si>
  <si>
    <t>001330</t>
  </si>
  <si>
    <t>FORESTALES PUNTA ISLITA SOCIEDAD ANONIMA</t>
  </si>
  <si>
    <t>KAREN CHRISTIANA FIGUERES OLSEN - CLOSET Y BAÑOS</t>
  </si>
  <si>
    <t>2025-1176</t>
  </si>
  <si>
    <t>SALUD NEONATAL SOCIEDAD ANONIMA - ELECTRODOMESTICOS</t>
  </si>
  <si>
    <t>2025-1303</t>
  </si>
  <si>
    <t>VARGAS Y CORDERO SOCIEDAD DE RESPONSABILIDAD LIMITADA - ELECTRODOMESTICOS ENTREGAR CON COCINA</t>
  </si>
  <si>
    <t>2025-414</t>
  </si>
  <si>
    <t>SYLVIA BIALIKAMIEN GRYNSPAN - venta online</t>
  </si>
  <si>
    <t>2025-1343</t>
  </si>
  <si>
    <t>000254</t>
  </si>
  <si>
    <t>SYLVIA BIALIKAMIEN GRYNSPAN</t>
  </si>
  <si>
    <t>RAFAEL GABRIEL CASTILLO BLANCO - Closets - patio d epilas</t>
  </si>
  <si>
    <t>2025-1061</t>
  </si>
  <si>
    <t>001636</t>
  </si>
  <si>
    <t>RAFAEL GABRIEL CASTILLO BLANCO</t>
  </si>
  <si>
    <t>3-102-781565 SOCIEDAD DE RESPONSABILIDAD LIMITADA - Ventas online</t>
  </si>
  <si>
    <t>2025-326</t>
  </si>
  <si>
    <t>001176</t>
  </si>
  <si>
    <t>3-102-781565 SOCIEDAD DE RESPONSABILIDAD LIMITADA</t>
  </si>
  <si>
    <t>RESORT LIVING INTERNATIONAL SOCIEDAD ANONIMA - Cocina BC3_sin sobre</t>
  </si>
  <si>
    <t>2025-759</t>
  </si>
  <si>
    <t>001410</t>
  </si>
  <si>
    <t>RESORT LIVING INTERNATIONAL SOCIEDAD ANONIMA</t>
  </si>
  <si>
    <t>CCSS- HOSPITAL CALDERON GUARDIA/ BUTACAS/ VD-25-03-03P</t>
  </si>
  <si>
    <t>2025-90</t>
  </si>
  <si>
    <t>CIELO DE BABILONIA VD-24-03-11 BABYLON</t>
  </si>
  <si>
    <t>2025-80</t>
  </si>
  <si>
    <t>5562</t>
  </si>
  <si>
    <t>CIELO DE BABILONIA SOCIEDAD ANONIMA</t>
  </si>
  <si>
    <t>CONICO/ GRUPO DOKA/ VD-25-08-09P</t>
  </si>
  <si>
    <t>2025-118</t>
  </si>
  <si>
    <t>004726</t>
  </si>
  <si>
    <t>GUSTAVO GERARDO CINTRON MACHON - COCINA HANNOVER + SOBRE PORCELANICO</t>
  </si>
  <si>
    <t>2025-773</t>
  </si>
  <si>
    <t>000942</t>
  </si>
  <si>
    <t>GUSTAVO GERARDO CINTRON MACHON</t>
  </si>
  <si>
    <t>NURIA PATRICIA DE LO HERRERA AGUERO - COCINA+ ELECTROS</t>
  </si>
  <si>
    <t>2025-1139</t>
  </si>
  <si>
    <t>001815</t>
  </si>
  <si>
    <t>NURIA PATRICIA DE LO HERRERA AGUERO</t>
  </si>
  <si>
    <t>32517_Megarack</t>
  </si>
  <si>
    <t>2025-1042</t>
  </si>
  <si>
    <t>001878</t>
  </si>
  <si>
    <t>EXPOCERAMICA ACABADOS SOCIEDAD ANONIMA</t>
  </si>
  <si>
    <t>DEIVY ENRIQUE ARAYA HERNANDEZ - Cocina Hannover</t>
  </si>
  <si>
    <t>2025-445</t>
  </si>
  <si>
    <t>001154</t>
  </si>
  <si>
    <t>DEIVY ENRIQUE ARAYA HERNANDEZ</t>
  </si>
  <si>
    <t>DUNIA MALLENI AGUILAR MORALES - cocina</t>
  </si>
  <si>
    <t>2025-1523</t>
  </si>
  <si>
    <t>002059</t>
  </si>
  <si>
    <t>DUNIA MALLENI AGUILAR MORALES</t>
  </si>
  <si>
    <t>BABYLON / CIELO DE BABILONIA SOCIEDAD ANONIMA</t>
  </si>
  <si>
    <t>2025-513</t>
  </si>
  <si>
    <t>GUACAMAYA VD-25-06-21</t>
  </si>
  <si>
    <t>2025-836</t>
  </si>
  <si>
    <t>Bank of Nova Scotia Real State SCOTIABANK PANAMA VD-24-07-07</t>
  </si>
  <si>
    <t>2025-24</t>
  </si>
  <si>
    <t>000255</t>
  </si>
  <si>
    <t>Bank of Nova Scotia Real State Department</t>
  </si>
  <si>
    <t>ERIKA VANESSA ACEVEDO MAYORGA - PROYECTO COCIINA</t>
  </si>
  <si>
    <t>2025-205</t>
  </si>
  <si>
    <t>000047</t>
  </si>
  <si>
    <t>ERIKA VANESSA ACEVEDO MAYORGA</t>
  </si>
  <si>
    <t>CONTRACT/ HERBALIFE/ MOBILIARIO/ 25-05-01P VD-25-05-01P</t>
  </si>
  <si>
    <t>DISTRITO 4/3202 // MARIO VISONA STORTI</t>
  </si>
  <si>
    <t>2025-907</t>
  </si>
  <si>
    <t>001717</t>
  </si>
  <si>
    <t>MARIO VISONA STORTI</t>
  </si>
  <si>
    <t>JUAN JOSE ALTMANN GARNIER - COCINA HANNOVER PLUS</t>
  </si>
  <si>
    <t>2025-1099</t>
  </si>
  <si>
    <t>001646</t>
  </si>
  <si>
    <t>JUAN JOSE ALTMANN GARNIER</t>
  </si>
  <si>
    <t>Proyectos Ecológicos Proeco S.A - venta Online</t>
  </si>
  <si>
    <t>2025-1502</t>
  </si>
  <si>
    <t xml:space="preserve">002241    </t>
  </si>
  <si>
    <t>Proyectos Ecológicos Proeco S.A</t>
  </si>
  <si>
    <t>CNFL 25-05-19</t>
  </si>
  <si>
    <t>2025-616</t>
  </si>
  <si>
    <t>GAS TOMZA  24-12-15 VD-24-12-16</t>
  </si>
  <si>
    <t>2025-6</t>
  </si>
  <si>
    <t>CONICO- CULTIVARTE/ 24-08-04P VD-24-08-07P</t>
  </si>
  <si>
    <t>2025-40</t>
  </si>
  <si>
    <t>CENTRO DE PINTURAS UNO PAVAS SOCIEDAD DE RESPONSABILIDAD LIMITADA - COCINA HANNOVER</t>
  </si>
  <si>
    <t>2025-51</t>
  </si>
  <si>
    <t>000620</t>
  </si>
  <si>
    <t>CENTRO DE PINTURAS UNO PAVAS SOCIEDAD DE RESPONSAB</t>
  </si>
  <si>
    <t>SOLORZANO Y ZUMBADO ASOCIADOS C C I SOCIEDAD ANONIMA - Cocina hannover, closets, baños luces aereos</t>
  </si>
  <si>
    <t>2025-557</t>
  </si>
  <si>
    <t>000709</t>
  </si>
  <si>
    <t>SOLORZANO Y ZUMBADO ASOCIADOS C C I SOCIEDAD ANONI</t>
  </si>
  <si>
    <t>LA FLORIDA/ SILLAS STOCK- EVERY BASIC/ VD-25-02-08P</t>
  </si>
  <si>
    <t>2025-31</t>
  </si>
  <si>
    <t>RAUL ALFREDO VARGAS CAMPOS - BAñOS Y CLOSETS</t>
  </si>
  <si>
    <t>2025-1529</t>
  </si>
  <si>
    <t>001741</t>
  </si>
  <si>
    <t>31998_selectivo</t>
  </si>
  <si>
    <t>2025-461</t>
  </si>
  <si>
    <t>001294</t>
  </si>
  <si>
    <t>SAIN GROUP SOCIEDAD DE RESPONSABILIDAD LIMITADA</t>
  </si>
  <si>
    <t>XINIA PATRICIA DEL S VEGA GUZMAN - COCINA HANNOVER + PORCELÁNICO + FREGADERO</t>
  </si>
  <si>
    <t>2025-391</t>
  </si>
  <si>
    <t>001128</t>
  </si>
  <si>
    <t>XINIA PATRICIA DEL S VEGA GUZMAN</t>
  </si>
  <si>
    <t>SAN JOSE INDOOR CLUB SA VD-25-05-07</t>
  </si>
  <si>
    <t>2025-653</t>
  </si>
  <si>
    <t>EDISOL PROMERICA VD-24-11-19</t>
  </si>
  <si>
    <t>2025-21</t>
  </si>
  <si>
    <t>JERRY STEVENSON SANCHEZ MURILLO - COCINA HANNOVER PLUS</t>
  </si>
  <si>
    <t>2026-9</t>
  </si>
  <si>
    <t>001587</t>
  </si>
  <si>
    <t>JERRY STEVENSON SANCHEZ MURILLO</t>
  </si>
  <si>
    <t>UCR / VD-25-06-25 25-11-05 LANKASTER</t>
  </si>
  <si>
    <t>2025-1488</t>
  </si>
  <si>
    <t>BANCO PROMERICA/ 25-07-03</t>
  </si>
  <si>
    <t>2025-950</t>
  </si>
  <si>
    <t>1784</t>
  </si>
  <si>
    <t>BANCO PROMERICA DE COSTA RICA SOCIEDAD ANONIMA</t>
  </si>
  <si>
    <t>MARIANELA DEL CARMEN RAMIREZ LEIVA - cocina</t>
  </si>
  <si>
    <t>2025-600</t>
  </si>
  <si>
    <t>6286</t>
  </si>
  <si>
    <t>MARIANELA DEL CARMEN RAMIREZ LEIVA</t>
  </si>
  <si>
    <t>33066_Selectivo y carton flow</t>
  </si>
  <si>
    <t>2025-1451</t>
  </si>
  <si>
    <t>MARCIA MARIA AUXILIADORA HERNANDEZ RODRIGUEZ - Cocina BC3</t>
  </si>
  <si>
    <t>2025-135</t>
  </si>
  <si>
    <t>000906</t>
  </si>
  <si>
    <t>MARCIA MARIA AUXILIADORA HERNANDEZ RODRIGUEZ</t>
  </si>
  <si>
    <t>VIRGINIA ULLOA VARGAS - Electros</t>
  </si>
  <si>
    <t>2025-168</t>
  </si>
  <si>
    <t>ERNESTO JOSE GOCHEZ MONGE - COCINA</t>
  </si>
  <si>
    <t>2025-372</t>
  </si>
  <si>
    <t>001223</t>
  </si>
  <si>
    <t>ERNESTO JOSE GOCHEZ MONGE</t>
  </si>
  <si>
    <t>32447_Megarack</t>
  </si>
  <si>
    <t>2025-1433</t>
  </si>
  <si>
    <t>5165</t>
  </si>
  <si>
    <t>MAQUINARIA y TRACTORES LIMITADA</t>
  </si>
  <si>
    <t>ANDREA DE LOS ANGELES CARBALLO VINDAS - Cocina Hannover Plus+ fregadero</t>
  </si>
  <si>
    <t>2025-317</t>
  </si>
  <si>
    <t>001181</t>
  </si>
  <si>
    <t>ANDREA DE LOS ANGELES CARBALLO VINDAS</t>
  </si>
  <si>
    <t>31868_Megarack</t>
  </si>
  <si>
    <t>2025-535</t>
  </si>
  <si>
    <t>RAUL ALFREDO VARGAS CAMPOS - COCINA</t>
  </si>
  <si>
    <t>2025-1530</t>
  </si>
  <si>
    <t>BANCO PROMERICA/ LIBERIA/ 25-08-20</t>
  </si>
  <si>
    <t>2025-1051</t>
  </si>
  <si>
    <t>BANCO PROMERICA DE COSTA RICA 25-05-31</t>
  </si>
  <si>
    <t>2025-613</t>
  </si>
  <si>
    <t>Génesis Cordero Brenes - Electrodomesticos</t>
  </si>
  <si>
    <t>2025-1443</t>
  </si>
  <si>
    <t>31408_Selectivo</t>
  </si>
  <si>
    <t>2025-32</t>
  </si>
  <si>
    <t>000868</t>
  </si>
  <si>
    <t>Inversiones Grupo Roca S.A de Capital Variable</t>
  </si>
  <si>
    <t>MARIA EMILIA FERNANDEZ MORA - electrodomésticos</t>
  </si>
  <si>
    <t>2025-1156</t>
  </si>
  <si>
    <t>MARIA FERNANDA SANCHEZ HIDALGO - cocina mas lavaplatos frigidaire</t>
  </si>
  <si>
    <t>2025-188</t>
  </si>
  <si>
    <t>001014</t>
  </si>
  <si>
    <t>MARIA FERNANDA SANCHEZ HIDALGO</t>
  </si>
  <si>
    <t>OSVALDO JOSE BOLAÑOS MONGE - COCINA HANNOVER + ELECTROS</t>
  </si>
  <si>
    <t>2025-244</t>
  </si>
  <si>
    <t>Sylvia Zamora Chaves - COCINA HANNOVER</t>
  </si>
  <si>
    <t>2025-627</t>
  </si>
  <si>
    <t>001100</t>
  </si>
  <si>
    <t>Sylvia Zamora Chaves</t>
  </si>
  <si>
    <t>ACCESORIOS B.H. SOCIEDAD ANONIMA - cocina hanover, plantilla, horno,fregadero, grifo,</t>
  </si>
  <si>
    <t>2025-101</t>
  </si>
  <si>
    <t>000891</t>
  </si>
  <si>
    <t>ACCESORIOS B.H. SOCIEDAD ANONIMA</t>
  </si>
  <si>
    <t>CORTE SUPREMA DE JUSTICIA 24-11-14 25-02-11 25-03-08</t>
  </si>
  <si>
    <t>2025-303</t>
  </si>
  <si>
    <t>1786</t>
  </si>
  <si>
    <t>CORTE SUPREMA DE JUSTICIA PODER JUDICIAL</t>
  </si>
  <si>
    <t>GLORIANA DE LOS ANGELES GUEVARA SABORIO - COCINA HANOVER MAS INSTALACION ELECTROS</t>
  </si>
  <si>
    <t>2025-701</t>
  </si>
  <si>
    <t>001211</t>
  </si>
  <si>
    <t>GLORIANA DE LOS ANGELES GUEVARA SABORIO</t>
  </si>
  <si>
    <t>Génesis Cordero Brenes - CLOSET Y LAVANDERIA</t>
  </si>
  <si>
    <t>2025-1442</t>
  </si>
  <si>
    <t>32200_Megarack</t>
  </si>
  <si>
    <t>2025-829</t>
  </si>
  <si>
    <t>001637</t>
  </si>
  <si>
    <t>VEINSA MOTORS, SOCIEDAD ANONIMA</t>
  </si>
  <si>
    <t>CASA DE CAMBIO TELEDOLAR SA 25-02-12</t>
  </si>
  <si>
    <t>2025-423</t>
  </si>
  <si>
    <t>001206</t>
  </si>
  <si>
    <t>CASA DE CAMBIO TELEDOLAR SOCIEDAD ANONIMA</t>
  </si>
  <si>
    <t>EVERTEC 25-06-03</t>
  </si>
  <si>
    <t>2025-833</t>
  </si>
  <si>
    <t>CNFL 25-10-23 MODULOS BAJOS</t>
  </si>
  <si>
    <t>2025-1380</t>
  </si>
  <si>
    <t>CARLOS EDUARDO LEANDRO SOLANO - COCINA</t>
  </si>
  <si>
    <t>2025-765</t>
  </si>
  <si>
    <t>001530</t>
  </si>
  <si>
    <t>CARLOS EDUARDO LEANDRO SOLANO</t>
  </si>
  <si>
    <t>MOLINA ARCE VD-24-09-07</t>
  </si>
  <si>
    <t>2025-108</t>
  </si>
  <si>
    <t>000320</t>
  </si>
  <si>
    <t>MOLINA ARCE CONSTRUCCION Y CONSULTORIA SOCIEDAD AN</t>
  </si>
  <si>
    <t>CONSEJO DE TRANSPORTE PUBLICO 25-09-11 25-09-12</t>
  </si>
  <si>
    <t>2025-1338</t>
  </si>
  <si>
    <t>002092</t>
  </si>
  <si>
    <t>CONSEJO DE TRANSPORTE PUBLICO</t>
  </si>
  <si>
    <t>ADRIANA DEL PILAR VARGAS SANABRIA -</t>
  </si>
  <si>
    <t>2025-903</t>
  </si>
  <si>
    <t>000712</t>
  </si>
  <si>
    <t>ADRIANA DEL PILAR VARGAS SANABRIA</t>
  </si>
  <si>
    <t>CARLOS MANUEL BURGOS SALAS - COCINA HANNOVER + PORCELÁNICO</t>
  </si>
  <si>
    <t>2025-435</t>
  </si>
  <si>
    <t>001167</t>
  </si>
  <si>
    <t>CARLOS MANUEL BURGOS SALAS</t>
  </si>
  <si>
    <t>NATALIA SOLIS SAENZ - COCINA HANN</t>
  </si>
  <si>
    <t>2025-186</t>
  </si>
  <si>
    <t>001033</t>
  </si>
  <si>
    <t>NATALIA SOLIS SAENZ</t>
  </si>
  <si>
    <t>NURIA PATRICIA DE LO HERRERA AGUERO - closets, lavanderia y bvisitas</t>
  </si>
  <si>
    <t>2025-1265</t>
  </si>
  <si>
    <t>PATRICIA CRISTINA MARIÑO VARGAS - Mueble de cocina / REGALIA DESINSTALACIÓN</t>
  </si>
  <si>
    <t>000931</t>
  </si>
  <si>
    <t>PATRICIA CRISTINA MARIÑO VARGAS</t>
  </si>
  <si>
    <t>GUACAMAYA/ MODERNFOLD/ VD-25-06-09</t>
  </si>
  <si>
    <t>2025-837</t>
  </si>
  <si>
    <t>FLORIDA/ 75 SILLAS EVERY/ VD-25-06-05P</t>
  </si>
  <si>
    <t>2025-98</t>
  </si>
  <si>
    <t>FLORIDA/ SILLAS/ VD-25-05-16P</t>
  </si>
  <si>
    <t>2025-74</t>
  </si>
  <si>
    <t>TELEDOLAR SOCIEDAD ANONIMA 25-05-33</t>
  </si>
  <si>
    <t>2025-672</t>
  </si>
  <si>
    <t>001115</t>
  </si>
  <si>
    <t>BERNARDITA DEL ROSARIO SANDI RETANA - Cocina Hannover+ electros</t>
  </si>
  <si>
    <t>2025-648</t>
  </si>
  <si>
    <t>VOLIO &amp; TREJOS/ ADICIONALES ROCHE/ VD-24-09-02P</t>
  </si>
  <si>
    <t>004223</t>
  </si>
  <si>
    <t>VOLIO &amp; TREJOS ASOCIADOS SOCIEDAD ANONIMA</t>
  </si>
  <si>
    <t>BRYAN GERARDO RODRIGUEZ ARAYA - CLOSETS</t>
  </si>
  <si>
    <t>2025-674</t>
  </si>
  <si>
    <t>001280</t>
  </si>
  <si>
    <t>BRYAN GERARDO RODRIGUEZ ARAYA</t>
  </si>
  <si>
    <t>BRAULIO JESUS PEREZ ZELEDON - Cocina hanno + lectros kupper</t>
  </si>
  <si>
    <t>2025-336</t>
  </si>
  <si>
    <t>001183</t>
  </si>
  <si>
    <t>BRAULIO JESUS PEREZ ZELEDON</t>
  </si>
  <si>
    <t>YARKONI ORLANDO ROJAS ALVARADO - BANOS Y W/C</t>
  </si>
  <si>
    <t>2025-891</t>
  </si>
  <si>
    <t>FANNY TERESITA MENA ARGUEDAS - cocina nac</t>
  </si>
  <si>
    <t>2025-13</t>
  </si>
  <si>
    <t>000562</t>
  </si>
  <si>
    <t>FANNY TERESITA MENA ARGUEDAS</t>
  </si>
  <si>
    <t>VIVE TIBÁS DVT / DESARROLLO VIVE TIBAS DVT S.A.</t>
  </si>
  <si>
    <t>2025-724</t>
  </si>
  <si>
    <t>1706</t>
  </si>
  <si>
    <t>DESARROLLO VIVE TIBAS DVT S.A.</t>
  </si>
  <si>
    <t>FONDO DE INVERSION INMOB. ABBOTT -CITY PLACE 25-04-11</t>
  </si>
  <si>
    <t>2025-665</t>
  </si>
  <si>
    <t>3629</t>
  </si>
  <si>
    <t>SOWEST SOCIEDAD DE RESPONSABILIDAD LIMITADA - Mueble de pilas y alacena</t>
  </si>
  <si>
    <t>2025-1306</t>
  </si>
  <si>
    <t>JORGE ALBERTO ZAMORA CADET - Mueble de cocina hanover + porcelánico + 2 baños c</t>
  </si>
  <si>
    <t>2025-1202</t>
  </si>
  <si>
    <t>001788</t>
  </si>
  <si>
    <t>JORGE ALBERTO ZAMORA CADET</t>
  </si>
  <si>
    <t>NATALIA RODRIGUEZ FLORES - cocina hannover+luces , fregadero con grifo y cube</t>
  </si>
  <si>
    <t>2025-403</t>
  </si>
  <si>
    <t>000892</t>
  </si>
  <si>
    <t>NATALIA RODRIGUEZ FLORES</t>
  </si>
  <si>
    <t>MARCELA MARIA CARBALLO CRUZ - COCINA</t>
  </si>
  <si>
    <t>2025-795</t>
  </si>
  <si>
    <t>2167</t>
  </si>
  <si>
    <t>MARCELA MARIA CARBALLO CRUZ</t>
  </si>
  <si>
    <t>ALEXANDRA CAMPOS LARA - Cocina+sobre+2 baños secundarios+baño ppla+2 cuart</t>
  </si>
  <si>
    <t>2025-1463</t>
  </si>
  <si>
    <t>001539</t>
  </si>
  <si>
    <t>ALEXANDRA CAMPOS LARA</t>
  </si>
  <si>
    <t>32370_Megarack</t>
  </si>
  <si>
    <t>2025-981</t>
  </si>
  <si>
    <t>KARLA VANESSA VALVERDE MURILLO - COCINA HANNOVER</t>
  </si>
  <si>
    <t>2025-152</t>
  </si>
  <si>
    <t>000946</t>
  </si>
  <si>
    <t>KARLA VANESSA VALVERDE MURILLO</t>
  </si>
  <si>
    <t>SANDRA LIZETT PERLA CAMPOS DE MELARA DEL CID - Cocina Hannover plus+ calacatta gold + lavadora de</t>
  </si>
  <si>
    <t>2025-1070</t>
  </si>
  <si>
    <t>001621</t>
  </si>
  <si>
    <t>SANDRA LIZETT PERLA CAMPOS DE MELARA DEL CID</t>
  </si>
  <si>
    <t>SUSAN ISASKU DURAN PRADO - PROYECTO COCINA</t>
  </si>
  <si>
    <t>2025-102</t>
  </si>
  <si>
    <t>5708</t>
  </si>
  <si>
    <t>SUSAN ISASKU DURAN PRADO</t>
  </si>
  <si>
    <t>BABYLON // CIELO DE BABILONIA SOCIEDAD ANONIMA</t>
  </si>
  <si>
    <t>2025-899</t>
  </si>
  <si>
    <t>FDO INV. VD-25-05-05 SECRET</t>
  </si>
  <si>
    <t>2025-618</t>
  </si>
  <si>
    <t>JULIO CESAR DE LA TRINIDAD ARGUEDAS ALVARADO - COCINA HANN</t>
  </si>
  <si>
    <t>2025-206</t>
  </si>
  <si>
    <t>001060</t>
  </si>
  <si>
    <t>JULIO CESAR DE LA TRINIDAD ARGUEDAS ALVARADO</t>
  </si>
  <si>
    <t>MARIA ANDREA MOLIGNANO - GE CAFE electros</t>
  </si>
  <si>
    <t>2025-756</t>
  </si>
  <si>
    <t>EMMANUEL CHAVARRIA ALFARO - cocina</t>
  </si>
  <si>
    <t>2025-1402</t>
  </si>
  <si>
    <t>001973</t>
  </si>
  <si>
    <t>EMMANUEL CHAVARRIA ALFARO</t>
  </si>
  <si>
    <t>32642_Medium Racks</t>
  </si>
  <si>
    <t>2025-1294</t>
  </si>
  <si>
    <t>5417</t>
  </si>
  <si>
    <t>ROCHE SERVICIOS SOCIEDAD ANONIMA</t>
  </si>
  <si>
    <t>31481_Megarack</t>
  </si>
  <si>
    <t>2025-144</t>
  </si>
  <si>
    <t>001028</t>
  </si>
  <si>
    <t>GRUPO FAVARCIA SOCIEDAD ANONIMA</t>
  </si>
  <si>
    <t>31566,31693_movimiento</t>
  </si>
  <si>
    <t>2025-202</t>
  </si>
  <si>
    <t>001083</t>
  </si>
  <si>
    <t>OVERSEAS LOGISTICS OPERATIONS SOCIEDAD ANONIMA</t>
  </si>
  <si>
    <t>WARNER GERARDO CORDOBA MILTON - Cocina Hanoover+sobre porcelanico+extractor</t>
  </si>
  <si>
    <t>2025-239</t>
  </si>
  <si>
    <t>MARIA FERNANDA RAMIREZ PEREZ - Electrodomesticos Frigidaire</t>
  </si>
  <si>
    <t>2025-209</t>
  </si>
  <si>
    <t>30694_Selectivo</t>
  </si>
  <si>
    <t>2025-16</t>
  </si>
  <si>
    <t>4787</t>
  </si>
  <si>
    <t>SUR QUIMICA SOCIEDAD ANONIMA</t>
  </si>
  <si>
    <t>SAGA INGENIERIA SA VD-24-09-12 EDIFICIO KZN</t>
  </si>
  <si>
    <t>2025-22</t>
  </si>
  <si>
    <t>000534</t>
  </si>
  <si>
    <t>GUACAMAYA/ ELECTRIFICACION/ VD-25-07-12</t>
  </si>
  <si>
    <t>2025-1173</t>
  </si>
  <si>
    <t>R M INDUSTRIAL SOLIN SOCIEDAD ANONIMA - Cocina Hannover</t>
  </si>
  <si>
    <t>2025-763</t>
  </si>
  <si>
    <t>001534</t>
  </si>
  <si>
    <t>R M INDUSTRIAL SOLIN SOCIEDAD ANONIMA</t>
  </si>
  <si>
    <t xml:space="preserve"> Andres Ramirez</t>
  </si>
  <si>
    <t>PAOLA  ANDREA CUERO  ANGULO - COCINA</t>
  </si>
  <si>
    <t>2025-1063</t>
  </si>
  <si>
    <t>001721</t>
  </si>
  <si>
    <t>PAOLA  ANDREA CUERO  ANGULO</t>
  </si>
  <si>
    <t>YESSICA MARIA MOLINA RODRIGUEZ - Cocina BC3</t>
  </si>
  <si>
    <t>2025-136</t>
  </si>
  <si>
    <t>000901</t>
  </si>
  <si>
    <t>YESSICA MARIA MOLINA RODRIGUEZ</t>
  </si>
  <si>
    <t>L L BEAN INC VD-25-02-14</t>
  </si>
  <si>
    <t>2025-195</t>
  </si>
  <si>
    <t>000157</t>
  </si>
  <si>
    <t>31654_Megarack</t>
  </si>
  <si>
    <t>2025-214</t>
  </si>
  <si>
    <t>000419</t>
  </si>
  <si>
    <t>ALIMER SOCIEDAD ANONIMA</t>
  </si>
  <si>
    <t>CNFL 25-10-20P OC 0042 CONVENIO MARCO</t>
  </si>
  <si>
    <t>2025-170</t>
  </si>
  <si>
    <t>00128</t>
  </si>
  <si>
    <t>CESAR GIOVANNY CRUZ SALAMANCA - Cocina Hannover + porcelanico + electrodomésticos</t>
  </si>
  <si>
    <t>2025-1071</t>
  </si>
  <si>
    <t>001752</t>
  </si>
  <si>
    <t>CESAR GIOVANNY CRUZ SALAMANCA</t>
  </si>
  <si>
    <t>2025-1271</t>
  </si>
  <si>
    <t>MARIA ANDREA MOLIGNANO - Refrigeradora</t>
  </si>
  <si>
    <t>2025-675</t>
  </si>
  <si>
    <t>ZONA FRANCA DEL ESTE/ SILLERIA STOCK/ VD-25-01-09P</t>
  </si>
  <si>
    <t>004768</t>
  </si>
  <si>
    <t>ZONA FRANCA DEL ESTE ZFE SOCIEDAD ANONIMA</t>
  </si>
  <si>
    <t>32839_Medium Racks</t>
  </si>
  <si>
    <t>2025-1321</t>
  </si>
  <si>
    <t>002107</t>
  </si>
  <si>
    <t>MORPHO TRAVEL EXPERIENCE CR SOCIEDAD ANONIMA</t>
  </si>
  <si>
    <t>MARIA JOSE RIVERA CESPEDES - Area de Lavado</t>
  </si>
  <si>
    <t>2025-1516</t>
  </si>
  <si>
    <t>002309</t>
  </si>
  <si>
    <t>MARIA JOSE RIVERA CESPEDES</t>
  </si>
  <si>
    <t>AARON IROLA SOTO - Mueble de cocina melamina+ porcelanico + electros</t>
  </si>
  <si>
    <t>2025-690</t>
  </si>
  <si>
    <t>6042</t>
  </si>
  <si>
    <t>AARON IROLA SOTO</t>
  </si>
  <si>
    <t>30635_S1000</t>
  </si>
  <si>
    <t>2025-119</t>
  </si>
  <si>
    <t>A C COASTAL INVESTMENT SOCIEDAD ANONIMA - Baño + Closet</t>
  </si>
  <si>
    <t>2025-970</t>
  </si>
  <si>
    <t>000580</t>
  </si>
  <si>
    <t>A C COASTAL INVESTMENT SOCIEDAD ANONIMA</t>
  </si>
  <si>
    <t>ALEX VEMON WONG - PAQUETE GUACHI 3-10</t>
  </si>
  <si>
    <t>000845</t>
  </si>
  <si>
    <t>ALEX VEMON WONG</t>
  </si>
  <si>
    <t>32407_Medium Racks</t>
  </si>
  <si>
    <t>2025-1031</t>
  </si>
  <si>
    <t>6374</t>
  </si>
  <si>
    <t>ECODESARROLLO PAPAGAYO LIMITADA</t>
  </si>
  <si>
    <t>JULIO RICARDO LIZANO RODRIGUEZ - 2 MUEBLES DE TV</t>
  </si>
  <si>
    <t>2025-1444</t>
  </si>
  <si>
    <t>002178</t>
  </si>
  <si>
    <t>JULIO RICARDO LIZANO RODRIGUEZ</t>
  </si>
  <si>
    <t>2026-44</t>
  </si>
  <si>
    <t>32794_Megarack</t>
  </si>
  <si>
    <t>2025-1408</t>
  </si>
  <si>
    <t>000161</t>
  </si>
  <si>
    <t>KINSEI LIMITADA</t>
  </si>
  <si>
    <t>DISTRIBUIDORA LA FLORIDA/ TRANSFORMACION/ MILLIKEN/VD-25-05-19P</t>
  </si>
  <si>
    <t>2025-87</t>
  </si>
  <si>
    <t>KARINAMAYPA SOCIEDAD DE RESPONSABILIDAD LIMITADA - HORNO Y D.W. - DIEGO PIEDRA</t>
  </si>
  <si>
    <t>2025-359</t>
  </si>
  <si>
    <t>Johnny Vega Brenes - Venta online</t>
  </si>
  <si>
    <t>2025-1275</t>
  </si>
  <si>
    <t>001888</t>
  </si>
  <si>
    <t>Johnny Vega Brenes</t>
  </si>
  <si>
    <t>SECRT ESCALANTE / FDO INV. DESARROLLO PROYECTOS MULTIFONDOS SECRT ESCALANTE</t>
  </si>
  <si>
    <t>2025-1494</t>
  </si>
  <si>
    <t>CNFL 25-10-18P OC 0040 CONVENIO MARCO</t>
  </si>
  <si>
    <t>2025-169</t>
  </si>
  <si>
    <t>KAREN CHRISTIANA FIGUERES OLSEN - ELECTRODOMESTICOS COCINA</t>
  </si>
  <si>
    <t>2025-1181</t>
  </si>
  <si>
    <t>31646_Medium rack</t>
  </si>
  <si>
    <t>2025-408</t>
  </si>
  <si>
    <t>001075</t>
  </si>
  <si>
    <t>ELECTRIC VEHICLES EV COSTA RICA SOCIEDAD DE RESPON</t>
  </si>
  <si>
    <t>JAIME ANDRES ESCALONA RODRIGUEZ - COCINA HANN</t>
  </si>
  <si>
    <t>2025-444</t>
  </si>
  <si>
    <t>EMILIA PAULA RUGGERI - ALACENA / CLOSET / MODULO / BANDEJA ALUMINIO</t>
  </si>
  <si>
    <t>2025-504</t>
  </si>
  <si>
    <t>000982</t>
  </si>
  <si>
    <t>EMILIA PAULA RUGGERI</t>
  </si>
  <si>
    <t>MAR A MAR 801-A // MAR A MAR 801-A</t>
  </si>
  <si>
    <t>2025-284</t>
  </si>
  <si>
    <t>001178</t>
  </si>
  <si>
    <t>MARIA JULIA VALVERDE SUAREZ</t>
  </si>
  <si>
    <t>DILSIA MADRIGAL PASTOR - COCINA HANNOVER + PORCELÁNICO</t>
  </si>
  <si>
    <t>000802</t>
  </si>
  <si>
    <t>DILSIA MADRIGAL PASTOR</t>
  </si>
  <si>
    <t>HERAEUS MEDICAL COMPONENTS VD-24-12-08</t>
  </si>
  <si>
    <t>2025-622</t>
  </si>
  <si>
    <t>EDUARDO ANDRES JILIBERTO FRITIS - cafetera wolf</t>
  </si>
  <si>
    <t>2025-1137</t>
  </si>
  <si>
    <t>001643</t>
  </si>
  <si>
    <t>EDUARDO ANDRES JILIBERTO FRITIS</t>
  </si>
  <si>
    <t>ELECTROLUX HOME APPLIANCES INC - venta online</t>
  </si>
  <si>
    <t>2025-415</t>
  </si>
  <si>
    <t>001162</t>
  </si>
  <si>
    <t>ELECTROLUX HOME APPLIANCES INC</t>
  </si>
  <si>
    <t>LAURA BONILLA HERRERO - ELECTROS COMPRA DIRECTA</t>
  </si>
  <si>
    <t>2025-706</t>
  </si>
  <si>
    <t>9288</t>
  </si>
  <si>
    <t>LAURA BONILLA HERRERO</t>
  </si>
  <si>
    <t>DANIEL CHARPENTIER ESPINOZA / NASSARA CASA 116</t>
  </si>
  <si>
    <t>000922</t>
  </si>
  <si>
    <t>DANIEL CHARPENTIER ESPINOZA</t>
  </si>
  <si>
    <t>MARGARET JONGEJANS DE LATJES - Adicionales</t>
  </si>
  <si>
    <t>2025-393</t>
  </si>
  <si>
    <t>SWAV CR SRL VD-25-05-01</t>
  </si>
  <si>
    <t>2025-605</t>
  </si>
  <si>
    <t>ROSA EUGENIA PICADO SOLIS - Mueblle de cocina Hannover y sobre proceramico</t>
  </si>
  <si>
    <t>2025-761</t>
  </si>
  <si>
    <t>001477</t>
  </si>
  <si>
    <t>ROSA EUGENIA PICADO SOLIS</t>
  </si>
  <si>
    <t>LEDA DEL CARMEN MORA NAVARRO - COCINA BC3</t>
  </si>
  <si>
    <t>2025-1203</t>
  </si>
  <si>
    <t>001882</t>
  </si>
  <si>
    <t>LEDA DEL CARMEN MORA NAVARRO</t>
  </si>
  <si>
    <t>ADAM PINO - Venta online</t>
  </si>
  <si>
    <t>2025-1219</t>
  </si>
  <si>
    <t>ADAM PINO</t>
  </si>
  <si>
    <t>YOJHANNA ALEXANDRA UGARTE VICTOR - venta online</t>
  </si>
  <si>
    <t>2025-456</t>
  </si>
  <si>
    <t>6160</t>
  </si>
  <si>
    <t>YOJHANNA ALEXANDRA UGARTE VICTOR</t>
  </si>
  <si>
    <t>2026-96</t>
  </si>
  <si>
    <t>MARIA NINFA TERESA DE JESUS CORDERO TORRES - COCINA DE GAS KUTH</t>
  </si>
  <si>
    <t>2025-532</t>
  </si>
  <si>
    <t>001320</t>
  </si>
  <si>
    <t>MARIA NINFA TERESA DE JESUS CORDERO TORRES</t>
  </si>
  <si>
    <t>JORGE REINALD MORA HERNANDEZ - venta online</t>
  </si>
  <si>
    <t>2026-135</t>
  </si>
  <si>
    <t>001114</t>
  </si>
  <si>
    <t>JORGE REINALD MORA HERNANDEZ</t>
  </si>
  <si>
    <t>31326,_31576_mediun rack</t>
  </si>
  <si>
    <t>2025-67</t>
  </si>
  <si>
    <t>000928</t>
  </si>
  <si>
    <t>PRATS COSTA RICA INDUSTRIAS DE OPTICA SOCIEDAD ANO</t>
  </si>
  <si>
    <t>MCM MINDLAND MANAGEMENT CR/ 25-07-06 VD-25-07-08</t>
  </si>
  <si>
    <t>2025-1149</t>
  </si>
  <si>
    <t>3268</t>
  </si>
  <si>
    <t>MCM Midland Management Costa Rica S.R.L</t>
  </si>
  <si>
    <t>DESARROLLOS TECNICOS OC 3541 CASA 7 FILIAL 93</t>
  </si>
  <si>
    <t>2025-409</t>
  </si>
  <si>
    <t>RAFAEL GABRIEL CASTILLO BLANCO - Electrodomésticos y accesorios</t>
  </si>
  <si>
    <t>2025-1062</t>
  </si>
  <si>
    <t>RENE CARDONA GARCIA - ELECTROS</t>
  </si>
  <si>
    <t>2025-879</t>
  </si>
  <si>
    <t>BIENES Y SERVICIOS MACRUZCO LIMITADA - Electrodomesticos KUPPER</t>
  </si>
  <si>
    <t>2025-1001</t>
  </si>
  <si>
    <t>ENRIQUE ALBERTO ACOSTA MAINIERI - MUEBLE HANNOVER + PORCERÁMICO EUROMOBILIA</t>
  </si>
  <si>
    <t>9455</t>
  </si>
  <si>
    <t>ENRIQUE ALBERTO ACOSTA MAINIERI</t>
  </si>
  <si>
    <t>JENIZARO CRIOLLO LIMITADA - BAÑO 2 PRINCIPAL</t>
  </si>
  <si>
    <t>2025-1521</t>
  </si>
  <si>
    <t>HOSPIMEDICA DE COSTA RICA HCR SOCIEDAD ANONIMA - Adicional cocina</t>
  </si>
  <si>
    <t>000902</t>
  </si>
  <si>
    <t>HOSPIMEDICA DE COSTA RICA HCR SOCIEDAD ANONIMA</t>
  </si>
  <si>
    <t>3-102-742005 SOCIEDAD DE RESPONSABILIDAD LIMITADA - Cocina Hannover</t>
  </si>
  <si>
    <t>2025-369</t>
  </si>
  <si>
    <t>001094</t>
  </si>
  <si>
    <t>3-102-742005 SOCIEDAD DE RESPONSABILIDAD LIMITADA</t>
  </si>
  <si>
    <t>32291_Selectivo</t>
  </si>
  <si>
    <t>2025-875</t>
  </si>
  <si>
    <t>001705</t>
  </si>
  <si>
    <t>AGROINNOVA SOCIEDAD ANONIMA</t>
  </si>
  <si>
    <t>CONSUELO HOLMANN/ CLOSETS/ VD-24-06-11P</t>
  </si>
  <si>
    <t>004736</t>
  </si>
  <si>
    <t>CONSUELO HOLMANN SAENZ</t>
  </si>
  <si>
    <t xml:space="preserve"> Durman Sequeira</t>
  </si>
  <si>
    <t>31815_Selectivo</t>
  </si>
  <si>
    <t>2025-890</t>
  </si>
  <si>
    <t>ADRIANA MARIA CAMPOS FUMERO - COCINA 2</t>
  </si>
  <si>
    <t>2025-1183</t>
  </si>
  <si>
    <t xml:space="preserve">2190      </t>
  </si>
  <si>
    <t>GIOVANNI ANTONIO MONTOYA MORA - BAÑOS MEL. + MÁRMOL (kris)</t>
  </si>
  <si>
    <t>2025-34</t>
  </si>
  <si>
    <t>000145</t>
  </si>
  <si>
    <t>GIOVANNI ANTONIO MONTOYA MORA</t>
  </si>
  <si>
    <t>JOHNNY FRANCISCO GERARDO CAMPOS MURILLO - COCINA</t>
  </si>
  <si>
    <t>2025-1204</t>
  </si>
  <si>
    <t>001909</t>
  </si>
  <si>
    <t>JOHNNY FRANCISCO GERARDO CAMPOS MURILLO</t>
  </si>
  <si>
    <t>KAREN TATIANA DONDI VINDAS - Mueble de cocina</t>
  </si>
  <si>
    <t>2025-1009</t>
  </si>
  <si>
    <t>001650</t>
  </si>
  <si>
    <t>KAREN TATIANA DONDI VINDAS</t>
  </si>
  <si>
    <t>GUACAMAYA 25-06-14 MOB ADIC</t>
  </si>
  <si>
    <t>2025-830</t>
  </si>
  <si>
    <t>GUIDO UMAÑA VINDAS - Venta online</t>
  </si>
  <si>
    <t>2025-691</t>
  </si>
  <si>
    <t>6319</t>
  </si>
  <si>
    <t>GUIDO UMAÑA VINDAS</t>
  </si>
  <si>
    <t>ASECCSS VD-25-04-12</t>
  </si>
  <si>
    <t>2025-482</t>
  </si>
  <si>
    <t>HEIZEL VIVIANNA HERNANDEZ MURILLO - Electrodomésticos</t>
  </si>
  <si>
    <t>2025-1312</t>
  </si>
  <si>
    <t>FONDO DE INV. GIBRALTAR VD-25-04-07 VD-25-04-08 VD-25-04-09</t>
  </si>
  <si>
    <t>2025-507</t>
  </si>
  <si>
    <t>TELEDOLAR SA VD-25-07-06</t>
  </si>
  <si>
    <t>2025-855</t>
  </si>
  <si>
    <t>31903_Megarack</t>
  </si>
  <si>
    <t>2025-340</t>
  </si>
  <si>
    <t>TEGRA MEDICAL  25-04-09 VD-25-04-17</t>
  </si>
  <si>
    <t>2025-595</t>
  </si>
  <si>
    <t>5705</t>
  </si>
  <si>
    <t>TEGRA MEDICAL COSTA RICA SOCIEDAD ANONIMA</t>
  </si>
  <si>
    <t>CIELO DE BABILONIA  VD-25-05-16 CORE</t>
  </si>
  <si>
    <t>2025-594</t>
  </si>
  <si>
    <t>JULIE TATIANA LOPEZ CAMPOS - ISLA PORCELANICO CON CASCADAS</t>
  </si>
  <si>
    <t>2025-1142</t>
  </si>
  <si>
    <t>1325</t>
  </si>
  <si>
    <t>JULIE TATIANA LOPEZ CAMPOS</t>
  </si>
  <si>
    <t>31669_Megarack</t>
  </si>
  <si>
    <t>001055</t>
  </si>
  <si>
    <t>AGENCIA MARITIMA DEL ISTMO SOCIEDAD DE RESPONSABIL</t>
  </si>
  <si>
    <t>DISCOVERY ZAPOTAL BUILDERS LIMITADA - Venta Online</t>
  </si>
  <si>
    <t>2026-127</t>
  </si>
  <si>
    <t>1883</t>
  </si>
  <si>
    <t>DISCOVERY ZAPOTAL BUILDERS LIMITADA</t>
  </si>
  <si>
    <t>JOAQUIN CALIVA - CLOSETS</t>
  </si>
  <si>
    <t>2025-1245</t>
  </si>
  <si>
    <t>5515</t>
  </si>
  <si>
    <t>31489_selectivo</t>
  </si>
  <si>
    <t>2025-218</t>
  </si>
  <si>
    <t>GUACAMAYA/ BOOT Y SILLAS/ VD-25-07-16</t>
  </si>
  <si>
    <t>2025-994</t>
  </si>
  <si>
    <t>MAR A MAR 1501-A // MAR A MAR 1501-A</t>
  </si>
  <si>
    <t>2025-288</t>
  </si>
  <si>
    <t>1663</t>
  </si>
  <si>
    <t>MANUEL MARTTIO MARENCO FERNANDEZ</t>
  </si>
  <si>
    <t>SMC 25-02-17 25-02-17A</t>
  </si>
  <si>
    <t>2025-805</t>
  </si>
  <si>
    <t>2673</t>
  </si>
  <si>
    <t>SMC COSTA RICA DIVISION S.R.L</t>
  </si>
  <si>
    <t>RUTH MARIA MORA RUIZ - Electrodomesticos</t>
  </si>
  <si>
    <t>2025-867</t>
  </si>
  <si>
    <t>PAMELA SANDOVAL SALAZAR - Electros</t>
  </si>
  <si>
    <t>2025-741</t>
  </si>
  <si>
    <t>LATIN LINK COSTA RICA INC., SOCIEDAD ANONIMA - ELECTROS KUPPER + INSTALACION</t>
  </si>
  <si>
    <t>2025-479</t>
  </si>
  <si>
    <t>001286</t>
  </si>
  <si>
    <t>LATIN LINK COSTA RICA INC., SOCIEDAD ANONIMA</t>
  </si>
  <si>
    <t>32718_Selectivo</t>
  </si>
  <si>
    <t>2025-1331</t>
  </si>
  <si>
    <t>CORPORACION FRIONET SOCIEDAD ANONIMA</t>
  </si>
  <si>
    <t>EVOLUTION FREE ZONE/ ACUDDYN- CODE/ 25-07-08</t>
  </si>
  <si>
    <t>2025-949</t>
  </si>
  <si>
    <t>31524_Selectivo</t>
  </si>
  <si>
    <t>2025-592</t>
  </si>
  <si>
    <t>001435</t>
  </si>
  <si>
    <t>KPO ALPHA INC SOCIEDAD ANONIMA</t>
  </si>
  <si>
    <t>ATRES ARQUITECTOS VD-25-03-07</t>
  </si>
  <si>
    <t>2025-572</t>
  </si>
  <si>
    <t>HUGO ANDRES MORA CHAVES - Electrodomesticos</t>
  </si>
  <si>
    <t>2025-752</t>
  </si>
  <si>
    <t>31625_megarack</t>
  </si>
  <si>
    <t>2025-199</t>
  </si>
  <si>
    <t>001080</t>
  </si>
  <si>
    <t>THINKO DISTRIBUTION SOCIEDAD ANONIMA</t>
  </si>
  <si>
    <t>ZETA GBS SOLUTIONS SRL/ VD-25-10-07P</t>
  </si>
  <si>
    <t>2025-173</t>
  </si>
  <si>
    <t>004794</t>
  </si>
  <si>
    <t>ZETA GBS SOLUTIONS SOCIEDAD DE RESPONSABILIDAD LIM</t>
  </si>
  <si>
    <t>EVOLUTION FREE ZONE//CODE VD-25-08-17</t>
  </si>
  <si>
    <t>2025-1116</t>
  </si>
  <si>
    <t>NUCLEO BUSINESS CENTER SA REGUS 25-03-01 VD-25-03-02</t>
  </si>
  <si>
    <t>2025-282</t>
  </si>
  <si>
    <t>33023_Megarack</t>
  </si>
  <si>
    <t>2025-1453</t>
  </si>
  <si>
    <t>31955_Megarack</t>
  </si>
  <si>
    <t>2025-523</t>
  </si>
  <si>
    <t>000104</t>
  </si>
  <si>
    <t>POLYCENTER SOCIEDAD ANONIMA</t>
  </si>
  <si>
    <t>SAN FRANCISCO / PROPIEDADES EL RINCÓN DE LOS SUEÑOS S.A</t>
  </si>
  <si>
    <t>2025-133</t>
  </si>
  <si>
    <t>1605</t>
  </si>
  <si>
    <t>PROPIEDADES EL RINCÓN DE LOS SUEÑOS S.A</t>
  </si>
  <si>
    <t>MARIA FERNANDA TELLO DELGADO - ELECTROS FRIGIDAIRE + INSTALACION Y TRANSPORTE</t>
  </si>
  <si>
    <t>2025-608</t>
  </si>
  <si>
    <t>1336</t>
  </si>
  <si>
    <t>MARIA FERNANDA TELLO DELGADO</t>
  </si>
  <si>
    <t>CCSS HOSP GERIATRICO 25-10-25 BLANCO CERVANTES</t>
  </si>
  <si>
    <t>2025-1377</t>
  </si>
  <si>
    <t>1863</t>
  </si>
  <si>
    <t>33101_Megarack</t>
  </si>
  <si>
    <t>2025-1475</t>
  </si>
  <si>
    <t>002340</t>
  </si>
  <si>
    <t>GABRIEL QUESADA BOLAÑOS</t>
  </si>
  <si>
    <t>TELEDOLAR SOCIEDAD ANONIMA VD-25-04-14</t>
  </si>
  <si>
    <t>2025-615</t>
  </si>
  <si>
    <t>32869_Medium Racks</t>
  </si>
  <si>
    <t>2025-1400</t>
  </si>
  <si>
    <t>015403</t>
  </si>
  <si>
    <t>BANCO BAC SAN JOSE SOCIEDAD ANONIMA</t>
  </si>
  <si>
    <t>TELEDOLAR SOCIEDAD ANONIMA VD-25-05-15</t>
  </si>
  <si>
    <t>2025-550</t>
  </si>
  <si>
    <t>GRUPO Q/ SILLAS DANAE/ VD-25-01-10P</t>
  </si>
  <si>
    <t>004047</t>
  </si>
  <si>
    <t>CORPORACION GRUPO Q COSTA RICA SOCIEDAD ANONIMA</t>
  </si>
  <si>
    <t>ICEM S. A 25-02-07 VD-25-02-07</t>
  </si>
  <si>
    <t>2025-216</t>
  </si>
  <si>
    <t>5695</t>
  </si>
  <si>
    <t>ICEM S. A</t>
  </si>
  <si>
    <t>CCSS HOSP SAN VICENTE HEREDIA 25-10-10P</t>
  </si>
  <si>
    <t>004434</t>
  </si>
  <si>
    <t>FORESTALES PUNTA ISLITA SOCIEDAD ANONIMA - ELECTRODOMESTICOS</t>
  </si>
  <si>
    <t>2025-585</t>
  </si>
  <si>
    <t>INNOVA INGENIERIA // PODER JUDICIAL PZ 25-10-09</t>
  </si>
  <si>
    <t>2025-1339</t>
  </si>
  <si>
    <t>002144</t>
  </si>
  <si>
    <t>INNOVA INGENIERIA EN CONSTRUCCION Y TELECOMUNICACI</t>
  </si>
  <si>
    <t>EUCALIPTOS TORRE C / CONOBRA LIMITADA</t>
  </si>
  <si>
    <t>2025-123</t>
  </si>
  <si>
    <t xml:space="preserve"> Anthony Umaña</t>
  </si>
  <si>
    <t>CNFL/ VD-25-05-12P CONVENIO MARCO</t>
  </si>
  <si>
    <t>2025-84</t>
  </si>
  <si>
    <t>004781</t>
  </si>
  <si>
    <t>PURA VIDA ESPAIS PVE SRL - ELECTROS</t>
  </si>
  <si>
    <t>2025-1466</t>
  </si>
  <si>
    <t>EUROCENTER INMOBILIARIA 25-07-15 VD-25-07-15</t>
  </si>
  <si>
    <t>2025-910</t>
  </si>
  <si>
    <t xml:space="preserve">001758    </t>
  </si>
  <si>
    <t>EUROCENTER INMOBILIARIA DE COSTA RICA ECR SOCIEDAD</t>
  </si>
  <si>
    <t>CLAUDIA CECILIA LAQUIDARA **Condominio Orosol casa 28</t>
  </si>
  <si>
    <t>2025-35</t>
  </si>
  <si>
    <t>000871</t>
  </si>
  <si>
    <t>CLAUDIA CECILIA LAQUIDARA</t>
  </si>
  <si>
    <t>YOJHANNA ALEXANDRA UGARTE VICTOR - COCINA MEL + PORCELÁNICO (KRIS)</t>
  </si>
  <si>
    <t>2025-997</t>
  </si>
  <si>
    <t>Gustavo Cedeño Elizondo - Venta online</t>
  </si>
  <si>
    <t>2025-934</t>
  </si>
  <si>
    <t>001656</t>
  </si>
  <si>
    <t>Gustavo Cedeño Elizondo</t>
  </si>
  <si>
    <t>LOS ARALLANES COHESITY VD-25-01-01</t>
  </si>
  <si>
    <t>2025-246</t>
  </si>
  <si>
    <t>EDSON DO NASCIMENTO FERNANDES ** LINDORA VILLAGE CASA 4</t>
  </si>
  <si>
    <t>000613</t>
  </si>
  <si>
    <t>EDSON DO NASCIMENTO FERNANDES</t>
  </si>
  <si>
    <t>CRETEX MEDICAL 24-12-14</t>
  </si>
  <si>
    <t>000825</t>
  </si>
  <si>
    <t>CRETEX MEDICAL COSTA RICA SOCIEDAD RESPONSABILIDAD</t>
  </si>
  <si>
    <t>DESARROLLOS HOTELEROS GUANACASTE SA  25-01-04</t>
  </si>
  <si>
    <t>2025-431</t>
  </si>
  <si>
    <t>1866</t>
  </si>
  <si>
    <t>DESARROLLOS HOTELEROS GUANACASTE SOCIEDAD ANONIMA</t>
  </si>
  <si>
    <t xml:space="preserve"> Viviana Mora Coto</t>
  </si>
  <si>
    <t>VICTOR ALBERTO DE LA TRINIDAD JIMENEZ NAVARRO - MUEBLE TV</t>
  </si>
  <si>
    <t>2025-670</t>
  </si>
  <si>
    <t>010125</t>
  </si>
  <si>
    <t>VICTOR ALBERTO DE LA TRINIDAD JIMENEZ NAVARRO</t>
  </si>
  <si>
    <t xml:space="preserve"> Sofia Jimenez</t>
  </si>
  <si>
    <t>32419_Megarack</t>
  </si>
  <si>
    <t>2025-976</t>
  </si>
  <si>
    <t>1409</t>
  </si>
  <si>
    <t>VWR INTERNATIONAL LIMITADA</t>
  </si>
  <si>
    <t>ALBERTO LAINEZ VENTOSILLA - Muebles de cocina + porcelanico + backsplahs+ extr</t>
  </si>
  <si>
    <t>2025-967</t>
  </si>
  <si>
    <t>001759</t>
  </si>
  <si>
    <t>ALBERTO LAINEZ VENTOSILLA</t>
  </si>
  <si>
    <t>FT TECHNOLOGIES CR/ 25-06-02P</t>
  </si>
  <si>
    <t>004783</t>
  </si>
  <si>
    <t>FT TECHNOLOGIES COSTA RICA SOCIEDAD ANONIMA</t>
  </si>
  <si>
    <t xml:space="preserve"> Henry Calvo, Kenther Chaves</t>
  </si>
  <si>
    <t>SAMTEC INTERCONNECT 25-03-17</t>
  </si>
  <si>
    <t>2025-687</t>
  </si>
  <si>
    <t>1807</t>
  </si>
  <si>
    <t>31634:Megarack</t>
  </si>
  <si>
    <t>2025-305</t>
  </si>
  <si>
    <t>001200</t>
  </si>
  <si>
    <t>ELECTRONICA STEREN DE COSTA RICA SOCIEDAD ANONIMA</t>
  </si>
  <si>
    <t>GFI/ MODULOS BAJOS Y SILLAS/ VD-25-04-02P</t>
  </si>
  <si>
    <t>2025-59</t>
  </si>
  <si>
    <t>004621</t>
  </si>
  <si>
    <t>GFI PHARMA LOGISTIC S.A</t>
  </si>
  <si>
    <t>KAREN CHRISTIANA FIGUERES OLSEN - LAVADOS</t>
  </si>
  <si>
    <t>2025-1177</t>
  </si>
  <si>
    <t>CLINICA 20/20 25-01-14  VD-25-01-11</t>
  </si>
  <si>
    <t>2025-107</t>
  </si>
  <si>
    <t>9516</t>
  </si>
  <si>
    <t>DEL PARQUE ARDILLA S.A</t>
  </si>
  <si>
    <t>TELEDOLAR SOCIEDAD ANONIMA VD-25-09-19</t>
  </si>
  <si>
    <t>2025-1369</t>
  </si>
  <si>
    <t>Mónica Pérez Martínez - Venta online</t>
  </si>
  <si>
    <t>2025-895</t>
  </si>
  <si>
    <t>001723</t>
  </si>
  <si>
    <t>Mónica Pérez Martínez</t>
  </si>
  <si>
    <t>OSWALDO JOSE ALVAREZ VELASQUEZ - Electrodomesticos KUPPER</t>
  </si>
  <si>
    <t>2025-586</t>
  </si>
  <si>
    <t>31184_Selectivo</t>
  </si>
  <si>
    <t>2025-10</t>
  </si>
  <si>
    <t>DANNY ALBERTO ALVAREZ CABALCETA - VENTAS ONLINE</t>
  </si>
  <si>
    <t>2026-85</t>
  </si>
  <si>
    <t>002477</t>
  </si>
  <si>
    <t>DANNY ALBERTO ALVAREZ CABALCETA</t>
  </si>
  <si>
    <t>Trent Justin Reifert - Electrodomesticos Kupper</t>
  </si>
  <si>
    <t>2025-750</t>
  </si>
  <si>
    <t>CESAR GIOVANNY CRUZ SALAMANCA - Electrodomésticos NO incluye refrigeradora</t>
  </si>
  <si>
    <t>2025-1072</t>
  </si>
  <si>
    <t>CENTRO DE ESTACIONAMIENTO SAN PEDRO M O SOCIEDAD ANONIMA - Mueble de terraza / cocina y sobre porcelanico</t>
  </si>
  <si>
    <t>2025-1014</t>
  </si>
  <si>
    <t>001600</t>
  </si>
  <si>
    <t>CENTRO DE ESTACIONAMIENTO SAN PEDRO M O SOCIEDAD A</t>
  </si>
  <si>
    <t>REPUBLIC OFFICE S.A VD-25-06-10</t>
  </si>
  <si>
    <t>2025-714</t>
  </si>
  <si>
    <t>000368</t>
  </si>
  <si>
    <t>ANDRES DIAZ ARAYA - SALA TV + REPISA + SOBRE MELAMINA</t>
  </si>
  <si>
    <t>2025-267</t>
  </si>
  <si>
    <t>001132</t>
  </si>
  <si>
    <t>ANDRES DIAZ ARAYA</t>
  </si>
  <si>
    <t>NORD NORTE SRL - ELECTROS</t>
  </si>
  <si>
    <t>2025-487</t>
  </si>
  <si>
    <t>001327</t>
  </si>
  <si>
    <t>NORD NORTE SRL</t>
  </si>
  <si>
    <t>MUNICIPALIDAD DE ALAJUELA/ 25-09-07P</t>
  </si>
  <si>
    <t>00417</t>
  </si>
  <si>
    <t>CNFL 25-10-12P OC 0034 CONVENIO MARCO</t>
  </si>
  <si>
    <t>2025-166</t>
  </si>
  <si>
    <t>CNFL 25-05-20</t>
  </si>
  <si>
    <t>2025-617</t>
  </si>
  <si>
    <t>XOCHITL NATALIA CAMACHO MEDINA - Electros + fregadero</t>
  </si>
  <si>
    <t>2025-413</t>
  </si>
  <si>
    <t>5887</t>
  </si>
  <si>
    <t>XOCHITL NATALIA CAMACHO MEDINA</t>
  </si>
  <si>
    <t>WILLIAM ALBERTO FERNANDEZ PLANAS - Electros Kupper</t>
  </si>
  <si>
    <t>2025-1384</t>
  </si>
  <si>
    <t>ROSWELL DRYWALL CR SOCIEDAD ANONIMA - Plantilla,horno, refri, microondas, , fregadero y</t>
  </si>
  <si>
    <t>2025-293</t>
  </si>
  <si>
    <t>VILMA MARIA BERMUDEZ MARTINEZ / LINDORA VILLAGE</t>
  </si>
  <si>
    <t>2025-73</t>
  </si>
  <si>
    <t>000921</t>
  </si>
  <si>
    <t>VILMA MARIA BERMUDEZ MARTINEZ</t>
  </si>
  <si>
    <t>32956_Protectores</t>
  </si>
  <si>
    <t>2025-1428</t>
  </si>
  <si>
    <t>31597_Selectivo Eurorack</t>
  </si>
  <si>
    <t>2025-161</t>
  </si>
  <si>
    <t>000136</t>
  </si>
  <si>
    <t>GRUPO LCR LA CASA DEL ROTULO SOCIEDAD ANONIMA</t>
  </si>
  <si>
    <t>32562_Rejillas</t>
  </si>
  <si>
    <t>2025-1040</t>
  </si>
  <si>
    <t>Susana Piñeiro Baldomir - venta online</t>
  </si>
  <si>
    <t>2025-265</t>
  </si>
  <si>
    <t>000933</t>
  </si>
  <si>
    <t>Susana Piñeiro Baldomir</t>
  </si>
  <si>
    <t>DESARROLLOS TEHELEN SOCIEDAD ANONIMA - torre hornos frigidiere</t>
  </si>
  <si>
    <t>2025-1138</t>
  </si>
  <si>
    <t>001740</t>
  </si>
  <si>
    <t>DESARROLLOS TEHELEN SOCIEDAD ANONIMA</t>
  </si>
  <si>
    <t>SAN JOSE INDOOR CLUB  VD-25-04-05 VD-25-04-06</t>
  </si>
  <si>
    <t>2025-852</t>
  </si>
  <si>
    <t>ELECTROMECANICA PABLO MURILLO SOCIEDAD ANONIMA - Plantilla + Perillas + Strip WOLF</t>
  </si>
  <si>
    <t>2025-318</t>
  </si>
  <si>
    <t>5860</t>
  </si>
  <si>
    <t>ELECTROMECANICA PABLO MURILLO SOCIEDAD ANONIMA</t>
  </si>
  <si>
    <t>NEWMARK/ VD-25-05-22P</t>
  </si>
  <si>
    <t>004782</t>
  </si>
  <si>
    <t>NEWMARK REAL ESTATE COSTA RICA SOCIEDAD DE RESPONS</t>
  </si>
  <si>
    <t>INVERSIONES HOTELERAS PLAYA POCHOTE SOCIEDAD DE RESPONSABILIDAD LIMITADA 24-06-11</t>
  </si>
  <si>
    <t>000014</t>
  </si>
  <si>
    <t>INVERSIONES HOTELERAS PLAYA POCHOTE SOCIEDAD DE RE</t>
  </si>
  <si>
    <t xml:space="preserve"> Natalia Alonso</t>
  </si>
  <si>
    <t>3-101-795629 SOCIEDAD ANONIMA - electros kupper</t>
  </si>
  <si>
    <t>2025-353</t>
  </si>
  <si>
    <t>UNION INTERNACIONAL PARA LA CONSERVACION DE LA NATURALEZA Y RECURSOS NATURALES - COCINETA</t>
  </si>
  <si>
    <t>2025-1517</t>
  </si>
  <si>
    <t>002265</t>
  </si>
  <si>
    <t>UNION INTERNACIONAL PARA LA CONSERVACION DE LA NAT</t>
  </si>
  <si>
    <t>CNFL 25-10-26P OC 0046 CONVENIO MARCO</t>
  </si>
  <si>
    <t>2025-171</t>
  </si>
  <si>
    <t>IVAN ROBERTO ARROYO VINDAS - venta online</t>
  </si>
  <si>
    <t>2025-518</t>
  </si>
  <si>
    <t>000642</t>
  </si>
  <si>
    <t>IVAN ROBERTO ARROYO VINDAS</t>
  </si>
  <si>
    <t>32227_Megarack</t>
  </si>
  <si>
    <t>2025-1235</t>
  </si>
  <si>
    <t>32330_Medium Racks</t>
  </si>
  <si>
    <t>2025-915</t>
  </si>
  <si>
    <t>NEXTERN COSTA RICA LIMITADA 25-01-13</t>
  </si>
  <si>
    <t>2025-124</t>
  </si>
  <si>
    <t>001001</t>
  </si>
  <si>
    <t>NEXTERN COSTA RICA LIMITADA</t>
  </si>
  <si>
    <t>CIUDAD DE LOS NIÑOS - PLANTILLA INDUCCION (EXCENTO IMP)</t>
  </si>
  <si>
    <t>2025-772</t>
  </si>
  <si>
    <t>001076</t>
  </si>
  <si>
    <t>CIUDAD DE LOS NIÑOS</t>
  </si>
  <si>
    <t>31240,32143_Megarack</t>
  </si>
  <si>
    <t>2025-732</t>
  </si>
  <si>
    <t>1872</t>
  </si>
  <si>
    <t>Coloplast Volume Manufacturing C.R SA</t>
  </si>
  <si>
    <t>EUCALIPTOS B208 / CONOBRA LIMITADA</t>
  </si>
  <si>
    <t>2025-349</t>
  </si>
  <si>
    <t>31187_Selectivo</t>
  </si>
  <si>
    <t>2025-11</t>
  </si>
  <si>
    <t>NUCLEO BUSINESS 25-03-10</t>
  </si>
  <si>
    <t>2025-307</t>
  </si>
  <si>
    <t>32498_Megarack</t>
  </si>
  <si>
    <t>2025-983</t>
  </si>
  <si>
    <t>001126</t>
  </si>
  <si>
    <t>BIOCIENTIFICA INTERNACIONAL S D R L LIMITADA</t>
  </si>
  <si>
    <t>Anaïs Muller - Venta online</t>
  </si>
  <si>
    <t>2026-61</t>
  </si>
  <si>
    <t>001982</t>
  </si>
  <si>
    <t>Anaïs Muller</t>
  </si>
  <si>
    <t>COOPERATIVA NACIONAL DE EDUCADORES R L VD-25-04-13</t>
  </si>
  <si>
    <t>2025-424</t>
  </si>
  <si>
    <t>001268</t>
  </si>
  <si>
    <t>COOPERATIVA NACIONAL DE EDUCADORES R L</t>
  </si>
  <si>
    <t>nuevo horizonte pye s.a - MUEBLE CUARTO DE PILAS</t>
  </si>
  <si>
    <t>2025-332</t>
  </si>
  <si>
    <t>TEGRA MEDICAL COSTA RICA 25-04-08 VD-25-04-16</t>
  </si>
  <si>
    <t>2025-596</t>
  </si>
  <si>
    <t xml:space="preserve">5705      </t>
  </si>
  <si>
    <t>Camila Jurado montanari - Venta Online</t>
  </si>
  <si>
    <t>2026-62</t>
  </si>
  <si>
    <t>002289</t>
  </si>
  <si>
    <t>Camila Jurado montanari</t>
  </si>
  <si>
    <t>CUSHMAN/ 24-09-02P</t>
  </si>
  <si>
    <t>2025-1</t>
  </si>
  <si>
    <t>002100</t>
  </si>
  <si>
    <t>AB REAL ESTATE ADVISORY S.A</t>
  </si>
  <si>
    <t>Banco Bac San Jose S.A. VD-25-11-17P</t>
  </si>
  <si>
    <t xml:space="preserve"> José Alberto Peraza</t>
  </si>
  <si>
    <t>LILLIAM ESCALANTE ARAUZ - ELECTRODOMESTICOS ENTREGAR CON COCINA</t>
  </si>
  <si>
    <t>2025-472</t>
  </si>
  <si>
    <t>Banco Internacional de Costa Rica 24-06-20</t>
  </si>
  <si>
    <t>5247</t>
  </si>
  <si>
    <t>Banco Internacional de Costa Rica</t>
  </si>
  <si>
    <t>LOS ARALLANES/ AFZ HUNTSMAN/ VD-25-07-18</t>
  </si>
  <si>
    <t>2025-952</t>
  </si>
  <si>
    <t>Ernesto Ortega Hegg - Venta online</t>
  </si>
  <si>
    <t>2025-551</t>
  </si>
  <si>
    <t>001390</t>
  </si>
  <si>
    <t>Ernesto Ortega Hegg</t>
  </si>
  <si>
    <t>DANAN R. D. S. SOCIEDAD ANONIMA - venta online</t>
  </si>
  <si>
    <t>2025-364</t>
  </si>
  <si>
    <t>001171</t>
  </si>
  <si>
    <t>DANAN R. D. S. SOCIEDAD ANONIMA</t>
  </si>
  <si>
    <t>CASA DE FUNERALES VIDA - VD-25-12-06</t>
  </si>
  <si>
    <t>2026-12</t>
  </si>
  <si>
    <t xml:space="preserve">002407    </t>
  </si>
  <si>
    <t>CASA DE FUNERALES VIDA DE SAN JOSE SOCIEDAD ANONIM</t>
  </si>
  <si>
    <t>BRAULIO JESUS PEREZ ZELEDON - Electros KUPPER</t>
  </si>
  <si>
    <t>2025-352</t>
  </si>
  <si>
    <t>KAFAY RAFAEL NG ZHAO / LINDORA VILLAGE CASA 157</t>
  </si>
  <si>
    <t>2025-75</t>
  </si>
  <si>
    <t>000925</t>
  </si>
  <si>
    <t>KAFAY RAFAEL NG ZHAO</t>
  </si>
  <si>
    <t>LOS ARALLANES SOCIEDAD ANONIMA VD-25-09-22</t>
  </si>
  <si>
    <t>2025-1317</t>
  </si>
  <si>
    <t>JUDIANA PAMELA ALVARADO CANTILLANO - Cocina+estantes closet+plantilla</t>
  </si>
  <si>
    <t>2025-1430</t>
  </si>
  <si>
    <t xml:space="preserve">002006    </t>
  </si>
  <si>
    <t>JUDIANA PAMELA ALVARADO CANTILLANO</t>
  </si>
  <si>
    <t>MC EXITO 25-05-27</t>
  </si>
  <si>
    <t>2025-819</t>
  </si>
  <si>
    <t>001491</t>
  </si>
  <si>
    <t>MC IMPERMEABILIZACION TOTAL SOCIEDAD ANONIMA</t>
  </si>
  <si>
    <t>CARLOS MANUEL BURGOS SALAS - CLOSET ALMACENAMIENTO</t>
  </si>
  <si>
    <t>2025-1440</t>
  </si>
  <si>
    <t>32302_Movimiento y Traslado</t>
  </si>
  <si>
    <t>2025-779</t>
  </si>
  <si>
    <t>000502</t>
  </si>
  <si>
    <t>GRUPO SERVICA COSTA RICA SOCIEDAD ANONIMA</t>
  </si>
  <si>
    <t>32459_Selectivo</t>
  </si>
  <si>
    <t>2025-937</t>
  </si>
  <si>
    <t>ENVASADORA SUPERGAS GLP 25-01-06</t>
  </si>
  <si>
    <t>2025-223</t>
  </si>
  <si>
    <t>001091</t>
  </si>
  <si>
    <t>ENVASADORA SUPERGAS GLP SOCIEDAD ANONIMA</t>
  </si>
  <si>
    <t>TELEDOLAR/ SILLAS/ VD-25-07-02</t>
  </si>
  <si>
    <t>2025-851</t>
  </si>
  <si>
    <t xml:space="preserve">001206    </t>
  </si>
  <si>
    <t>CENTRO COMERCIAL MULTIPLAZA- ECC/ 24-12-01P VD-24-12-01P</t>
  </si>
  <si>
    <t>2025-8</t>
  </si>
  <si>
    <t>WALLACE GERARDO COVER SERRANO - venta online</t>
  </si>
  <si>
    <t>2025-631</t>
  </si>
  <si>
    <t>001462</t>
  </si>
  <si>
    <t>WALLACE GERARDO COVER SERRANO</t>
  </si>
  <si>
    <t>MUSICA VISION SOCIEDAD ANONIMA - COCINA AZUL LIQUIDACION</t>
  </si>
  <si>
    <t>2025-268</t>
  </si>
  <si>
    <t>001059</t>
  </si>
  <si>
    <t>MUSICA VISION SOCIEDAD ANONIMA</t>
  </si>
  <si>
    <t>FLORIDA/ TRANSFORMACION/ VD-25-05-15P</t>
  </si>
  <si>
    <t>2025-71</t>
  </si>
  <si>
    <t>RENE CARDONA GARCIA - electros 2</t>
  </si>
  <si>
    <t>2025-878</t>
  </si>
  <si>
    <t>GUACAMAYA 25-06-13</t>
  </si>
  <si>
    <t>2025-834</t>
  </si>
  <si>
    <t>31426_Megarack</t>
  </si>
  <si>
    <t>2720</t>
  </si>
  <si>
    <t>ITEK SOLUCIONES INTEGRALES S.A.</t>
  </si>
  <si>
    <t>WORKINGS ESCAZU LIMITADA 25-01-08</t>
  </si>
  <si>
    <t>1798</t>
  </si>
  <si>
    <t>WORKINGS ESCAZU LIMITADA</t>
  </si>
  <si>
    <t>CASA DE CAMBIO TELEDOLAR SOCIEDAD ANONIMA VD-25-03-11</t>
  </si>
  <si>
    <t>2025-394</t>
  </si>
  <si>
    <t>MARIO ADOLFO GERARDO VARGAS VALVERDE - ELECTROS</t>
  </si>
  <si>
    <t>2025-367</t>
  </si>
  <si>
    <t>001194</t>
  </si>
  <si>
    <t>MARIO ADOLFO GERARDO VARGAS VALVERDE</t>
  </si>
  <si>
    <t>SMC COSTA RICA DIVISION S.R.L 25-05-28 VD-25-05-20</t>
  </si>
  <si>
    <t>2025-796</t>
  </si>
  <si>
    <t>SWISS TRAVEL/ 25-02-01P</t>
  </si>
  <si>
    <t>004750</t>
  </si>
  <si>
    <t>SERVICIO DE VIAJEROS SUIZA SOCIEDAD ANONIMA</t>
  </si>
  <si>
    <t>ALEXANDRA CAMPOS LARA - Electros</t>
  </si>
  <si>
    <t>2025-1462</t>
  </si>
  <si>
    <t>LOS ARALLANES SOCIEDAD ANONIMA VD-25-10-01</t>
  </si>
  <si>
    <t>2025-1376</t>
  </si>
  <si>
    <t>LINDORA VILLAGE / DISTRIBUIDORA RETANA Y SALMERON R Y S SOCIEDAD ANONIMA</t>
  </si>
  <si>
    <t>001058</t>
  </si>
  <si>
    <t>DISTRIBUIDORA RETANA Y SALMERON R Y S SOCIEDAD ANO</t>
  </si>
  <si>
    <t>Paul Thomas Pebler - CLOSET</t>
  </si>
  <si>
    <t>2025-1205</t>
  </si>
  <si>
    <t>001846</t>
  </si>
  <si>
    <t>Paul Thomas Pebler</t>
  </si>
  <si>
    <t>JLL/ PFIZER / VD-25-09-13</t>
  </si>
  <si>
    <t>2025-1261</t>
  </si>
  <si>
    <t xml:space="preserve">1758      </t>
  </si>
  <si>
    <t>MAR A MAR / CASA MENA PRIVATE COLLECTION SOCIEDAD DE RESPONSABILIDAD LIMITADA</t>
  </si>
  <si>
    <t>2025-977</t>
  </si>
  <si>
    <t>001817</t>
  </si>
  <si>
    <t>CASA MENA PRIVATE COLLECTION SOCIEDAD DE RESPONSAB</t>
  </si>
  <si>
    <t>DAORO/ MILLIKEN/VD-25-02-07P</t>
  </si>
  <si>
    <t>2025-28</t>
  </si>
  <si>
    <t xml:space="preserve">004770    </t>
  </si>
  <si>
    <t>MOISHELE SOCIEDAD ANONIMA</t>
  </si>
  <si>
    <t>COOPERMEDICAL SRL  VD-24-11-21 / COOPER SURGICAL</t>
  </si>
  <si>
    <t>000856</t>
  </si>
  <si>
    <t>COOPERMEDICAL SOCIEDAD DE RESPONSABILIDAD LIMITADA</t>
  </si>
  <si>
    <t>WORKINGS ESCAZU LIMITADA 25-04-10</t>
  </si>
  <si>
    <t>2025-522</t>
  </si>
  <si>
    <t>32508_Megarack</t>
  </si>
  <si>
    <t>2025-1097</t>
  </si>
  <si>
    <t>001919</t>
  </si>
  <si>
    <t>CARLOS HUMBERTO VIQUEZ RAMIREZ</t>
  </si>
  <si>
    <t>DHL EXPRESS/ 25-03-04P</t>
  </si>
  <si>
    <t>004562</t>
  </si>
  <si>
    <t>EDISOLUCIONES INTEGRALES EDISOL SRL VD-24-12-13</t>
  </si>
  <si>
    <t>2025-4</t>
  </si>
  <si>
    <t>IMS CONSTRUCCIONES 24-11-21</t>
  </si>
  <si>
    <t>2025-18</t>
  </si>
  <si>
    <t>000794</t>
  </si>
  <si>
    <t>LATAM LOGISTIC CR OPCO S.R.L 24-11-22</t>
  </si>
  <si>
    <t>2025-148</t>
  </si>
  <si>
    <t>1878</t>
  </si>
  <si>
    <t>LATAM LOGISTIC CR OPCO S.R.L</t>
  </si>
  <si>
    <t>RAU PRECISION METALS S.A. VD-25-09-08</t>
  </si>
  <si>
    <t>2025-1209</t>
  </si>
  <si>
    <t>GUACAMAYA VD-25-08-13</t>
  </si>
  <si>
    <t>2025-1088</t>
  </si>
  <si>
    <t>CONTRACT- FLEX OFFICE/ 25-08-01P VD-25-08-05P</t>
  </si>
  <si>
    <t>REPUBLIC OFFICE S.A  VD-25-04-10</t>
  </si>
  <si>
    <t>2025-490</t>
  </si>
  <si>
    <t>CORE VD-25-11-02P</t>
  </si>
  <si>
    <t>2025-158</t>
  </si>
  <si>
    <t>002532</t>
  </si>
  <si>
    <t>GRUPO Q/ SILLAS DANAE/ VD-25-01-04P</t>
  </si>
  <si>
    <t xml:space="preserve">004047    </t>
  </si>
  <si>
    <t>32371_Selectivo</t>
  </si>
  <si>
    <t>2025-877</t>
  </si>
  <si>
    <t>6256</t>
  </si>
  <si>
    <t>Tecnibandas S.A</t>
  </si>
  <si>
    <t>THE CASA AZURA LLC SRL - Venta Online</t>
  </si>
  <si>
    <t>2026-84</t>
  </si>
  <si>
    <t>002478</t>
  </si>
  <si>
    <t>THE CASA AZURA LLC SRL</t>
  </si>
  <si>
    <t>TELEDOLAR/ ALMACENAMIENTOS/ VD-25-08-19</t>
  </si>
  <si>
    <t>2025-1242</t>
  </si>
  <si>
    <t>SMC COSTA RICA DIVISION S.R.L VD-25-03-13</t>
  </si>
  <si>
    <t>2025-315</t>
  </si>
  <si>
    <t xml:space="preserve">2673      </t>
  </si>
  <si>
    <t>CNFL 25-10-17P OC 0039 CONVENIO MARCO</t>
  </si>
  <si>
    <t>31823, 31876_megarack</t>
  </si>
  <si>
    <t>2025-260</t>
  </si>
  <si>
    <t>001163</t>
  </si>
  <si>
    <t>FROGLEGS INVESTMENTS, SOCIEDAD ANONIMA</t>
  </si>
  <si>
    <t>31704_megarack</t>
  </si>
  <si>
    <t>2025-234</t>
  </si>
  <si>
    <t>001081</t>
  </si>
  <si>
    <t>SAN JOSE DE LOS PINARES SOCIEDAD ANONIMA</t>
  </si>
  <si>
    <t>DOUGLAS BRANDT - ISLA HANNOVER NATURE</t>
  </si>
  <si>
    <t>2025-1297</t>
  </si>
  <si>
    <t>001893</t>
  </si>
  <si>
    <t>DOUGLAS BRANDT</t>
  </si>
  <si>
    <t>EUCALIPTOS 305 / MARIO ALBERTO DE JESUS GOMEZ FERNANDEZ</t>
  </si>
  <si>
    <t>2025-1087</t>
  </si>
  <si>
    <t>001917</t>
  </si>
  <si>
    <t>MARIO ALBERTO DE JESUS GOMEZ FERNANDEZ</t>
  </si>
  <si>
    <t>33105_Medium Racks</t>
  </si>
  <si>
    <t>2025-1496</t>
  </si>
  <si>
    <t>2683</t>
  </si>
  <si>
    <t>VIDENDUM PRODUCTION SOLUTIONS LTDA.</t>
  </si>
  <si>
    <t>32921_Selectivo</t>
  </si>
  <si>
    <t>2025-1393</t>
  </si>
  <si>
    <t>5965</t>
  </si>
  <si>
    <t>FARMAVALUE COSTA RICA SOCIEDAD ANON</t>
  </si>
  <si>
    <t>Sylvia Zamora Chaves - Electrodomesticos</t>
  </si>
  <si>
    <t>2025-452</t>
  </si>
  <si>
    <t>JOHANNA DEL SOCORRO SANCHEZ GUTIERREZ - ISLA</t>
  </si>
  <si>
    <t>2025-1076</t>
  </si>
  <si>
    <t>001695</t>
  </si>
  <si>
    <t>JOHANNA DEL SOCORRO SANCHEZ GUTIERREZ</t>
  </si>
  <si>
    <t>propiedades caribe sur s.a. - Venta online</t>
  </si>
  <si>
    <t>2026-80</t>
  </si>
  <si>
    <t>002455</t>
  </si>
  <si>
    <t>propiedades caribe sur s.a.</t>
  </si>
  <si>
    <t>CARLOS EDUARDO LEANDRO SOLANO - electros</t>
  </si>
  <si>
    <t>2025-943</t>
  </si>
  <si>
    <t>NASARA FF109 / DIEGO VALERIO ALFARO</t>
  </si>
  <si>
    <t>2025-1270</t>
  </si>
  <si>
    <t>6043</t>
  </si>
  <si>
    <t>DIEGO VALERIO ALFARO</t>
  </si>
  <si>
    <t>EPA/ MILLIKEN/ VD-25-04-01P</t>
  </si>
  <si>
    <t>2025-57</t>
  </si>
  <si>
    <t>004729</t>
  </si>
  <si>
    <t>UNIVERSIDAD DE COSTA RICA 25-09-14</t>
  </si>
  <si>
    <t>2025-1287</t>
  </si>
  <si>
    <t>FLORIDA/ TRANSFORMACION ADICIONALES/25-07-06P  VD-25-07-13P</t>
  </si>
  <si>
    <t>2025-106</t>
  </si>
  <si>
    <t xml:space="preserve">00219     </t>
  </si>
  <si>
    <t>CIELO DE BABILONIA VD-25-08-06</t>
  </si>
  <si>
    <t>2025-1043</t>
  </si>
  <si>
    <t>BENEMERITO CUERPO DE BOMBEROS 25-09-05</t>
  </si>
  <si>
    <t>2025-1228</t>
  </si>
  <si>
    <t>002018</t>
  </si>
  <si>
    <t>TERADYNE DECOSTA RICA SRL VD-25-05-08</t>
  </si>
  <si>
    <t>2025-508</t>
  </si>
  <si>
    <t xml:space="preserve">CNFL 25-10-14P OC 0036 Convenio Marco </t>
  </si>
  <si>
    <t>2025-159</t>
  </si>
  <si>
    <t>MICHAEL DAVID BLANCO RAMOS - ELECTRODOMESTICOS</t>
  </si>
  <si>
    <t>2025-453</t>
  </si>
  <si>
    <t>001233</t>
  </si>
  <si>
    <t>MICHAEL DAVID BLANCO RAMOS</t>
  </si>
  <si>
    <t>MICROVENTION COSTA RICA SRL 25-03-16</t>
  </si>
  <si>
    <t>2025-534</t>
  </si>
  <si>
    <t>1747</t>
  </si>
  <si>
    <t xml:space="preserve">CNFL 25-10-21 ESCRITORIOS </t>
  </si>
  <si>
    <t>2025-1368</t>
  </si>
  <si>
    <t xml:space="preserve">001442    </t>
  </si>
  <si>
    <t>PROCURADURIA GENERAL DE LA REPUBLICA  24-12-07 24-12-17</t>
  </si>
  <si>
    <t>000773</t>
  </si>
  <si>
    <t>PROCURADURIA GENERAL DE LA REPUBLICA</t>
  </si>
  <si>
    <t>MILTON BALTODANO BALTODANO - ELECTROS</t>
  </si>
  <si>
    <t>2025-816</t>
  </si>
  <si>
    <t>PAOLA  ANDREA CUERO  ANGULO - electros</t>
  </si>
  <si>
    <t>2025-1064</t>
  </si>
  <si>
    <t>SAMTEC INTERCONNECT  25-01-05</t>
  </si>
  <si>
    <t>Ian Badiola Alkorta - VENTAS ONLINE</t>
  </si>
  <si>
    <t>2025-630</t>
  </si>
  <si>
    <t>001387</t>
  </si>
  <si>
    <t>Ian Badiola Alkorta</t>
  </si>
  <si>
    <t>PLAZA RIVIERA SOCIEDAD ANONIMA 25-07-02</t>
  </si>
  <si>
    <t>2025-1259</t>
  </si>
  <si>
    <t>001511</t>
  </si>
  <si>
    <t>MEP/ 25-09-04P</t>
  </si>
  <si>
    <t>004378</t>
  </si>
  <si>
    <t>MINISTERIO DE EDUCACION PUBLICA</t>
  </si>
  <si>
    <t>ARBORA SAN FRANCISCO / 3 101 861274 SOCIEDAD ANONIMA</t>
  </si>
  <si>
    <t>2025-1109</t>
  </si>
  <si>
    <t>32542_Megarack</t>
  </si>
  <si>
    <t>2025-992</t>
  </si>
  <si>
    <t>SECRT ESCALANTE // FDO INV. DESARROLLO PROYECTOS MULTIFONDOS SECRT ESCALANTE</t>
  </si>
  <si>
    <t>2025-906</t>
  </si>
  <si>
    <t>IICA/ SILLAS STOCK/ VD-25-02-01P</t>
  </si>
  <si>
    <t>004696</t>
  </si>
  <si>
    <t>INSTITUTO INTERAMERICANO DE COOPERACION PARA LA AG</t>
  </si>
  <si>
    <t>REBECA PATRICIA// RONALD SANDI VD-25-08-09</t>
  </si>
  <si>
    <t>2025-1387</t>
  </si>
  <si>
    <t>002199</t>
  </si>
  <si>
    <t>REBECA PATRICIA MORA SABORIO</t>
  </si>
  <si>
    <t>32546_Selectivo</t>
  </si>
  <si>
    <t>2025-1098</t>
  </si>
  <si>
    <t>6307</t>
  </si>
  <si>
    <t>TERMINALES SANTAMARIA SOCIEDAD ANONIMA</t>
  </si>
  <si>
    <t>EVERTEC COSTA RICA SA 25-08-19</t>
  </si>
  <si>
    <t>2025-1170</t>
  </si>
  <si>
    <t>MICROVENTION COSTA RICA SRL VD-25-05-18</t>
  </si>
  <si>
    <t>2025-620</t>
  </si>
  <si>
    <t>MICROVENTION/ CREDENZAS/ VD-25-08-10</t>
  </si>
  <si>
    <t>2025-1182</t>
  </si>
  <si>
    <t>PLAZA RIVIERA SA COCA COLA 25-08-12</t>
  </si>
  <si>
    <t>2025-1438</t>
  </si>
  <si>
    <t>MOPT 25-10-04 CONVENIO MARCO</t>
  </si>
  <si>
    <t>2025-1365</t>
  </si>
  <si>
    <t>000205</t>
  </si>
  <si>
    <t>ESTADO-MINISTERIO DE OBRAS PUBLICAS Y TRANSPORTES</t>
  </si>
  <si>
    <t>32241_Megarack</t>
  </si>
  <si>
    <t>2025-684</t>
  </si>
  <si>
    <t>001532</t>
  </si>
  <si>
    <t>MARCO WILLIAM CERDAS CHAVES</t>
  </si>
  <si>
    <t>SAMTEC INTERCONNECT 25-08-35</t>
  </si>
  <si>
    <t>2025-1483</t>
  </si>
  <si>
    <t>DSIGN AND BUILD SRL/ CASA CADA/ 25-07-05</t>
  </si>
  <si>
    <t>2025-925</t>
  </si>
  <si>
    <t>001754</t>
  </si>
  <si>
    <t>DSIGN AND BUILD SOCIEDAD DE RESPONSABILIDAD LIMITA</t>
  </si>
  <si>
    <t>CONTRACT/ MAERSK- EPIC/ SCREENBOARDS/ VD-25-04-04P</t>
  </si>
  <si>
    <t>2025-60</t>
  </si>
  <si>
    <t>TORRE PARQUE DEL CAFE/VENTA EN SALA/ SILLAS LUNA/ VD-25-09-05P</t>
  </si>
  <si>
    <t>004790</t>
  </si>
  <si>
    <t>TORRE PARQUE DEL CAFE SOCIEDAD ANONIMA</t>
  </si>
  <si>
    <t>CCSS-HOSPITAL SAN VICENTE/ VD-25-10-09P</t>
  </si>
  <si>
    <t>ZONA FRANCA DEL ESTE/ SILLAS COMEDOR/ VD-25-02-06P</t>
  </si>
  <si>
    <t>EUCALIPTOS C-602 // MARIA JOSE ABREGO MACHADO</t>
  </si>
  <si>
    <t>2025-727</t>
  </si>
  <si>
    <t>001556</t>
  </si>
  <si>
    <t>MARIA JOSE ABREGO MACHADO</t>
  </si>
  <si>
    <t>BERNARDITA DEL ROSARIO SANDI RETANA - Electros kupper</t>
  </si>
  <si>
    <t>2025-649</t>
  </si>
  <si>
    <t>GUACAMAYA VD-25-08-16</t>
  </si>
  <si>
    <t>2025-1095</t>
  </si>
  <si>
    <t>BTSU/ VD-25-03-08P</t>
  </si>
  <si>
    <t>004777</t>
  </si>
  <si>
    <t>BTSU SOCIEDAD ANONIMA</t>
  </si>
  <si>
    <t>31846_Inspección pernos</t>
  </si>
  <si>
    <t>2025-707</t>
  </si>
  <si>
    <t>LUCIA MOLINA FALLAS - CLOSET</t>
  </si>
  <si>
    <t>2025-582</t>
  </si>
  <si>
    <t>001284</t>
  </si>
  <si>
    <t>LUCIA MOLINA FALLAS</t>
  </si>
  <si>
    <t>BANCO PROMERICA DE COSTA RICA SA 25-11-10</t>
  </si>
  <si>
    <t>FONDO DE INV INMOBILIARIO GIBRALTAR VD-25-03-05</t>
  </si>
  <si>
    <t>2025-237</t>
  </si>
  <si>
    <t>UCR/ 25-07-17 ESC. ARTES MUSICALES</t>
  </si>
  <si>
    <t>2025-1091</t>
  </si>
  <si>
    <t>ULTRAPARK/ REEMPLAZO DE HOJA Y REPARACIONES/25-09-18P</t>
  </si>
  <si>
    <t>2025-180</t>
  </si>
  <si>
    <t>GUACAMAYA/ SCREENBOARDS/ 25-09-01</t>
  </si>
  <si>
    <t>2025-1260</t>
  </si>
  <si>
    <t>MARIA GABRIELA ESQUIVEL CALVO - ELECTROS</t>
  </si>
  <si>
    <t>2025-321</t>
  </si>
  <si>
    <t>Mario Rojas Murillo - Venta online</t>
  </si>
  <si>
    <t>014115</t>
  </si>
  <si>
    <t>Mario Rojas Murillo</t>
  </si>
  <si>
    <t>31971, 32299_ Megarack</t>
  </si>
  <si>
    <t>2025-803</t>
  </si>
  <si>
    <t>Krystel
 Horowitz Morera - Venta online</t>
  </si>
  <si>
    <t>2025-1163</t>
  </si>
  <si>
    <t>001975</t>
  </si>
  <si>
    <t>Krystel
 Horowitz Morera</t>
  </si>
  <si>
    <t>BTH/ PISTONES/ VD-24-12-04P</t>
  </si>
  <si>
    <t>002535</t>
  </si>
  <si>
    <t>BTH SSC SOCIEDAD ANONIMA</t>
  </si>
  <si>
    <t>GEOVANNY ALBERTO ALVARADO VARGAS - Adicional Cocina</t>
  </si>
  <si>
    <t>2025-1129</t>
  </si>
  <si>
    <t>000578</t>
  </si>
  <si>
    <t>GEOVANNY ALBERTO ALVARADO VARGAS</t>
  </si>
  <si>
    <t>MUNICIPALIDAD DE FLORES 25-02-01</t>
  </si>
  <si>
    <t>2025-146</t>
  </si>
  <si>
    <t>001032</t>
  </si>
  <si>
    <t>MUNICIPALIDAD DE FLORES</t>
  </si>
  <si>
    <t>ZENIT SPORTS VD-25-03-10</t>
  </si>
  <si>
    <t>2025-285</t>
  </si>
  <si>
    <t>001179</t>
  </si>
  <si>
    <t>ZENIT SPORTS AND WELLNESS SOCIEDAD ANONIMA</t>
  </si>
  <si>
    <t>EVOLUTION FREE ZONE// ACCUDIN VD-25-08-18</t>
  </si>
  <si>
    <t>2025-1419</t>
  </si>
  <si>
    <t>31667_medium rack</t>
  </si>
  <si>
    <t>001054</t>
  </si>
  <si>
    <t>SEAR INGENIERIA DISEÑO Y CONSTRUCCION SOCIEDAD ANO</t>
  </si>
  <si>
    <t>CNFL/ VD-25-05-11P CONVENIO MARCO</t>
  </si>
  <si>
    <t>2025-83</t>
  </si>
  <si>
    <t>31722_medium rack</t>
  </si>
  <si>
    <t>2025-302</t>
  </si>
  <si>
    <t>4838</t>
  </si>
  <si>
    <t>GREAT WALL AUTOS SA</t>
  </si>
  <si>
    <t>PURA VIDA ESPAIS PVE SRL - Venta online</t>
  </si>
  <si>
    <t>2026-79</t>
  </si>
  <si>
    <t>MAILYN MARIA AJUN LOAIZA - Venta Online</t>
  </si>
  <si>
    <t>2026-70</t>
  </si>
  <si>
    <t>2484</t>
  </si>
  <si>
    <t>MAILYN MARIA AJUN LOAIZA</t>
  </si>
  <si>
    <t>FSA/ NARBUTAS/ VD-25-02-02P</t>
  </si>
  <si>
    <t>004626</t>
  </si>
  <si>
    <t>FSA INGENIERIA Y ARQUITECTURA SOCIEDAD ANONIMA</t>
  </si>
  <si>
    <t>LINDORA VILLAGE FF65 / NATASHA ESCALANTE AGUILAR</t>
  </si>
  <si>
    <t>2025-1077</t>
  </si>
  <si>
    <t>001902</t>
  </si>
  <si>
    <t>NATASHA ESCALANTE AGUILAR</t>
  </si>
  <si>
    <t>SECRET ESCALENTE VD-25-09-16</t>
  </si>
  <si>
    <t>2025-1213</t>
  </si>
  <si>
    <t>TELEDOLAR SOCIEDAD ANONIMA VD-25-05-17</t>
  </si>
  <si>
    <t>2025-558</t>
  </si>
  <si>
    <t>TELEDOLAR/ LOCKERS/ VD-25-08-20</t>
  </si>
  <si>
    <t>2025-1144</t>
  </si>
  <si>
    <t>HEREDIA PARKS C-12 / EDUARDO JOSE RETANA JIMENEZ</t>
  </si>
  <si>
    <t>2025-769</t>
  </si>
  <si>
    <t>001579</t>
  </si>
  <si>
    <t>EDUARDO JOSE RETANA JIMENEZ</t>
  </si>
  <si>
    <t>TORRE VELO 1307 / IRENE TOVAR CASTRO</t>
  </si>
  <si>
    <t>2025-434</t>
  </si>
  <si>
    <t>001276</t>
  </si>
  <si>
    <t>IRENE TOVAR CASTRO</t>
  </si>
  <si>
    <t>GINES HOGAR SOCIEDAD ANONIMA - VENTAS ONLINE</t>
  </si>
  <si>
    <t>2025-659</t>
  </si>
  <si>
    <t>001497</t>
  </si>
  <si>
    <t>GINES HOGAR SOCIEDAD ANONIMA</t>
  </si>
  <si>
    <t>32344_Selectivo</t>
  </si>
  <si>
    <t>2025-1255</t>
  </si>
  <si>
    <t>IVAN ROBERTO ARROYO VINDAS - Ventas online</t>
  </si>
  <si>
    <t>2025-519</t>
  </si>
  <si>
    <t>KAREN CHRISTIANA FIGUERES OLSEN - PUERTAS POCKET</t>
  </si>
  <si>
    <t>2025-657</t>
  </si>
  <si>
    <t>EUCALIPTOS C-106 / SOCIEDAD DE RESPONSABILIDAD LIMITADA</t>
  </si>
  <si>
    <t>2025-564</t>
  </si>
  <si>
    <t>001400</t>
  </si>
  <si>
    <t>SOCIEDAD DE RESPONSABILIDAD LIMITADA</t>
  </si>
  <si>
    <t>ZONA FRANCA DEL ESTE/ SILLAS COMEDOR BLANCAS/ VD-25-02-11P</t>
  </si>
  <si>
    <t>BTSU/ VD-25-03-09P</t>
  </si>
  <si>
    <t>MARIA VICTORIA LOPEZ ROBLES - ELECTRODOMESTICO</t>
  </si>
  <si>
    <t>2025-498</t>
  </si>
  <si>
    <t>001337</t>
  </si>
  <si>
    <t>MARIA VICTORIA LOPEZ ROBLES</t>
  </si>
  <si>
    <t>UCR/ REVISION ARCHIVO/ 25-02-03P</t>
  </si>
  <si>
    <t>2025-44</t>
  </si>
  <si>
    <t>Inversiones Frabruval - venta online</t>
  </si>
  <si>
    <t>2025-441</t>
  </si>
  <si>
    <t>001250</t>
  </si>
  <si>
    <t>Inversiones Frabruval</t>
  </si>
  <si>
    <t>ADELAIDA MATA MATA</t>
  </si>
  <si>
    <t>2025-846</t>
  </si>
  <si>
    <t>001661</t>
  </si>
  <si>
    <t>AMERICA DEVELOPMENT GROUP VD-25-11-19</t>
  </si>
  <si>
    <t>2025-1455</t>
  </si>
  <si>
    <t>002322</t>
  </si>
  <si>
    <t>AMERICA DEVELOPMENT GROUP SOCIEDAD ANONIMA</t>
  </si>
  <si>
    <t>OCEAN DREAMS/25-01-02P</t>
  </si>
  <si>
    <t>004764</t>
  </si>
  <si>
    <t>PROPERTY CARE CENTRAL PACIFIC LIMITADA</t>
  </si>
  <si>
    <t>Belgica Aida
  Hernandez Vivas - Venta online</t>
  </si>
  <si>
    <t>2025-885</t>
  </si>
  <si>
    <t>001686</t>
  </si>
  <si>
    <t>Belgica Aida
  Hernandez Vivas</t>
  </si>
  <si>
    <t>32842_Megarack</t>
  </si>
  <si>
    <t>2025-1495</t>
  </si>
  <si>
    <t>002385</t>
  </si>
  <si>
    <t>BLUE ZONE GUANACASTE SOCIEDAD ANONIMA</t>
  </si>
  <si>
    <t>31853,31920_Megarack</t>
  </si>
  <si>
    <t>2025-309</t>
  </si>
  <si>
    <t>00150240_Accesorio</t>
  </si>
  <si>
    <t>2025-1104</t>
  </si>
  <si>
    <t>32167_Rejillas Megarack</t>
  </si>
  <si>
    <t>2025-965</t>
  </si>
  <si>
    <t>BRYAN GERARDO RODRIGUEZ ARAYA - ELECTROS</t>
  </si>
  <si>
    <t>2025-676</t>
  </si>
  <si>
    <t>DUNIA MALLENI AGUILAR MORALES - ELECTROS</t>
  </si>
  <si>
    <t>2025-1446</t>
  </si>
  <si>
    <t>THE KAPITAL GROUP / CONCHAL SOLARIS DESARROLLOS INMOBILIARIOS LIMITADA</t>
  </si>
  <si>
    <t>2025-162</t>
  </si>
  <si>
    <t>001041</t>
  </si>
  <si>
    <t>CONCHAL SOLARIS DESARROLLOS INMOBILIARIOS LIMITADA</t>
  </si>
  <si>
    <t>31762_Megarack</t>
  </si>
  <si>
    <t>2025-430</t>
  </si>
  <si>
    <t>SEAR INGENIERIA DISEÑO / PFIZER VD-25-10-27</t>
  </si>
  <si>
    <t>2025-1364</t>
  </si>
  <si>
    <t xml:space="preserve"> Veronica Sanchez</t>
  </si>
  <si>
    <t>Christine Raine Rodriguez - Venta Online</t>
  </si>
  <si>
    <t>2026-33</t>
  </si>
  <si>
    <t>002448</t>
  </si>
  <si>
    <t>Christine Raine Rodriguez</t>
  </si>
  <si>
    <t>CAFETOS DESARROLLOS TÉCNICOS</t>
  </si>
  <si>
    <t>001056</t>
  </si>
  <si>
    <t>LORENA CHAVES SANABRIA</t>
  </si>
  <si>
    <t>32106_Medium Racks</t>
  </si>
  <si>
    <t>2025-1013</t>
  </si>
  <si>
    <t>31583_Selectivo</t>
  </si>
  <si>
    <t>2025-421</t>
  </si>
  <si>
    <t>ANDRES ALEJANDRO BRENES ZUÑIGA - venta directa electrodomesticos</t>
  </si>
  <si>
    <t>2025-961</t>
  </si>
  <si>
    <t>001805</t>
  </si>
  <si>
    <t>ANDRES ALEJANDRO BRENES ZUÑIGA</t>
  </si>
  <si>
    <t>CIUDAD DE LOS NIÑOS - HORNO FRIGIDIERE (EXENTO IMP)</t>
  </si>
  <si>
    <t>2025-771</t>
  </si>
  <si>
    <t>32439_Selectivo</t>
  </si>
  <si>
    <t>2025-1174</t>
  </si>
  <si>
    <t>32071, 31121_Megarack</t>
  </si>
  <si>
    <t>2025-515</t>
  </si>
  <si>
    <t>3420</t>
  </si>
  <si>
    <t>AGUILA LOGISTIC SOLUCIONES SOCIEDAD ANONIMA</t>
  </si>
  <si>
    <t>COOPEMAPRO 25-08-24 25-10-11</t>
  </si>
  <si>
    <t>2025-1090</t>
  </si>
  <si>
    <t>001915</t>
  </si>
  <si>
    <t>COOPERATIVA DE SERVICIOS MULTIPLES DE MAESTROS PRO</t>
  </si>
  <si>
    <t>SANDRA LIZETT PERLA CAMPOS DE MELARA DEL CID - electros</t>
  </si>
  <si>
    <t>2025-1185</t>
  </si>
  <si>
    <t>BD CONSULTORES VD-25-12-10P / 25-12-03P</t>
  </si>
  <si>
    <t>004799</t>
  </si>
  <si>
    <t>BD CONSULTORES COSTA RICA, SOCIEDAD ANONIMA</t>
  </si>
  <si>
    <t>CAJA COSTARRICENSE DE SEGURO SOCIAL  LAUREANO 24-11-06</t>
  </si>
  <si>
    <t>2025-3</t>
  </si>
  <si>
    <t>INVERSIONES TURISTICAS ARENAL SA VD-25-06-06</t>
  </si>
  <si>
    <t>2025-696</t>
  </si>
  <si>
    <t>001545</t>
  </si>
  <si>
    <t>INVERSIONES TURISTICAS ARENAL SOCIEDAD ANONIMA</t>
  </si>
  <si>
    <t>CCSS/ HOSPITAL BLANCO CERVANTES/ 25-07-02P CONVENIO MARCO</t>
  </si>
  <si>
    <t>Elizabeth Anne Adams - Venta online</t>
  </si>
  <si>
    <t>2025-1019</t>
  </si>
  <si>
    <t>001853</t>
  </si>
  <si>
    <t>Elizabeth Anne Adams</t>
  </si>
  <si>
    <t>31242_crossbar mega rack</t>
  </si>
  <si>
    <t>LION RESOURCES/ INSTALACION DE ARCHIVO MOVIL/ VD-25-01-08P</t>
  </si>
  <si>
    <t>2025-12</t>
  </si>
  <si>
    <t>000592</t>
  </si>
  <si>
    <t>LION RESOURCES, S.A.</t>
  </si>
  <si>
    <t>CNFL 25-10-21P OC 0045 CONVENIO MARCO</t>
  </si>
  <si>
    <t>33085_Megarack</t>
  </si>
  <si>
    <t>2025-1452</t>
  </si>
  <si>
    <t>33001_Megarack</t>
  </si>
  <si>
    <t>2025-1424</t>
  </si>
  <si>
    <t>32584_Selectivo</t>
  </si>
  <si>
    <t>2025-1178</t>
  </si>
  <si>
    <t>30959_Selectivo</t>
  </si>
  <si>
    <t>2025-499</t>
  </si>
  <si>
    <t>BABYLON 1505 // Liz Doris MORERA  Lopez</t>
  </si>
  <si>
    <t>2025-1465</t>
  </si>
  <si>
    <t>002204</t>
  </si>
  <si>
    <t>Liz Doris MORERA  Lopez</t>
  </si>
  <si>
    <t>UCR/ 25-07-22</t>
  </si>
  <si>
    <t>2025-1168</t>
  </si>
  <si>
    <t>DHL CUSTOMER SUPPORT VD-25-06-01</t>
  </si>
  <si>
    <t>2025-652</t>
  </si>
  <si>
    <t>1769</t>
  </si>
  <si>
    <t>DHL CUSTOMER SUPPORT (COSTA RICA) S.A</t>
  </si>
  <si>
    <t>FUENTES DEL SOL</t>
  </si>
  <si>
    <t>000908</t>
  </si>
  <si>
    <t>ANDRES ESTEBAN GUIDO ZUMBADO</t>
  </si>
  <si>
    <t>EDIFISA CONSTRUCTORA, S.A. VD-25-06-05</t>
  </si>
  <si>
    <t>2025-651</t>
  </si>
  <si>
    <t>1792</t>
  </si>
  <si>
    <t>EDIFISA CONSTRUCTORA, S.A.</t>
  </si>
  <si>
    <t>00145821_tarimas plásticas</t>
  </si>
  <si>
    <t>001019</t>
  </si>
  <si>
    <t>KFA SOLUCIONES SOCIEDAD ANONIMA</t>
  </si>
  <si>
    <t>FONDO DE INVERSION DE DESARROLLO DE PROYECTOS MULTIFONDOS SECRT ESCALANTE - Venta online</t>
  </si>
  <si>
    <t>2025-1221</t>
  </si>
  <si>
    <t>002019</t>
  </si>
  <si>
    <t>FONDO DE INVERSION DE DESARROLLO DE PROYECTOS MULT</t>
  </si>
  <si>
    <t>CONSTARQ/ F3/ 25-04-02P</t>
  </si>
  <si>
    <t>2025-66</t>
  </si>
  <si>
    <t xml:space="preserve">004778    </t>
  </si>
  <si>
    <t>CONSTARQ SOCIEDAD ANONIMA</t>
  </si>
  <si>
    <t>Erick Navarro Vargas - ventas online</t>
  </si>
  <si>
    <t>2025-842</t>
  </si>
  <si>
    <t>001652</t>
  </si>
  <si>
    <t>Erick Navarro Vargas</t>
  </si>
  <si>
    <t>TORRE DOS CENTRAL PARK SRL</t>
  </si>
  <si>
    <t>2025-664</t>
  </si>
  <si>
    <t>001063</t>
  </si>
  <si>
    <t>Javier Gutierrez Bonilla- Compra de motores para vinetera</t>
  </si>
  <si>
    <t>2025-941</t>
  </si>
  <si>
    <t>7198</t>
  </si>
  <si>
    <t>Javier Gutierrez Bonilla</t>
  </si>
  <si>
    <t xml:space="preserve"> Ana Yancy Quesada</t>
  </si>
  <si>
    <t>OSVALDO JOSE BOLAÑOS MONGE - ELECTRODOMÉSTICOS (CON MUEBLE)</t>
  </si>
  <si>
    <t>2025-420</t>
  </si>
  <si>
    <t>MAR A MAR FF 701-A / MAR A MAR FF 701-A</t>
  </si>
  <si>
    <t>2025-702</t>
  </si>
  <si>
    <t>000318</t>
  </si>
  <si>
    <t>ROGER ALVAREZ MOYA</t>
  </si>
  <si>
    <t>CONSTRUCTORA ENRIQUE MUÑOZ/ SOFAS/ VD-24-11-13P</t>
  </si>
  <si>
    <t>000606</t>
  </si>
  <si>
    <t>ASOCIACION CAMARA COSTARRICENSE/  VD-25-07-02P</t>
  </si>
  <si>
    <t>2025-104</t>
  </si>
  <si>
    <t>004784</t>
  </si>
  <si>
    <t>ASOCIACION CAMARA COSTARRICENSE NORTEAMERICANA DE</t>
  </si>
  <si>
    <t>XINIA PATRICIA DEL S VEGA GUZMAN - ELECTROS</t>
  </si>
  <si>
    <t>2025-542</t>
  </si>
  <si>
    <t>33161, 33286_Megarack</t>
  </si>
  <si>
    <t>2026-31</t>
  </si>
  <si>
    <t>002209</t>
  </si>
  <si>
    <t>INVERSIONES CARFUL SOCIEDAD ANONIMA</t>
  </si>
  <si>
    <t>33032_Movimiento</t>
  </si>
  <si>
    <t>2025-1456</t>
  </si>
  <si>
    <t>ELEMENTS DECO VD-25-03-14</t>
  </si>
  <si>
    <t>2025-689</t>
  </si>
  <si>
    <t>000959</t>
  </si>
  <si>
    <t>ELEMENTS DECO SOCIEDAD ANONIMA</t>
  </si>
  <si>
    <t>32248_Megarack</t>
  </si>
  <si>
    <t>2025-733</t>
  </si>
  <si>
    <t>32744_Selectivo</t>
  </si>
  <si>
    <t>2025-1300</t>
  </si>
  <si>
    <t>3753</t>
  </si>
  <si>
    <t>CONSTRUPLAZA S.A.</t>
  </si>
  <si>
    <t>JOSÉ LUIS CRUZ MENDOZA - Venta online</t>
  </si>
  <si>
    <t>2025-325</t>
  </si>
  <si>
    <t>001146</t>
  </si>
  <si>
    <t>JOSÉ LUIS CRUZ MENDOZA</t>
  </si>
  <si>
    <t>BRIAN HIDALGO ROJAS // ADICIONAL TORRE VELO - PH 2004</t>
  </si>
  <si>
    <t>2026-32</t>
  </si>
  <si>
    <t>002444</t>
  </si>
  <si>
    <t>BRIAN HIDALGO ROJAS</t>
  </si>
  <si>
    <t>MAR A MAR 1103 / CLAUDIA CECILIA LAQUIDARA</t>
  </si>
  <si>
    <t>2025-1283</t>
  </si>
  <si>
    <t>002094</t>
  </si>
  <si>
    <t>32911_Movimiento</t>
  </si>
  <si>
    <t>2026-76</t>
  </si>
  <si>
    <t>1843</t>
  </si>
  <si>
    <t>GRUPO AGROINDUSTRIAL NUMAR S.A.</t>
  </si>
  <si>
    <t>ARTHROCARE COSTA RICA, S.R.L VD-25-08-04</t>
  </si>
  <si>
    <t>2025-1007</t>
  </si>
  <si>
    <t>1894</t>
  </si>
  <si>
    <t>ARTHROCARE COSTA RICA, S.R.L</t>
  </si>
  <si>
    <t>DIEGO VALERIO ALFARO - LAVAPLATOS</t>
  </si>
  <si>
    <t>2025-1103</t>
  </si>
  <si>
    <t>ANGELICA CASTRO CASTRO - Venta online</t>
  </si>
  <si>
    <t>2025-514</t>
  </si>
  <si>
    <t>001359</t>
  </si>
  <si>
    <t>ANGELICA CASTRO CASTRO</t>
  </si>
  <si>
    <t>NUCLEO BUSINESS CENTER VD-25-03-01</t>
  </si>
  <si>
    <t>2025-308</t>
  </si>
  <si>
    <t>MUNICIPALIDAD DE ALAJUELA/ 25-10-07P</t>
  </si>
  <si>
    <t>2025-139</t>
  </si>
  <si>
    <t>TELEDOLAR/ ESCRITORIO EJECUTIVO/ 25-07-20</t>
  </si>
  <si>
    <t>2025-951</t>
  </si>
  <si>
    <t>MICROVENTION COSTA RICA SRL 25-09-16</t>
  </si>
  <si>
    <t>2025-1267</t>
  </si>
  <si>
    <t>32583_Megarack</t>
  </si>
  <si>
    <t>2025-1276</t>
  </si>
  <si>
    <t>000151</t>
  </si>
  <si>
    <t>INDUSTRIAS QUIMICAS ALTAMIRA SOCIEDAD ANONIMA</t>
  </si>
  <si>
    <t>UNIVERSIDAD DE COSTA RICA - Venta online</t>
  </si>
  <si>
    <t>2025-745</t>
  </si>
  <si>
    <t>32991_Megarack</t>
  </si>
  <si>
    <t>2025-1399</t>
  </si>
  <si>
    <t>000499</t>
  </si>
  <si>
    <t>AGROCLINICA INTERNACIONAL SOCIEDAD ANONIMA</t>
  </si>
  <si>
    <t>CONTRACT/ AGROOD FESH/ VD-25-02-10P</t>
  </si>
  <si>
    <t>2025-49</t>
  </si>
  <si>
    <t>TELEDOLAR SOCIEDAD ANONIMA 25-11-02</t>
  </si>
  <si>
    <t>2025-1473</t>
  </si>
  <si>
    <t>FONDO DE INVERSION INMOBILIARIO GIBRALTAR VD-25-03-04</t>
  </si>
  <si>
    <t>2025-236</t>
  </si>
  <si>
    <t>JEFFREY JAMES MC INNES RICHARDS - MUEBLE TERRAZA</t>
  </si>
  <si>
    <t>2025-1445</t>
  </si>
  <si>
    <t>002170</t>
  </si>
  <si>
    <t>JEFFREY JAMES MC INNES RICHARDS</t>
  </si>
  <si>
    <t>LAWRENCE DAVENPORT HUNTINGTON JIMENEZ - VENTAS ONLINE</t>
  </si>
  <si>
    <t>2025-1509</t>
  </si>
  <si>
    <t>002391</t>
  </si>
  <si>
    <t>LAWRENCE DAVENPORT HUNTINGTON JIMENEZ</t>
  </si>
  <si>
    <t>3-102-854315 SRL - Venta online</t>
  </si>
  <si>
    <t>2025-1151</t>
  </si>
  <si>
    <t>001962</t>
  </si>
  <si>
    <t>3-102-854315 SRL</t>
  </si>
  <si>
    <t>Antonio Sandoval Sáenz - Venta online</t>
  </si>
  <si>
    <t>2025-1046</t>
  </si>
  <si>
    <t>001879</t>
  </si>
  <si>
    <t>Antonio Sandoval Sáenz</t>
  </si>
  <si>
    <t>Ariel Vindas Alfaro - Venta online</t>
  </si>
  <si>
    <t>2025-979</t>
  </si>
  <si>
    <t>001818</t>
  </si>
  <si>
    <t>Ariel Vindas Alfaro</t>
  </si>
  <si>
    <t>Forrest Geiger - Venta online</t>
  </si>
  <si>
    <t>2025-660</t>
  </si>
  <si>
    <t>001502</t>
  </si>
  <si>
    <t>Forrest Geiger</t>
  </si>
  <si>
    <t>IDANIA ROJAS AMADOR - Venta online</t>
  </si>
  <si>
    <t>2025-502</t>
  </si>
  <si>
    <t>001346</t>
  </si>
  <si>
    <t>IDANIA ROJAS AMADOR</t>
  </si>
  <si>
    <t>MAFRA SOLUCIONES SA - VENTA ONLINE</t>
  </si>
  <si>
    <t>2025-509</t>
  </si>
  <si>
    <t>001347</t>
  </si>
  <si>
    <t>MAFRA SOLUCIONES SA</t>
  </si>
  <si>
    <t>Nahuel Tobías Baldo Calderón - Venta Online</t>
  </si>
  <si>
    <t>2025-1237</t>
  </si>
  <si>
    <t>002042</t>
  </si>
  <si>
    <t>Nahuel Tobías Baldo Calderón</t>
  </si>
  <si>
    <t>MUNICIPALIDAD DE ALAJUELA 25-10-11P</t>
  </si>
  <si>
    <t>INSTITUTO / CCP CORREDORES/ VD-25-08-04P</t>
  </si>
  <si>
    <t>2025-111</t>
  </si>
  <si>
    <t>004785</t>
  </si>
  <si>
    <t>INSTITUTO TECNICO VM SOCIEDAD DE RESPONSABILIDAD L</t>
  </si>
  <si>
    <t>EDISOLUCIONES INTEGRALES EDISOL VD-25-05-25</t>
  </si>
  <si>
    <t>2025-604</t>
  </si>
  <si>
    <t>Ricardo Alberto Granera - Venta online</t>
  </si>
  <si>
    <t>2025-991</t>
  </si>
  <si>
    <t>001789</t>
  </si>
  <si>
    <t>Ricardo Alberto Granera</t>
  </si>
  <si>
    <t>Sergio Villarroel Rojas - venta online</t>
  </si>
  <si>
    <t>2025-682</t>
  </si>
  <si>
    <t>001524</t>
  </si>
  <si>
    <t>Sergio Villarroel Rojas</t>
  </si>
  <si>
    <t>32206_Megarack</t>
  </si>
  <si>
    <t>2025-662</t>
  </si>
  <si>
    <t>33135_Accesorios</t>
  </si>
  <si>
    <t>2025-1503</t>
  </si>
  <si>
    <t>SECRT ESCALANTE/ CORE  25-10-05</t>
  </si>
  <si>
    <t>2025-1290</t>
  </si>
  <si>
    <t xml:space="preserve">001352    </t>
  </si>
  <si>
    <t>EXPRESO DENTAL SOCIEDAD ANONIMA - VENTAS ONLINE</t>
  </si>
  <si>
    <t>002227</t>
  </si>
  <si>
    <t>EXPRESO DENTAL SOCIEDAD ANONIMA</t>
  </si>
  <si>
    <t>VOLIO &amp; TREJOS ASOCIADOS S.A. - Repuesto microondas</t>
  </si>
  <si>
    <t>2025-1285</t>
  </si>
  <si>
    <t>COMERCIAL BANTE SOCIEDAD ANONIMA - REFRIGERADORA MABE</t>
  </si>
  <si>
    <t>2025-559</t>
  </si>
  <si>
    <t>32994_Megarack</t>
  </si>
  <si>
    <t>2025-1418</t>
  </si>
  <si>
    <t>3-102-742005 SOCIEDAD DE RESPONSABILIDAD LIMITADA - Electros</t>
  </si>
  <si>
    <t>2025-365</t>
  </si>
  <si>
    <t>Marcia Aguirre Jiménez - Venta online</t>
  </si>
  <si>
    <t>2025-820</t>
  </si>
  <si>
    <t>001625</t>
  </si>
  <si>
    <t>Marcia Aguirre Jiménez</t>
  </si>
  <si>
    <t>Representaciones JL Casalvolone S.A. - venta online</t>
  </si>
  <si>
    <t>2025-457</t>
  </si>
  <si>
    <t>VENTA EN SALA/ SILLA FREEDOM/ VD-25-05-14P</t>
  </si>
  <si>
    <t>2025-64</t>
  </si>
  <si>
    <t>004780</t>
  </si>
  <si>
    <t>3-102-896838 SOCIEDAD DE RESPONSABILIDAD LIMITADA</t>
  </si>
  <si>
    <t xml:space="preserve"> Vendedor Mary Loly Alfaro</t>
  </si>
  <si>
    <t>TELEDOLAR/ PUESTOS MEZANINE/ 25-07-21</t>
  </si>
  <si>
    <t>2025-946</t>
  </si>
  <si>
    <t>GRUPO AGROINDUSTRIAL NUMAR S.A. 24-12-12   VD-24-12-06</t>
  </si>
  <si>
    <t>2025-306</t>
  </si>
  <si>
    <t xml:space="preserve">1843      </t>
  </si>
  <si>
    <t>GUACAMAYA S.A. 25-10-07 VD-25-10-07</t>
  </si>
  <si>
    <t>2025-1322</t>
  </si>
  <si>
    <t>3-101-721431 S.A. RC INMOBILIARIA VD-25-04-15  25-04-07</t>
  </si>
  <si>
    <t>2025-439</t>
  </si>
  <si>
    <t>2120</t>
  </si>
  <si>
    <t>3-101-721431 S.A.</t>
  </si>
  <si>
    <t>NITINOL DEVICES/CONFLUENT VD-25-11-10</t>
  </si>
  <si>
    <t>2025-1474</t>
  </si>
  <si>
    <t>31129_Megarack</t>
  </si>
  <si>
    <t>2025-342</t>
  </si>
  <si>
    <t>001209</t>
  </si>
  <si>
    <t>CBCR RETAIL SOCIEDAD ANONIMA</t>
  </si>
  <si>
    <t>HENRY MARCELO BOLAÑOS ALPIZAR VD-25-06-22 25-06-22</t>
  </si>
  <si>
    <t>2025-926</t>
  </si>
  <si>
    <t>001764</t>
  </si>
  <si>
    <t>HENRY MARCELO BOLAÑOS ALPIZAR</t>
  </si>
  <si>
    <t>MTSS/ 25-09-12P</t>
  </si>
  <si>
    <t>003810</t>
  </si>
  <si>
    <t>ESTADO-MINISTERIO DE TRABAJO Y SEGURIDAD SOCIAL</t>
  </si>
  <si>
    <t>Francisco Javier Ramis Juan - Venta Online</t>
  </si>
  <si>
    <t>2026-123</t>
  </si>
  <si>
    <t>002307</t>
  </si>
  <si>
    <t>Francisco Javier Ramis Juan</t>
  </si>
  <si>
    <t>Allan Omar Canales Hernández - Venta online</t>
  </si>
  <si>
    <t>2025-525</t>
  </si>
  <si>
    <t>001336</t>
  </si>
  <si>
    <t>Allan Omar Canales Hernández</t>
  </si>
  <si>
    <t>32913_Medium Racks</t>
  </si>
  <si>
    <t>2025-1353</t>
  </si>
  <si>
    <t>002174</t>
  </si>
  <si>
    <t>SANCHEZ MATOS SUCESORES SOCIEDAD ANONIMA</t>
  </si>
  <si>
    <t>BILCO COSTA RICA S.A. VD-25-05-26</t>
  </si>
  <si>
    <t>2025-638</t>
  </si>
  <si>
    <t>Roberto Madrigal Serrano - Venta Online</t>
  </si>
  <si>
    <t>2026-101</t>
  </si>
  <si>
    <t xml:space="preserve">002489    </t>
  </si>
  <si>
    <t>Roberto Madrigal Serrano</t>
  </si>
  <si>
    <t>31914_Megarack</t>
  </si>
  <si>
    <t>2025-500</t>
  </si>
  <si>
    <t>001342</t>
  </si>
  <si>
    <t>CLEARLEAF SOCIEDAD DE RESPONSABILIDAD LIMITADA</t>
  </si>
  <si>
    <t>NASARA FF09 / ERIC RAUL MURILLO FERNANDEZ</t>
  </si>
  <si>
    <t>2025-1328</t>
  </si>
  <si>
    <t>000920</t>
  </si>
  <si>
    <t>ERIC RAUL MURILLO FERNANDEZ</t>
  </si>
  <si>
    <t>SERVICIO DE CONSULTORIA RPM/ VENTA EN SALA/VD-25-08-01</t>
  </si>
  <si>
    <t>2025-945</t>
  </si>
  <si>
    <t>001798</t>
  </si>
  <si>
    <t>SERVICIO DE CONSULTORIA RPM</t>
  </si>
  <si>
    <t>JORGE LUIS CHAVARRIA CARMONA - VENTAS ONLINE</t>
  </si>
  <si>
    <t>2026-78</t>
  </si>
  <si>
    <t>002476</t>
  </si>
  <si>
    <t>JORGE LUIS CHAVARRIA CARMONA</t>
  </si>
  <si>
    <t>Sukruye Arik - Venta online</t>
  </si>
  <si>
    <t>2025-276</t>
  </si>
  <si>
    <t>001166</t>
  </si>
  <si>
    <t>Sukruye Arik</t>
  </si>
  <si>
    <t>DANIEL GUTIERREZ CASTILLO - Venta online</t>
  </si>
  <si>
    <t>001397</t>
  </si>
  <si>
    <t>DANIEL GUTIERREZ CASTILLO</t>
  </si>
  <si>
    <t>Deana Morley - Venta online</t>
  </si>
  <si>
    <t>2025-848</t>
  </si>
  <si>
    <t>001653</t>
  </si>
  <si>
    <t>Deana Morley</t>
  </si>
  <si>
    <t>Jose fabio Araya Guzman - Venta Online</t>
  </si>
  <si>
    <t>002433</t>
  </si>
  <si>
    <t>Jose fabio Araya Guzman</t>
  </si>
  <si>
    <t>TELEDOLAR SOCIEDAD ANONIMA 25-09-07</t>
  </si>
  <si>
    <t>2025-1280</t>
  </si>
  <si>
    <t>MICROVENTION COSTA RICA SRL VD-25-04-20</t>
  </si>
  <si>
    <t>2025-545</t>
  </si>
  <si>
    <t>COMPAÑIA DE GALLETAS POZUELO VD-25-08-07</t>
  </si>
  <si>
    <t>2025-1027</t>
  </si>
  <si>
    <t>1525</t>
  </si>
  <si>
    <t>EUCALIPTO 404 C / CONOBRA LTDA</t>
  </si>
  <si>
    <t>MEP/ 25-08-02 CONVENIO MARCO</t>
  </si>
  <si>
    <t>2025-1153</t>
  </si>
  <si>
    <t>6265</t>
  </si>
  <si>
    <t>SAMTEC/ VD-25-03-05P 25-03-08P</t>
  </si>
  <si>
    <t>2025-52</t>
  </si>
  <si>
    <t>000910</t>
  </si>
  <si>
    <t>32634_Selectivo</t>
  </si>
  <si>
    <t>2025-1248</t>
  </si>
  <si>
    <t>5893</t>
  </si>
  <si>
    <t>AGROINDUSTRIAL ZELEDON MAFFIO SOCIEDAD ANONIMA</t>
  </si>
  <si>
    <t>LOS ARALLANES SOCIEDAD ANONIMA VD-25-02-03</t>
  </si>
  <si>
    <t>RENE CARDONA GARCIA - VITRINA ADICIONAL</t>
  </si>
  <si>
    <t>2025-1206</t>
  </si>
  <si>
    <t>33226_Megarack</t>
  </si>
  <si>
    <t>2026-117</t>
  </si>
  <si>
    <t>CONTRACT WORKPLACES COSTA RICA VD-25-08-02</t>
  </si>
  <si>
    <t>2025-987</t>
  </si>
  <si>
    <t>TELEDOLAR SA 25-08-26 RRHH</t>
  </si>
  <si>
    <t>2025-1278</t>
  </si>
  <si>
    <t>31614_megarack</t>
  </si>
  <si>
    <t>2025-132</t>
  </si>
  <si>
    <t>32367_Megarack</t>
  </si>
  <si>
    <t>2025-825</t>
  </si>
  <si>
    <t>OSCAR EDUARDO GOMEZ SANABRIA - horno+plantilla</t>
  </si>
  <si>
    <t>2025-379</t>
  </si>
  <si>
    <t>Luis Murillo Vargas - Venta Online</t>
  </si>
  <si>
    <t>2025-913</t>
  </si>
  <si>
    <t>001763</t>
  </si>
  <si>
    <t>Luis Murillo Vargas</t>
  </si>
  <si>
    <t>32766_Rejillas</t>
  </si>
  <si>
    <t>2025-1282</t>
  </si>
  <si>
    <t>Bosques Instantáneos de Costa Rica S.A. - Venta online</t>
  </si>
  <si>
    <t>2025-646</t>
  </si>
  <si>
    <t>001488</t>
  </si>
  <si>
    <t>Bosques Instantáneos de Costa Rica S.A.</t>
  </si>
  <si>
    <t>Susana Vicente Álamo - venta online</t>
  </si>
  <si>
    <t>2025-806</t>
  </si>
  <si>
    <t>001614</t>
  </si>
  <si>
    <t>Susana Vicente Álamo</t>
  </si>
  <si>
    <t>María del Carmen Ramírez Delgado - Venta online</t>
  </si>
  <si>
    <t>2025-838</t>
  </si>
  <si>
    <t>001647</t>
  </si>
  <si>
    <t>María del Carmen Ramírez Delgado</t>
  </si>
  <si>
    <t>TELEDOLAR SOCIEDAD ANONIMA 25-08-27</t>
  </si>
  <si>
    <t>2025-1342</t>
  </si>
  <si>
    <t>Jennifer Moreno Chacón - Venta online</t>
  </si>
  <si>
    <t>2025-392</t>
  </si>
  <si>
    <t>001246</t>
  </si>
  <si>
    <t>Jennifer Moreno Chacón</t>
  </si>
  <si>
    <t>TREE OF LIFE LEARNING CENTER S.A VD-25-02-01</t>
  </si>
  <si>
    <t>2025-115</t>
  </si>
  <si>
    <t>1754</t>
  </si>
  <si>
    <t>TREE OF LIFE LEARNING CENTER  SOCIEDAD ANONIMA</t>
  </si>
  <si>
    <t>MARIO ANTONIO CISNEROS ARCE - vinera</t>
  </si>
  <si>
    <t>2025-278</t>
  </si>
  <si>
    <t>TREE OF LIFE/ SILLAS/ VD-25-07-13</t>
  </si>
  <si>
    <t>2025-924</t>
  </si>
  <si>
    <t>CENTRO COMERCIAL MULTIPLAZA/ ECC/ 25-05-06P</t>
  </si>
  <si>
    <t>AYA/ CONVENIO MARCO/ VD-25-05-09P</t>
  </si>
  <si>
    <t>004458</t>
  </si>
  <si>
    <t>INSTITUTO COSTARRICENSE DE ACUEDUCTOS Y ALCANTARIL</t>
  </si>
  <si>
    <t>KAREN TATIANA DONDI VINDAS - venta online</t>
  </si>
  <si>
    <t>2025-1008</t>
  </si>
  <si>
    <t>ALEJANDRO HERRERA ZAMORA - Venta online</t>
  </si>
  <si>
    <t>2025-1096</t>
  </si>
  <si>
    <t>001884</t>
  </si>
  <si>
    <t>ALEJANDRO HERRERA ZAMORA</t>
  </si>
  <si>
    <t>Antonio Calvo Carballo - Venta online</t>
  </si>
  <si>
    <t>2025-703</t>
  </si>
  <si>
    <t>001555</t>
  </si>
  <si>
    <t>Antonio Calvo Carballo</t>
  </si>
  <si>
    <t>José Cabrera Badilla - Venta online</t>
  </si>
  <si>
    <t>2025-1086</t>
  </si>
  <si>
    <t>001911</t>
  </si>
  <si>
    <t>José Cabrera Badilla</t>
  </si>
  <si>
    <t>ROSA EUGENIA PICADO SOLIS - Venta online</t>
  </si>
  <si>
    <t>2025-1083</t>
  </si>
  <si>
    <t>ULTRAPARK/ HOJA DE VIDRIO/24-12-02P</t>
  </si>
  <si>
    <t>32382_Rejillas</t>
  </si>
  <si>
    <t>2025-1252</t>
  </si>
  <si>
    <t>002203</t>
  </si>
  <si>
    <t>COSTACRUZ INC SOCIEDAD ANONIMA</t>
  </si>
  <si>
    <t>00147426_Carretillas</t>
  </si>
  <si>
    <t>2025-480</t>
  </si>
  <si>
    <t>2680</t>
  </si>
  <si>
    <t>GRUPO TLA S.A.</t>
  </si>
  <si>
    <t>32037_Selectivo</t>
  </si>
  <si>
    <t>2025-897</t>
  </si>
  <si>
    <t>EPA/ ALFOMBRA/ VD-25-01-01P</t>
  </si>
  <si>
    <t>CNFL 25-10-13P 0035 CONVENIO MARCO</t>
  </si>
  <si>
    <t>CARTON WLLIAMS PHILLIPS - venta online</t>
  </si>
  <si>
    <t>2025-538</t>
  </si>
  <si>
    <t>001372</t>
  </si>
  <si>
    <t>CARTON WLLIAMS PHILLIPS</t>
  </si>
  <si>
    <t>31793_Megarack</t>
  </si>
  <si>
    <t>2025-345</t>
  </si>
  <si>
    <t>Tomas Solano Priet - Venta online</t>
  </si>
  <si>
    <t>2025-839</t>
  </si>
  <si>
    <t>001645</t>
  </si>
  <si>
    <t>Tomas Solano Priet</t>
  </si>
  <si>
    <t>FANNY MARIA SEQUEIRA MATA - plantilla y horno  60</t>
  </si>
  <si>
    <t>2026-29</t>
  </si>
  <si>
    <t>002395</t>
  </si>
  <si>
    <t>FANNY MARIA SEQUEIRA MATA</t>
  </si>
  <si>
    <t>ANNELIE HOEPKER BAUDRIT - Venta online</t>
  </si>
  <si>
    <t>2025-471</t>
  </si>
  <si>
    <t>001256</t>
  </si>
  <si>
    <t>ANNELIE HOEPKER BAUDRIT</t>
  </si>
  <si>
    <t>SANTIAGO ALFONSO ARAYA GUTIERREZ - VENTA ONLINE</t>
  </si>
  <si>
    <t>2025-957</t>
  </si>
  <si>
    <t>001797</t>
  </si>
  <si>
    <t>SANTIAGO ALFONSO ARAYA GUTIERREZ</t>
  </si>
  <si>
    <t>EUCALIPTOS / CONOBRA LIMITADA</t>
  </si>
  <si>
    <t>MAR A MAR FF 701-A / CALACATTA GRIS</t>
  </si>
  <si>
    <t>2025-263</t>
  </si>
  <si>
    <t>BAYER MEDICAL S.R.L. 25-05-17</t>
  </si>
  <si>
    <t>2025-716</t>
  </si>
  <si>
    <t>1830</t>
  </si>
  <si>
    <t>BAYER MEDICAL S.R.L.</t>
  </si>
  <si>
    <t>SILENTIA / BRAULYN DAYAN GONZALEZ QUESADA</t>
  </si>
  <si>
    <t>2025-1078</t>
  </si>
  <si>
    <t>001913</t>
  </si>
  <si>
    <t>BRAULYN DAYAN GONZALEZ QUESADA</t>
  </si>
  <si>
    <t>32558_Accesorios(protectores)</t>
  </si>
  <si>
    <t>2025-1033</t>
  </si>
  <si>
    <t>5144</t>
  </si>
  <si>
    <t>GOURMET IMPORT DCR, S.A</t>
  </si>
  <si>
    <t>31787_accesorios</t>
  </si>
  <si>
    <t>2025-426</t>
  </si>
  <si>
    <t>000141</t>
  </si>
  <si>
    <t>DATAFORMAS DE COSTA RICA SOCIEDAD ANONIMA</t>
  </si>
  <si>
    <t>PANAKOTTI INC SOCIEDAD ANONIMA - Mueble de baño</t>
  </si>
  <si>
    <t>2025-269</t>
  </si>
  <si>
    <t>001117</t>
  </si>
  <si>
    <t>PANAKOTTI INC SOCIEDAD ANONIMA</t>
  </si>
  <si>
    <t>LOS ARALLANES SOCIEDAD ANONIMA VD-25-02-06</t>
  </si>
  <si>
    <t>DEL PARQUE ARDILLA S.A VD-25-02-05 CLINICA 20/20</t>
  </si>
  <si>
    <t>Allan Omar Canales Hernández - Venta Online</t>
  </si>
  <si>
    <t>2025-1510</t>
  </si>
  <si>
    <t>SMC COSTA RICA DIVISION S.R.L VD-25-03-16</t>
  </si>
  <si>
    <t>2025-313</t>
  </si>
  <si>
    <t>Cinthya Cascante Bagnarello - Venta online</t>
  </si>
  <si>
    <t>2025-540</t>
  </si>
  <si>
    <t>001378</t>
  </si>
  <si>
    <t>Cinthya Cascante Bagnarello</t>
  </si>
  <si>
    <t>MARIA FERNANDA SANCHEZ HIDALGO - lavaplatos figidaire</t>
  </si>
  <si>
    <t>2025-561</t>
  </si>
  <si>
    <t>Eddier Alberto Soto Vargas - Venta online</t>
  </si>
  <si>
    <t>2025-683</t>
  </si>
  <si>
    <t>001525</t>
  </si>
  <si>
    <t>Eddier Alberto Soto Vargas</t>
  </si>
  <si>
    <t>32694,32695_ Megarack</t>
  </si>
  <si>
    <t>2025-1286</t>
  </si>
  <si>
    <t>Francisco Soto Chaves - Venta online</t>
  </si>
  <si>
    <t>2025-712</t>
  </si>
  <si>
    <t>001558</t>
  </si>
  <si>
    <t>Francisco Soto Chaves</t>
  </si>
  <si>
    <t>Ivan Castro Muñoz - Venta Online</t>
  </si>
  <si>
    <t>2025-1172</t>
  </si>
  <si>
    <t>001898</t>
  </si>
  <si>
    <t>Ivan Castro Muñoz</t>
  </si>
  <si>
    <t>GUACAMAYA/ HORAS EXTRAS/ VD-25-09-02</t>
  </si>
  <si>
    <t>2025-1258</t>
  </si>
  <si>
    <t>SEBASTIAN CAMPILLO CORDOBA</t>
  </si>
  <si>
    <t>2025-663</t>
  </si>
  <si>
    <t>001506</t>
  </si>
  <si>
    <t>COMPRA DE CONTADO  PUERTA CF / LDL CR DEVELOPERS SOCIEDAD DE RESPONSABILIDAD LIMITADA</t>
  </si>
  <si>
    <t>2025-193</t>
  </si>
  <si>
    <t>000969</t>
  </si>
  <si>
    <t>LDL CR DEVELOPERS SOCIEDAD DE RESPONSABILIDAD LIMI</t>
  </si>
  <si>
    <t xml:space="preserve"> Gabriela Montero</t>
  </si>
  <si>
    <t>REPUBLIC OFFICE S.A  VD-25-03-03</t>
  </si>
  <si>
    <t>2025-230</t>
  </si>
  <si>
    <t>REPUBLIC OFFICE S.A VD-25-04-23 HEREDIA</t>
  </si>
  <si>
    <t>2025-489</t>
  </si>
  <si>
    <t>Juan Ignacio Jiméne Rey - Venta online</t>
  </si>
  <si>
    <t>2025-1002</t>
  </si>
  <si>
    <t>001835</t>
  </si>
  <si>
    <t>Juan Ignacio Jiméne Rey</t>
  </si>
  <si>
    <t>00145483_Lockers</t>
  </si>
  <si>
    <t>000956</t>
  </si>
  <si>
    <t>ELECTROMECANICA Y CONSTRUCTORA ELCONM SOCIEDAD ANO</t>
  </si>
  <si>
    <t>Felix Fuentes Núñez - Venta online</t>
  </si>
  <si>
    <t>2025-547</t>
  </si>
  <si>
    <t>001385</t>
  </si>
  <si>
    <t>Felix Fuentes Núñez</t>
  </si>
  <si>
    <t>ERNESTO JOSE GOCHEZ MONGE - FREGADERO + LAVAPLATOS</t>
  </si>
  <si>
    <t>2025-1333</t>
  </si>
  <si>
    <t>TEGRA MEDICAL 25-02-15</t>
  </si>
  <si>
    <t>2025-204</t>
  </si>
  <si>
    <t>32579_Accesorio</t>
  </si>
  <si>
    <t>2025-1243</t>
  </si>
  <si>
    <t>TORRE VELO 1802 / SUSAN MARIEL GONZALEZ MONGE</t>
  </si>
  <si>
    <t>2025-1319</t>
  </si>
  <si>
    <t>6202</t>
  </si>
  <si>
    <t>SUSAN MARIEL GONZALEZ MONGE</t>
  </si>
  <si>
    <t>MUNICIPALIDAD DEL GUARCO/ 25-09-03P</t>
  </si>
  <si>
    <t>2025-126</t>
  </si>
  <si>
    <t>MUNICIPALIDAD DE EL GUARCO</t>
  </si>
  <si>
    <t>Joanne Yael Picciotto Mendez - Mueble Aereo</t>
  </si>
  <si>
    <t>2026-81</t>
  </si>
  <si>
    <t>8926</t>
  </si>
  <si>
    <t>Joanne Yael Picciotto Mendez</t>
  </si>
  <si>
    <t>32907_Megarack</t>
  </si>
  <si>
    <t>2025-1405</t>
  </si>
  <si>
    <t>JOSE ALONSO ALFARO PEREZ</t>
  </si>
  <si>
    <t>2025-395</t>
  </si>
  <si>
    <t>001247</t>
  </si>
  <si>
    <t>33046_Rejillas</t>
  </si>
  <si>
    <t>2025-1427</t>
  </si>
  <si>
    <t>MARIA LUISA LORIA/ REPARACION/ VD-25-08-07P</t>
  </si>
  <si>
    <t>004788</t>
  </si>
  <si>
    <t>MARIA LUISA LORIA QUIROS</t>
  </si>
  <si>
    <t>LOS ARALLANES/ AFZ/ MESAS DE STOCK/ VD-25-08-08</t>
  </si>
  <si>
    <t>2025-1093</t>
  </si>
  <si>
    <t>2025-1012</t>
  </si>
  <si>
    <t>32077_Rejillas</t>
  </si>
  <si>
    <t>2025-988</t>
  </si>
  <si>
    <t>31974_Largueros Eurorack</t>
  </si>
  <si>
    <t>2025-462</t>
  </si>
  <si>
    <t>KATALINA ELENA VELARDE BARQUERO - electros</t>
  </si>
  <si>
    <t>2025-531</t>
  </si>
  <si>
    <t>ALEJANDRO ESTEBAN TREJOS GOMEZ - MCROONDAS + TRIMKIT</t>
  </si>
  <si>
    <t>2025-503</t>
  </si>
  <si>
    <t>33037_Megarack</t>
  </si>
  <si>
    <t>2025-1421</t>
  </si>
  <si>
    <t>002259</t>
  </si>
  <si>
    <t>OXISUR SOCIEDAD DE RESPONSABILIDAD LIMITADA</t>
  </si>
  <si>
    <t>CAFSA/ VD-25-06-03P</t>
  </si>
  <si>
    <t>004513</t>
  </si>
  <si>
    <t>KATALINA ELENA VELARDE BARQUERO - VENTAS ONLINE</t>
  </si>
  <si>
    <t>2025-1500</t>
  </si>
  <si>
    <t>Michael Mora Agüero - Venta online</t>
  </si>
  <si>
    <t>2025-780</t>
  </si>
  <si>
    <t>001597</t>
  </si>
  <si>
    <t>Michael Mora Agüero</t>
  </si>
  <si>
    <t>31480_Megarack</t>
  </si>
  <si>
    <t>BARCH CONSORCIO SA VD-25-06-11</t>
  </si>
  <si>
    <t>2025-720</t>
  </si>
  <si>
    <t>001566</t>
  </si>
  <si>
    <t>BARCH CONSORCIO SOCIEDAD DE RESPONSABILIDAD LIMITA</t>
  </si>
  <si>
    <t>EURO BLUE FA S.A.</t>
  </si>
  <si>
    <t>2025-667</t>
  </si>
  <si>
    <t>1575</t>
  </si>
  <si>
    <t>HABITAT HEREDIA D11</t>
  </si>
  <si>
    <t>2025-909</t>
  </si>
  <si>
    <t>001757</t>
  </si>
  <si>
    <t>RAFAEL GUILLERMO DEL CARMEN MESEN VEGA</t>
  </si>
  <si>
    <t>2025-1298</t>
  </si>
  <si>
    <t>FONDO DE INVERSION INM. VD-25-06-08</t>
  </si>
  <si>
    <t>2025-719</t>
  </si>
  <si>
    <t>María Fernanda Madrigal Carvajal - venta online</t>
  </si>
  <si>
    <t>2025-476</t>
  </si>
  <si>
    <t>001311</t>
  </si>
  <si>
    <t>María Fernanda Madrigal Carvajal</t>
  </si>
  <si>
    <t>UCR/ CONVENIO MARCO/ 25-03-01P VD-25-03-01P</t>
  </si>
  <si>
    <t>2025-47</t>
  </si>
  <si>
    <t>Ivan Castro Muñoz - venta online</t>
  </si>
  <si>
    <t>2025-1126</t>
  </si>
  <si>
    <t>INTERNATIONAL FOOD TO GO SOCIEDAD ANONIMA - VENTAS ONLINE</t>
  </si>
  <si>
    <t>2025-1084</t>
  </si>
  <si>
    <t>001914</t>
  </si>
  <si>
    <t>INTERNATIONAL FOOD TO GO SOCIEDAD ANONIMA</t>
  </si>
  <si>
    <t>ZUMBADO CONSTRUCCIONES VD-25-12-06P</t>
  </si>
  <si>
    <t>2026-3</t>
  </si>
  <si>
    <t>004797</t>
  </si>
  <si>
    <t>ZUMBADO CONSTRUCCIONES SOCIEDAD ANONIMA</t>
  </si>
  <si>
    <t>SOLARIS / BILCO COSTA RICA S.A.</t>
  </si>
  <si>
    <t>2025-190</t>
  </si>
  <si>
    <t>TELEDOLAR/ MONITOREO/ 25-08-25</t>
  </si>
  <si>
    <t>2025-1263</t>
  </si>
  <si>
    <t>FELIPE SABORIO CARRILLO - Extractor</t>
  </si>
  <si>
    <t>2025-656</t>
  </si>
  <si>
    <t>001480</t>
  </si>
  <si>
    <t>FELIPE SABORIO CARRILLO</t>
  </si>
  <si>
    <t>31463_movimiento</t>
  </si>
  <si>
    <t>2025-198</t>
  </si>
  <si>
    <t>32954_Megarack</t>
  </si>
  <si>
    <t>2025-1392</t>
  </si>
  <si>
    <t>33048_Megarack</t>
  </si>
  <si>
    <t>2025-1464</t>
  </si>
  <si>
    <t>MARIA FERNANDA TELLO DELGADO - HORNO KUPPER 24 PULGADAS</t>
  </si>
  <si>
    <t>2025-1323</t>
  </si>
  <si>
    <t>MICROVENTION 25-02-16</t>
  </si>
  <si>
    <t>2025-194</t>
  </si>
  <si>
    <t>2025-181</t>
  </si>
  <si>
    <t>32266_Accesorios</t>
  </si>
  <si>
    <t>2025-887</t>
  </si>
  <si>
    <t>5954</t>
  </si>
  <si>
    <t>GUALAPACK COSTA RICA SOCIEDAD ANONIMA</t>
  </si>
  <si>
    <t>32418_ Movimiento</t>
  </si>
  <si>
    <t>2025-872</t>
  </si>
  <si>
    <t>001703</t>
  </si>
  <si>
    <t>GRUPO LUTESMA SOCIEDAD DE RESPONSABILIDAD LIMITADA</t>
  </si>
  <si>
    <t>JOSE GABRIEL BONILLA HERNANDEZ - Compra directa Horno + instalación + transporte</t>
  </si>
  <si>
    <t>2025-781</t>
  </si>
  <si>
    <t>001577</t>
  </si>
  <si>
    <t>JOSE GABRIEL BONILLA HERNANDEZ</t>
  </si>
  <si>
    <t>OKAY/ VD-25-04-03P</t>
  </si>
  <si>
    <t>ZOH0660</t>
  </si>
  <si>
    <t>OKAY INDUSTRIES COSTA RICA SOCIEDAD DE RESPONSABIL</t>
  </si>
  <si>
    <t>Natalia Arias Sanguillén - Venta online</t>
  </si>
  <si>
    <t>2025-486</t>
  </si>
  <si>
    <t>001328</t>
  </si>
  <si>
    <t>Natalia Arias Sanguillén</t>
  </si>
  <si>
    <t>MOPT/ 25-09-16P CONVENIO MARCO</t>
  </si>
  <si>
    <t>00411</t>
  </si>
  <si>
    <t>Ministerio de Obras Publicas y Transportes</t>
  </si>
  <si>
    <t>32390_Movimiento</t>
  </si>
  <si>
    <t>2025-1034</t>
  </si>
  <si>
    <t>2876</t>
  </si>
  <si>
    <t>IMPORTACIONES BALTICAS SOCIEDAD</t>
  </si>
  <si>
    <t>LOS ARALLANES/ AFZ VD-25-12-01</t>
  </si>
  <si>
    <t>2025-1479</t>
  </si>
  <si>
    <t>José Julián Salas Camacho - Venta online</t>
  </si>
  <si>
    <t>2025-932</t>
  </si>
  <si>
    <t>001779</t>
  </si>
  <si>
    <t>José Julián Salas Camacho</t>
  </si>
  <si>
    <t>31510_Crossbar</t>
  </si>
  <si>
    <t>5888</t>
  </si>
  <si>
    <t>LIGA AGRICOLA INDUSTRIAL DE LA CAÑA DE AZUCAR</t>
  </si>
  <si>
    <t>CHIQUITA BRANDS/ VD-25-06-01P</t>
  </si>
  <si>
    <t>2025-94</t>
  </si>
  <si>
    <t xml:space="preserve">002337    </t>
  </si>
  <si>
    <t>MARCELA MARIA CARBALLO CRUZ - ADICIONAL SOBRE</t>
  </si>
  <si>
    <t>2025-757</t>
  </si>
  <si>
    <t>ACUÑA &amp; HANSON INCA VD-25-07-07</t>
  </si>
  <si>
    <t>2025-882</t>
  </si>
  <si>
    <t>000006</t>
  </si>
  <si>
    <t>ERIC RAUL MURILLO FERNANDEZ/ LINDORA VILLAGE CASA 152 Y 170</t>
  </si>
  <si>
    <t>32214_ Megarack</t>
  </si>
  <si>
    <t>2025-747</t>
  </si>
  <si>
    <t>001585</t>
  </si>
  <si>
    <t>MULTI SOLUCIONES INDUSTRIALES LUCAF SOCIEDAD ANONI</t>
  </si>
  <si>
    <t>NUCLEO SABANA 1901 / NUCLEO SABANA 1901</t>
  </si>
  <si>
    <t>2025-873</t>
  </si>
  <si>
    <t>001704</t>
  </si>
  <si>
    <t>EL CORTEZ NEGRO SOCIEDAD ANONIMA</t>
  </si>
  <si>
    <t>32689_Accesorios</t>
  </si>
  <si>
    <t>2025-1217</t>
  </si>
  <si>
    <t>002016</t>
  </si>
  <si>
    <t>IMPORTACIONES SODOFA J&amp;M SOCIEDAD ANONIMA</t>
  </si>
  <si>
    <t>33159_Rejillas</t>
  </si>
  <si>
    <t>2026-48</t>
  </si>
  <si>
    <t>Dewaynne Amanda Torres Venegas - Venta oline</t>
  </si>
  <si>
    <t>2025-1171</t>
  </si>
  <si>
    <t>001963</t>
  </si>
  <si>
    <t>Dewaynne Amanda Torres Venegas</t>
  </si>
  <si>
    <t>LOS ARALLANES VD-25-09-05</t>
  </si>
  <si>
    <t>2025-1120</t>
  </si>
  <si>
    <t>00146240_Carretilla Manual</t>
  </si>
  <si>
    <t>2025-221</t>
  </si>
  <si>
    <t>001101</t>
  </si>
  <si>
    <t>PROGELITOS J Y C SOCIEDAD ANONIMA</t>
  </si>
  <si>
    <t>31575_movimiento</t>
  </si>
  <si>
    <t>2025-219</t>
  </si>
  <si>
    <t>3117</t>
  </si>
  <si>
    <t>LOS NINOS DE BEJUCO SOCIEDAD ANONIMA</t>
  </si>
  <si>
    <t>Joffry Gonzalez Mora - Venta Online</t>
  </si>
  <si>
    <t>2025-1489</t>
  </si>
  <si>
    <t xml:space="preserve">002369    </t>
  </si>
  <si>
    <t>Joffry Gonzalez Mora</t>
  </si>
  <si>
    <t>Controles Electricos PYM SA - ELECTRODOMESTICO</t>
  </si>
  <si>
    <t>2025-492</t>
  </si>
  <si>
    <t>000607</t>
  </si>
  <si>
    <t>Controles Electricos PYM SA</t>
  </si>
  <si>
    <t>32147_Megarack</t>
  </si>
  <si>
    <t>2025-1253</t>
  </si>
  <si>
    <t>RESERVA MORAVIA H38 / Daisy Calderon</t>
  </si>
  <si>
    <t>2025-1101</t>
  </si>
  <si>
    <t>001899</t>
  </si>
  <si>
    <t>Daisy Calderon</t>
  </si>
  <si>
    <t>CONTRACT- MAERSK/ CAFETIN/ 25-04-01P</t>
  </si>
  <si>
    <t>2025-62</t>
  </si>
  <si>
    <t>CENTRAL PARK # 2 / TORRE DOS CENTRAL PARK SRL</t>
  </si>
  <si>
    <t>2025-964</t>
  </si>
  <si>
    <t>Victor Contreras Leiva - VENTAS ONLINE</t>
  </si>
  <si>
    <t>2025-721</t>
  </si>
  <si>
    <t>001563</t>
  </si>
  <si>
    <t>Victor Contreras Leiva</t>
  </si>
  <si>
    <t>31691_medium rack</t>
  </si>
  <si>
    <t>2025-200</t>
  </si>
  <si>
    <t>CRISTAL DE BALLENA/ VD-25-03-10P</t>
  </si>
  <si>
    <t>2025-45</t>
  </si>
  <si>
    <t>002592</t>
  </si>
  <si>
    <t>Cristal de Ballena S.A</t>
  </si>
  <si>
    <t>MIRTA ELENA MORALES SILVA 25-03-12</t>
  </si>
  <si>
    <t>2025-299</t>
  </si>
  <si>
    <t>001185</t>
  </si>
  <si>
    <t>MIRTA  ELENA MORALES  SILVA</t>
  </si>
  <si>
    <t>GUANACASTE CARGA JEJ SOCIEDAD ANONIMA - microondas</t>
  </si>
  <si>
    <t>2025-680</t>
  </si>
  <si>
    <t>31393_Selectivo</t>
  </si>
  <si>
    <t>2025-81</t>
  </si>
  <si>
    <t>000954</t>
  </si>
  <si>
    <t>FERNANDO FABIAN SCOTT CERDAS</t>
  </si>
  <si>
    <t>2025-863</t>
  </si>
  <si>
    <t>AFISHER/ TRASLADO/VD-24-07-04P</t>
  </si>
  <si>
    <t>004742</t>
  </si>
  <si>
    <t>ASOCIACION SOLIDARISTA DE EMPLEADOS DE FISHER SCIE</t>
  </si>
  <si>
    <t>JUAN CARLOS RODRIGUEZ MORUN - VENTAS ONLINE</t>
  </si>
  <si>
    <t>2026-74</t>
  </si>
  <si>
    <t>002465</t>
  </si>
  <si>
    <t>JUAN CARLOS RODRIGUEZ MORUN</t>
  </si>
  <si>
    <t>32473_Medium Racks</t>
  </si>
  <si>
    <t>2025-905</t>
  </si>
  <si>
    <t>CONTRACT WORKPLACES 25-10-01</t>
  </si>
  <si>
    <t>2025-1330</t>
  </si>
  <si>
    <t>Yaniff Alejandro Camacho cisneros - Venta online</t>
  </si>
  <si>
    <t>2025-1055</t>
  </si>
  <si>
    <t>001891</t>
  </si>
  <si>
    <t>Yaniff Alejandro Camacho cisneros</t>
  </si>
  <si>
    <t>BOSQUES DE ALTAMIRA / CIMA REAL CAS 026 SABINA</t>
  </si>
  <si>
    <t>2025-1425</t>
  </si>
  <si>
    <t>002266</t>
  </si>
  <si>
    <t>BOSQUES DE ALTAMIRA CASA CERO VEINTISEIS SABINA SO</t>
  </si>
  <si>
    <t>BIOCIENTIFICA/ 25-05-04P</t>
  </si>
  <si>
    <t>004531</t>
  </si>
  <si>
    <t>Alessandro Garcia Casalvolone - venta online</t>
  </si>
  <si>
    <t>2025-455</t>
  </si>
  <si>
    <t>001251</t>
  </si>
  <si>
    <t>Alessandro Garcia Casalvolone</t>
  </si>
  <si>
    <t>Federico Castillo - Venta online</t>
  </si>
  <si>
    <t>2025-704</t>
  </si>
  <si>
    <t>001554</t>
  </si>
  <si>
    <t>Federico Castillo</t>
  </si>
  <si>
    <t>BIOCIENTIFICA/25-05-08P</t>
  </si>
  <si>
    <t>2026-132</t>
  </si>
  <si>
    <t>002369</t>
  </si>
  <si>
    <t>Daniel Garcia Verges - Venta online</t>
  </si>
  <si>
    <t>2025-969</t>
  </si>
  <si>
    <t>001790</t>
  </si>
  <si>
    <t>Daniel Garcia Verges</t>
  </si>
  <si>
    <t>Jose Fernando
Iturriaga Ezpelosin - Venta online</t>
  </si>
  <si>
    <t>2025-1359</t>
  </si>
  <si>
    <t>001699</t>
  </si>
  <si>
    <t>Jose Fernando
Iturriaga Ezpelosin</t>
  </si>
  <si>
    <t>Jose Iturriaga Ros - Venta online</t>
  </si>
  <si>
    <t>2025-1358</t>
  </si>
  <si>
    <t>001687</t>
  </si>
  <si>
    <t>Jose Iturriaga Ros</t>
  </si>
  <si>
    <t>Nicolas Pierre Dienot - Ventas online</t>
  </si>
  <si>
    <t>2025-673</t>
  </si>
  <si>
    <t>001514</t>
  </si>
  <si>
    <t>Nicolas Pierre Dienot</t>
  </si>
  <si>
    <t>NUCLEO BUSINESS/REGUS VD-25-04-18</t>
  </si>
  <si>
    <t>2025-440</t>
  </si>
  <si>
    <t>Proyecto Verde Mar Mantas S.A</t>
  </si>
  <si>
    <t>2025-494</t>
  </si>
  <si>
    <t>000138</t>
  </si>
  <si>
    <t>ALLERGAN/ BAJANTES/ 25-08-09P</t>
  </si>
  <si>
    <t>004615</t>
  </si>
  <si>
    <t>HUMBERTO LACAYO/ WPC/ VD-25-01-06P</t>
  </si>
  <si>
    <t>2025-15</t>
  </si>
  <si>
    <t>004767</t>
  </si>
  <si>
    <t>HUMBERTO UBERNE LACAYO BAEZ</t>
  </si>
  <si>
    <t>31147_Selectivo</t>
  </si>
  <si>
    <t>2025-858</t>
  </si>
  <si>
    <t>000061</t>
  </si>
  <si>
    <t>EMP INTEL DE COSTA RICA SRL</t>
  </si>
  <si>
    <t>32404_Megarack</t>
  </si>
  <si>
    <t>2025-914</t>
  </si>
  <si>
    <t>SMIMTH AND NEPHEW  VD-25-05-29</t>
  </si>
  <si>
    <t>2025-737</t>
  </si>
  <si>
    <t>MAR A MAR 302-A</t>
  </si>
  <si>
    <t>2025-406</t>
  </si>
  <si>
    <t>001265</t>
  </si>
  <si>
    <t>MARIA ARGENTINA DE JESUS MELENDEZ HERRERA</t>
  </si>
  <si>
    <t>AZ RESIDENTIAL AND COMMERCIAL GROUP SOCIEDAD DE RESPONSABILIDAD LIMITADA - Venta online</t>
  </si>
  <si>
    <t>2025-635</t>
  </si>
  <si>
    <t>9852</t>
  </si>
  <si>
    <t>AZ RESIDENTIAL AND COMMERCIAL GROUP SOCIEDAD DE RE</t>
  </si>
  <si>
    <t>DANIA GONZALEZ MARTINEZ - VENTAS ONLINE</t>
  </si>
  <si>
    <t>2026-72</t>
  </si>
  <si>
    <t>002469</t>
  </si>
  <si>
    <t>DANIA GONZALEZ MARTINEZ</t>
  </si>
  <si>
    <t>32269_Megarack</t>
  </si>
  <si>
    <t>2025-709</t>
  </si>
  <si>
    <t>CARLOS MANUEL BURGOS SALAS - Backsplash</t>
  </si>
  <si>
    <t>2025-1020</t>
  </si>
  <si>
    <t>DANDELION LV HOSPITALIDAD SOCIEDAD ANONIMA - Ventas online</t>
  </si>
  <si>
    <t>2025-279</t>
  </si>
  <si>
    <t>001077</t>
  </si>
  <si>
    <t>DANDELION LV HOSPITALIDAD SOCIEDAD ANONIMA</t>
  </si>
  <si>
    <t>SERVICIOS GERENCIALES TEMPORALES SRL - Venta online</t>
  </si>
  <si>
    <t>2025-478</t>
  </si>
  <si>
    <t>001314</t>
  </si>
  <si>
    <t>SERVICIOS GERENCIALES TEMPORALES SRL</t>
  </si>
  <si>
    <t>GINES HOGAR SOCIEDAD ANONIMA - Venta Online</t>
  </si>
  <si>
    <t>2025-1004</t>
  </si>
  <si>
    <t>HARLAND/ ADICIONAL ALFOMBRA/ VD-25-05-18P</t>
  </si>
  <si>
    <t>ALLERGAN/ 25-04-03P</t>
  </si>
  <si>
    <t>2025-61</t>
  </si>
  <si>
    <t>Fabián Jiménez Herra - venta online</t>
  </si>
  <si>
    <t>2025-574</t>
  </si>
  <si>
    <t>001401</t>
  </si>
  <si>
    <t>Fabián Jiménez Herra</t>
  </si>
  <si>
    <t>UNIVERSIDAD DE COSTA RICA 25-04-14</t>
  </si>
  <si>
    <t>2025-606</t>
  </si>
  <si>
    <t>146603_light racks</t>
  </si>
  <si>
    <t>2025-287</t>
  </si>
  <si>
    <t>001165</t>
  </si>
  <si>
    <t>DKCR STORES SOCIEDAD ANONIMA</t>
  </si>
  <si>
    <t>Purple Bay SA - Venta online</t>
  </si>
  <si>
    <t>2025-818</t>
  </si>
  <si>
    <t>001626</t>
  </si>
  <si>
    <t>Purple Bay SA</t>
  </si>
  <si>
    <t>Esteban Vallejo Ramírez - venta online</t>
  </si>
  <si>
    <t>2025-1143</t>
  </si>
  <si>
    <t>001955</t>
  </si>
  <si>
    <t>Esteban Vallejo Ramírez</t>
  </si>
  <si>
    <t>MARIA JOSE QUESADA</t>
  </si>
  <si>
    <t>000966</t>
  </si>
  <si>
    <t>LOS ARALLANES SOCIEDAD ANONIMA VD-25-06-19</t>
  </si>
  <si>
    <t>2025-775</t>
  </si>
  <si>
    <t>31608_Inspeccion</t>
  </si>
  <si>
    <t>2025-304</t>
  </si>
  <si>
    <t>LKC ARRENDAMIENTOS S.A - Fregadero y cachera</t>
  </si>
  <si>
    <t>VICTOR JULIO QUIROS CHINCHILLA - Venta online</t>
  </si>
  <si>
    <t>2025-575</t>
  </si>
  <si>
    <t>001407</t>
  </si>
  <si>
    <t>VICTOR JULIO QUIROS CHINCHILLA</t>
  </si>
  <si>
    <t>HUGO ANDRES MORA CHAVES - Fregadero + Cachera</t>
  </si>
  <si>
    <t>2025-1329</t>
  </si>
  <si>
    <t xml:space="preserve">001373    </t>
  </si>
  <si>
    <t>2025-322</t>
  </si>
  <si>
    <t>32333_Selectivo</t>
  </si>
  <si>
    <t>2025-817</t>
  </si>
  <si>
    <t>MAGISTERIO NACIONAL/ CERRADURAS/ VD-25-08-06P</t>
  </si>
  <si>
    <t>004662</t>
  </si>
  <si>
    <t>CORPORACION DE SERVICIOS MULTIPLES DEL MAGISTERIO</t>
  </si>
  <si>
    <t>VALLE SAN LORENZO F-20 / NANCY ANDREA CALDERON TREJOS</t>
  </si>
  <si>
    <t>001000</t>
  </si>
  <si>
    <t>NANCY ANDREA CALDERON TREJOS</t>
  </si>
  <si>
    <t>31356_movimiento</t>
  </si>
  <si>
    <t>MAR A MAR #2 FF 701-A / MAR A MAR # 2  FF 701-A</t>
  </si>
  <si>
    <t>2025-289</t>
  </si>
  <si>
    <t>Byron Arias Bonilla - Venta online</t>
  </si>
  <si>
    <t>2025-1085</t>
  </si>
  <si>
    <t>001912</t>
  </si>
  <si>
    <t>Byron Arias Bonilla</t>
  </si>
  <si>
    <t>Rosa Elena Lara González - Venta Online</t>
  </si>
  <si>
    <t>2026-68</t>
  </si>
  <si>
    <t>002466</t>
  </si>
  <si>
    <t>Rosa Elena Lara González</t>
  </si>
  <si>
    <t>Danis Damian Matiaz Jimenez - Venta Online</t>
  </si>
  <si>
    <t>002421</t>
  </si>
  <si>
    <t>Danis Damian Matiaz Jimenez</t>
  </si>
  <si>
    <t>LAURA ELENA GUERRERO RODRIGUEZ - Venta online</t>
  </si>
  <si>
    <t>2025-1127</t>
  </si>
  <si>
    <t>001896</t>
  </si>
  <si>
    <t>LAURA ELENA GUERRERO RODRIGUEZ</t>
  </si>
  <si>
    <t>CONTRACT/ HERBALIFE/ 25-09-05P</t>
  </si>
  <si>
    <t>2025-117</t>
  </si>
  <si>
    <t>RESIDENCIA CP / BAUNZEN SOCIEDAD DE RESPONSABILIDAD LIMITADA</t>
  </si>
  <si>
    <t>2025-568</t>
  </si>
  <si>
    <t>33069_Medium Rack</t>
  </si>
  <si>
    <t>2025-1441</t>
  </si>
  <si>
    <t>002291</t>
  </si>
  <si>
    <t>CUBO TRES CONSTRUCCION SOCIEDAD ANONIMA</t>
  </si>
  <si>
    <t>MARIA LUISA LORIA/ 25-10-06P</t>
  </si>
  <si>
    <t>Catalina Rojas Piza - Ventas online</t>
  </si>
  <si>
    <t>2025-645</t>
  </si>
  <si>
    <t>001485</t>
  </si>
  <si>
    <t>Catalina Rojas Piza</t>
  </si>
  <si>
    <t>ARLENE MARIA ROBERT BONILLA - Microondas</t>
  </si>
  <si>
    <t>2025-790</t>
  </si>
  <si>
    <t>KATTIA LUCIA CARVAJAL FALLAS - VENTAS ONLINE</t>
  </si>
  <si>
    <t>2025-474</t>
  </si>
  <si>
    <t>001297</t>
  </si>
  <si>
    <t>KATTIA LUCIA CARVAJAL FALLAS</t>
  </si>
  <si>
    <t>Miguel Céspedes Araya - venta online</t>
  </si>
  <si>
    <t>2025-799</t>
  </si>
  <si>
    <t>001607</t>
  </si>
  <si>
    <t>Miguel Céspedes Araya</t>
  </si>
  <si>
    <t>Tomas Carvajal - Venta Online</t>
  </si>
  <si>
    <t>2025-990</t>
  </si>
  <si>
    <t>001742</t>
  </si>
  <si>
    <t>Tomas Carvajal</t>
  </si>
  <si>
    <t>Priscilla Aguirre Jimenez - venta online</t>
  </si>
  <si>
    <t>2025-389</t>
  </si>
  <si>
    <t>6745</t>
  </si>
  <si>
    <t>Priscilla Aguirre Jimenez</t>
  </si>
  <si>
    <t>Eduardo Ramirez Fallas - Venta online</t>
  </si>
  <si>
    <t>2025-576</t>
  </si>
  <si>
    <t>001406</t>
  </si>
  <si>
    <t>Eduardo Ramirez Fallas</t>
  </si>
  <si>
    <t>PURDY MOTOR SOCIEDAD ANONIMA VD-26-01-03</t>
  </si>
  <si>
    <t>2026-34</t>
  </si>
  <si>
    <t>GRUPO SEAR VD-26-01-05</t>
  </si>
  <si>
    <t>GLORIA STEPHANIE FONSECA SALAZAR - ventas online</t>
  </si>
  <si>
    <t>2026-86</t>
  </si>
  <si>
    <t>002480</t>
  </si>
  <si>
    <t>GLORIA STEPHANIE FONSECA SALAZAR</t>
  </si>
  <si>
    <t>FARMACIA LA PLAZA FLAMINGO SOCIEDAD ANONIMA - Plantilla Kupper</t>
  </si>
  <si>
    <t>2025-804</t>
  </si>
  <si>
    <t>001610</t>
  </si>
  <si>
    <t>FARMACIA LA PLAZA FLAMINGO SOCIEDAD ANONIMA</t>
  </si>
  <si>
    <t>ROLAND AYER - Venta online</t>
  </si>
  <si>
    <t>2025-744</t>
  </si>
  <si>
    <t>001578</t>
  </si>
  <si>
    <t>ROLAND AYER</t>
  </si>
  <si>
    <t>Alfons Ciolek - venta online</t>
  </si>
  <si>
    <t>2025-501</t>
  </si>
  <si>
    <t>001345</t>
  </si>
  <si>
    <t>Alfons Ciolek</t>
  </si>
  <si>
    <t>Thelma Isabel Matheson - VENTAS ONLINE</t>
  </si>
  <si>
    <t>2025-552</t>
  </si>
  <si>
    <t>9966</t>
  </si>
  <si>
    <t>Thelma Isabel Matheson</t>
  </si>
  <si>
    <t>ROCA/25-03-07P</t>
  </si>
  <si>
    <t>00492</t>
  </si>
  <si>
    <t>RODRIGUEZ CONSTRUCTORES ASOCIADOS SOCIEDAD ANONIMA</t>
  </si>
  <si>
    <t>CNFL 25-10-22 MESAS</t>
  </si>
  <si>
    <t>2025-1372</t>
  </si>
  <si>
    <t>CCSS- CAIS PURISCAL/ 25-09-08P</t>
  </si>
  <si>
    <t>MARIA GABRIELA VILLALOBOS ZUÑIGA - venta online</t>
  </si>
  <si>
    <t>2025-579</t>
  </si>
  <si>
    <t>001424</t>
  </si>
  <si>
    <t>MARIA GABRIELA VILLALOBOS ZUÑIGA</t>
  </si>
  <si>
    <t>CUSHMAN/ ACCESORIOS/ VD-25-01-07P</t>
  </si>
  <si>
    <t>CORPORACION SUMATEL, S.A  VD-25-11-03P</t>
  </si>
  <si>
    <t>001750</t>
  </si>
  <si>
    <t>CORPORACION SUMATEL, S.A</t>
  </si>
  <si>
    <t>TELEDOLAR SOCIEDAD ANONIMA 25-08-32</t>
  </si>
  <si>
    <t>2025-1341</t>
  </si>
  <si>
    <t>DANIEL RODRIGUEZ</t>
  </si>
  <si>
    <t>2025-183</t>
  </si>
  <si>
    <t>001064</t>
  </si>
  <si>
    <t>CHIQUITA BRANDS/ VD-25-05-13P</t>
  </si>
  <si>
    <t>EUCALIPTOS TORRE C / PUERTA PRINCIPAL CF // CONOBRA LIMITADA</t>
  </si>
  <si>
    <t>2025-491</t>
  </si>
  <si>
    <t>Stephanie Picado Chang - ventas online</t>
  </si>
  <si>
    <t>2025-1498</t>
  </si>
  <si>
    <t xml:space="preserve">002382    </t>
  </si>
  <si>
    <t>Stephanie Picado Chang</t>
  </si>
  <si>
    <t>2025-998</t>
  </si>
  <si>
    <t>VICTOR MANUEL ZAMORA OCAMPO - ventas online</t>
  </si>
  <si>
    <t>2026-6</t>
  </si>
  <si>
    <t>002424</t>
  </si>
  <si>
    <t>VICTOR MANUEL ZAMORA OCAMPO</t>
  </si>
  <si>
    <t>32997_Protectores</t>
  </si>
  <si>
    <t>2025-1401</t>
  </si>
  <si>
    <t>8177</t>
  </si>
  <si>
    <t>MALUQUER DE CENTRO AMERICA SOCIEDAD ANONIMA</t>
  </si>
  <si>
    <t>ADRIANA PATRICIA VIQUEZ UMAÑA - microextractor</t>
  </si>
  <si>
    <t>2025-1197</t>
  </si>
  <si>
    <t>001998</t>
  </si>
  <si>
    <t>ADRIANA PATRICIA VIQUEZ UMAÑA</t>
  </si>
  <si>
    <t>GUACAMAYA VD-25-10-08</t>
  </si>
  <si>
    <t>2025-1336</t>
  </si>
  <si>
    <t>Jairo Madrigal Montes - Venta Online</t>
  </si>
  <si>
    <t>2026-64</t>
  </si>
  <si>
    <t>002462</t>
  </si>
  <si>
    <t>Jairo Madrigal Montes</t>
  </si>
  <si>
    <t>SANDRA GAMIO - Venta online</t>
  </si>
  <si>
    <t>2026-98</t>
  </si>
  <si>
    <t>002488</t>
  </si>
  <si>
    <t>SANDRA GAMIO</t>
  </si>
  <si>
    <t>ROBLES DE LINDORA FF 30 / JOSE ANTONIO ORTEGA ORLICH</t>
  </si>
  <si>
    <t>2025-521</t>
  </si>
  <si>
    <t>001318</t>
  </si>
  <si>
    <t>JOSE ANTONIO ORTEGA ORLICH</t>
  </si>
  <si>
    <t>ESTELA DE LOS ANGELES CORDERO LAURENT - VENTAS ONLINE</t>
  </si>
  <si>
    <t>2025-1114</t>
  </si>
  <si>
    <t>001943</t>
  </si>
  <si>
    <t>ESTELA DE LOS ANGELES CORDERO LAURENT</t>
  </si>
  <si>
    <t xml:space="preserve"> Kevin Molina</t>
  </si>
  <si>
    <t>32072_Paral eurorack</t>
  </si>
  <si>
    <t>2025-609</t>
  </si>
  <si>
    <t>CONTRACT- CAMP/ DUCTOS/ VD-25-07-01P</t>
  </si>
  <si>
    <t>33090_Selectivo</t>
  </si>
  <si>
    <t>2025-1487</t>
  </si>
  <si>
    <t>000269</t>
  </si>
  <si>
    <t>LA CASA DEL AGRICULTOR SOCIEDAD ANONIMA</t>
  </si>
  <si>
    <t>MAHILUA SRL</t>
  </si>
  <si>
    <t>2025-864</t>
  </si>
  <si>
    <t>001662</t>
  </si>
  <si>
    <t>3-101-871188 S.A</t>
  </si>
  <si>
    <t>2025-843</t>
  </si>
  <si>
    <t>001659</t>
  </si>
  <si>
    <t>1636206_Carritos</t>
  </si>
  <si>
    <t>2025-554</t>
  </si>
  <si>
    <t>000325</t>
  </si>
  <si>
    <t>I E SOCIEDAD ANONIMA</t>
  </si>
  <si>
    <t>BRYAN GERARDO RODRIGUEZ ARAYA - fregadero</t>
  </si>
  <si>
    <t>2025-699</t>
  </si>
  <si>
    <t>GVS KYRA SOCIEDAD DE RESPONSABILIDAD LIMITADA</t>
  </si>
  <si>
    <t>2025-850</t>
  </si>
  <si>
    <t>1487</t>
  </si>
  <si>
    <t>3101802628 S.A</t>
  </si>
  <si>
    <t>2025-862</t>
  </si>
  <si>
    <t>1648</t>
  </si>
  <si>
    <t>MAR A MAR 101-A / SEBASTIAN AGUILAR MUÑOZ</t>
  </si>
  <si>
    <t>2025-888</t>
  </si>
  <si>
    <t>001716</t>
  </si>
  <si>
    <t>SEBASTIAN AGUILAR MUÑOZ</t>
  </si>
  <si>
    <t>DESARROLLO CIELO INFINITO ESCAZU S.A - Venta Online</t>
  </si>
  <si>
    <t>2025-1050</t>
  </si>
  <si>
    <t>001856</t>
  </si>
  <si>
    <t>DESARROLLO CIELO INFINITO ESCAZU S.A</t>
  </si>
  <si>
    <t>ASUNCION ELVIA HALL DE GONZALEZ</t>
  </si>
  <si>
    <t>2025-396</t>
  </si>
  <si>
    <t>2114</t>
  </si>
  <si>
    <t>VISTAS DE LINDORA CASA D-12 / VALENTINA STARICCO SIBILS</t>
  </si>
  <si>
    <t>2026-50</t>
  </si>
  <si>
    <t>002173</t>
  </si>
  <si>
    <t>VALENTINA STARICCO SIBILS</t>
  </si>
  <si>
    <t>MOPT/ 25-09-17P CONVENIO MARCO</t>
  </si>
  <si>
    <t>FONDO DE INVERSION  VD-25-04-22 COMECA</t>
  </si>
  <si>
    <t>2025-577</t>
  </si>
  <si>
    <t>Fabian Sanchez Molina - Venta online</t>
  </si>
  <si>
    <t>2025-641</t>
  </si>
  <si>
    <t>001476</t>
  </si>
  <si>
    <t>Fabian Sanchez Molina</t>
  </si>
  <si>
    <t>00146950_Cajas y escalera</t>
  </si>
  <si>
    <t>2025-347</t>
  </si>
  <si>
    <t>5300</t>
  </si>
  <si>
    <t>Cooperativa de Productores de leche Dos PinosR L</t>
  </si>
  <si>
    <t>LA PRADERA INGENIERIA Y CONSTRUCCION S.A - venta online</t>
  </si>
  <si>
    <t>2025-473</t>
  </si>
  <si>
    <t>9442</t>
  </si>
  <si>
    <t>LA PRADERA INGENIERIA Y CONSTRUCCION S.A</t>
  </si>
  <si>
    <t>EUROART / VD-26-01-09</t>
  </si>
  <si>
    <t>002436</t>
  </si>
  <si>
    <t>3-102-888272 SOCIEDAD DE RESPONSABILIDAD LIMITADA</t>
  </si>
  <si>
    <t>FRANRO S.A - Venta online</t>
  </si>
  <si>
    <t>2025-484</t>
  </si>
  <si>
    <t>001325</t>
  </si>
  <si>
    <t>FRANRO S.A</t>
  </si>
  <si>
    <t>31960_Serie 1000</t>
  </si>
  <si>
    <t>2025-723</t>
  </si>
  <si>
    <t>RESERVA MORAVIA / H38 / Daisy Calderón</t>
  </si>
  <si>
    <t>2025-1352</t>
  </si>
  <si>
    <t>3-102-781565 SOCIEDAD DE RESPONSABILIDAD LIMITADA - Venta online</t>
  </si>
  <si>
    <t>2025-1133</t>
  </si>
  <si>
    <t>Maersk Costa Rica S.A VD-25-02-04</t>
  </si>
  <si>
    <t>3530</t>
  </si>
  <si>
    <t>ALBERTO LAINEZ VENTOSILLA - extractor + instalación y trasnporte</t>
  </si>
  <si>
    <t>2025-968</t>
  </si>
  <si>
    <t>ALMACEN Y DEPOSITO FYA SA - VENTA ONLINE</t>
  </si>
  <si>
    <t>2025-927</t>
  </si>
  <si>
    <t>001774</t>
  </si>
  <si>
    <t>ALMACEN Y DEPOSITO FYA SA</t>
  </si>
  <si>
    <t>Federico Ruiz Ugalde - Venta online</t>
  </si>
  <si>
    <t>2025-1121</t>
  </si>
  <si>
    <t>001935</t>
  </si>
  <si>
    <t>Federico Ruiz Ugalde</t>
  </si>
  <si>
    <t>Juliana Maria Yglesias Luconi - Venta Online</t>
  </si>
  <si>
    <t>2025-593</t>
  </si>
  <si>
    <t>001428</t>
  </si>
  <si>
    <t>Juliana Maria Yglesias Luconi</t>
  </si>
  <si>
    <t>Maersk Costa Rica S.A VD-25-04-24</t>
  </si>
  <si>
    <t>2025-589</t>
  </si>
  <si>
    <t>Maersk Costa Rica S.A VD-25-08-12</t>
  </si>
  <si>
    <t>2025-1025</t>
  </si>
  <si>
    <t>BALHAIRE DE COSTA RICA VD-25-08-14</t>
  </si>
  <si>
    <t>2025-1039</t>
  </si>
  <si>
    <t>5359</t>
  </si>
  <si>
    <t>BALHAIRE DE COSTA RICA SOCIEDAD ANONIMA</t>
  </si>
  <si>
    <t>PUBLIEFECTO SOCIEDAD ANONIMA VD-26-01-06P</t>
  </si>
  <si>
    <t>004800</t>
  </si>
  <si>
    <t>PUBLIEFECTO SOCIEDAD ANONIMA</t>
  </si>
  <si>
    <t>31742_movimiento estantería</t>
  </si>
  <si>
    <t>2025-259</t>
  </si>
  <si>
    <t>ALMECCH DEL OESTE SRL - venta online</t>
  </si>
  <si>
    <t>2025-640</t>
  </si>
  <si>
    <t>001475</t>
  </si>
  <si>
    <t>ALMECCH DEL OESTE SRL</t>
  </si>
  <si>
    <t>2025-871</t>
  </si>
  <si>
    <t>CNFL 25-10-19P OC 0041 CONVENIO MARCO</t>
  </si>
  <si>
    <t>2025-163</t>
  </si>
  <si>
    <t xml:space="preserve">Compania Nacional de Fuerza y Luz S.A.            </t>
  </si>
  <si>
    <t>Carlos Calderón Sequeira - Venta online</t>
  </si>
  <si>
    <t>2026-46</t>
  </si>
  <si>
    <t>002450</t>
  </si>
  <si>
    <t>Carlos Calderón Sequeira</t>
  </si>
  <si>
    <t>Roxana fiatt Calvo - venta online</t>
  </si>
  <si>
    <t>2025-827</t>
  </si>
  <si>
    <t>001642</t>
  </si>
  <si>
    <t>Roxana fiatt Calvo</t>
  </si>
  <si>
    <t>CCSS/CENARE 25-04-06</t>
  </si>
  <si>
    <t>2025-438</t>
  </si>
  <si>
    <t>ALEJANDRO SEBASTIAN BUITRAGO MARTINEZ - Venta online</t>
  </si>
  <si>
    <t>2025-428</t>
  </si>
  <si>
    <t>001116</t>
  </si>
  <si>
    <t>ALEJANDRO SEBASTIAN BUITRAGO MARTINEZ</t>
  </si>
  <si>
    <t>CULULU Y CAFLIN SOCIEDAD ANONIMA - Venta online</t>
  </si>
  <si>
    <t>2025-634</t>
  </si>
  <si>
    <t>001470</t>
  </si>
  <si>
    <t>CULULU Y CAFLIN SOCIEDAD ANONIMA</t>
  </si>
  <si>
    <t>32697_Selectivo</t>
  </si>
  <si>
    <t>2025-1247</t>
  </si>
  <si>
    <t>BAMBU RIVERA CLUB RESIDENCES SOCIEDAD ANONIMA</t>
  </si>
  <si>
    <t>2025-493</t>
  </si>
  <si>
    <t>1557</t>
  </si>
  <si>
    <t>32085_Megarack</t>
  </si>
  <si>
    <t>2025-536</t>
  </si>
  <si>
    <t>001370</t>
  </si>
  <si>
    <t>CONSTRUCCION Y REDES COSTA RICA SOCIEDAD DE RESPON</t>
  </si>
  <si>
    <t>Marco Rodriguez - Venta online</t>
  </si>
  <si>
    <t>2025-416</t>
  </si>
  <si>
    <t>001261</t>
  </si>
  <si>
    <t>Marco Rodriguez</t>
  </si>
  <si>
    <t>CCSS CHOROTEGA/ 25-09-09P CONVENIO MARCO</t>
  </si>
  <si>
    <t>32300_Megarack</t>
  </si>
  <si>
    <t>2025-1449</t>
  </si>
  <si>
    <t>000784</t>
  </si>
  <si>
    <t>AE LOGISTICS SEL SOCIEDAD ANONIMA</t>
  </si>
  <si>
    <t>Alberto Tagle Reategu - venta online</t>
  </si>
  <si>
    <t>2025-632</t>
  </si>
  <si>
    <t>001463</t>
  </si>
  <si>
    <t>Alberto Tagle Reategu</t>
  </si>
  <si>
    <t>PORCINA CERHIMA LIMITADA VD-25-09-03</t>
  </si>
  <si>
    <t>2025-1119</t>
  </si>
  <si>
    <t>001927</t>
  </si>
  <si>
    <t>PORCINA CERHIMA LIMITADA</t>
  </si>
  <si>
    <t>CARDIOCARE S.A</t>
  </si>
  <si>
    <t>2025-1162</t>
  </si>
  <si>
    <t>001974</t>
  </si>
  <si>
    <t xml:space="preserve"> Jesica Bonilla</t>
  </si>
  <si>
    <t>GINES HOGAR SOCIEDAD ANONIMA - Venta online</t>
  </si>
  <si>
    <t>2025-770</t>
  </si>
  <si>
    <t>Sheila Rodríguez Meléndez - Venta online</t>
  </si>
  <si>
    <t>2025-386</t>
  </si>
  <si>
    <t>001231</t>
  </si>
  <si>
    <t>Sheila Rodríguez Meléndez</t>
  </si>
  <si>
    <t>EXPERTOS EN RECURSOS HUMANOS SOCIEDAD ANONIMA - ventas online</t>
  </si>
  <si>
    <t>2025-291</t>
  </si>
  <si>
    <t>001174</t>
  </si>
  <si>
    <t>EXPERTOS EN RECURSOS HUMANOS SOCIEDAD ANONIMA</t>
  </si>
  <si>
    <t>EDISOL SRL VD-25-06-13</t>
  </si>
  <si>
    <t>2025-729</t>
  </si>
  <si>
    <t xml:space="preserve">000322    </t>
  </si>
  <si>
    <t>EDISOLUCIONES INTEGRALES EDISOL VD-25-06-24</t>
  </si>
  <si>
    <t>2025-774</t>
  </si>
  <si>
    <t>WILSON FRANCISCO MORALES FERNANDEZ - Venta onlie</t>
  </si>
  <si>
    <t>2025-371</t>
  </si>
  <si>
    <t>2434</t>
  </si>
  <si>
    <t>WILSON FRANCISCO MORALES FERNANDEZ</t>
  </si>
  <si>
    <t>2025-999</t>
  </si>
  <si>
    <t>UNIVERSIDAD DE COSTA RICA // CONVENIO MARCO 24-09-15</t>
  </si>
  <si>
    <t>2025-222</t>
  </si>
  <si>
    <t>LOS ARALLANES SOCIEDAD ANONIMA AFZ VD-25-05-03</t>
  </si>
  <si>
    <t>2025-611</t>
  </si>
  <si>
    <t>EXPRESO DENTAL - Venta online</t>
  </si>
  <si>
    <t>EXPRESO DENTAL</t>
  </si>
  <si>
    <t>32898_Medium Racks</t>
  </si>
  <si>
    <t>2025-1356</t>
  </si>
  <si>
    <t>002176</t>
  </si>
  <si>
    <t>E R A ECOTANK ROTOMOULDING SOCIEDAD ANONIMA</t>
  </si>
  <si>
    <t>2025-397</t>
  </si>
  <si>
    <t>MUNICIPALIDAD DE ACOSTA 25-10-03</t>
  </si>
  <si>
    <t>2025-1367</t>
  </si>
  <si>
    <t>002124</t>
  </si>
  <si>
    <t>MUNICIPALIDAD DE ACOSTA</t>
  </si>
  <si>
    <t>G S ELECTROMECANICA 25-03-08</t>
  </si>
  <si>
    <t>2025-300</t>
  </si>
  <si>
    <t>001182</t>
  </si>
  <si>
    <t>G S ELECTROMECANICA SOCIEDAD ANONIMA</t>
  </si>
  <si>
    <t>31506_Protectores</t>
  </si>
  <si>
    <t>Elizabeth Meléndez Garbanzo - Venta online</t>
  </si>
  <si>
    <t>2025-1006</t>
  </si>
  <si>
    <t>001847</t>
  </si>
  <si>
    <t>Elizabeth Meléndez Garbanzo</t>
  </si>
  <si>
    <t>Orlando Castro Jiménez - venta online</t>
  </si>
  <si>
    <t>2025-1122</t>
  </si>
  <si>
    <t>001934</t>
  </si>
  <si>
    <t>Orlando Castro Jiménez</t>
  </si>
  <si>
    <t>INDIANA LEAL VD-25-12-12</t>
  </si>
  <si>
    <t>002420</t>
  </si>
  <si>
    <t>3-102-947831 SOCIEDAD DE RESPONSABILIDAD LIMITADA</t>
  </si>
  <si>
    <t>Miranda Villavicencio - Venta online</t>
  </si>
  <si>
    <t>2025-475</t>
  </si>
  <si>
    <t>001272</t>
  </si>
  <si>
    <t>Miranda Villavicencio</t>
  </si>
  <si>
    <t>Johanna Calvo Rodríguez - Venta Online</t>
  </si>
  <si>
    <t>2026-118</t>
  </si>
  <si>
    <t>002518</t>
  </si>
  <si>
    <t>Johanna Calvo Rodríguez</t>
  </si>
  <si>
    <t>INA MARIA PEREZ BADILLA VD-25-01-05</t>
  </si>
  <si>
    <t>000884</t>
  </si>
  <si>
    <t>INA MARIA PEREZ BADILLA</t>
  </si>
  <si>
    <t>32702_Megarack</t>
  </si>
  <si>
    <t>2025-1236</t>
  </si>
  <si>
    <t>002044</t>
  </si>
  <si>
    <t>TARIMA SOCIEDAD ANONIMA</t>
  </si>
  <si>
    <t>LA ARBOLEDA  CASA C-15 // LA ARBOLEDA  CASA C-15</t>
  </si>
  <si>
    <t>2025-708</t>
  </si>
  <si>
    <t>001557</t>
  </si>
  <si>
    <t>JOSE FRANCISCO DE LO CERVANTES LOAIZA</t>
  </si>
  <si>
    <t>HORACIO JUAN DE LA TRINIDAD CAMPOS VARGAS - Ventas online</t>
  </si>
  <si>
    <t>2025-524</t>
  </si>
  <si>
    <t>001366</t>
  </si>
  <si>
    <t>HORACIO JUAN DE LA TRINIDAD CAMPOS VARGAS</t>
  </si>
  <si>
    <t>Claudio Rodriguez Ruiz - Robles de Lindora D09</t>
  </si>
  <si>
    <t>2025-331</t>
  </si>
  <si>
    <t>000718</t>
  </si>
  <si>
    <t>Claudio Rodriguez Ruiz</t>
  </si>
  <si>
    <t xml:space="preserve">TELEDOLAR SOCIEDAD ANONIMA VD-26-01-10 </t>
  </si>
  <si>
    <t>2026-65</t>
  </si>
  <si>
    <t>00146304_mega rack</t>
  </si>
  <si>
    <t>2025-227</t>
  </si>
  <si>
    <t>LEONEL ALVAREZ SOLANO</t>
  </si>
  <si>
    <t>2025-841</t>
  </si>
  <si>
    <t>001655</t>
  </si>
  <si>
    <t>CNFL 25-09-19 MESA</t>
  </si>
  <si>
    <t>2025-1256</t>
  </si>
  <si>
    <t>UCR- RECTORIA/ 25-09-15P CONVENIO MARCO</t>
  </si>
  <si>
    <t>UCR/ BIBLIOTECA ALTA/ CONVENIO MARCO/ 25-05-05P</t>
  </si>
  <si>
    <t>PURDY MOTOR SA VD-25-09-12</t>
  </si>
  <si>
    <t>2025-1191</t>
  </si>
  <si>
    <t>PURDY MOTOR SOCIEDAD ANONIMA VD-25-09-14</t>
  </si>
  <si>
    <t>2025-1193</t>
  </si>
  <si>
    <t>PURDY MOTOR SOCIEDAD ANONIMA VD-25-11-01</t>
  </si>
  <si>
    <t>2025-1381</t>
  </si>
  <si>
    <t>PURDY MOTOR VD-25-10-29</t>
  </si>
  <si>
    <t>2025-1349</t>
  </si>
  <si>
    <t>ARLENE MARIA ROBERT BONILLA - Fregadero</t>
  </si>
  <si>
    <t>2025-742</t>
  </si>
  <si>
    <t>GUANACASTE CARGA JEJ SOCIEDAD ANONIMA - Fregadero</t>
  </si>
  <si>
    <t>2025-679</t>
  </si>
  <si>
    <t>SMITH NEPHEW VD-25-10-31</t>
  </si>
  <si>
    <t>2025-1382</t>
  </si>
  <si>
    <t xml:space="preserve">1894      </t>
  </si>
  <si>
    <t>COMERCIAL BANTE SOCIEDAD ANONIMA - LAVAMANOS Y CACHERA</t>
  </si>
  <si>
    <t>2025-1003</t>
  </si>
  <si>
    <t>JORGE ALBERTO ROMERO MOLINA</t>
  </si>
  <si>
    <t>2025-1041</t>
  </si>
  <si>
    <t>001874</t>
  </si>
  <si>
    <t>CAFSA/ GAVETA/ VD-25-09-11P</t>
  </si>
  <si>
    <t>MICROVENTION COSTA RICA SRL 25-03-15</t>
  </si>
  <si>
    <t>2025-314</t>
  </si>
  <si>
    <t>PURDY MOTOR SOCIEDAD ANONIMA VD-24-12-11</t>
  </si>
  <si>
    <t>PURDY MOTOR SOCIEDAD ANONIMA VD-25-01-07</t>
  </si>
  <si>
    <t>PURDY MOTOR SOCIEDAD ANONIMA VD-25-08-11</t>
  </si>
  <si>
    <t>2025-1024</t>
  </si>
  <si>
    <t>SERVICIO DE CONSULTORIA RPM VD-25-08-05</t>
  </si>
  <si>
    <t>2025-978</t>
  </si>
  <si>
    <t>GUIDO HOGEN/ SILLA EVERY/ VENTA EN SALA/ VD-25-02-05P</t>
  </si>
  <si>
    <t>2025-30</t>
  </si>
  <si>
    <t>004771</t>
  </si>
  <si>
    <t>GUIDO ALEXANDER HOGEN</t>
  </si>
  <si>
    <t>LUX SOLUTIONS LIMITADA VD-25-05-09</t>
  </si>
  <si>
    <t>2025-619</t>
  </si>
  <si>
    <t>000056</t>
  </si>
  <si>
    <t>PRODEYCO S.A. **SOBRE REMODELACION OFICINA***</t>
  </si>
  <si>
    <t>BRANDON BARRANTES ALVARADO - venta online</t>
  </si>
  <si>
    <t>2025-516</t>
  </si>
  <si>
    <t>001360</t>
  </si>
  <si>
    <t>BRANDON BARRANTES ALVARADO</t>
  </si>
  <si>
    <t>Orange constructora - Venta online</t>
  </si>
  <si>
    <t>2026-99</t>
  </si>
  <si>
    <t>002487</t>
  </si>
  <si>
    <t>Orange constructora</t>
  </si>
  <si>
    <t>ANDRES PARIS/ VENTA EN SALA/ VD-24-11-12P</t>
  </si>
  <si>
    <t>004761</t>
  </si>
  <si>
    <t>ANDRES ANTONIO PARIS ALFARO</t>
  </si>
  <si>
    <t>Skipper property Management VD-25-03-06</t>
  </si>
  <si>
    <t>2025-245</t>
  </si>
  <si>
    <t>001122</t>
  </si>
  <si>
    <t>SKIPPER PROPERTY MANAGEMENT SOCIEDAD DE RESPONSABI</t>
  </si>
  <si>
    <t>TRES HORIZONTES S.A</t>
  </si>
  <si>
    <t>2025-1048</t>
  </si>
  <si>
    <t>001875</t>
  </si>
  <si>
    <t>30946_Selectivo</t>
  </si>
  <si>
    <t>AMAZON SUPPORT SERVICES VD-25-07-05</t>
  </si>
  <si>
    <t>2025-840</t>
  </si>
  <si>
    <t>000266</t>
  </si>
  <si>
    <t>AMAZON SUPPORT SERVICES COSTA RICA SOCIEDAD DE RES</t>
  </si>
  <si>
    <t>Marco Gonzalez Gutiérrez - Venta online</t>
  </si>
  <si>
    <t>2025-1169</t>
  </si>
  <si>
    <t>001981</t>
  </si>
  <si>
    <t>Marco Gonzalez Gutiérrez</t>
  </si>
  <si>
    <t>GUIDO ALBERTO ROMERO SOLANO - VENTAS ONLINE</t>
  </si>
  <si>
    <t>2025-1207</t>
  </si>
  <si>
    <t>002007</t>
  </si>
  <si>
    <t>GUIDO ALBERTO ROMERO SOLANO</t>
  </si>
  <si>
    <t>Pablo Padilla Méndez - Venta online</t>
  </si>
  <si>
    <t>2025-1029</t>
  </si>
  <si>
    <t>001862</t>
  </si>
  <si>
    <t>Pablo Padilla Méndez</t>
  </si>
  <si>
    <t>31522_x001F__Selectivo</t>
  </si>
  <si>
    <t>2025-82</t>
  </si>
  <si>
    <t>3389</t>
  </si>
  <si>
    <t>DISTRIBUIDORA DE PRODUCTOS INDUSTRIALES DEL SUR S.</t>
  </si>
  <si>
    <t>2025-1233</t>
  </si>
  <si>
    <t>EPPSA/ SILLA NX CAJERO/ VD-25-01-03P</t>
  </si>
  <si>
    <t>004765</t>
  </si>
  <si>
    <t>EQUIPOS PARA PROYECTOS EPPSA SOCIEDAD ANONIMA</t>
  </si>
  <si>
    <t>2025-343</t>
  </si>
  <si>
    <t>2025-963</t>
  </si>
  <si>
    <t>CNFL 25-10-15P OC 0037 Convenio Marco</t>
  </si>
  <si>
    <t>ADRIANA DEL PILAR VARGAS SANABRIA - Adicional cocina</t>
  </si>
  <si>
    <t>2025-904</t>
  </si>
  <si>
    <t>ANA LORENA DE JESUS SOTO PACHECO - ADICIONAL</t>
  </si>
  <si>
    <t>2025-1412</t>
  </si>
  <si>
    <t>001999</t>
  </si>
  <si>
    <t>ANA LORENA DE JESUS SOTO PACHECO</t>
  </si>
  <si>
    <t>Freddy Arias Mora - Venta online</t>
  </si>
  <si>
    <t>2025-1239</t>
  </si>
  <si>
    <t>002033</t>
  </si>
  <si>
    <t>Freddy Arias Mora</t>
  </si>
  <si>
    <t>CRISTINA MORA</t>
  </si>
  <si>
    <t>2025-666</t>
  </si>
  <si>
    <t>001510</t>
  </si>
  <si>
    <t>31364_Protector plástico</t>
  </si>
  <si>
    <t>32066_Megarack crossbar</t>
  </si>
  <si>
    <t>2025-633</t>
  </si>
  <si>
    <t>Vanessa Palacios Gómez - Venta Online</t>
  </si>
  <si>
    <t>2026-63</t>
  </si>
  <si>
    <t>CONTRACT WORKPLACES CR / EMBAJADA LUXEMBURGO 25-12-02P</t>
  </si>
  <si>
    <t>STILL KIT BYD LIMITADA - platilla</t>
  </si>
  <si>
    <t>2025-787</t>
  </si>
  <si>
    <t>000973</t>
  </si>
  <si>
    <t>STILL KIT BYD LIMITADA</t>
  </si>
  <si>
    <t>CCSS- CIUDAD COLON/ VD-25-10-05P</t>
  </si>
  <si>
    <t>KARIN JOHANNA ERIKSSON - EXTRACTOR</t>
  </si>
  <si>
    <t>2025-1244</t>
  </si>
  <si>
    <t>002052</t>
  </si>
  <si>
    <t>KARIN JOHANNA ERIKSSON</t>
  </si>
  <si>
    <t>Andres Arias - Venta online</t>
  </si>
  <si>
    <t>2025-824</t>
  </si>
  <si>
    <t>001627</t>
  </si>
  <si>
    <t>Andres Arias</t>
  </si>
  <si>
    <t>Diana Isabel Borge Mora - Venta online</t>
  </si>
  <si>
    <t>2025-578</t>
  </si>
  <si>
    <t>001417</t>
  </si>
  <si>
    <t>Diana Isabel Borge Mora</t>
  </si>
  <si>
    <t>Jose Chaves Zarate - Venta online</t>
  </si>
  <si>
    <t>2025-866</t>
  </si>
  <si>
    <t>001681</t>
  </si>
  <si>
    <t>Jose Chaves Zarate</t>
  </si>
  <si>
    <t>MARILIANA PEREIRA</t>
  </si>
  <si>
    <t>2025-801</t>
  </si>
  <si>
    <t>001512</t>
  </si>
  <si>
    <t>Luis Fdo Hernández Rodríguez - Venta Online</t>
  </si>
  <si>
    <t>2025-1018</t>
  </si>
  <si>
    <t>001852</t>
  </si>
  <si>
    <t>Luis Fdo Hernández Rodríguez</t>
  </si>
  <si>
    <t>Luke Salazar Vásquez - Venta online</t>
  </si>
  <si>
    <t>2025-410</t>
  </si>
  <si>
    <t>001263</t>
  </si>
  <si>
    <t>Luke Salazar Vásquez</t>
  </si>
  <si>
    <t>Marvin Aguilar Redondo - Venta online</t>
  </si>
  <si>
    <t>2025-1160</t>
  </si>
  <si>
    <t>001970</t>
  </si>
  <si>
    <t>Marvin Aguilar Redondo</t>
  </si>
  <si>
    <t>UCR/ VD-25-10-02P</t>
  </si>
  <si>
    <t>2025-131</t>
  </si>
  <si>
    <t>Abel Cascante Rodríguez - venta online</t>
  </si>
  <si>
    <t>2025-432</t>
  </si>
  <si>
    <t>001271</t>
  </si>
  <si>
    <t>Abel Cascante Rodríguez</t>
  </si>
  <si>
    <t>Elvin Rochez - venta online</t>
  </si>
  <si>
    <t>2025-378</t>
  </si>
  <si>
    <t>001204</t>
  </si>
  <si>
    <t>Elvin Rochez</t>
  </si>
  <si>
    <t>Maria Vicente - Venta online</t>
  </si>
  <si>
    <t>2025-644</t>
  </si>
  <si>
    <t>001484</t>
  </si>
  <si>
    <t>Maria Vicente</t>
  </si>
  <si>
    <t>yarib alpizar leon - Venta online</t>
  </si>
  <si>
    <t>2025-671</t>
  </si>
  <si>
    <t>001515</t>
  </si>
  <si>
    <t>yarib alpizar leon</t>
  </si>
  <si>
    <t>AMAZON SUPPORT SERVICES VD-25-01-09</t>
  </si>
  <si>
    <t>32424_Movimiento</t>
  </si>
  <si>
    <t>2025-1079</t>
  </si>
  <si>
    <t>32860_Selectivo</t>
  </si>
  <si>
    <t>2025-1397</t>
  </si>
  <si>
    <t>002222</t>
  </si>
  <si>
    <t>SINTER SOCIEDAD ANONIMA</t>
  </si>
  <si>
    <t>32904_Movimiento</t>
  </si>
  <si>
    <t>2025-1395</t>
  </si>
  <si>
    <t>2026-56</t>
  </si>
  <si>
    <t>2025-1314</t>
  </si>
  <si>
    <t>MARIA GOMEZ MONTALVAN - venta Online</t>
  </si>
  <si>
    <t>2026-120</t>
  </si>
  <si>
    <t>002510</t>
  </si>
  <si>
    <t>MARIA GOMEZ MONTALVAN</t>
  </si>
  <si>
    <t>NURIA PATRICIA DE LO HERRERA AGUERO - fregadero</t>
  </si>
  <si>
    <t>2025-1324</t>
  </si>
  <si>
    <t>31782_megarack</t>
  </si>
  <si>
    <t>2025-256</t>
  </si>
  <si>
    <t>001145</t>
  </si>
  <si>
    <t>ALVARO DANIEL FALLAS HIDALGO</t>
  </si>
  <si>
    <t>SAMTEC/ SUPERFICIE/ 25-01-03P</t>
  </si>
  <si>
    <t>GUSTAVO CITRON MACHON</t>
  </si>
  <si>
    <t>2025-1110</t>
  </si>
  <si>
    <t>001929</t>
  </si>
  <si>
    <t>FELIX BRIZUELA MONGE</t>
  </si>
  <si>
    <t>000978</t>
  </si>
  <si>
    <t>AZ RESIDENTIAL AND COMMERCIAL GROUP SOCIEDAD DE RESPONSABILIDAD LIMITADA - venta online</t>
  </si>
  <si>
    <t>MIGUEL ANGEL RETANA ZAMORA - venta online</t>
  </si>
  <si>
    <t>000849</t>
  </si>
  <si>
    <t>MIGUEL ANGEL RETANA ZAMORA</t>
  </si>
  <si>
    <t>YENDRY PAOLA ROSAS MADRIZ - Venta online</t>
  </si>
  <si>
    <t>000847</t>
  </si>
  <si>
    <t>YENDRY PAOLA ROSAS MADRIZ</t>
  </si>
  <si>
    <t>LINDORA VILLAGE FF 204 / ANTONIO PINTO BASTIDA</t>
  </si>
  <si>
    <t>2025-570</t>
  </si>
  <si>
    <t>001409</t>
  </si>
  <si>
    <t>ANTONIO PINTO BASTIDA</t>
  </si>
  <si>
    <t>MIGUEL CONTRERAS LEIVA</t>
  </si>
  <si>
    <t>2025-624</t>
  </si>
  <si>
    <t>001460</t>
  </si>
  <si>
    <t>CAFSA/ VD-25-06-02P</t>
  </si>
  <si>
    <t>MARIANELA DEL CARMEN RAMIREZ LEIVA - ADICIONALES</t>
  </si>
  <si>
    <t>2025-912</t>
  </si>
  <si>
    <t>Daniela Zúñiga Zamora - venta Online</t>
  </si>
  <si>
    <t>2025-539</t>
  </si>
  <si>
    <t>001377</t>
  </si>
  <si>
    <t>Daniela Zúñiga Zamora</t>
  </si>
  <si>
    <t>JUAN JOSE ROJAS SALAZAR - Venta  online</t>
  </si>
  <si>
    <t>2025-1240</t>
  </si>
  <si>
    <t>002025</t>
  </si>
  <si>
    <t>JUAN JOSE ROJAS SALAZAR</t>
  </si>
  <si>
    <t>Sebastián Quesada Gutiérrez - Venta online</t>
  </si>
  <si>
    <t>2025-1005</t>
  </si>
  <si>
    <t>001843</t>
  </si>
  <si>
    <t>Sebastián Quesada Gutiérrez</t>
  </si>
  <si>
    <t>2025-1045</t>
  </si>
  <si>
    <t>Cristian Baltodano Vargas - venta online</t>
  </si>
  <si>
    <t>2025-823</t>
  </si>
  <si>
    <t>001628</t>
  </si>
  <si>
    <t>Cristian Baltodano Vargas</t>
  </si>
  <si>
    <t>Madeline Quiros - Venta online</t>
  </si>
  <si>
    <t>2025-894</t>
  </si>
  <si>
    <t>001725</t>
  </si>
  <si>
    <t>Madeline Quiros</t>
  </si>
  <si>
    <t>Mariel Clavo - Venta online</t>
  </si>
  <si>
    <t>2025-883</t>
  </si>
  <si>
    <t>001698</t>
  </si>
  <si>
    <t>Mariel Clavo</t>
  </si>
  <si>
    <t>ROGER GUADAMUZ RIVERA - Venta Online</t>
  </si>
  <si>
    <t>2025-477</t>
  </si>
  <si>
    <t>001300</t>
  </si>
  <si>
    <t>ROGER GUADAMUZ RIVERA</t>
  </si>
  <si>
    <t>SUYIN DEL CARMEN GUTIERREZ RODRIGUEZ - Venta online</t>
  </si>
  <si>
    <t>2025-778</t>
  </si>
  <si>
    <t>001591</t>
  </si>
  <si>
    <t>SUYIN DEL CARMEN GUTIERREZ RODRIGUEZ</t>
  </si>
  <si>
    <t>ALEXANDER JOSE VILLEGAS GONZALEZ - Basurero</t>
  </si>
  <si>
    <t>2025-280</t>
  </si>
  <si>
    <t>000646</t>
  </si>
  <si>
    <t>ALEXANDER JOSE VILLEGAS GONZALEZ</t>
  </si>
  <si>
    <t>UCR 25-07-19 convenio marco</t>
  </si>
  <si>
    <t>2025-947</t>
  </si>
  <si>
    <t>MARIA DE LOS ANGELES QUIROS CARRANZA - PLANTILLA</t>
  </si>
  <si>
    <t>2025-629</t>
  </si>
  <si>
    <t>001454</t>
  </si>
  <si>
    <t>MARIA DE LOS ANGELES QUIROS CARRANZA</t>
  </si>
  <si>
    <t>31462_SELECTIVO</t>
  </si>
  <si>
    <t>2030</t>
  </si>
  <si>
    <t>LUTRON CR SOCIEDAD DE RESPONSABILIDAD LIMITADA</t>
  </si>
  <si>
    <t>NATURALEZA TURISMO &amp; TRANSPORTE S.A.</t>
  </si>
  <si>
    <t>1457</t>
  </si>
  <si>
    <t>CONTRACT/ MAERSK ADICIONAL/ 25-07-04P</t>
  </si>
  <si>
    <t>CCSS/ HOSPITAL DE SALUD MENTAL/ 25-09-04</t>
  </si>
  <si>
    <t>2025-1277</t>
  </si>
  <si>
    <t>3-101-747864 S.A</t>
  </si>
  <si>
    <t>2025-861</t>
  </si>
  <si>
    <t>000314</t>
  </si>
  <si>
    <t>DIAGNOSTIKA/ LLAVE NARBUTAS/ VD-25-09-06P</t>
  </si>
  <si>
    <t>004599</t>
  </si>
  <si>
    <t>DIAGNOSTIKA SOCIEDAD ANONIMA</t>
  </si>
  <si>
    <t>Roberto Sasso Steele - Venta online</t>
  </si>
  <si>
    <t>2025-1044</t>
  </si>
  <si>
    <t>001873</t>
  </si>
  <si>
    <t>Roberto Sasso Steele</t>
  </si>
  <si>
    <t>Diana
 Zamora Ramirez - Venta Online</t>
  </si>
  <si>
    <t>2026-60</t>
  </si>
  <si>
    <t>001870</t>
  </si>
  <si>
    <t>INNOVACION SOLUTIONS TECHNOLOGY - Venta online</t>
  </si>
  <si>
    <t>2025-868</t>
  </si>
  <si>
    <t>000247</t>
  </si>
  <si>
    <t>INNOVACION SOLUTIONS TECHNOLOGY</t>
  </si>
  <si>
    <t>GUSTAVO MORALES</t>
  </si>
  <si>
    <t>001006</t>
  </si>
  <si>
    <t>DESARROLLOS TERRAVISTA S.A</t>
  </si>
  <si>
    <t>2025-845</t>
  </si>
  <si>
    <t>6194</t>
  </si>
  <si>
    <t>URBIO PAISAJISMOS S.A</t>
  </si>
  <si>
    <t>2025-844</t>
  </si>
  <si>
    <t>001658</t>
  </si>
  <si>
    <t>Jaime Escalona - venta online</t>
  </si>
  <si>
    <t>2025-411</t>
  </si>
  <si>
    <t>001262</t>
  </si>
  <si>
    <t>Jaime Escalona</t>
  </si>
  <si>
    <t>M V VALVERDE SOCIEDAD ANONIMA - venta online</t>
  </si>
  <si>
    <t>2025-429</t>
  </si>
  <si>
    <t>001013</t>
  </si>
  <si>
    <t>M V VALVERDE SOCIEDAD ANONIMA</t>
  </si>
  <si>
    <t>ADMEDES SOCIEDAD ANONIMA VD-25-09-09</t>
  </si>
  <si>
    <t>2025-1216</t>
  </si>
  <si>
    <t>002008</t>
  </si>
  <si>
    <t>UCR TURRIALBA/ VD-25-05-02P CONVENIO MARCO</t>
  </si>
  <si>
    <t>2025-63</t>
  </si>
  <si>
    <t>MARIA FERNANDA SANCHEZ HIDALGO - VENTAS ONLINE</t>
  </si>
  <si>
    <t>PORCINA CERHIMA LIMITADA VD-25-10-02</t>
  </si>
  <si>
    <t>2025-1291</t>
  </si>
  <si>
    <t>PORCINA CERHIMA LIMITADA VD-25-09-01</t>
  </si>
  <si>
    <t>2025-1117</t>
  </si>
  <si>
    <t>CORTE SUPREMA DE JUSTICIA PODER JUDICIAL VD-24-11-17</t>
  </si>
  <si>
    <t>HUMBERTO VICENTE LATORRACA VD-25-03-15 **VENTA EN SALA **</t>
  </si>
  <si>
    <t>2025-301</t>
  </si>
  <si>
    <t>001119</t>
  </si>
  <si>
    <t>HUMBERTO VICENTE LATORRACA LOPEZ</t>
  </si>
  <si>
    <t>LOS ARALLANES SOCIEDAD ANONIMA VD-25-02-09</t>
  </si>
  <si>
    <t>2025-177</t>
  </si>
  <si>
    <t>JOSE RAFAEL FERNANDEZ QUESADA/ VD-25-05-17P</t>
  </si>
  <si>
    <t>2025-69</t>
  </si>
  <si>
    <t>002509</t>
  </si>
  <si>
    <t>JOSE RAFAEL FERNANDEZ QUESADA</t>
  </si>
  <si>
    <t>CITIZEN / CALLE 3 FRENTE A LIBRERÍA LEHMAN</t>
  </si>
  <si>
    <t>2025-874</t>
  </si>
  <si>
    <t>001694</t>
  </si>
  <si>
    <t>CARLOS LUIS GERARDO RODRIGUEZ CASCANTE</t>
  </si>
  <si>
    <t>ENSITIO SOLUCIONES SOCIEDAD DE RESPONSABILIDAD LIMITADA - Venta online</t>
  </si>
  <si>
    <t>2026-90</t>
  </si>
  <si>
    <t>002484</t>
  </si>
  <si>
    <t>ENSITIO SOLUCIONES SOCIEDAD DE RESPONSABILIDAD LIM</t>
  </si>
  <si>
    <t>ANDRES GARCIA CANO - Venta Online</t>
  </si>
  <si>
    <t>2026-121</t>
  </si>
  <si>
    <t>002512</t>
  </si>
  <si>
    <t>ANDRES GARCIA CANO</t>
  </si>
  <si>
    <t>2025-668</t>
  </si>
  <si>
    <t>CONSTRUCTORA LA ITABA DE COSTA RICA S.A.</t>
  </si>
  <si>
    <t>2025-242</t>
  </si>
  <si>
    <t>1626</t>
  </si>
  <si>
    <t>Andrius Verde Musset - Venta online</t>
  </si>
  <si>
    <t>2025-1037</t>
  </si>
  <si>
    <t>001868</t>
  </si>
  <si>
    <t>Andrius Verde Musset</t>
  </si>
  <si>
    <t>María José Orozco Guerrero - Venta Online</t>
  </si>
  <si>
    <t>002459</t>
  </si>
  <si>
    <t>María José Orozco Guerrero</t>
  </si>
  <si>
    <t>ELEMENTS DECO SOCIEDAD ANONIMA VD-25-01-06</t>
  </si>
  <si>
    <t>SAN FRANCISCO APTO 205 / Desarrollos Inmobiliarios de Tres Rios S.A</t>
  </si>
  <si>
    <t>2025-1497</t>
  </si>
  <si>
    <t>000187</t>
  </si>
  <si>
    <t>Desarrollos Inmobiliarios de Tres Rios S.A</t>
  </si>
  <si>
    <t>2025-544</t>
  </si>
  <si>
    <t>REPUBLIC OFFICE S.A VD-25-05-14</t>
  </si>
  <si>
    <t>2025-621</t>
  </si>
  <si>
    <t>MANUEL SERRANO / TELEDOLAR VD-25-07-03</t>
  </si>
  <si>
    <t>2025-853</t>
  </si>
  <si>
    <t>2025-341</t>
  </si>
  <si>
    <t>URBN ESCALANTE 2319 / YADIRA ELIETH ARAYA CASTILLO</t>
  </si>
  <si>
    <t>2025-569</t>
  </si>
  <si>
    <t>001408</t>
  </si>
  <si>
    <t>YADIRA ELIETH ARAYA CASTILLO</t>
  </si>
  <si>
    <t>SOIN SOLUCIONES INTEGRALES S.A</t>
  </si>
  <si>
    <t>000886</t>
  </si>
  <si>
    <t>JORGE ADRIAN GONZALEZ BARQUERO - ventas online</t>
  </si>
  <si>
    <t>2025-233</t>
  </si>
  <si>
    <t>001040</t>
  </si>
  <si>
    <t>JORGE ADRIAN GONZALEZ BARQUERO</t>
  </si>
  <si>
    <t>2025-226</t>
  </si>
  <si>
    <t>INVERSIONES PRIMERO SA</t>
  </si>
  <si>
    <t>2025-1180</t>
  </si>
  <si>
    <t>001984</t>
  </si>
  <si>
    <t>Prodeyco SA</t>
  </si>
  <si>
    <t>000687</t>
  </si>
  <si>
    <t>NUCLEO BUSINESS VD-25-03-08</t>
  </si>
  <si>
    <t>2025-286</t>
  </si>
  <si>
    <t>INCOP VD-25-09-06</t>
  </si>
  <si>
    <t>2025-1131</t>
  </si>
  <si>
    <t>1770</t>
  </si>
  <si>
    <t>INSTITUTO COSTARRICENSE DE PUERTOS DEL PACIFICO</t>
  </si>
  <si>
    <t>AMAZON SUPPORT SERVICES VD-25-01-03</t>
  </si>
  <si>
    <t>LITOGRAFIA SAN RAFAEL VD-26-01-26</t>
  </si>
  <si>
    <t>2026-89</t>
  </si>
  <si>
    <t xml:space="preserve">002434    </t>
  </si>
  <si>
    <t>LITOGRAFIA SAN RAFAEL SOCIEDAD ANONIMA</t>
  </si>
  <si>
    <t>CLINICA RESTAURATIVA Y ESTETICA DENTA VD-25-06-20</t>
  </si>
  <si>
    <t>2025-797</t>
  </si>
  <si>
    <t>2960</t>
  </si>
  <si>
    <t>CLINICA RESTAURATIVA Y ESTETICA DENTAL LK S.A</t>
  </si>
  <si>
    <t>2025-399</t>
  </si>
  <si>
    <t>QUINFICA DE COSTA RICA VD-25-09-07</t>
  </si>
  <si>
    <t>2025-1134</t>
  </si>
  <si>
    <t xml:space="preserve">5750      </t>
  </si>
  <si>
    <t>QUINFICA DE COSTA RICA</t>
  </si>
  <si>
    <t>2025-1017</t>
  </si>
  <si>
    <t>2025-27</t>
  </si>
  <si>
    <t>JAVIER FERNANDEZ VELEZ</t>
  </si>
  <si>
    <t>2025-1165</t>
  </si>
  <si>
    <t>001979</t>
  </si>
  <si>
    <t>Pinte CR, S.A</t>
  </si>
  <si>
    <t>2025-1028</t>
  </si>
  <si>
    <t>001867</t>
  </si>
  <si>
    <t>Pinte CR, SA</t>
  </si>
  <si>
    <t>2025-962</t>
  </si>
  <si>
    <t>MANOS Y CORAZON S.R.L</t>
  </si>
  <si>
    <t>000885</t>
  </si>
  <si>
    <t>FAUSTO CASTILLO AMADOR</t>
  </si>
  <si>
    <t>2025-1141</t>
  </si>
  <si>
    <t>001952</t>
  </si>
  <si>
    <t>MEDITERRANEAN SHIPPING COMPANY/ MEDLOG/ VD-25-07-11</t>
  </si>
  <si>
    <t>2025-948</t>
  </si>
  <si>
    <t>6011</t>
  </si>
  <si>
    <t>MEDITERRANEAN SHIPPING COMPANY S.R.L</t>
  </si>
  <si>
    <t>2025-398</t>
  </si>
  <si>
    <t>NASARA / EURO NASARA SOCIEDAD ANONIMA</t>
  </si>
  <si>
    <t>2025-860</t>
  </si>
  <si>
    <t>DESARROLLOS TEHELEN SOCIEDAD ANONIMA - transporte</t>
  </si>
  <si>
    <t>2025-1241</t>
  </si>
  <si>
    <t>MARIA NINFA TERESA DE JESUS CORDERO TORRES - TRANSPORTE</t>
  </si>
  <si>
    <t>2025-869</t>
  </si>
  <si>
    <t>Luis Fernandez Urbina - Venta online</t>
  </si>
  <si>
    <t>2025-1490</t>
  </si>
  <si>
    <t xml:space="preserve">002328    </t>
  </si>
  <si>
    <t>Luis Fernandez Urbina</t>
  </si>
  <si>
    <t>32796_Protector</t>
  </si>
  <si>
    <t>2025-1274</t>
  </si>
  <si>
    <t>PROIVE PROYECTOS EN INGENIERIA VEGA S.A</t>
  </si>
  <si>
    <t>2025-460</t>
  </si>
  <si>
    <t>001255</t>
  </si>
  <si>
    <t>MARISOL FLORES CAMPOS</t>
  </si>
  <si>
    <t>2025-1145</t>
  </si>
  <si>
    <t>001961</t>
  </si>
  <si>
    <t>ARIEL CASTILLO</t>
  </si>
  <si>
    <t>2025-43</t>
  </si>
  <si>
    <t>000888</t>
  </si>
  <si>
    <t>ESTEBAN CALLEJA</t>
  </si>
  <si>
    <t>000970</t>
  </si>
  <si>
    <t>JONATAHN SANCHEZ GUERRERO</t>
  </si>
  <si>
    <t>2025-1016</t>
  </si>
  <si>
    <t>001849</t>
  </si>
  <si>
    <t>JORGE ROMERO</t>
  </si>
  <si>
    <t>000887</t>
  </si>
  <si>
    <t>33220_Accesorios</t>
  </si>
  <si>
    <t>2026-87</t>
  </si>
  <si>
    <t>1993</t>
  </si>
  <si>
    <t>EQUIPOS Y ACCESORIOS RECREATIVOS SOCIEDAD ANONIMA</t>
  </si>
  <si>
    <t>2025-1082</t>
  </si>
  <si>
    <t>EUCALIPTOS TORRE B</t>
  </si>
  <si>
    <t>2025-203</t>
  </si>
  <si>
    <t>ANGELICA JUNCA</t>
  </si>
  <si>
    <t>2025-865</t>
  </si>
  <si>
    <t>001663</t>
  </si>
  <si>
    <t>JORGE LUIS MORALES JIMENEZ VD-25-09-11</t>
  </si>
  <si>
    <t>2025-1190</t>
  </si>
  <si>
    <t>001990</t>
  </si>
  <si>
    <t>JORGE LUIS MORALES JIMENEZ</t>
  </si>
  <si>
    <t>NATACHA GARRO LOPEZ</t>
  </si>
  <si>
    <t>2025-1220</t>
  </si>
  <si>
    <t>002013</t>
  </si>
  <si>
    <t>VILMA EMILIA SANCHEZ DEL CASTILLO - Venta online</t>
  </si>
  <si>
    <t>2025-705</t>
  </si>
  <si>
    <t>6917</t>
  </si>
  <si>
    <t>VILMA EMILIA SANCHEZ DEL CASTILLO</t>
  </si>
  <si>
    <t>TELEVISORA DE COSTA RICA SOCIEDAD ANONIMA</t>
  </si>
  <si>
    <t>2025-884</t>
  </si>
  <si>
    <t>1868</t>
  </si>
  <si>
    <t>SER ESCALANTE / VOLIO &amp; TREJOS ASOCIADOS S.A.</t>
  </si>
  <si>
    <t>2025-405</t>
  </si>
  <si>
    <t>JESSICA ANDREA ALFARO COLES// VENTA ADICIONAL</t>
  </si>
  <si>
    <t>2025-1436</t>
  </si>
  <si>
    <t>002277</t>
  </si>
  <si>
    <t>JESSICA ANDREA ALFARO COLES</t>
  </si>
  <si>
    <t>VIDAS QUE INSPIRAN S.A</t>
  </si>
  <si>
    <t>2025-1161</t>
  </si>
  <si>
    <t>001949</t>
  </si>
  <si>
    <t>31694_megarack</t>
  </si>
  <si>
    <t>2025-197</t>
  </si>
  <si>
    <t>001078</t>
  </si>
  <si>
    <t>SUMINISTRADORA DE PAPELES SU PAPEL SOCIEDAD ANONIM</t>
  </si>
  <si>
    <t>KATALINA ELENA VELARDE BARQUERO - ventas online</t>
  </si>
  <si>
    <t>2025-1501</t>
  </si>
  <si>
    <t>2025-1514</t>
  </si>
  <si>
    <t>SANTIAGO ALFONSO ARAYA GUTIERREZ - VENTAS ONLINE</t>
  </si>
  <si>
    <t>2025-955</t>
  </si>
  <si>
    <t>2025-1140</t>
  </si>
  <si>
    <t>2025-857</t>
  </si>
  <si>
    <t>GRETTEL RIOS GONZALEZ</t>
  </si>
  <si>
    <t>000960</t>
  </si>
  <si>
    <t>2025-1026</t>
  </si>
  <si>
    <t>2025-1238</t>
  </si>
  <si>
    <t>ALEXA BADILLA CASASOLA</t>
  </si>
  <si>
    <t>2025-984</t>
  </si>
  <si>
    <t>001821</t>
  </si>
  <si>
    <t>ANDREY JIMENEZ</t>
  </si>
  <si>
    <t>2025-1158</t>
  </si>
  <si>
    <t>001965</t>
  </si>
  <si>
    <t>31298_SELECTIVO</t>
  </si>
  <si>
    <t>2025-54</t>
  </si>
  <si>
    <t>2695</t>
  </si>
  <si>
    <t>MUNDOPET SUPERMERCADOS S.A</t>
  </si>
  <si>
    <t>TOMMY CHINCHILLA VALVERDE</t>
  </si>
  <si>
    <t>2025-1132</t>
  </si>
  <si>
    <t>001937</t>
  </si>
  <si>
    <t>ANTONNY VILLARREAL</t>
  </si>
  <si>
    <t>001039</t>
  </si>
  <si>
    <t>RUBEN CARRERA</t>
  </si>
  <si>
    <t>2025-643</t>
  </si>
  <si>
    <t>001479</t>
  </si>
  <si>
    <t>MELANIN TOURS - TAPA DE INODORO</t>
  </si>
  <si>
    <t>2025-505</t>
  </si>
  <si>
    <t>001295</t>
  </si>
  <si>
    <t>MELANIN TOURS</t>
  </si>
  <si>
    <t>JOSE DANIEL VARELA CABRERA</t>
  </si>
  <si>
    <t>2025-711</t>
  </si>
  <si>
    <t>000262</t>
  </si>
  <si>
    <t>MICHAEL SANCHEZ</t>
  </si>
  <si>
    <t>2025-402</t>
  </si>
  <si>
    <t>001254</t>
  </si>
  <si>
    <t>MARIO ALBERTO  CORDOBA</t>
  </si>
  <si>
    <t>2025-658</t>
  </si>
  <si>
    <t>001501</t>
  </si>
  <si>
    <t>RODOLFO TORRES DIAZ</t>
  </si>
  <si>
    <t>2025-1194</t>
  </si>
  <si>
    <t>001987</t>
  </si>
  <si>
    <t>32295_Selectivo</t>
  </si>
  <si>
    <t>2025-782</t>
  </si>
  <si>
    <t>NELLY MURILLO</t>
  </si>
  <si>
    <t>2025-739</t>
  </si>
  <si>
    <t>001571</t>
  </si>
  <si>
    <t>2025-1010</t>
  </si>
  <si>
    <t>HUGO ANDRES MORA CHAVES - Kit apilamineto</t>
  </si>
  <si>
    <t>2025-1394</t>
  </si>
  <si>
    <t>2025-1106</t>
  </si>
  <si>
    <t>JUAN DIEGO CASTRO RODRIGUEZ</t>
  </si>
  <si>
    <t>2025-1125</t>
  </si>
  <si>
    <t>001948</t>
  </si>
  <si>
    <t>3-102-637974 SOCIEDAD DE RESPONSABILIDAD LIMITADA - VENTAS ONLINE</t>
  </si>
  <si>
    <t>2025-1218</t>
  </si>
  <si>
    <t>002015</t>
  </si>
  <si>
    <t>3-102-637974 SOCIEDAD DE RESPONSABILIDAD LIMITADA</t>
  </si>
  <si>
    <t>DOUBLE VISION LLC LIMITADA - refirgerador panelable 48" dos tiraderas + trsp +i</t>
  </si>
  <si>
    <t>2026-28</t>
  </si>
  <si>
    <t xml:space="preserve">5637      </t>
  </si>
  <si>
    <t>DOUBLE VISION LLC LIMITADA</t>
  </si>
  <si>
    <t>Ernesto Ortega Hegg - VENTAS ONLINE</t>
  </si>
  <si>
    <t>2026-41</t>
  </si>
  <si>
    <t>CR HOY/ VD-25-06-03P</t>
  </si>
  <si>
    <t xml:space="preserve">004786    </t>
  </si>
  <si>
    <t>CRHOY SOCIEDAD ANONIMA</t>
  </si>
  <si>
    <t>Podemo iniciar gestión cobro</t>
  </si>
  <si>
    <t>32565_Megaracks</t>
  </si>
  <si>
    <t>2025-1135</t>
  </si>
  <si>
    <t>001953</t>
  </si>
  <si>
    <t>AVICOLA G.A.P. SOCIEDAD ANONIMA</t>
  </si>
  <si>
    <t>31728_mega rack</t>
  </si>
  <si>
    <t>2025-254</t>
  </si>
  <si>
    <t>David Mora - Venta online</t>
  </si>
  <si>
    <t>2025-870</t>
  </si>
  <si>
    <t>001697</t>
  </si>
  <si>
    <t>David Mora</t>
  </si>
  <si>
    <t>32481_Selectivo</t>
  </si>
  <si>
    <t>2025-939</t>
  </si>
  <si>
    <t>María Gabriela Sancho Carpio - Venta Online</t>
  </si>
  <si>
    <t>2025-277</t>
  </si>
  <si>
    <t>001161</t>
  </si>
  <si>
    <t>María Gabriela Sancho Carpio</t>
  </si>
  <si>
    <t>CONDOMINIO INMOBILIARIO JEROY/ VD-25-10-03P</t>
  </si>
  <si>
    <t>004792</t>
  </si>
  <si>
    <t>CONDOMINIO INMOBILIARIO JEROY SOCIEDAD ANONIMA</t>
  </si>
  <si>
    <t>AYA/ VD-25-08-01P</t>
  </si>
  <si>
    <t>MOPT/ CONVENIO MARCO/ 25-08-29</t>
  </si>
  <si>
    <t>2025-1288</t>
  </si>
  <si>
    <t>MUNDO VIAJES SOCIEDAD ANONIMA 25-03-09</t>
  </si>
  <si>
    <t>2025-298</t>
  </si>
  <si>
    <t>001010</t>
  </si>
  <si>
    <t>MUNDO VIAJES SOCIEDAD ANONIMA</t>
  </si>
  <si>
    <t>32564_Selectivo</t>
  </si>
  <si>
    <t>2025-1186</t>
  </si>
  <si>
    <t>RECOPE/ 25-09-13P</t>
  </si>
  <si>
    <t xml:space="preserve">00478     </t>
  </si>
  <si>
    <t>REFINADORA COSTARRICENSE DE PETROLEO</t>
  </si>
  <si>
    <t>VIVIANA LORENA VASQUEZ RODRIGUEZ - COCINA HANNOVER - SOBRE SILESTONE + ELECTROS</t>
  </si>
  <si>
    <t>2225</t>
  </si>
  <si>
    <t>21850_Selectivo</t>
  </si>
  <si>
    <t>2025-1011</t>
  </si>
  <si>
    <t>32313_Selectivo</t>
  </si>
  <si>
    <t>2025-776</t>
  </si>
  <si>
    <t>31772_Protectores</t>
  </si>
  <si>
    <t>2025-695</t>
  </si>
  <si>
    <t>32079_Megarack</t>
  </si>
  <si>
    <t>2025-681</t>
  </si>
  <si>
    <t>001527</t>
  </si>
  <si>
    <t>GREIVIN VILLALOBOS MENDEZ</t>
  </si>
  <si>
    <t>DESARROLLO BAHIA PAPAGAYO/ 25-07-09</t>
  </si>
  <si>
    <t>2025-953</t>
  </si>
  <si>
    <t>001732</t>
  </si>
  <si>
    <t>DESARROLLO BAHIA PAPAGAYO BP SA</t>
  </si>
  <si>
    <t xml:space="preserve"> Indira Solano, Veronica Sanchez</t>
  </si>
  <si>
    <t>IMPROSA Multipark 24-11-16 VD-24-11-22</t>
  </si>
  <si>
    <t>2025-207</t>
  </si>
  <si>
    <t>HILTON LA SABANA/ 25-03-03P</t>
  </si>
  <si>
    <t>004773</t>
  </si>
  <si>
    <t>3-101-767288 SOCIEDAD ANONIMA</t>
  </si>
  <si>
    <t>CUARTO MODELO AC MARRIOT LIBERIA / INVERSIONES FUTURA ANDINO S.A.</t>
  </si>
  <si>
    <t>2025-597</t>
  </si>
  <si>
    <t>1519</t>
  </si>
  <si>
    <t>INVERSIONES FUTURA ANDINO S.A.</t>
  </si>
  <si>
    <t>33021_Megarack</t>
  </si>
  <si>
    <t>2025-1406</t>
  </si>
  <si>
    <t>32959, 33078_Megarack</t>
  </si>
  <si>
    <t>2025-1426</t>
  </si>
  <si>
    <t>ALLERGAN- ABBVIE/ 25-05-09P</t>
  </si>
  <si>
    <t>URBN SABANA / CIELO NUNCIATURA SOCIEDAD ANONIMA</t>
  </si>
  <si>
    <t>2025-580</t>
  </si>
  <si>
    <t>32415_Megarack</t>
  </si>
  <si>
    <t>2025-982</t>
  </si>
  <si>
    <t>31994_Megarack</t>
  </si>
  <si>
    <t>2025-1226</t>
  </si>
  <si>
    <t>32730_Megarack</t>
  </si>
  <si>
    <t>2025-1272</t>
  </si>
  <si>
    <t>2458</t>
  </si>
  <si>
    <t>REPAGRO S.A.</t>
  </si>
  <si>
    <t>32656_Megarack</t>
  </si>
  <si>
    <t>2025-1284</t>
  </si>
  <si>
    <t>32403_Megarack</t>
  </si>
  <si>
    <t>2025-940</t>
  </si>
  <si>
    <t>001765</t>
  </si>
  <si>
    <t>COMTEL INGENIERIA SOCIEDAD ANONIMA</t>
  </si>
  <si>
    <t>BAC SAN JOSE S.A. VD-25-12-09P</t>
  </si>
  <si>
    <t>MUNDO VIAJES SOCIEDAD ANONIMA 25-02-04</t>
  </si>
  <si>
    <t>2025-196</t>
  </si>
  <si>
    <t>CIELO DE BABILONIA// CORE VD-25-09-15</t>
  </si>
  <si>
    <t>2025-1215</t>
  </si>
  <si>
    <t xml:space="preserve">5562      </t>
  </si>
  <si>
    <t>CONNECT /VD-25-08-15</t>
  </si>
  <si>
    <t>2025-1361</t>
  </si>
  <si>
    <t>001924</t>
  </si>
  <si>
    <t>CONNECT ASSISTANCE CR SOCIEDAD ANONIMA</t>
  </si>
  <si>
    <t>31396, 31847,31777_Selectivo Etapa 3</t>
  </si>
  <si>
    <t>31455_Selectivo Tienda tibás</t>
  </si>
  <si>
    <t>2025-355</t>
  </si>
  <si>
    <t>000097</t>
  </si>
  <si>
    <t>ALPEMUSA SOCIEDAD ANONIMA</t>
  </si>
  <si>
    <t>31985_Megarack</t>
  </si>
  <si>
    <t>2025-563</t>
  </si>
  <si>
    <t>31963_Megarack</t>
  </si>
  <si>
    <t>2025-598</t>
  </si>
  <si>
    <t>31188_Selectivo</t>
  </si>
  <si>
    <t>2698</t>
  </si>
  <si>
    <t>ENVASES COMERCIALES ENVASA S.A.</t>
  </si>
  <si>
    <t>31973_Accesorios</t>
  </si>
  <si>
    <t>2025-447</t>
  </si>
  <si>
    <t>33056_Megarack</t>
  </si>
  <si>
    <t>2025-1485</t>
  </si>
  <si>
    <t>002321</t>
  </si>
  <si>
    <t>ACCIONA AGUA SOCIEDAD ANONIMA</t>
  </si>
  <si>
    <t>32191_Megarack</t>
  </si>
  <si>
    <t>2025-996</t>
  </si>
  <si>
    <t>CHIQUITA BRANDS/ MOVIMIENTO DE BRAZOS/ VD-24-12-03P</t>
  </si>
  <si>
    <t>SIIX SABANA / CIELO NUNCIATURA SOCIEDAD ANONIMA</t>
  </si>
  <si>
    <t>2025-511</t>
  </si>
  <si>
    <t>SKY GARDEN - PUERTAS / EDICA LIMITADA</t>
  </si>
  <si>
    <t>2025-1254</t>
  </si>
  <si>
    <t>32092_Megaracks</t>
  </si>
  <si>
    <t>2025-931</t>
  </si>
  <si>
    <t>001780</t>
  </si>
  <si>
    <t>RICARDO MAYID CASASOLA MURILLO</t>
  </si>
  <si>
    <t>31570_Megarack</t>
  </si>
  <si>
    <t>2025-283</t>
  </si>
  <si>
    <t>001180</t>
  </si>
  <si>
    <t>TANIA MARGARITA UMAÑA MUÑOZ</t>
  </si>
  <si>
    <t>31795_Megarack</t>
  </si>
  <si>
    <t>2025-319</t>
  </si>
  <si>
    <t>001208</t>
  </si>
  <si>
    <t>ASOCIACION SOLIDARISTA DE EMPLEADOS DE FARMAGRO S</t>
  </si>
  <si>
    <t>CAFETAL DOS DE BELEN S.A  ACTIVFE CAMPAING 24-07-10</t>
  </si>
  <si>
    <t>2025-688</t>
  </si>
  <si>
    <t xml:space="preserve">4733      </t>
  </si>
  <si>
    <t>CAFETAL DOS DE BELEN S.A</t>
  </si>
  <si>
    <t>32102_Megarack</t>
  </si>
  <si>
    <t>2025-537</t>
  </si>
  <si>
    <t>001379</t>
  </si>
  <si>
    <t>GOLDEN HARVEST DE COSTA RICA SOCIEDAD ANONIMA</t>
  </si>
  <si>
    <t>32128,32112_Megarack</t>
  </si>
  <si>
    <t>2025-731</t>
  </si>
  <si>
    <t>32422_Megarack</t>
  </si>
  <si>
    <t>2025-881</t>
  </si>
  <si>
    <t>32352_Mediun Racks</t>
  </si>
  <si>
    <t>2025-849</t>
  </si>
  <si>
    <t>3594</t>
  </si>
  <si>
    <t>COSTACON DE COSTA RICA SOCIEDAD ANONIMA</t>
  </si>
  <si>
    <t>32363_Selectivo</t>
  </si>
  <si>
    <t>2025-821</t>
  </si>
  <si>
    <t>3-101-747864 S.A.**RESERVA MORAVIA Etapa 8</t>
  </si>
  <si>
    <t>2025-351</t>
  </si>
  <si>
    <t>1469</t>
  </si>
  <si>
    <t>3101747864 S.A.</t>
  </si>
  <si>
    <t>31645_megarack</t>
  </si>
  <si>
    <t>2025-192</t>
  </si>
  <si>
    <t>JOSE ANTONIO ORTEGA ORLICH - venta online</t>
  </si>
  <si>
    <t>2025-483</t>
  </si>
  <si>
    <t>FLORIDA/ 22 SILLAS EVERY/ VD-25-06-04P</t>
  </si>
  <si>
    <t>2025-97</t>
  </si>
  <si>
    <t>31928, 32046_Megarack</t>
  </si>
  <si>
    <t>2025-603</t>
  </si>
  <si>
    <t>32198_Megarack</t>
  </si>
  <si>
    <t>2025-896</t>
  </si>
  <si>
    <t>32088_Megarack</t>
  </si>
  <si>
    <t>2025-697</t>
  </si>
  <si>
    <t>001536</t>
  </si>
  <si>
    <t>INVERSIONES DOJA SOCIEDAD ANONIMA</t>
  </si>
  <si>
    <t>33210_Megarack</t>
  </si>
  <si>
    <t>2026-125</t>
  </si>
  <si>
    <t>002528</t>
  </si>
  <si>
    <t>LABORATORIOS QUIMICOS ARVI SOCIEDAD ANONIMA</t>
  </si>
  <si>
    <t>32338_Megarack_Medium Rack</t>
  </si>
  <si>
    <t>2025-854</t>
  </si>
  <si>
    <t>001649</t>
  </si>
  <si>
    <t>BETHEL MEDICAL CORPORATION SOCIEDAD ANONIMA</t>
  </si>
  <si>
    <t>32676_Megarack</t>
  </si>
  <si>
    <t>2025-1188</t>
  </si>
  <si>
    <t>001991</t>
  </si>
  <si>
    <t>WISOL AMERICANA SOCIEDAD ANONIMA</t>
  </si>
  <si>
    <t>NUCLEO BUSINESS VD-25-02-13</t>
  </si>
  <si>
    <t>32510_Megarack</t>
  </si>
  <si>
    <t>2025-986</t>
  </si>
  <si>
    <t>001822</t>
  </si>
  <si>
    <t>32265_Megarack</t>
  </si>
  <si>
    <t>2025-815</t>
  </si>
  <si>
    <t>001624</t>
  </si>
  <si>
    <t>CTC INVESTGROUP SOCIEDAD DE RESPONSABILIDAD LIMITA</t>
  </si>
  <si>
    <t>Allan Araya Arroyo - Ventas online</t>
  </si>
  <si>
    <t>2025-427</t>
  </si>
  <si>
    <t>001168</t>
  </si>
  <si>
    <t>Allan Araya Arroyo</t>
  </si>
  <si>
    <t>MARIELA SALOME ROMAN ACUÑA - Closet</t>
  </si>
  <si>
    <t>2025-249</t>
  </si>
  <si>
    <t>000988</t>
  </si>
  <si>
    <t>MARIELA SALOME ROMAN ACUÑA</t>
  </si>
  <si>
    <t>31900,32012, 32013_megarack</t>
  </si>
  <si>
    <t>2025-407</t>
  </si>
  <si>
    <t>2728</t>
  </si>
  <si>
    <t>PORTAFOLIO AM SIETE SOCIEDAD ANONIMA</t>
  </si>
  <si>
    <t>OSCAR EDUARDO GOMEZ SANABRIA - venita online</t>
  </si>
  <si>
    <t>2025-274</t>
  </si>
  <si>
    <t>TREE OF LIFE LEARNING CENTER  SA VD-25-01-08</t>
  </si>
  <si>
    <t>JOSE LUIS UMAÑA GONZALO - venta online</t>
  </si>
  <si>
    <t>2025-418</t>
  </si>
  <si>
    <t>9403</t>
  </si>
  <si>
    <t>JOSE LUIS UMAÑA GONZALO</t>
  </si>
  <si>
    <t>LITOGRAFIA SAN RAFAEL // VD-26-01-06</t>
  </si>
  <si>
    <t>002434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</si>
</sst>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/d/yyyy"/>
    <numFmt numFmtId="165" formatCode="_-* #,##0.0_-;\-* #,##0.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1" applyNumberFormat="1" applyFont="1" applyBorder="1"/>
    <xf numFmtId="0" fontId="0" fillId="2" borderId="2" xfId="0" applyFill="1" applyBorder="1"/>
    <xf numFmtId="0" fontId="0" fillId="0" borderId="4" xfId="0" applyBorder="1"/>
    <xf numFmtId="43" fontId="0" fillId="0" borderId="0" xfId="0" applyNumberFormat="1"/>
    <xf numFmtId="9" fontId="0" fillId="0" borderId="0" xfId="0" applyNumberFormat="1"/>
    <xf numFmtId="165" fontId="0" fillId="0" borderId="2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U1767"/>
  <sheetViews>
    <sheetView tabSelected="1" topLeftCell="H1" zoomScale="85" zoomScaleNormal="85" workbookViewId="0">
      <pane ySplit="1" topLeftCell="A1095" activePane="bottomLeft" state="frozen"/>
      <selection pane="bottomLeft" activeCell="K3349" sqref="K3349"/>
    </sheetView>
  </sheetViews>
  <sheetFormatPr defaultColWidth="11.42578125" defaultRowHeight="14.45"/>
  <cols>
    <col min="1" max="1" width="13.28515625" style="1" customWidth="1"/>
    <col min="2" max="2" width="13.85546875" style="2" customWidth="1"/>
    <col min="3" max="3" width="13.5703125" style="3" customWidth="1"/>
    <col min="4" max="4" width="14.5703125" style="3" customWidth="1"/>
    <col min="5" max="5" width="16.140625" style="3" customWidth="1"/>
    <col min="6" max="6" width="54" style="1" customWidth="1"/>
    <col min="7" max="7" width="11.85546875" style="1" customWidth="1"/>
    <col min="8" max="8" width="14.5703125" style="1" customWidth="1"/>
    <col min="9" max="9" width="27.7109375" style="1" customWidth="1"/>
    <col min="10" max="10" width="9.7109375" style="1" customWidth="1"/>
    <col min="11" max="11" width="12.5703125" style="1" customWidth="1"/>
    <col min="12" max="12" width="16.140625" style="1" customWidth="1"/>
    <col min="13" max="13" width="17.28515625" style="1" customWidth="1"/>
    <col min="14" max="14" width="17.140625" style="1" customWidth="1"/>
    <col min="15" max="15" width="17" style="1" customWidth="1"/>
    <col min="16" max="16" width="18.42578125" style="1" customWidth="1"/>
    <col min="17" max="17" width="13" style="1" customWidth="1"/>
    <col min="18" max="18" width="11.85546875" customWidth="1"/>
    <col min="19" max="19" width="53.5703125" bestFit="1" customWidth="1"/>
  </cols>
  <sheetData>
    <row r="1" spans="1: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12" t="s">
        <v>18</v>
      </c>
      <c r="T1" s="12" t="s">
        <v>19</v>
      </c>
      <c r="U1" s="14"/>
    </row>
    <row r="2" spans="1:21">
      <c r="A2" s="11" t="s">
        <v>20</v>
      </c>
      <c r="B2" s="8">
        <v>12539</v>
      </c>
      <c r="C2" s="9">
        <v>46042.660598298608</v>
      </c>
      <c r="D2" s="9">
        <v>46122</v>
      </c>
      <c r="E2" s="9">
        <v>46042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10">
        <v>1007180.14</v>
      </c>
      <c r="M2" s="10">
        <v>201436.02800000002</v>
      </c>
      <c r="N2" s="10">
        <f>+L2-M2</f>
        <v>805744.11199999996</v>
      </c>
      <c r="O2" s="10">
        <v>0</v>
      </c>
      <c r="P2" s="10">
        <f>+L2-O2</f>
        <v>1007180.14</v>
      </c>
      <c r="Q2" s="10">
        <v>201436.02</v>
      </c>
      <c r="R2" s="7" t="s">
        <v>27</v>
      </c>
      <c r="S2" t="s">
        <v>28</v>
      </c>
    </row>
    <row r="3" spans="1:21" hidden="1">
      <c r="A3" s="7" t="s">
        <v>29</v>
      </c>
      <c r="B3" s="8">
        <v>20286</v>
      </c>
      <c r="C3" s="9">
        <v>45883.625972222224</v>
      </c>
      <c r="D3" s="9">
        <v>45883</v>
      </c>
      <c r="E3" s="9">
        <v>45883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10">
        <v>3425684</v>
      </c>
      <c r="M3" s="10">
        <v>1885704.14</v>
      </c>
      <c r="N3" s="10">
        <f>+L3-M3</f>
        <v>1539979.86</v>
      </c>
      <c r="O3" s="10">
        <v>2750971.95</v>
      </c>
      <c r="P3" s="10">
        <f>+L3-O3</f>
        <v>674712.04999999981</v>
      </c>
      <c r="Q3" s="10">
        <v>377138.31</v>
      </c>
      <c r="R3" s="7" t="s">
        <v>27</v>
      </c>
    </row>
    <row r="4" spans="1:21" hidden="1">
      <c r="A4" s="7" t="s">
        <v>29</v>
      </c>
      <c r="B4" s="8">
        <v>20728</v>
      </c>
      <c r="C4" s="9">
        <v>45987.653275462959</v>
      </c>
      <c r="D4" s="9">
        <v>45959</v>
      </c>
      <c r="E4" s="9">
        <v>45959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10">
        <v>798743.02</v>
      </c>
      <c r="M4" s="10">
        <v>239622.91</v>
      </c>
      <c r="N4" s="10">
        <f>+L4-M4</f>
        <v>559120.11</v>
      </c>
      <c r="O4" s="10">
        <v>239622.91</v>
      </c>
      <c r="P4" s="10">
        <f>+L4-O4</f>
        <v>559120.11</v>
      </c>
      <c r="Q4" s="10">
        <v>0</v>
      </c>
      <c r="R4" s="7" t="s">
        <v>27</v>
      </c>
    </row>
    <row r="5" spans="1:21" hidden="1">
      <c r="A5" s="7" t="s">
        <v>29</v>
      </c>
      <c r="B5" s="8">
        <v>20954</v>
      </c>
      <c r="C5" s="9">
        <v>46064.497175925921</v>
      </c>
      <c r="D5" s="9">
        <v>45936</v>
      </c>
      <c r="E5" s="9">
        <v>45936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40</v>
      </c>
      <c r="K5" s="7" t="s">
        <v>46</v>
      </c>
      <c r="L5" s="10">
        <v>942000</v>
      </c>
      <c r="M5" s="10">
        <v>657434.43999999994</v>
      </c>
      <c r="N5" s="10">
        <f>+L5-M5</f>
        <v>284565.56000000006</v>
      </c>
      <c r="O5" s="10">
        <v>469596.03</v>
      </c>
      <c r="P5" s="10">
        <f>+L5-O5</f>
        <v>472403.97</v>
      </c>
      <c r="Q5" s="10">
        <v>187838.41</v>
      </c>
      <c r="R5" s="7" t="s">
        <v>27</v>
      </c>
    </row>
    <row r="6" spans="1:21" hidden="1">
      <c r="A6" s="7" t="s">
        <v>29</v>
      </c>
      <c r="B6" s="8">
        <v>20661</v>
      </c>
      <c r="C6" s="9">
        <v>45965.473738425921</v>
      </c>
      <c r="D6" s="9">
        <v>45961</v>
      </c>
      <c r="E6" s="9">
        <v>45961</v>
      </c>
      <c r="F6" s="7" t="s">
        <v>47</v>
      </c>
      <c r="G6" s="7" t="s">
        <v>48</v>
      </c>
      <c r="H6" s="7" t="s">
        <v>49</v>
      </c>
      <c r="I6" s="7" t="s">
        <v>50</v>
      </c>
      <c r="J6" s="7" t="s">
        <v>40</v>
      </c>
      <c r="K6" s="7" t="s">
        <v>41</v>
      </c>
      <c r="L6" s="10">
        <v>518805.41</v>
      </c>
      <c r="M6" s="10">
        <v>109377.62</v>
      </c>
      <c r="N6" s="10">
        <f>+L6-M6</f>
        <v>409427.79</v>
      </c>
      <c r="O6" s="10">
        <v>109377.62</v>
      </c>
      <c r="P6" s="10">
        <f>+L6-O6</f>
        <v>409427.79</v>
      </c>
      <c r="Q6" s="10">
        <v>0</v>
      </c>
      <c r="R6" s="7" t="s">
        <v>27</v>
      </c>
    </row>
    <row r="7" spans="1:21">
      <c r="A7" s="11" t="s">
        <v>20</v>
      </c>
      <c r="B7" s="8">
        <v>12536</v>
      </c>
      <c r="C7" s="9">
        <v>46041.641816203701</v>
      </c>
      <c r="D7" s="9">
        <v>46233</v>
      </c>
      <c r="E7" s="9">
        <v>46041</v>
      </c>
      <c r="F7" s="7" t="s">
        <v>51</v>
      </c>
      <c r="G7" s="7" t="s">
        <v>52</v>
      </c>
      <c r="H7" s="7" t="s">
        <v>53</v>
      </c>
      <c r="I7" s="7" t="s">
        <v>54</v>
      </c>
      <c r="J7" s="7" t="s">
        <v>25</v>
      </c>
      <c r="K7" s="7" t="s">
        <v>55</v>
      </c>
      <c r="L7" s="10">
        <v>292400</v>
      </c>
      <c r="M7" s="10">
        <v>0</v>
      </c>
      <c r="N7" s="10">
        <f>+L7-M7</f>
        <v>292400</v>
      </c>
      <c r="O7" s="10">
        <v>0</v>
      </c>
      <c r="P7" s="10">
        <f>+L7-O7</f>
        <v>292400</v>
      </c>
      <c r="Q7" s="10">
        <v>0</v>
      </c>
      <c r="R7" s="7" t="s">
        <v>27</v>
      </c>
      <c r="S7" t="s">
        <v>56</v>
      </c>
      <c r="T7" s="10">
        <f>+L7*0.5</f>
        <v>146200</v>
      </c>
    </row>
    <row r="8" spans="1:21" hidden="1">
      <c r="A8" s="11" t="s">
        <v>20</v>
      </c>
      <c r="B8" s="8">
        <v>11963</v>
      </c>
      <c r="C8" s="9">
        <v>45678.430451388886</v>
      </c>
      <c r="D8" s="9">
        <v>45678</v>
      </c>
      <c r="E8" s="9">
        <v>45796</v>
      </c>
      <c r="F8" s="7" t="s">
        <v>57</v>
      </c>
      <c r="G8" s="7" t="s">
        <v>58</v>
      </c>
      <c r="H8" s="7" t="s">
        <v>59</v>
      </c>
      <c r="I8" s="7" t="s">
        <v>60</v>
      </c>
      <c r="J8" s="7" t="s">
        <v>40</v>
      </c>
      <c r="K8" s="7" t="s">
        <v>41</v>
      </c>
      <c r="L8" s="10">
        <v>334852.76</v>
      </c>
      <c r="M8" s="10">
        <v>79228.72</v>
      </c>
      <c r="N8" s="10">
        <f>+L8-M8</f>
        <v>255624.04</v>
      </c>
      <c r="O8" s="10">
        <v>79228.72</v>
      </c>
      <c r="P8" s="10">
        <f>+L8-O8</f>
        <v>255624.04</v>
      </c>
      <c r="Q8" s="10">
        <v>0</v>
      </c>
      <c r="R8" s="7" t="s">
        <v>27</v>
      </c>
      <c r="T8" s="10"/>
    </row>
    <row r="9" spans="1:21" hidden="1">
      <c r="A9" s="11" t="s">
        <v>20</v>
      </c>
      <c r="B9" s="8">
        <v>12551</v>
      </c>
      <c r="C9" s="9">
        <v>46051.660370370366</v>
      </c>
      <c r="D9" s="9">
        <v>46051</v>
      </c>
      <c r="E9" s="9">
        <v>46051</v>
      </c>
      <c r="F9" s="7" t="s">
        <v>61</v>
      </c>
      <c r="G9" s="7" t="s">
        <v>62</v>
      </c>
      <c r="H9" s="7" t="s">
        <v>63</v>
      </c>
      <c r="I9" s="7" t="s">
        <v>64</v>
      </c>
      <c r="J9" s="7" t="s">
        <v>40</v>
      </c>
      <c r="K9" s="7" t="s">
        <v>46</v>
      </c>
      <c r="L9" s="10">
        <v>181946.68</v>
      </c>
      <c r="M9" s="10">
        <v>0</v>
      </c>
      <c r="N9" s="10">
        <f>+L9-M9</f>
        <v>181946.68</v>
      </c>
      <c r="O9" s="10">
        <v>0</v>
      </c>
      <c r="P9" s="10">
        <f>+L9-O9</f>
        <v>181946.68</v>
      </c>
      <c r="Q9" s="10">
        <v>0</v>
      </c>
      <c r="R9" s="7" t="s">
        <v>27</v>
      </c>
      <c r="T9" s="10"/>
    </row>
    <row r="10" spans="1:21" hidden="1">
      <c r="A10" s="11" t="s">
        <v>20</v>
      </c>
      <c r="B10" s="8">
        <v>12490</v>
      </c>
      <c r="C10" s="9">
        <v>45995.440081018518</v>
      </c>
      <c r="D10" s="9">
        <v>45995</v>
      </c>
      <c r="E10" s="9">
        <v>45995</v>
      </c>
      <c r="F10" s="7" t="s">
        <v>65</v>
      </c>
      <c r="G10" s="7" t="s">
        <v>66</v>
      </c>
      <c r="H10" s="7" t="s">
        <v>67</v>
      </c>
      <c r="I10" s="7" t="s">
        <v>68</v>
      </c>
      <c r="J10" s="7" t="s">
        <v>40</v>
      </c>
      <c r="K10" s="7" t="s">
        <v>46</v>
      </c>
      <c r="L10" s="10">
        <v>163865</v>
      </c>
      <c r="M10" s="10">
        <v>82711.320000000007</v>
      </c>
      <c r="N10" s="10">
        <f>+L10-M10</f>
        <v>81153.679999999993</v>
      </c>
      <c r="O10" s="10">
        <v>0</v>
      </c>
      <c r="P10" s="10">
        <f>+L10-O10</f>
        <v>163865</v>
      </c>
      <c r="Q10" s="10">
        <v>82711.320000000007</v>
      </c>
      <c r="R10" s="7" t="s">
        <v>27</v>
      </c>
      <c r="T10" s="10"/>
    </row>
    <row r="11" spans="1:21">
      <c r="A11" s="11" t="s">
        <v>20</v>
      </c>
      <c r="B11" s="8">
        <v>12537</v>
      </c>
      <c r="C11" s="9">
        <v>46042.456979745366</v>
      </c>
      <c r="D11" s="9">
        <v>46195</v>
      </c>
      <c r="E11" s="9">
        <v>46083</v>
      </c>
      <c r="F11" s="7" t="s">
        <v>69</v>
      </c>
      <c r="G11" s="7" t="s">
        <v>70</v>
      </c>
      <c r="H11" s="7" t="s">
        <v>53</v>
      </c>
      <c r="I11" s="7" t="s">
        <v>54</v>
      </c>
      <c r="J11" s="7" t="s">
        <v>25</v>
      </c>
      <c r="K11" s="7" t="s">
        <v>55</v>
      </c>
      <c r="L11" s="10">
        <v>140601.5</v>
      </c>
      <c r="M11" s="10">
        <v>0</v>
      </c>
      <c r="N11" s="10">
        <f>+L11-M11</f>
        <v>140601.5</v>
      </c>
      <c r="O11" s="10">
        <v>0</v>
      </c>
      <c r="P11" s="10">
        <f>+L11-O11</f>
        <v>140601.5</v>
      </c>
      <c r="Q11" s="10">
        <v>0</v>
      </c>
      <c r="R11" s="7" t="s">
        <v>27</v>
      </c>
      <c r="S11" t="s">
        <v>56</v>
      </c>
      <c r="T11" s="10">
        <f>+L11*0.5</f>
        <v>70300.75</v>
      </c>
    </row>
    <row r="12" spans="1:21">
      <c r="A12" s="11" t="s">
        <v>20</v>
      </c>
      <c r="B12" s="8">
        <v>12538</v>
      </c>
      <c r="C12" s="9">
        <v>46042.644409722219</v>
      </c>
      <c r="D12" s="9">
        <v>46076</v>
      </c>
      <c r="E12" s="9">
        <v>46076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25</v>
      </c>
      <c r="K12" s="7" t="s">
        <v>26</v>
      </c>
      <c r="L12" s="10">
        <v>137521</v>
      </c>
      <c r="M12" s="10">
        <v>42595</v>
      </c>
      <c r="N12" s="10">
        <f>+L12-M12</f>
        <v>94926</v>
      </c>
      <c r="O12" s="10">
        <v>0</v>
      </c>
      <c r="P12" s="10">
        <f>+L12-O12</f>
        <v>137521</v>
      </c>
      <c r="Q12" s="10">
        <v>0</v>
      </c>
      <c r="R12" s="7" t="s">
        <v>27</v>
      </c>
      <c r="S12" t="s">
        <v>28</v>
      </c>
    </row>
    <row r="13" spans="1:21" hidden="1">
      <c r="A13" s="7" t="s">
        <v>29</v>
      </c>
      <c r="B13" s="8">
        <v>20802</v>
      </c>
      <c r="C13" s="9">
        <v>46014.377268518518</v>
      </c>
      <c r="D13" s="9">
        <v>45989</v>
      </c>
      <c r="E13" s="9">
        <v>45989</v>
      </c>
      <c r="F13" s="7" t="s">
        <v>75</v>
      </c>
      <c r="G13" s="7" t="s">
        <v>76</v>
      </c>
      <c r="H13" s="7" t="s">
        <v>77</v>
      </c>
      <c r="I13" s="7" t="s">
        <v>78</v>
      </c>
      <c r="J13" s="7" t="s">
        <v>40</v>
      </c>
      <c r="K13" s="7" t="s">
        <v>46</v>
      </c>
      <c r="L13" s="10">
        <v>137460.45000000001</v>
      </c>
      <c r="M13" s="10">
        <v>68730.23</v>
      </c>
      <c r="N13" s="10">
        <f>+L13-M13</f>
        <v>68730.220000000016</v>
      </c>
      <c r="O13" s="10">
        <v>0</v>
      </c>
      <c r="P13" s="10">
        <f>+L13-O13</f>
        <v>137460.45000000001</v>
      </c>
      <c r="Q13" s="10">
        <v>68730.23</v>
      </c>
      <c r="R13" s="7" t="s">
        <v>27</v>
      </c>
    </row>
    <row r="14" spans="1:21" hidden="1">
      <c r="A14" s="7" t="s">
        <v>29</v>
      </c>
      <c r="B14" s="8">
        <v>20523</v>
      </c>
      <c r="C14" s="9">
        <v>45929.673750000002</v>
      </c>
      <c r="D14" s="9">
        <v>46009</v>
      </c>
      <c r="E14" s="9">
        <v>45789</v>
      </c>
      <c r="F14" s="7" t="s">
        <v>79</v>
      </c>
      <c r="G14" s="7" t="s">
        <v>80</v>
      </c>
      <c r="H14" s="7" t="s">
        <v>81</v>
      </c>
      <c r="I14" s="7" t="s">
        <v>82</v>
      </c>
      <c r="J14" s="7" t="s">
        <v>40</v>
      </c>
      <c r="K14" s="7" t="s">
        <v>41</v>
      </c>
      <c r="L14" s="10">
        <v>526747</v>
      </c>
      <c r="M14" s="10">
        <v>416221.55</v>
      </c>
      <c r="N14" s="10">
        <f>+L14-M14</f>
        <v>110525.45000000001</v>
      </c>
      <c r="O14" s="10">
        <v>416221.55</v>
      </c>
      <c r="P14" s="10">
        <f>+L14-O14</f>
        <v>110525.45000000001</v>
      </c>
      <c r="Q14" s="10">
        <v>0</v>
      </c>
      <c r="R14" s="7" t="s">
        <v>27</v>
      </c>
    </row>
    <row r="15" spans="1:21" hidden="1">
      <c r="A15" s="7" t="s">
        <v>29</v>
      </c>
      <c r="B15" s="8">
        <v>4268</v>
      </c>
      <c r="C15" s="9">
        <v>45933.354537037034</v>
      </c>
      <c r="D15" s="9">
        <v>45902</v>
      </c>
      <c r="E15" s="9">
        <v>46023</v>
      </c>
      <c r="F15" s="7" t="s">
        <v>83</v>
      </c>
      <c r="G15" s="7" t="s">
        <v>84</v>
      </c>
      <c r="H15" s="7" t="s">
        <v>85</v>
      </c>
      <c r="I15" s="7" t="s">
        <v>24</v>
      </c>
      <c r="J15" s="7" t="s">
        <v>25</v>
      </c>
      <c r="K15" s="7" t="s">
        <v>86</v>
      </c>
      <c r="L15" s="10">
        <v>96560</v>
      </c>
      <c r="M15" s="10">
        <f>+L15*0.25</f>
        <v>24140</v>
      </c>
      <c r="N15" s="15">
        <f>+L15-M15</f>
        <v>72420</v>
      </c>
      <c r="O15" s="15">
        <v>0</v>
      </c>
      <c r="P15" s="15">
        <f>+L15-O15</f>
        <v>96560</v>
      </c>
      <c r="Q15" s="10">
        <v>0</v>
      </c>
      <c r="R15" s="7" t="s">
        <v>87</v>
      </c>
      <c r="S15" t="s">
        <v>88</v>
      </c>
      <c r="T15">
        <v>21000</v>
      </c>
    </row>
    <row r="16" spans="1:21" hidden="1">
      <c r="A16" s="7" t="s">
        <v>29</v>
      </c>
      <c r="B16" s="8">
        <v>20398</v>
      </c>
      <c r="C16" s="9">
        <v>45903.721886574072</v>
      </c>
      <c r="D16" s="9">
        <v>45902</v>
      </c>
      <c r="E16" s="9">
        <v>45777</v>
      </c>
      <c r="F16" s="7" t="s">
        <v>89</v>
      </c>
      <c r="G16" s="7" t="s">
        <v>90</v>
      </c>
      <c r="H16" s="7" t="s">
        <v>91</v>
      </c>
      <c r="I16" s="7" t="s">
        <v>92</v>
      </c>
      <c r="J16" s="7" t="s">
        <v>40</v>
      </c>
      <c r="K16" s="7" t="s">
        <v>41</v>
      </c>
      <c r="L16" s="10">
        <v>153000</v>
      </c>
      <c r="M16" s="10">
        <v>61200.160000000003</v>
      </c>
      <c r="N16" s="10">
        <f>+L16-M16</f>
        <v>91799.84</v>
      </c>
      <c r="O16" s="10">
        <v>61200.160000000003</v>
      </c>
      <c r="P16" s="10">
        <f>+L16-O16</f>
        <v>91799.84</v>
      </c>
      <c r="Q16" s="10">
        <v>0</v>
      </c>
      <c r="R16" s="7" t="s">
        <v>27</v>
      </c>
    </row>
    <row r="17" spans="1:21" hidden="1">
      <c r="A17" s="7" t="s">
        <v>29</v>
      </c>
      <c r="B17" s="8">
        <v>20707</v>
      </c>
      <c r="C17" s="9">
        <v>45979.676435185182</v>
      </c>
      <c r="D17" s="9">
        <v>45979</v>
      </c>
      <c r="E17" s="9">
        <v>45982</v>
      </c>
      <c r="F17" s="7" t="s">
        <v>93</v>
      </c>
      <c r="G17" s="7" t="s">
        <v>94</v>
      </c>
      <c r="H17" s="7" t="s">
        <v>95</v>
      </c>
      <c r="I17" s="7" t="s">
        <v>96</v>
      </c>
      <c r="J17" s="7" t="s">
        <v>34</v>
      </c>
      <c r="K17" s="7" t="s">
        <v>35</v>
      </c>
      <c r="L17" s="10">
        <v>87606.29</v>
      </c>
      <c r="M17" s="10">
        <v>17521.240000000002</v>
      </c>
      <c r="N17" s="10">
        <f>+L17-M17</f>
        <v>70085.049999999988</v>
      </c>
      <c r="O17" s="10">
        <v>0</v>
      </c>
      <c r="P17" s="10">
        <f>+L17-O17</f>
        <v>87606.29</v>
      </c>
      <c r="Q17" s="10">
        <v>17521.240000000002</v>
      </c>
      <c r="R17" s="7" t="s">
        <v>27</v>
      </c>
    </row>
    <row r="18" spans="1:21" hidden="1">
      <c r="A18" s="11" t="s">
        <v>20</v>
      </c>
      <c r="B18" s="8">
        <v>12502</v>
      </c>
      <c r="C18" s="9">
        <v>46006.354143518518</v>
      </c>
      <c r="D18" s="9">
        <v>46006</v>
      </c>
      <c r="E18" s="9">
        <v>46097</v>
      </c>
      <c r="F18" s="7" t="s">
        <v>97</v>
      </c>
      <c r="G18" s="7" t="s">
        <v>98</v>
      </c>
      <c r="H18" s="7" t="s">
        <v>99</v>
      </c>
      <c r="I18" s="7" t="s">
        <v>100</v>
      </c>
      <c r="J18" s="7" t="s">
        <v>40</v>
      </c>
      <c r="K18" s="7" t="s">
        <v>41</v>
      </c>
      <c r="L18" s="10">
        <v>87205.16</v>
      </c>
      <c r="M18" s="10">
        <v>0</v>
      </c>
      <c r="N18" s="10">
        <f>+L18-M18</f>
        <v>87205.16</v>
      </c>
      <c r="O18" s="10">
        <v>0</v>
      </c>
      <c r="P18" s="10">
        <f>+L18-O18</f>
        <v>87205.16</v>
      </c>
      <c r="Q18" s="10">
        <v>0</v>
      </c>
      <c r="R18" s="7" t="s">
        <v>27</v>
      </c>
    </row>
    <row r="19" spans="1:21" hidden="1">
      <c r="A19" s="7" t="s">
        <v>29</v>
      </c>
      <c r="B19" s="8">
        <v>20840</v>
      </c>
      <c r="C19" s="9">
        <v>46029.663715277777</v>
      </c>
      <c r="D19" s="9">
        <v>46029</v>
      </c>
      <c r="E19" s="9">
        <v>46052</v>
      </c>
      <c r="F19" s="7" t="s">
        <v>101</v>
      </c>
      <c r="G19" s="7" t="s">
        <v>102</v>
      </c>
      <c r="H19" s="7" t="s">
        <v>103</v>
      </c>
      <c r="I19" s="7" t="s">
        <v>104</v>
      </c>
      <c r="J19" s="7" t="s">
        <v>34</v>
      </c>
      <c r="K19" s="7" t="s">
        <v>105</v>
      </c>
      <c r="L19" s="10">
        <v>86574.95</v>
      </c>
      <c r="M19" s="10">
        <v>0</v>
      </c>
      <c r="N19" s="10">
        <f>+L19-M19</f>
        <v>86574.95</v>
      </c>
      <c r="O19" s="10">
        <v>0</v>
      </c>
      <c r="P19" s="10">
        <f>+L19-O19</f>
        <v>86574.95</v>
      </c>
      <c r="Q19" s="10">
        <v>0</v>
      </c>
      <c r="R19" s="7" t="s">
        <v>27</v>
      </c>
    </row>
    <row r="20" spans="1:21" hidden="1">
      <c r="A20" s="7" t="s">
        <v>29</v>
      </c>
      <c r="B20" s="8">
        <v>20682</v>
      </c>
      <c r="C20" s="9">
        <v>45968.487905092588</v>
      </c>
      <c r="D20" s="9">
        <v>45968</v>
      </c>
      <c r="E20" s="9">
        <v>45951</v>
      </c>
      <c r="F20" s="7" t="s">
        <v>106</v>
      </c>
      <c r="G20" s="7" t="s">
        <v>107</v>
      </c>
      <c r="H20" s="7" t="s">
        <v>108</v>
      </c>
      <c r="I20" s="7" t="s">
        <v>24</v>
      </c>
      <c r="J20" s="7" t="s">
        <v>34</v>
      </c>
      <c r="K20" s="7" t="s">
        <v>105</v>
      </c>
      <c r="L20" s="10">
        <v>90905.22</v>
      </c>
      <c r="M20" s="10">
        <v>0</v>
      </c>
      <c r="N20" s="10">
        <f>+L20-M20</f>
        <v>90905.22</v>
      </c>
      <c r="O20" s="10">
        <v>8689.84</v>
      </c>
      <c r="P20" s="10">
        <f>+L20-O20</f>
        <v>82215.38</v>
      </c>
      <c r="Q20" s="10">
        <v>0</v>
      </c>
      <c r="R20" s="7" t="s">
        <v>27</v>
      </c>
      <c r="U20" s="13"/>
    </row>
    <row r="21" spans="1:21" hidden="1">
      <c r="A21" s="11" t="s">
        <v>20</v>
      </c>
      <c r="B21" s="8">
        <v>12505</v>
      </c>
      <c r="C21" s="9">
        <v>46014.498240740737</v>
      </c>
      <c r="D21" s="9">
        <v>46014</v>
      </c>
      <c r="E21" s="9">
        <v>46014</v>
      </c>
      <c r="F21" s="7" t="s">
        <v>109</v>
      </c>
      <c r="G21" s="7" t="s">
        <v>110</v>
      </c>
      <c r="H21" s="7" t="s">
        <v>111</v>
      </c>
      <c r="I21" s="7" t="s">
        <v>112</v>
      </c>
      <c r="J21" s="7" t="s">
        <v>40</v>
      </c>
      <c r="K21" s="7" t="s">
        <v>113</v>
      </c>
      <c r="L21" s="10">
        <v>155751.91</v>
      </c>
      <c r="M21" s="10">
        <v>76569.84</v>
      </c>
      <c r="N21" s="10">
        <f>+L21-M21</f>
        <v>79182.070000000007</v>
      </c>
      <c r="O21" s="10">
        <v>77875.960000000006</v>
      </c>
      <c r="P21" s="10">
        <f>+L21-O21</f>
        <v>77875.95</v>
      </c>
      <c r="Q21" s="10">
        <v>0</v>
      </c>
      <c r="R21" s="7" t="s">
        <v>27</v>
      </c>
    </row>
    <row r="22" spans="1:21" hidden="1">
      <c r="A22" s="7" t="s">
        <v>29</v>
      </c>
      <c r="B22" s="8">
        <v>20501</v>
      </c>
      <c r="C22" s="9">
        <v>45924.345231481479</v>
      </c>
      <c r="D22" s="9">
        <v>45924</v>
      </c>
      <c r="E22" s="9">
        <v>45923</v>
      </c>
      <c r="F22" s="7" t="s">
        <v>114</v>
      </c>
      <c r="G22" s="7" t="s">
        <v>115</v>
      </c>
      <c r="H22" s="7" t="s">
        <v>116</v>
      </c>
      <c r="I22" s="7" t="s">
        <v>117</v>
      </c>
      <c r="J22" s="7" t="s">
        <v>34</v>
      </c>
      <c r="K22" s="7" t="s">
        <v>118</v>
      </c>
      <c r="L22" s="10">
        <v>192660.49</v>
      </c>
      <c r="M22" s="10">
        <v>115596.3</v>
      </c>
      <c r="N22" s="10">
        <f>+L22-M22</f>
        <v>77064.189999999988</v>
      </c>
      <c r="O22" s="10">
        <v>115596.3</v>
      </c>
      <c r="P22" s="10">
        <f>+L22-O22</f>
        <v>77064.189999999988</v>
      </c>
      <c r="Q22" s="10">
        <v>0</v>
      </c>
      <c r="R22" s="7" t="s">
        <v>27</v>
      </c>
    </row>
    <row r="23" spans="1:21" hidden="1">
      <c r="A23" s="7" t="s">
        <v>29</v>
      </c>
      <c r="B23" s="8">
        <v>20874</v>
      </c>
      <c r="C23" s="9">
        <v>46041.383900462963</v>
      </c>
      <c r="D23" s="9">
        <v>46014</v>
      </c>
      <c r="E23" s="9">
        <v>46014</v>
      </c>
      <c r="F23" s="7" t="s">
        <v>109</v>
      </c>
      <c r="G23" s="7" t="s">
        <v>119</v>
      </c>
      <c r="H23" s="7" t="s">
        <v>120</v>
      </c>
      <c r="I23" s="7" t="s">
        <v>112</v>
      </c>
      <c r="J23" s="7" t="s">
        <v>40</v>
      </c>
      <c r="K23" s="7" t="s">
        <v>113</v>
      </c>
      <c r="L23" s="10">
        <v>153139.68</v>
      </c>
      <c r="M23" s="10">
        <v>76569.84</v>
      </c>
      <c r="N23" s="10">
        <f>+L23-M23</f>
        <v>76569.84</v>
      </c>
      <c r="O23" s="10">
        <v>77875.960000000006</v>
      </c>
      <c r="P23" s="10">
        <f>+L23-O23</f>
        <v>75263.719999999987</v>
      </c>
      <c r="Q23" s="10">
        <v>0</v>
      </c>
      <c r="R23" s="7" t="s">
        <v>27</v>
      </c>
    </row>
    <row r="24" spans="1:21" hidden="1">
      <c r="A24" s="7" t="s">
        <v>29</v>
      </c>
      <c r="B24" s="8">
        <v>4293</v>
      </c>
      <c r="C24" s="9">
        <v>45978.658567361112</v>
      </c>
      <c r="D24" s="9">
        <v>46052</v>
      </c>
      <c r="E24" s="9">
        <v>45974</v>
      </c>
      <c r="F24" s="7" t="s">
        <v>121</v>
      </c>
      <c r="G24" s="7" t="s">
        <v>122</v>
      </c>
      <c r="H24" s="7" t="s">
        <v>123</v>
      </c>
      <c r="I24" s="7" t="s">
        <v>124</v>
      </c>
      <c r="J24" s="7" t="s">
        <v>25</v>
      </c>
      <c r="K24" s="7" t="s">
        <v>125</v>
      </c>
      <c r="L24" s="10">
        <v>180039.74</v>
      </c>
      <c r="M24" s="10">
        <v>54011.92</v>
      </c>
      <c r="N24" s="15">
        <f>+L24-M24</f>
        <v>126027.81999999999</v>
      </c>
      <c r="O24" s="15">
        <v>108023.84</v>
      </c>
      <c r="P24" s="15">
        <f>+L24-O24</f>
        <v>72015.899999999994</v>
      </c>
      <c r="Q24" s="10">
        <v>0</v>
      </c>
      <c r="R24" s="7" t="s">
        <v>87</v>
      </c>
      <c r="S24" t="s">
        <v>126</v>
      </c>
    </row>
    <row r="25" spans="1:21" hidden="1">
      <c r="A25" s="7" t="s">
        <v>29</v>
      </c>
      <c r="B25" s="8">
        <v>4319</v>
      </c>
      <c r="C25" s="9">
        <v>46007.326221840274</v>
      </c>
      <c r="D25" s="9">
        <v>45943</v>
      </c>
      <c r="E25" s="9">
        <v>46015</v>
      </c>
      <c r="F25" s="7" t="s">
        <v>127</v>
      </c>
      <c r="G25" s="7" t="s">
        <v>128</v>
      </c>
      <c r="H25" s="7" t="s">
        <v>129</v>
      </c>
      <c r="I25" s="7" t="s">
        <v>130</v>
      </c>
      <c r="J25" s="7" t="s">
        <v>25</v>
      </c>
      <c r="K25" s="7" t="s">
        <v>86</v>
      </c>
      <c r="L25" s="10">
        <v>71433.02</v>
      </c>
      <c r="M25" s="10">
        <f>+L25*0.25</f>
        <v>17858.255000000001</v>
      </c>
      <c r="N25" s="15">
        <f>+L25-M25</f>
        <v>53574.764999999999</v>
      </c>
      <c r="O25" s="15">
        <v>0</v>
      </c>
      <c r="P25" s="15">
        <f>+L25-O25</f>
        <v>71433.02</v>
      </c>
      <c r="Q25" s="10">
        <v>0</v>
      </c>
      <c r="R25" s="7" t="s">
        <v>87</v>
      </c>
      <c r="S25" t="s">
        <v>131</v>
      </c>
    </row>
    <row r="26" spans="1:21" hidden="1">
      <c r="A26" s="7" t="s">
        <v>29</v>
      </c>
      <c r="B26" s="8">
        <v>20214</v>
      </c>
      <c r="C26" s="9">
        <v>45870.364131944443</v>
      </c>
      <c r="D26" s="9">
        <v>45870</v>
      </c>
      <c r="E26" s="9">
        <v>46055</v>
      </c>
      <c r="F26" s="7" t="s">
        <v>132</v>
      </c>
      <c r="G26" s="7" t="s">
        <v>133</v>
      </c>
      <c r="H26" s="7" t="s">
        <v>134</v>
      </c>
      <c r="I26" s="7" t="s">
        <v>135</v>
      </c>
      <c r="J26" s="7" t="s">
        <v>34</v>
      </c>
      <c r="K26" s="7" t="s">
        <v>118</v>
      </c>
      <c r="L26" s="10">
        <v>69895.45</v>
      </c>
      <c r="M26" s="10">
        <v>0</v>
      </c>
      <c r="N26" s="10">
        <f>+L26-M26</f>
        <v>69895.45</v>
      </c>
      <c r="O26" s="10">
        <v>0</v>
      </c>
      <c r="P26" s="10">
        <f>+L26-O26</f>
        <v>69895.45</v>
      </c>
      <c r="Q26" s="10">
        <v>0</v>
      </c>
      <c r="R26" s="7" t="s">
        <v>27</v>
      </c>
    </row>
    <row r="27" spans="1:21" hidden="1">
      <c r="A27" s="7" t="s">
        <v>29</v>
      </c>
      <c r="B27" s="8">
        <v>20013</v>
      </c>
      <c r="C27" s="9">
        <v>45833.413576388884</v>
      </c>
      <c r="D27" s="9">
        <v>45817</v>
      </c>
      <c r="E27" s="9">
        <v>45817</v>
      </c>
      <c r="F27" s="7" t="s">
        <v>136</v>
      </c>
      <c r="G27" s="7" t="s">
        <v>137</v>
      </c>
      <c r="H27" s="7" t="s">
        <v>138</v>
      </c>
      <c r="I27" s="7" t="s">
        <v>139</v>
      </c>
      <c r="J27" s="7" t="s">
        <v>40</v>
      </c>
      <c r="K27" s="7" t="s">
        <v>140</v>
      </c>
      <c r="L27" s="10">
        <v>230546.13</v>
      </c>
      <c r="M27" s="10">
        <v>161382.29999999999</v>
      </c>
      <c r="N27" s="10">
        <f>+L27-M27</f>
        <v>69163.830000000016</v>
      </c>
      <c r="O27" s="10">
        <v>161382.29999999999</v>
      </c>
      <c r="P27" s="10">
        <f>+L27-O27</f>
        <v>69163.830000000016</v>
      </c>
      <c r="Q27" s="10">
        <v>0</v>
      </c>
      <c r="R27" s="7" t="s">
        <v>27</v>
      </c>
    </row>
    <row r="28" spans="1:21" hidden="1">
      <c r="A28" s="7" t="s">
        <v>29</v>
      </c>
      <c r="B28" s="8">
        <v>20783</v>
      </c>
      <c r="C28" s="9">
        <v>46009.420775462961</v>
      </c>
      <c r="D28" s="9">
        <v>46009</v>
      </c>
      <c r="E28" s="9">
        <v>46008</v>
      </c>
      <c r="F28" s="7" t="s">
        <v>141</v>
      </c>
      <c r="G28" s="7" t="s">
        <v>142</v>
      </c>
      <c r="H28" s="7" t="s">
        <v>143</v>
      </c>
      <c r="I28" s="7" t="s">
        <v>144</v>
      </c>
      <c r="J28" s="7" t="s">
        <v>34</v>
      </c>
      <c r="K28" s="7" t="s">
        <v>118</v>
      </c>
      <c r="L28" s="10">
        <v>64667.88</v>
      </c>
      <c r="M28" s="10">
        <v>0</v>
      </c>
      <c r="N28" s="10">
        <f>+L28-M28</f>
        <v>64667.88</v>
      </c>
      <c r="O28" s="10">
        <v>0</v>
      </c>
      <c r="P28" s="10">
        <f>+L28-O28</f>
        <v>64667.88</v>
      </c>
      <c r="Q28" s="10">
        <v>0</v>
      </c>
      <c r="R28" s="7" t="s">
        <v>27</v>
      </c>
    </row>
    <row r="29" spans="1:21" hidden="1">
      <c r="A29" s="7" t="s">
        <v>29</v>
      </c>
      <c r="B29" s="8">
        <v>4295</v>
      </c>
      <c r="C29" s="9">
        <v>45982.487305671297</v>
      </c>
      <c r="D29" s="9">
        <v>45897</v>
      </c>
      <c r="E29" s="9">
        <v>45897</v>
      </c>
      <c r="F29" s="7" t="s">
        <v>145</v>
      </c>
      <c r="G29" s="7" t="s">
        <v>146</v>
      </c>
      <c r="H29" s="7" t="s">
        <v>147</v>
      </c>
      <c r="I29" s="7" t="s">
        <v>24</v>
      </c>
      <c r="J29" s="7" t="s">
        <v>25</v>
      </c>
      <c r="K29" s="7" t="s">
        <v>86</v>
      </c>
      <c r="L29" s="10">
        <v>63485.07</v>
      </c>
      <c r="M29" s="10">
        <v>0</v>
      </c>
      <c r="N29" s="15">
        <f>+L29-M29</f>
        <v>63485.07</v>
      </c>
      <c r="O29" s="15">
        <v>0</v>
      </c>
      <c r="P29" s="15">
        <f>+L29-O29</f>
        <v>63485.07</v>
      </c>
      <c r="Q29" s="10">
        <v>0</v>
      </c>
      <c r="R29" s="7" t="s">
        <v>87</v>
      </c>
      <c r="S29" t="s">
        <v>148</v>
      </c>
    </row>
    <row r="30" spans="1:21">
      <c r="A30" s="11" t="s">
        <v>20</v>
      </c>
      <c r="B30" s="8">
        <v>12561</v>
      </c>
      <c r="C30" s="9">
        <v>46066.588913460648</v>
      </c>
      <c r="D30" s="9">
        <v>46094</v>
      </c>
      <c r="E30" s="9">
        <v>46066</v>
      </c>
      <c r="F30" s="7" t="s">
        <v>149</v>
      </c>
      <c r="G30" s="7" t="s">
        <v>150</v>
      </c>
      <c r="H30" s="7" t="s">
        <v>151</v>
      </c>
      <c r="I30" s="7" t="s">
        <v>104</v>
      </c>
      <c r="J30" s="7" t="s">
        <v>25</v>
      </c>
      <c r="K30" s="7" t="s">
        <v>26</v>
      </c>
      <c r="L30" s="10">
        <v>63431.88</v>
      </c>
      <c r="M30" s="10">
        <v>0</v>
      </c>
      <c r="N30" s="10">
        <f>+L30-M30</f>
        <v>63431.88</v>
      </c>
      <c r="O30" s="10">
        <v>0</v>
      </c>
      <c r="P30" s="10">
        <f>+L30-O30</f>
        <v>63431.88</v>
      </c>
      <c r="Q30" s="10">
        <v>0</v>
      </c>
      <c r="R30" s="7" t="s">
        <v>27</v>
      </c>
      <c r="S30" t="s">
        <v>152</v>
      </c>
    </row>
    <row r="31" spans="1:21">
      <c r="A31" s="7" t="s">
        <v>29</v>
      </c>
      <c r="B31" s="8">
        <v>20701</v>
      </c>
      <c r="C31" s="9">
        <v>45975.628136574072</v>
      </c>
      <c r="D31" s="9">
        <v>45932</v>
      </c>
      <c r="E31" s="9">
        <v>46015</v>
      </c>
      <c r="F31" s="7" t="s">
        <v>153</v>
      </c>
      <c r="G31" s="11" t="s">
        <v>154</v>
      </c>
      <c r="H31" s="7" t="s">
        <v>155</v>
      </c>
      <c r="I31" s="7" t="s">
        <v>156</v>
      </c>
      <c r="J31" s="7" t="s">
        <v>25</v>
      </c>
      <c r="K31" s="7" t="s">
        <v>55</v>
      </c>
      <c r="L31" s="10">
        <v>272742.46999999997</v>
      </c>
      <c r="M31" s="10">
        <v>136371.23000000001</v>
      </c>
      <c r="N31" s="10">
        <f>+L31-M31</f>
        <v>136371.23999999996</v>
      </c>
      <c r="O31" s="10">
        <v>190919.73</v>
      </c>
      <c r="P31" s="10">
        <v>61822.74</v>
      </c>
      <c r="Q31" s="10">
        <v>0</v>
      </c>
      <c r="R31" s="7" t="s">
        <v>27</v>
      </c>
      <c r="S31" t="s">
        <v>157</v>
      </c>
    </row>
    <row r="32" spans="1:21" hidden="1">
      <c r="A32" s="7" t="s">
        <v>29</v>
      </c>
      <c r="B32" s="8">
        <v>19341</v>
      </c>
      <c r="C32" s="9">
        <v>45678.463692129626</v>
      </c>
      <c r="D32" s="9">
        <v>45991</v>
      </c>
      <c r="E32" s="9">
        <v>45824</v>
      </c>
      <c r="F32" s="7" t="s">
        <v>158</v>
      </c>
      <c r="G32" s="7" t="s">
        <v>159</v>
      </c>
      <c r="H32" s="7" t="s">
        <v>160</v>
      </c>
      <c r="I32" s="7" t="s">
        <v>60</v>
      </c>
      <c r="J32" s="7" t="s">
        <v>40</v>
      </c>
      <c r="K32" s="7" t="s">
        <v>41</v>
      </c>
      <c r="L32" s="10">
        <v>396143.41</v>
      </c>
      <c r="M32" s="10">
        <v>339345.06</v>
      </c>
      <c r="N32" s="10">
        <f>+L32-M32</f>
        <v>56798.349999999977</v>
      </c>
      <c r="O32" s="10">
        <v>339345.06</v>
      </c>
      <c r="P32" s="10">
        <f>+L32-O32</f>
        <v>56798.349999999977</v>
      </c>
      <c r="Q32" s="10">
        <v>0</v>
      </c>
      <c r="R32" s="7" t="s">
        <v>27</v>
      </c>
    </row>
    <row r="33" spans="1:19" hidden="1">
      <c r="A33" s="7" t="s">
        <v>29</v>
      </c>
      <c r="B33" s="8">
        <v>20518</v>
      </c>
      <c r="C33" s="9">
        <v>45929.491087962961</v>
      </c>
      <c r="D33" s="9">
        <v>45964</v>
      </c>
      <c r="E33" s="9">
        <v>45923</v>
      </c>
      <c r="F33" s="7" t="s">
        <v>161</v>
      </c>
      <c r="G33" s="7" t="s">
        <v>162</v>
      </c>
      <c r="H33" s="7" t="s">
        <v>163</v>
      </c>
      <c r="I33" s="7" t="s">
        <v>164</v>
      </c>
      <c r="J33" s="7" t="s">
        <v>40</v>
      </c>
      <c r="K33" s="7" t="s">
        <v>41</v>
      </c>
      <c r="L33" s="10">
        <v>94069.86</v>
      </c>
      <c r="M33" s="10">
        <v>41779.65</v>
      </c>
      <c r="N33" s="10">
        <f>+L33-M33</f>
        <v>52290.21</v>
      </c>
      <c r="O33" s="10">
        <v>41779.65</v>
      </c>
      <c r="P33" s="10">
        <f>+L33-O33</f>
        <v>52290.21</v>
      </c>
      <c r="Q33" s="10">
        <v>0</v>
      </c>
      <c r="R33" s="7" t="s">
        <v>27</v>
      </c>
    </row>
    <row r="34" spans="1:19">
      <c r="A34" s="11" t="s">
        <v>20</v>
      </c>
      <c r="B34" s="8">
        <v>12516</v>
      </c>
      <c r="C34" s="9">
        <v>46027.633680555555</v>
      </c>
      <c r="D34" s="9">
        <v>46085</v>
      </c>
      <c r="E34" s="9" t="s">
        <v>165</v>
      </c>
      <c r="F34" s="7" t="s">
        <v>166</v>
      </c>
      <c r="G34" s="7" t="s">
        <v>167</v>
      </c>
      <c r="H34" s="7" t="s">
        <v>168</v>
      </c>
      <c r="I34" s="7" t="s">
        <v>169</v>
      </c>
      <c r="J34" s="7" t="s">
        <v>25</v>
      </c>
      <c r="K34" s="7" t="s">
        <v>170</v>
      </c>
      <c r="L34" s="10">
        <v>49829.47</v>
      </c>
      <c r="M34" s="10">
        <v>0</v>
      </c>
      <c r="N34" s="10">
        <f>+L34-M34</f>
        <v>49829.47</v>
      </c>
      <c r="O34" s="10">
        <v>0</v>
      </c>
      <c r="P34" s="10">
        <f>+L34-O34</f>
        <v>49829.47</v>
      </c>
      <c r="Q34" s="10">
        <v>0</v>
      </c>
      <c r="R34" s="7" t="s">
        <v>27</v>
      </c>
      <c r="S34" t="s">
        <v>171</v>
      </c>
    </row>
    <row r="35" spans="1:19" hidden="1">
      <c r="A35" s="7" t="s">
        <v>29</v>
      </c>
      <c r="B35" s="8">
        <v>20448</v>
      </c>
      <c r="C35" s="9">
        <v>45912.484172187498</v>
      </c>
      <c r="D35" s="9">
        <v>45992</v>
      </c>
      <c r="E35" s="9">
        <v>45895</v>
      </c>
      <c r="F35" s="7" t="s">
        <v>172</v>
      </c>
      <c r="G35" s="7" t="s">
        <v>173</v>
      </c>
      <c r="H35" s="7" t="s">
        <v>174</v>
      </c>
      <c r="I35" s="7" t="s">
        <v>175</v>
      </c>
      <c r="J35" s="7" t="s">
        <v>176</v>
      </c>
      <c r="K35" s="7" t="s">
        <v>177</v>
      </c>
      <c r="L35" s="10">
        <v>49000</v>
      </c>
      <c r="M35" s="10">
        <v>0</v>
      </c>
      <c r="N35" s="10">
        <f>+L35-M35</f>
        <v>49000</v>
      </c>
      <c r="O35" s="10">
        <v>0</v>
      </c>
      <c r="P35" s="10">
        <f>+L35-O35</f>
        <v>49000</v>
      </c>
      <c r="Q35" s="10">
        <v>496.3</v>
      </c>
      <c r="R35" s="7" t="s">
        <v>27</v>
      </c>
    </row>
    <row r="36" spans="1:19" hidden="1">
      <c r="A36" s="7" t="s">
        <v>29</v>
      </c>
      <c r="B36" s="8">
        <v>20184</v>
      </c>
      <c r="C36" s="9">
        <v>45862.674421296295</v>
      </c>
      <c r="D36" s="9">
        <v>45862</v>
      </c>
      <c r="E36" s="9">
        <v>45877</v>
      </c>
      <c r="F36" s="7" t="s">
        <v>178</v>
      </c>
      <c r="G36" s="7" t="s">
        <v>179</v>
      </c>
      <c r="H36" s="7" t="s">
        <v>180</v>
      </c>
      <c r="I36" s="7" t="s">
        <v>181</v>
      </c>
      <c r="J36" s="7" t="s">
        <v>34</v>
      </c>
      <c r="K36" s="7" t="s">
        <v>118</v>
      </c>
      <c r="L36" s="10">
        <v>181348.32</v>
      </c>
      <c r="M36" s="10">
        <v>133354.23000000001</v>
      </c>
      <c r="N36" s="10">
        <f>+L36-M36</f>
        <v>47994.09</v>
      </c>
      <c r="O36" s="10">
        <v>133354.23000000001</v>
      </c>
      <c r="P36" s="10">
        <f>+L36-O36</f>
        <v>47994.09</v>
      </c>
      <c r="Q36" s="10">
        <v>130578.88</v>
      </c>
      <c r="R36" s="7" t="s">
        <v>27</v>
      </c>
    </row>
    <row r="37" spans="1:19" hidden="1">
      <c r="A37" s="7" t="s">
        <v>29</v>
      </c>
      <c r="B37" s="8">
        <v>20695</v>
      </c>
      <c r="C37" s="9">
        <v>45973.551469907405</v>
      </c>
      <c r="D37" s="9">
        <v>45939</v>
      </c>
      <c r="E37" s="9">
        <v>45908</v>
      </c>
      <c r="F37" s="7" t="s">
        <v>182</v>
      </c>
      <c r="G37" s="7" t="s">
        <v>183</v>
      </c>
      <c r="H37" s="7" t="s">
        <v>184</v>
      </c>
      <c r="I37" s="7" t="s">
        <v>185</v>
      </c>
      <c r="J37" s="7" t="s">
        <v>40</v>
      </c>
      <c r="K37" s="7" t="s">
        <v>46</v>
      </c>
      <c r="L37" s="10">
        <v>245821.51</v>
      </c>
      <c r="M37" s="10">
        <v>196814.5</v>
      </c>
      <c r="N37" s="10">
        <f>+L37-M37</f>
        <v>49007.010000000009</v>
      </c>
      <c r="O37" s="10">
        <v>200704.17</v>
      </c>
      <c r="P37" s="10">
        <f>+L37-O37</f>
        <v>45117.34</v>
      </c>
      <c r="Q37" s="10">
        <v>0</v>
      </c>
      <c r="R37" s="7" t="s">
        <v>27</v>
      </c>
    </row>
    <row r="38" spans="1:19" hidden="1">
      <c r="A38" s="7" t="s">
        <v>29</v>
      </c>
      <c r="B38" s="8">
        <v>20927</v>
      </c>
      <c r="C38" s="9">
        <v>46055.673900462964</v>
      </c>
      <c r="D38" s="9">
        <v>46055</v>
      </c>
      <c r="E38" s="9">
        <v>46135</v>
      </c>
      <c r="F38" s="7" t="s">
        <v>186</v>
      </c>
      <c r="G38" s="7" t="s">
        <v>187</v>
      </c>
      <c r="H38" s="7" t="s">
        <v>188</v>
      </c>
      <c r="I38" s="7" t="s">
        <v>189</v>
      </c>
      <c r="J38" s="7" t="s">
        <v>34</v>
      </c>
      <c r="K38" s="7" t="s">
        <v>190</v>
      </c>
      <c r="L38" s="10">
        <v>42760</v>
      </c>
      <c r="M38" s="10">
        <v>0</v>
      </c>
      <c r="N38" s="10">
        <f>+L38-M38</f>
        <v>42760</v>
      </c>
      <c r="O38" s="10">
        <v>0</v>
      </c>
      <c r="P38" s="10">
        <f>+L38-O38</f>
        <v>42760</v>
      </c>
      <c r="Q38" s="10">
        <v>0</v>
      </c>
      <c r="R38" s="7" t="s">
        <v>27</v>
      </c>
    </row>
    <row r="39" spans="1:19" hidden="1">
      <c r="A39" s="7" t="s">
        <v>29</v>
      </c>
      <c r="B39" s="8">
        <v>4269</v>
      </c>
      <c r="C39" s="9">
        <v>45933.354962233796</v>
      </c>
      <c r="D39" s="9">
        <v>45897</v>
      </c>
      <c r="E39" s="9">
        <v>45897</v>
      </c>
      <c r="F39" s="7" t="s">
        <v>191</v>
      </c>
      <c r="G39" s="7" t="s">
        <v>192</v>
      </c>
      <c r="H39" s="7" t="s">
        <v>147</v>
      </c>
      <c r="I39" s="7" t="s">
        <v>24</v>
      </c>
      <c r="J39" s="7" t="s">
        <v>25</v>
      </c>
      <c r="K39" s="7" t="s">
        <v>86</v>
      </c>
      <c r="L39" s="10">
        <v>65391</v>
      </c>
      <c r="M39" s="10">
        <v>0</v>
      </c>
      <c r="N39" s="15">
        <f>+L39-M39</f>
        <v>65391</v>
      </c>
      <c r="O39" s="15">
        <v>26673.1</v>
      </c>
      <c r="P39" s="15">
        <f>+L39-O39</f>
        <v>38717.9</v>
      </c>
      <c r="Q39" s="10">
        <v>0</v>
      </c>
      <c r="R39" s="7" t="s">
        <v>87</v>
      </c>
      <c r="S39" t="s">
        <v>148</v>
      </c>
    </row>
    <row r="40" spans="1:19" hidden="1">
      <c r="A40" s="7" t="s">
        <v>29</v>
      </c>
      <c r="B40" s="8">
        <v>20221</v>
      </c>
      <c r="C40" s="9">
        <v>45870.492523148147</v>
      </c>
      <c r="D40" s="9">
        <v>45869</v>
      </c>
      <c r="E40" s="9">
        <v>45991</v>
      </c>
      <c r="F40" s="7" t="s">
        <v>193</v>
      </c>
      <c r="G40" s="7" t="s">
        <v>194</v>
      </c>
      <c r="H40" s="7" t="s">
        <v>195</v>
      </c>
      <c r="I40" s="7" t="s">
        <v>64</v>
      </c>
      <c r="J40" s="7" t="s">
        <v>40</v>
      </c>
      <c r="K40" s="7" t="s">
        <v>46</v>
      </c>
      <c r="L40" s="10">
        <v>244613.58</v>
      </c>
      <c r="M40" s="10">
        <v>203639.81</v>
      </c>
      <c r="N40" s="10">
        <f>+L40-M40</f>
        <v>40973.76999999999</v>
      </c>
      <c r="O40" s="10">
        <v>207920.55</v>
      </c>
      <c r="P40" s="10">
        <f>+L40-O40</f>
        <v>36693.03</v>
      </c>
      <c r="Q40" s="10">
        <v>0</v>
      </c>
      <c r="R40" s="7" t="s">
        <v>27</v>
      </c>
    </row>
    <row r="41" spans="1:19" hidden="1">
      <c r="A41" s="7" t="s">
        <v>29</v>
      </c>
      <c r="B41" s="8">
        <v>20929</v>
      </c>
      <c r="C41" s="9">
        <v>46055.694236111107</v>
      </c>
      <c r="D41" s="9">
        <v>46055</v>
      </c>
      <c r="E41" s="9">
        <v>46080</v>
      </c>
      <c r="F41" s="7" t="s">
        <v>196</v>
      </c>
      <c r="G41" s="7" t="s">
        <v>197</v>
      </c>
      <c r="H41" s="7" t="s">
        <v>108</v>
      </c>
      <c r="I41" s="7" t="s">
        <v>24</v>
      </c>
      <c r="J41" s="7" t="s">
        <v>34</v>
      </c>
      <c r="K41" s="7" t="s">
        <v>105</v>
      </c>
      <c r="L41" s="10">
        <v>35640.839999999997</v>
      </c>
      <c r="M41" s="10">
        <v>0</v>
      </c>
      <c r="N41" s="10">
        <f>+L41-M41</f>
        <v>35640.839999999997</v>
      </c>
      <c r="O41" s="10">
        <v>0</v>
      </c>
      <c r="P41" s="10">
        <f>+L41-O41</f>
        <v>35640.839999999997</v>
      </c>
      <c r="Q41" s="10">
        <v>0</v>
      </c>
      <c r="R41" s="7" t="s">
        <v>27</v>
      </c>
    </row>
    <row r="42" spans="1:19" hidden="1">
      <c r="A42" s="7" t="s">
        <v>29</v>
      </c>
      <c r="B42" s="8">
        <v>20082</v>
      </c>
      <c r="C42" s="9">
        <v>45840.635347222218</v>
      </c>
      <c r="D42" s="9">
        <v>45840</v>
      </c>
      <c r="E42" s="9">
        <v>45932</v>
      </c>
      <c r="F42" s="7" t="s">
        <v>198</v>
      </c>
      <c r="G42" s="7" t="s">
        <v>199</v>
      </c>
      <c r="H42" s="7" t="s">
        <v>200</v>
      </c>
      <c r="I42" s="7" t="s">
        <v>201</v>
      </c>
      <c r="J42" s="7" t="s">
        <v>34</v>
      </c>
      <c r="K42" s="7" t="s">
        <v>190</v>
      </c>
      <c r="L42" s="10">
        <v>51969.86</v>
      </c>
      <c r="M42" s="10">
        <v>14716.51</v>
      </c>
      <c r="N42" s="10">
        <f>+L42-M42</f>
        <v>37253.35</v>
      </c>
      <c r="O42" s="10">
        <v>17378.240000000002</v>
      </c>
      <c r="P42" s="10">
        <f>+L42-O42</f>
        <v>34591.619999999995</v>
      </c>
      <c r="Q42" s="10">
        <v>0</v>
      </c>
      <c r="R42" s="7" t="s">
        <v>27</v>
      </c>
    </row>
    <row r="43" spans="1:19" hidden="1">
      <c r="A43" s="7" t="s">
        <v>29</v>
      </c>
      <c r="B43" s="8">
        <v>4218</v>
      </c>
      <c r="C43" s="9">
        <v>45812.461230208333</v>
      </c>
      <c r="D43" s="9">
        <v>45800</v>
      </c>
      <c r="E43" s="9">
        <v>45814</v>
      </c>
      <c r="F43" s="7" t="s">
        <v>202</v>
      </c>
      <c r="G43" s="7" t="s">
        <v>203</v>
      </c>
      <c r="H43" s="7" t="s">
        <v>204</v>
      </c>
      <c r="I43" s="7" t="s">
        <v>205</v>
      </c>
      <c r="J43" s="7" t="s">
        <v>25</v>
      </c>
      <c r="K43" s="7" t="s">
        <v>206</v>
      </c>
      <c r="L43" s="10">
        <v>64120.39</v>
      </c>
      <c r="M43" s="10">
        <v>16030.1</v>
      </c>
      <c r="N43" s="15">
        <f>+L43-M43</f>
        <v>48090.29</v>
      </c>
      <c r="O43" s="15">
        <v>30182.19</v>
      </c>
      <c r="P43" s="15">
        <f>+L43-O43</f>
        <v>33938.199999999997</v>
      </c>
      <c r="Q43" s="10">
        <v>0</v>
      </c>
      <c r="R43" s="7" t="s">
        <v>87</v>
      </c>
      <c r="S43" t="s">
        <v>207</v>
      </c>
    </row>
    <row r="44" spans="1:19" hidden="1">
      <c r="A44" s="7" t="s">
        <v>29</v>
      </c>
      <c r="B44" s="8">
        <v>4324</v>
      </c>
      <c r="C44" s="9">
        <v>46020.593144444443</v>
      </c>
      <c r="D44" s="9">
        <v>45940</v>
      </c>
      <c r="E44" s="9">
        <v>45940</v>
      </c>
      <c r="F44" s="7" t="s">
        <v>208</v>
      </c>
      <c r="G44" s="7" t="s">
        <v>209</v>
      </c>
      <c r="H44" s="7" t="s">
        <v>204</v>
      </c>
      <c r="I44" s="7" t="s">
        <v>205</v>
      </c>
      <c r="J44" s="7" t="s">
        <v>25</v>
      </c>
      <c r="K44" s="7" t="s">
        <v>206</v>
      </c>
      <c r="L44" s="10">
        <v>41742.69</v>
      </c>
      <c r="M44" s="10">
        <v>10435.67</v>
      </c>
      <c r="N44" s="15">
        <f>+L44-M44</f>
        <v>31307.020000000004</v>
      </c>
      <c r="O44" s="15">
        <v>10435.67</v>
      </c>
      <c r="P44" s="15">
        <f>+L44-O44</f>
        <v>31307.020000000004</v>
      </c>
      <c r="Q44" s="10">
        <v>0</v>
      </c>
      <c r="R44" s="7" t="s">
        <v>87</v>
      </c>
      <c r="S44" t="s">
        <v>210</v>
      </c>
    </row>
    <row r="45" spans="1:19" hidden="1">
      <c r="A45" s="7" t="s">
        <v>29</v>
      </c>
      <c r="B45" s="8">
        <v>4351</v>
      </c>
      <c r="C45" s="9">
        <v>46064.420532488424</v>
      </c>
      <c r="D45" s="9">
        <v>46086</v>
      </c>
      <c r="E45" s="9">
        <v>46107</v>
      </c>
      <c r="F45" s="7" t="s">
        <v>211</v>
      </c>
      <c r="G45" s="7" t="s">
        <v>22</v>
      </c>
      <c r="H45" s="7" t="s">
        <v>212</v>
      </c>
      <c r="I45" s="7" t="s">
        <v>213</v>
      </c>
      <c r="J45" s="7" t="s">
        <v>25</v>
      </c>
      <c r="K45" s="7" t="s">
        <v>206</v>
      </c>
      <c r="L45" s="10">
        <v>30516.29</v>
      </c>
      <c r="M45" s="10">
        <f>+L45*0.5</f>
        <v>15258.145</v>
      </c>
      <c r="N45" s="15">
        <f>+L45-M45</f>
        <v>15258.145</v>
      </c>
      <c r="O45" s="15">
        <v>0</v>
      </c>
      <c r="P45" s="15">
        <f>+L45-O45</f>
        <v>30516.29</v>
      </c>
      <c r="Q45" s="10">
        <v>0</v>
      </c>
      <c r="R45" s="7" t="s">
        <v>87</v>
      </c>
      <c r="S45" t="s">
        <v>214</v>
      </c>
    </row>
    <row r="46" spans="1:19" hidden="1">
      <c r="A46" s="7" t="s">
        <v>29</v>
      </c>
      <c r="B46" s="8">
        <v>19310</v>
      </c>
      <c r="C46" s="9">
        <v>45664.490070983797</v>
      </c>
      <c r="D46" s="9">
        <v>45467</v>
      </c>
      <c r="E46" s="9">
        <v>45397</v>
      </c>
      <c r="F46" s="7" t="s">
        <v>215</v>
      </c>
      <c r="G46" s="7" t="s">
        <v>216</v>
      </c>
      <c r="H46" s="7" t="s">
        <v>217</v>
      </c>
      <c r="I46" s="7" t="s">
        <v>218</v>
      </c>
      <c r="J46" s="7" t="s">
        <v>176</v>
      </c>
      <c r="K46" s="7" t="s">
        <v>177</v>
      </c>
      <c r="L46" s="10">
        <v>146000</v>
      </c>
      <c r="M46" s="10">
        <v>116000.02</v>
      </c>
      <c r="N46" s="10">
        <f>+L46-M46</f>
        <v>29999.979999999996</v>
      </c>
      <c r="O46" s="10">
        <v>116000.02</v>
      </c>
      <c r="P46" s="10">
        <f>+L46-O46</f>
        <v>29999.979999999996</v>
      </c>
      <c r="Q46" s="10">
        <v>0</v>
      </c>
      <c r="R46" s="7" t="s">
        <v>27</v>
      </c>
    </row>
    <row r="47" spans="1:19">
      <c r="A47" s="7" t="s">
        <v>29</v>
      </c>
      <c r="B47" s="8">
        <v>20760</v>
      </c>
      <c r="C47" s="9">
        <v>45999.431562500002</v>
      </c>
      <c r="D47" s="9">
        <v>45786</v>
      </c>
      <c r="E47" s="9">
        <v>45817</v>
      </c>
      <c r="F47" s="7" t="s">
        <v>219</v>
      </c>
      <c r="G47" s="7" t="s">
        <v>220</v>
      </c>
      <c r="H47" s="7" t="s">
        <v>221</v>
      </c>
      <c r="I47" s="7" t="s">
        <v>222</v>
      </c>
      <c r="J47" s="7" t="s">
        <v>25</v>
      </c>
      <c r="K47" s="7" t="s">
        <v>55</v>
      </c>
      <c r="L47" s="10">
        <v>25989.99</v>
      </c>
      <c r="M47" s="10">
        <v>0</v>
      </c>
      <c r="N47" s="10">
        <f>+L47-M47</f>
        <v>25989.99</v>
      </c>
      <c r="O47" s="10">
        <v>0</v>
      </c>
      <c r="P47" s="10">
        <f>+L47-O47</f>
        <v>25989.99</v>
      </c>
      <c r="Q47" s="10">
        <v>0</v>
      </c>
      <c r="R47" s="7" t="s">
        <v>27</v>
      </c>
      <c r="S47" t="s">
        <v>223</v>
      </c>
    </row>
    <row r="48" spans="1:19" hidden="1">
      <c r="A48" s="7" t="s">
        <v>29</v>
      </c>
      <c r="B48" s="8">
        <v>20625</v>
      </c>
      <c r="C48" s="9">
        <v>45958.627384259256</v>
      </c>
      <c r="D48" s="9">
        <v>45958</v>
      </c>
      <c r="E48" s="9">
        <v>46006</v>
      </c>
      <c r="F48" s="7" t="s">
        <v>224</v>
      </c>
      <c r="G48" s="7" t="s">
        <v>225</v>
      </c>
      <c r="H48" s="7" t="s">
        <v>226</v>
      </c>
      <c r="I48" s="7" t="s">
        <v>227</v>
      </c>
      <c r="J48" s="7" t="s">
        <v>34</v>
      </c>
      <c r="K48" s="7" t="s">
        <v>118</v>
      </c>
      <c r="L48" s="10">
        <v>25743.51</v>
      </c>
      <c r="M48" s="10">
        <v>0</v>
      </c>
      <c r="N48" s="10">
        <f>+L48-M48</f>
        <v>25743.51</v>
      </c>
      <c r="O48" s="10">
        <v>0</v>
      </c>
      <c r="P48" s="10">
        <f>+L48-O48</f>
        <v>25743.51</v>
      </c>
      <c r="Q48" s="10">
        <v>0</v>
      </c>
      <c r="R48" s="7" t="s">
        <v>27</v>
      </c>
    </row>
    <row r="49" spans="1:20" hidden="1">
      <c r="A49" s="7" t="s">
        <v>29</v>
      </c>
      <c r="B49" s="8">
        <v>19840</v>
      </c>
      <c r="C49" s="9">
        <v>45797.695810185185</v>
      </c>
      <c r="D49" s="9">
        <v>45797</v>
      </c>
      <c r="E49" s="9">
        <v>45793</v>
      </c>
      <c r="F49" s="7" t="s">
        <v>228</v>
      </c>
      <c r="G49" s="7" t="s">
        <v>229</v>
      </c>
      <c r="H49" s="7" t="s">
        <v>230</v>
      </c>
      <c r="I49" s="7" t="s">
        <v>231</v>
      </c>
      <c r="J49" s="7" t="s">
        <v>34</v>
      </c>
      <c r="K49" s="7" t="s">
        <v>35</v>
      </c>
      <c r="L49" s="10">
        <v>25425</v>
      </c>
      <c r="M49" s="10">
        <v>0</v>
      </c>
      <c r="N49" s="10">
        <f>+L49-M49</f>
        <v>25425</v>
      </c>
      <c r="O49" s="10">
        <v>0</v>
      </c>
      <c r="P49" s="10">
        <f>+L49-O49</f>
        <v>25425</v>
      </c>
      <c r="Q49" s="10">
        <v>0</v>
      </c>
      <c r="R49" s="7" t="s">
        <v>27</v>
      </c>
    </row>
    <row r="50" spans="1:20" hidden="1">
      <c r="A50" s="7" t="s">
        <v>29</v>
      </c>
      <c r="B50" s="8">
        <v>20586</v>
      </c>
      <c r="C50" s="9">
        <v>45945.431145833332</v>
      </c>
      <c r="D50" s="9">
        <v>45945</v>
      </c>
      <c r="E50" s="9">
        <v>45945</v>
      </c>
      <c r="F50" s="7" t="s">
        <v>232</v>
      </c>
      <c r="G50" s="7" t="s">
        <v>233</v>
      </c>
      <c r="H50" s="7" t="s">
        <v>234</v>
      </c>
      <c r="I50" s="7" t="s">
        <v>235</v>
      </c>
      <c r="J50" s="7" t="s">
        <v>34</v>
      </c>
      <c r="K50" s="7" t="s">
        <v>118</v>
      </c>
      <c r="L50" s="10">
        <v>150743.24</v>
      </c>
      <c r="M50" s="10">
        <v>126120.92</v>
      </c>
      <c r="N50" s="10">
        <f>+L50-M50</f>
        <v>24622.319999999992</v>
      </c>
      <c r="O50" s="10">
        <v>126155.88</v>
      </c>
      <c r="P50" s="10">
        <f>+L50-O50</f>
        <v>24587.359999999986</v>
      </c>
      <c r="Q50" s="10">
        <v>0</v>
      </c>
      <c r="R50" s="7" t="s">
        <v>27</v>
      </c>
    </row>
    <row r="51" spans="1:20">
      <c r="A51" s="7" t="s">
        <v>29</v>
      </c>
      <c r="B51" s="8">
        <v>20229</v>
      </c>
      <c r="C51" s="9">
        <v>45873.720083217588</v>
      </c>
      <c r="D51" s="9">
        <v>45873</v>
      </c>
      <c r="E51" s="9">
        <v>45873</v>
      </c>
      <c r="F51" s="7" t="s">
        <v>236</v>
      </c>
      <c r="G51" s="7" t="s">
        <v>237</v>
      </c>
      <c r="H51" s="7" t="s">
        <v>238</v>
      </c>
      <c r="I51" s="7" t="s">
        <v>239</v>
      </c>
      <c r="J51" s="7" t="s">
        <v>25</v>
      </c>
      <c r="K51" s="11" t="s">
        <v>240</v>
      </c>
      <c r="L51" s="10">
        <v>99072.21</v>
      </c>
      <c r="M51" s="10">
        <v>74658.7</v>
      </c>
      <c r="N51" s="10">
        <f>+L51-M51</f>
        <v>24413.510000000009</v>
      </c>
      <c r="O51" s="10">
        <v>74658.7</v>
      </c>
      <c r="P51" s="10">
        <f>+L51-O51</f>
        <v>24413.510000000009</v>
      </c>
      <c r="Q51" s="10">
        <v>0</v>
      </c>
      <c r="R51" s="7" t="s">
        <v>27</v>
      </c>
      <c r="S51" t="s">
        <v>241</v>
      </c>
    </row>
    <row r="52" spans="1:20" hidden="1">
      <c r="A52" s="7" t="s">
        <v>29</v>
      </c>
      <c r="B52" s="8">
        <v>4349</v>
      </c>
      <c r="C52" s="9">
        <v>46062.352893634255</v>
      </c>
      <c r="D52" s="9">
        <v>46087</v>
      </c>
      <c r="E52" s="9">
        <v>46079</v>
      </c>
      <c r="F52" s="7" t="s">
        <v>242</v>
      </c>
      <c r="G52" s="7" t="s">
        <v>70</v>
      </c>
      <c r="H52" s="7" t="s">
        <v>243</v>
      </c>
      <c r="I52" s="7" t="s">
        <v>244</v>
      </c>
      <c r="J52" s="7" t="s">
        <v>25</v>
      </c>
      <c r="K52" s="7" t="s">
        <v>206</v>
      </c>
      <c r="L52" s="10">
        <v>57206.1</v>
      </c>
      <c r="M52" s="10">
        <v>0</v>
      </c>
      <c r="N52" s="15">
        <f>+L52-M52</f>
        <v>57206.1</v>
      </c>
      <c r="O52" s="15">
        <v>34323.67</v>
      </c>
      <c r="P52" s="15">
        <f>+L52-O52</f>
        <v>22882.43</v>
      </c>
      <c r="Q52" s="10">
        <v>0</v>
      </c>
      <c r="R52" s="7" t="s">
        <v>87</v>
      </c>
      <c r="S52" t="s">
        <v>245</v>
      </c>
    </row>
    <row r="53" spans="1:20" hidden="1">
      <c r="A53" s="7" t="s">
        <v>29</v>
      </c>
      <c r="B53" s="8">
        <v>20931</v>
      </c>
      <c r="C53" s="9">
        <v>46055.735601851848</v>
      </c>
      <c r="D53" s="9">
        <v>46055</v>
      </c>
      <c r="E53" s="9">
        <v>46203</v>
      </c>
      <c r="F53" s="7" t="s">
        <v>246</v>
      </c>
      <c r="G53" s="7" t="s">
        <v>247</v>
      </c>
      <c r="H53" s="7" t="s">
        <v>248</v>
      </c>
      <c r="I53" s="7" t="s">
        <v>249</v>
      </c>
      <c r="J53" s="7" t="s">
        <v>34</v>
      </c>
      <c r="K53" s="7" t="s">
        <v>118</v>
      </c>
      <c r="L53" s="10">
        <v>22433.66</v>
      </c>
      <c r="M53" s="10">
        <v>0</v>
      </c>
      <c r="N53" s="10">
        <f>+L53-M53</f>
        <v>22433.66</v>
      </c>
      <c r="O53" s="10">
        <v>0</v>
      </c>
      <c r="P53" s="10">
        <f>+L53-O53</f>
        <v>22433.66</v>
      </c>
      <c r="Q53" s="10">
        <v>0</v>
      </c>
      <c r="R53" s="7" t="s">
        <v>27</v>
      </c>
    </row>
    <row r="54" spans="1:20" hidden="1">
      <c r="A54" s="11" t="s">
        <v>20</v>
      </c>
      <c r="B54" s="8">
        <v>6093</v>
      </c>
      <c r="C54" s="9">
        <v>45868.487013888887</v>
      </c>
      <c r="D54" s="9">
        <v>45868</v>
      </c>
      <c r="E54" s="9">
        <v>45868</v>
      </c>
      <c r="F54" s="7" t="s">
        <v>250</v>
      </c>
      <c r="G54" s="7" t="s">
        <v>251</v>
      </c>
      <c r="H54" s="7" t="s">
        <v>204</v>
      </c>
      <c r="I54" s="7" t="s">
        <v>205</v>
      </c>
      <c r="J54" s="7" t="s">
        <v>25</v>
      </c>
      <c r="K54" s="7" t="s">
        <v>206</v>
      </c>
      <c r="L54" s="10">
        <v>22253.66</v>
      </c>
      <c r="M54" s="10">
        <v>0</v>
      </c>
      <c r="N54" s="15">
        <f>+L54-M54</f>
        <v>22253.66</v>
      </c>
      <c r="O54" s="15">
        <v>0</v>
      </c>
      <c r="P54" s="15">
        <f>+L54-O54</f>
        <v>22253.66</v>
      </c>
      <c r="Q54" s="10">
        <v>0</v>
      </c>
      <c r="R54" s="7" t="s">
        <v>87</v>
      </c>
      <c r="S54" t="s">
        <v>210</v>
      </c>
    </row>
    <row r="55" spans="1:20" hidden="1">
      <c r="A55" s="7" t="s">
        <v>29</v>
      </c>
      <c r="B55" s="8">
        <v>20327</v>
      </c>
      <c r="C55" s="9">
        <v>45895.339398148149</v>
      </c>
      <c r="D55" s="9">
        <v>45895</v>
      </c>
      <c r="E55" s="9">
        <v>45975</v>
      </c>
      <c r="F55" s="7" t="s">
        <v>252</v>
      </c>
      <c r="G55" s="7" t="s">
        <v>253</v>
      </c>
      <c r="H55" s="7" t="s">
        <v>254</v>
      </c>
      <c r="I55" s="7" t="s">
        <v>255</v>
      </c>
      <c r="J55" s="7" t="s">
        <v>34</v>
      </c>
      <c r="K55" s="7" t="s">
        <v>118</v>
      </c>
      <c r="L55" s="10">
        <v>21801.200000000001</v>
      </c>
      <c r="M55" s="10">
        <v>0</v>
      </c>
      <c r="N55" s="10">
        <f>+L55-M55</f>
        <v>21801.200000000001</v>
      </c>
      <c r="O55" s="10">
        <v>0</v>
      </c>
      <c r="P55" s="10">
        <f>+L55-O55</f>
        <v>21801.200000000001</v>
      </c>
      <c r="Q55" s="10">
        <v>0</v>
      </c>
      <c r="R55" s="7" t="s">
        <v>27</v>
      </c>
      <c r="T55" s="10"/>
    </row>
    <row r="56" spans="1:20" hidden="1">
      <c r="A56" s="11" t="s">
        <v>20</v>
      </c>
      <c r="B56" s="8">
        <v>6198</v>
      </c>
      <c r="C56" s="9">
        <v>46048.368188541666</v>
      </c>
      <c r="D56" s="9">
        <v>46101</v>
      </c>
      <c r="E56" s="9">
        <v>46037</v>
      </c>
      <c r="F56" s="7" t="s">
        <v>256</v>
      </c>
      <c r="G56" s="7" t="s">
        <v>257</v>
      </c>
      <c r="H56" s="7" t="s">
        <v>258</v>
      </c>
      <c r="I56" s="7" t="s">
        <v>259</v>
      </c>
      <c r="J56" s="7" t="s">
        <v>25</v>
      </c>
      <c r="K56" s="7" t="s">
        <v>260</v>
      </c>
      <c r="L56" s="10">
        <v>21761.03</v>
      </c>
      <c r="M56" s="10">
        <f>+L56*0.6</f>
        <v>13056.617999999999</v>
      </c>
      <c r="N56" s="15">
        <f>+L56-M56</f>
        <v>8704.4120000000003</v>
      </c>
      <c r="O56" s="15">
        <v>0</v>
      </c>
      <c r="P56" s="15">
        <f>+L56-O56</f>
        <v>21761.03</v>
      </c>
      <c r="Q56" s="10">
        <v>0</v>
      </c>
      <c r="R56" s="7" t="s">
        <v>87</v>
      </c>
      <c r="S56" t="s">
        <v>261</v>
      </c>
    </row>
    <row r="57" spans="1:20">
      <c r="A57" s="7" t="s">
        <v>29</v>
      </c>
      <c r="B57" s="8">
        <v>20933</v>
      </c>
      <c r="C57" s="9">
        <v>46056.452916585644</v>
      </c>
      <c r="D57" s="9">
        <v>46158</v>
      </c>
      <c r="E57" s="9">
        <v>46069</v>
      </c>
      <c r="F57" s="7" t="s">
        <v>262</v>
      </c>
      <c r="G57" s="7" t="s">
        <v>263</v>
      </c>
      <c r="H57" s="7" t="s">
        <v>23</v>
      </c>
      <c r="I57" s="7" t="s">
        <v>24</v>
      </c>
      <c r="J57" s="7" t="s">
        <v>25</v>
      </c>
      <c r="K57" s="7" t="s">
        <v>26</v>
      </c>
      <c r="L57" s="10">
        <v>21360</v>
      </c>
      <c r="M57" s="10">
        <v>0</v>
      </c>
      <c r="N57" s="10">
        <f>+L57-M57</f>
        <v>21360</v>
      </c>
      <c r="O57" s="10">
        <v>0</v>
      </c>
      <c r="P57" s="10">
        <f>+L57-O57</f>
        <v>21360</v>
      </c>
      <c r="Q57" s="10">
        <v>0</v>
      </c>
      <c r="R57" s="7" t="s">
        <v>27</v>
      </c>
      <c r="S57" t="s">
        <v>264</v>
      </c>
      <c r="T57">
        <f>+L57/3</f>
        <v>7120</v>
      </c>
    </row>
    <row r="58" spans="1:20" hidden="1">
      <c r="A58" s="7" t="s">
        <v>29</v>
      </c>
      <c r="B58" s="8">
        <v>20019</v>
      </c>
      <c r="C58" s="9">
        <v>45833.598587962959</v>
      </c>
      <c r="D58" s="9">
        <v>45833</v>
      </c>
      <c r="E58" s="9">
        <v>45863</v>
      </c>
      <c r="F58" s="7" t="s">
        <v>265</v>
      </c>
      <c r="G58" s="7" t="s">
        <v>266</v>
      </c>
      <c r="H58" s="7" t="s">
        <v>267</v>
      </c>
      <c r="I58" s="7" t="s">
        <v>268</v>
      </c>
      <c r="J58" s="7" t="s">
        <v>34</v>
      </c>
      <c r="K58" s="7" t="s">
        <v>269</v>
      </c>
      <c r="L58" s="10">
        <v>20958.57</v>
      </c>
      <c r="M58" s="10">
        <v>0</v>
      </c>
      <c r="N58" s="10">
        <f>+L58-M58</f>
        <v>20958.57</v>
      </c>
      <c r="O58" s="10">
        <v>0</v>
      </c>
      <c r="P58" s="10">
        <f>+L58-O58</f>
        <v>20958.57</v>
      </c>
      <c r="Q58" s="10">
        <v>0</v>
      </c>
      <c r="R58" s="7" t="s">
        <v>27</v>
      </c>
      <c r="T58" s="14"/>
    </row>
    <row r="59" spans="1:20">
      <c r="A59" s="11" t="s">
        <v>20</v>
      </c>
      <c r="B59" s="8">
        <v>12167</v>
      </c>
      <c r="C59" s="9">
        <v>45807.732048611106</v>
      </c>
      <c r="D59" s="9">
        <v>45877</v>
      </c>
      <c r="E59" s="9">
        <v>45810</v>
      </c>
      <c r="F59" s="7" t="s">
        <v>270</v>
      </c>
      <c r="G59" s="7"/>
      <c r="H59" s="7" t="s">
        <v>271</v>
      </c>
      <c r="I59" s="7" t="s">
        <v>272</v>
      </c>
      <c r="J59" s="7" t="s">
        <v>25</v>
      </c>
      <c r="K59" s="7" t="s">
        <v>26</v>
      </c>
      <c r="L59" s="10">
        <v>20503.59</v>
      </c>
      <c r="M59" s="10">
        <v>12302.15</v>
      </c>
      <c r="N59" s="10">
        <f>+L59-M59</f>
        <v>8201.44</v>
      </c>
      <c r="O59" s="10">
        <v>0</v>
      </c>
      <c r="P59" s="10">
        <f>+L59-O59</f>
        <v>20503.59</v>
      </c>
      <c r="Q59" s="10">
        <v>0</v>
      </c>
      <c r="R59" s="7" t="s">
        <v>27</v>
      </c>
      <c r="S59" t="s">
        <v>273</v>
      </c>
    </row>
    <row r="60" spans="1:20" hidden="1">
      <c r="A60" s="7" t="s">
        <v>29</v>
      </c>
      <c r="B60" s="8">
        <v>20486</v>
      </c>
      <c r="C60" s="9">
        <v>45923.406921296293</v>
      </c>
      <c r="D60" s="9">
        <v>45923</v>
      </c>
      <c r="E60" s="9">
        <v>45958</v>
      </c>
      <c r="F60" s="7" t="s">
        <v>274</v>
      </c>
      <c r="G60" s="7" t="s">
        <v>275</v>
      </c>
      <c r="H60" s="7" t="s">
        <v>276</v>
      </c>
      <c r="I60" s="7" t="s">
        <v>277</v>
      </c>
      <c r="J60" s="7" t="s">
        <v>34</v>
      </c>
      <c r="K60" s="7" t="s">
        <v>35</v>
      </c>
      <c r="L60" s="10">
        <v>81028.960000000006</v>
      </c>
      <c r="M60" s="10">
        <v>0</v>
      </c>
      <c r="N60" s="10">
        <f>+L60-M60</f>
        <v>81028.960000000006</v>
      </c>
      <c r="O60" s="10">
        <v>61220.24</v>
      </c>
      <c r="P60" s="10">
        <f>+L60-O60</f>
        <v>19808.720000000008</v>
      </c>
      <c r="Q60" s="10">
        <v>0</v>
      </c>
      <c r="R60" s="7" t="s">
        <v>27</v>
      </c>
    </row>
    <row r="61" spans="1:20" hidden="1">
      <c r="A61" s="7" t="s">
        <v>29</v>
      </c>
      <c r="B61" s="8">
        <v>4315</v>
      </c>
      <c r="C61" s="9">
        <v>46001.998773148145</v>
      </c>
      <c r="D61" s="9">
        <v>46052</v>
      </c>
      <c r="E61" s="9">
        <v>45993</v>
      </c>
      <c r="F61" s="7" t="s">
        <v>278</v>
      </c>
      <c r="G61" s="7" t="s">
        <v>279</v>
      </c>
      <c r="H61" s="7" t="s">
        <v>280</v>
      </c>
      <c r="I61" s="7" t="s">
        <v>205</v>
      </c>
      <c r="J61" s="7" t="s">
        <v>25</v>
      </c>
      <c r="K61" s="7" t="s">
        <v>206</v>
      </c>
      <c r="L61" s="10">
        <v>26702.28</v>
      </c>
      <c r="M61" s="10">
        <v>8010.68</v>
      </c>
      <c r="N61" s="15">
        <f>+L61-M61</f>
        <v>18691.599999999999</v>
      </c>
      <c r="O61" s="15">
        <v>8010.68</v>
      </c>
      <c r="P61" s="15">
        <f>+L61-O61</f>
        <v>18691.599999999999</v>
      </c>
      <c r="Q61" s="10">
        <v>0</v>
      </c>
      <c r="R61" s="7" t="s">
        <v>87</v>
      </c>
      <c r="S61" t="s">
        <v>281</v>
      </c>
      <c r="T61">
        <f>+L61*0.3</f>
        <v>8010.6839999999993</v>
      </c>
    </row>
    <row r="62" spans="1:20" hidden="1">
      <c r="A62" s="7" t="s">
        <v>29</v>
      </c>
      <c r="B62" s="8">
        <v>4329</v>
      </c>
      <c r="C62" s="9">
        <v>46028.560382835647</v>
      </c>
      <c r="D62" s="9">
        <v>46030</v>
      </c>
      <c r="E62" s="9">
        <v>46021</v>
      </c>
      <c r="F62" s="7" t="s">
        <v>282</v>
      </c>
      <c r="G62" s="7" t="s">
        <v>283</v>
      </c>
      <c r="H62" s="7" t="s">
        <v>284</v>
      </c>
      <c r="I62" s="7" t="s">
        <v>285</v>
      </c>
      <c r="J62" s="7" t="s">
        <v>25</v>
      </c>
      <c r="K62" s="7" t="s">
        <v>86</v>
      </c>
      <c r="L62" s="10">
        <v>18275.12</v>
      </c>
      <c r="M62" s="10">
        <v>10965.07</v>
      </c>
      <c r="N62" s="15">
        <f>+L62-M62</f>
        <v>7310.0499999999993</v>
      </c>
      <c r="O62" s="15">
        <v>0</v>
      </c>
      <c r="P62" s="15">
        <f>+L62-O62</f>
        <v>18275.12</v>
      </c>
      <c r="Q62" s="10">
        <v>0</v>
      </c>
      <c r="R62" s="7" t="s">
        <v>87</v>
      </c>
      <c r="S62" t="s">
        <v>286</v>
      </c>
    </row>
    <row r="63" spans="1:20" hidden="1">
      <c r="A63" s="7" t="s">
        <v>29</v>
      </c>
      <c r="B63" s="8">
        <v>4334</v>
      </c>
      <c r="C63" s="9">
        <v>46038.355046296296</v>
      </c>
      <c r="D63" s="9">
        <v>46035</v>
      </c>
      <c r="E63" s="9">
        <v>46052</v>
      </c>
      <c r="F63" s="7" t="s">
        <v>287</v>
      </c>
      <c r="G63" s="7" t="s">
        <v>288</v>
      </c>
      <c r="H63" s="7" t="s">
        <v>289</v>
      </c>
      <c r="I63" s="7" t="s">
        <v>130</v>
      </c>
      <c r="J63" s="7" t="s">
        <v>25</v>
      </c>
      <c r="K63" s="7" t="s">
        <v>86</v>
      </c>
      <c r="L63" s="10">
        <v>17959.86</v>
      </c>
      <c r="M63" s="10">
        <f>+L63*0.4</f>
        <v>7183.9440000000004</v>
      </c>
      <c r="N63" s="15">
        <f>+L63-M63</f>
        <v>10775.916000000001</v>
      </c>
      <c r="O63" s="15">
        <v>0</v>
      </c>
      <c r="P63" s="15">
        <f>+L63-O63</f>
        <v>17959.86</v>
      </c>
      <c r="Q63" s="10">
        <v>0</v>
      </c>
      <c r="R63" s="7" t="s">
        <v>87</v>
      </c>
      <c r="S63" t="s">
        <v>290</v>
      </c>
      <c r="T63">
        <v>17959.86</v>
      </c>
    </row>
    <row r="64" spans="1:20" hidden="1">
      <c r="A64" s="7" t="s">
        <v>29</v>
      </c>
      <c r="B64" s="8">
        <v>4282</v>
      </c>
      <c r="C64" s="9">
        <v>45964.399467592593</v>
      </c>
      <c r="D64" s="9">
        <v>45951</v>
      </c>
      <c r="E64" s="9">
        <v>45957</v>
      </c>
      <c r="F64" s="7" t="s">
        <v>291</v>
      </c>
      <c r="G64" s="7" t="s">
        <v>292</v>
      </c>
      <c r="H64" s="7" t="s">
        <v>293</v>
      </c>
      <c r="I64" s="7" t="s">
        <v>294</v>
      </c>
      <c r="J64" s="7" t="s">
        <v>25</v>
      </c>
      <c r="K64" s="7" t="s">
        <v>86</v>
      </c>
      <c r="L64" s="10">
        <v>17568.18</v>
      </c>
      <c r="M64" s="10">
        <v>10540.9</v>
      </c>
      <c r="N64" s="15">
        <f>+L64-M64</f>
        <v>7027.2800000000007</v>
      </c>
      <c r="O64" s="15">
        <v>0</v>
      </c>
      <c r="P64" s="15">
        <f>+L64-O64</f>
        <v>17568.18</v>
      </c>
      <c r="Q64" s="10">
        <v>0</v>
      </c>
      <c r="R64" s="7" t="s">
        <v>87</v>
      </c>
      <c r="S64" t="s">
        <v>295</v>
      </c>
    </row>
    <row r="65" spans="1:20">
      <c r="A65" s="7" t="s">
        <v>29</v>
      </c>
      <c r="B65" s="8">
        <v>20628</v>
      </c>
      <c r="C65" s="9">
        <v>45958.66954116898</v>
      </c>
      <c r="D65" s="9">
        <v>46020</v>
      </c>
      <c r="E65" s="9">
        <v>46020</v>
      </c>
      <c r="F65" s="7" t="s">
        <v>296</v>
      </c>
      <c r="G65" s="7" t="s">
        <v>297</v>
      </c>
      <c r="H65" s="7" t="s">
        <v>298</v>
      </c>
      <c r="I65" s="7" t="s">
        <v>299</v>
      </c>
      <c r="J65" s="7" t="s">
        <v>25</v>
      </c>
      <c r="K65" s="7" t="s">
        <v>55</v>
      </c>
      <c r="L65" s="10">
        <v>17546</v>
      </c>
      <c r="M65" s="10">
        <v>0</v>
      </c>
      <c r="N65" s="10">
        <f>+L65-M65</f>
        <v>17546</v>
      </c>
      <c r="O65" s="10">
        <v>0</v>
      </c>
      <c r="P65" s="10">
        <f>+L65-O65</f>
        <v>17546</v>
      </c>
      <c r="Q65" s="10">
        <v>0</v>
      </c>
      <c r="R65" s="7" t="s">
        <v>27</v>
      </c>
      <c r="S65" t="s">
        <v>223</v>
      </c>
    </row>
    <row r="66" spans="1:20" hidden="1">
      <c r="A66" s="7" t="s">
        <v>29</v>
      </c>
      <c r="B66" s="8">
        <v>20722</v>
      </c>
      <c r="C66" s="9">
        <v>45986.586851851847</v>
      </c>
      <c r="D66" s="9">
        <v>45986</v>
      </c>
      <c r="E66" s="9">
        <v>46037</v>
      </c>
      <c r="F66" s="7" t="s">
        <v>300</v>
      </c>
      <c r="G66" s="7" t="s">
        <v>301</v>
      </c>
      <c r="H66" s="7" t="s">
        <v>302</v>
      </c>
      <c r="I66" s="7" t="s">
        <v>303</v>
      </c>
      <c r="J66" s="7" t="s">
        <v>34</v>
      </c>
      <c r="K66" s="7" t="s">
        <v>35</v>
      </c>
      <c r="L66" s="10">
        <v>17192.87</v>
      </c>
      <c r="M66" s="10">
        <v>0</v>
      </c>
      <c r="N66" s="10">
        <f>+L66-M66</f>
        <v>17192.87</v>
      </c>
      <c r="O66" s="10">
        <v>0</v>
      </c>
      <c r="P66" s="10">
        <f>+L66-O66</f>
        <v>17192.87</v>
      </c>
      <c r="Q66" s="10">
        <v>0</v>
      </c>
      <c r="R66" s="7" t="s">
        <v>27</v>
      </c>
    </row>
    <row r="67" spans="1:20" hidden="1">
      <c r="A67" s="7" t="s">
        <v>29</v>
      </c>
      <c r="B67" s="8">
        <v>20882</v>
      </c>
      <c r="C67" s="9">
        <v>46042.405127314814</v>
      </c>
      <c r="D67" s="9">
        <v>46036</v>
      </c>
      <c r="E67" s="9">
        <v>46036</v>
      </c>
      <c r="F67" s="7" t="s">
        <v>304</v>
      </c>
      <c r="G67" s="7" t="s">
        <v>305</v>
      </c>
      <c r="H67" s="7" t="s">
        <v>306</v>
      </c>
      <c r="I67" s="7" t="s">
        <v>307</v>
      </c>
      <c r="J67" s="7" t="s">
        <v>40</v>
      </c>
      <c r="K67" s="7" t="s">
        <v>308</v>
      </c>
      <c r="L67" s="10">
        <v>32740.62</v>
      </c>
      <c r="M67" s="10">
        <v>16370.31</v>
      </c>
      <c r="N67" s="10">
        <f>+L67-M67</f>
        <v>16370.31</v>
      </c>
      <c r="O67" s="10">
        <v>16370.31</v>
      </c>
      <c r="P67" s="10">
        <f>+L67-O67</f>
        <v>16370.31</v>
      </c>
      <c r="Q67" s="10">
        <v>0</v>
      </c>
      <c r="R67" s="7" t="s">
        <v>27</v>
      </c>
    </row>
    <row r="68" spans="1:20">
      <c r="A68" s="7" t="s">
        <v>29</v>
      </c>
      <c r="B68" s="8">
        <v>20525</v>
      </c>
      <c r="C68" s="9">
        <v>45930.370624999996</v>
      </c>
      <c r="D68" s="9">
        <v>45903</v>
      </c>
      <c r="E68" s="9">
        <v>45903</v>
      </c>
      <c r="F68" s="7" t="s">
        <v>309</v>
      </c>
      <c r="G68" s="7" t="s">
        <v>310</v>
      </c>
      <c r="H68" s="7" t="s">
        <v>311</v>
      </c>
      <c r="I68" s="7" t="s">
        <v>239</v>
      </c>
      <c r="J68" s="7" t="s">
        <v>25</v>
      </c>
      <c r="K68" s="11" t="s">
        <v>113</v>
      </c>
      <c r="L68" s="10">
        <v>102194.54</v>
      </c>
      <c r="M68" s="10">
        <v>86438.91</v>
      </c>
      <c r="N68" s="10">
        <f>+L68-M68</f>
        <v>15755.62999999999</v>
      </c>
      <c r="O68" s="10">
        <v>86438.91</v>
      </c>
      <c r="P68" s="10">
        <f>+L68-O68</f>
        <v>15755.62999999999</v>
      </c>
      <c r="Q68" s="10">
        <v>0</v>
      </c>
      <c r="R68" s="7" t="s">
        <v>27</v>
      </c>
      <c r="S68" t="s">
        <v>312</v>
      </c>
      <c r="T68" s="13"/>
    </row>
    <row r="69" spans="1:20" hidden="1">
      <c r="A69" s="7" t="s">
        <v>29</v>
      </c>
      <c r="B69" s="8">
        <v>19710</v>
      </c>
      <c r="C69" s="9">
        <v>45771.482601701384</v>
      </c>
      <c r="D69" s="9">
        <v>45286</v>
      </c>
      <c r="E69" s="9">
        <v>45258</v>
      </c>
      <c r="F69" s="7" t="s">
        <v>313</v>
      </c>
      <c r="G69" s="7" t="s">
        <v>314</v>
      </c>
      <c r="H69" s="7" t="s">
        <v>315</v>
      </c>
      <c r="I69" s="7" t="s">
        <v>316</v>
      </c>
      <c r="J69" s="7" t="s">
        <v>176</v>
      </c>
      <c r="K69" s="7" t="s">
        <v>317</v>
      </c>
      <c r="L69" s="10">
        <v>24435</v>
      </c>
      <c r="M69" s="10">
        <v>9466.2900000000009</v>
      </c>
      <c r="N69" s="10">
        <f>+L69-M69</f>
        <v>14968.71</v>
      </c>
      <c r="O69" s="10">
        <v>9466.2900000000009</v>
      </c>
      <c r="P69" s="10">
        <f>+L69-O69</f>
        <v>14968.71</v>
      </c>
      <c r="Q69" s="10">
        <v>0</v>
      </c>
      <c r="R69" s="7" t="s">
        <v>27</v>
      </c>
    </row>
    <row r="70" spans="1:20" hidden="1">
      <c r="A70" s="7" t="s">
        <v>29</v>
      </c>
      <c r="B70" s="8">
        <v>4331</v>
      </c>
      <c r="C70" s="9">
        <v>46031.505442395828</v>
      </c>
      <c r="D70" s="9">
        <v>46051</v>
      </c>
      <c r="E70" s="9">
        <v>46044</v>
      </c>
      <c r="F70" s="7" t="s">
        <v>318</v>
      </c>
      <c r="G70" s="7" t="s">
        <v>319</v>
      </c>
      <c r="H70" s="7" t="s">
        <v>320</v>
      </c>
      <c r="I70" s="7" t="s">
        <v>321</v>
      </c>
      <c r="J70" s="7" t="s">
        <v>25</v>
      </c>
      <c r="K70" s="7" t="s">
        <v>86</v>
      </c>
      <c r="L70" s="10">
        <v>14912</v>
      </c>
      <c r="M70" s="10">
        <v>8947.2000000000007</v>
      </c>
      <c r="N70" s="15">
        <f>+L70-M70</f>
        <v>5964.7999999999993</v>
      </c>
      <c r="O70" s="15">
        <v>0</v>
      </c>
      <c r="P70" s="15">
        <f>+L70-O70</f>
        <v>14912</v>
      </c>
      <c r="Q70" s="10">
        <v>0</v>
      </c>
      <c r="R70" s="7" t="s">
        <v>87</v>
      </c>
      <c r="S70" t="s">
        <v>322</v>
      </c>
    </row>
    <row r="71" spans="1:20" hidden="1">
      <c r="A71" s="7" t="s">
        <v>29</v>
      </c>
      <c r="B71" s="8">
        <v>4328</v>
      </c>
      <c r="C71" s="9">
        <v>46028.400879629626</v>
      </c>
      <c r="D71" s="9">
        <v>46051</v>
      </c>
      <c r="E71" s="9">
        <v>46051</v>
      </c>
      <c r="F71" s="7" t="s">
        <v>323</v>
      </c>
      <c r="G71" s="7" t="s">
        <v>167</v>
      </c>
      <c r="H71" s="7" t="s">
        <v>293</v>
      </c>
      <c r="I71" s="7" t="s">
        <v>294</v>
      </c>
      <c r="J71" s="7" t="s">
        <v>25</v>
      </c>
      <c r="K71" s="7" t="s">
        <v>86</v>
      </c>
      <c r="L71" s="10">
        <v>14787</v>
      </c>
      <c r="M71" s="10">
        <v>8871.92</v>
      </c>
      <c r="N71" s="15">
        <f>+L71-M71</f>
        <v>5915.08</v>
      </c>
      <c r="O71" s="15">
        <v>0</v>
      </c>
      <c r="P71" s="15">
        <f>+L71-O71</f>
        <v>14787</v>
      </c>
      <c r="Q71" s="10">
        <v>0</v>
      </c>
      <c r="R71" s="7" t="s">
        <v>87</v>
      </c>
      <c r="S71" t="s">
        <v>322</v>
      </c>
    </row>
    <row r="72" spans="1:20">
      <c r="A72" s="7" t="s">
        <v>29</v>
      </c>
      <c r="B72" s="8">
        <v>20657</v>
      </c>
      <c r="C72" s="9">
        <v>45965.433721215275</v>
      </c>
      <c r="D72" s="9">
        <v>45995</v>
      </c>
      <c r="E72" s="9">
        <v>45961</v>
      </c>
      <c r="F72" s="7" t="s">
        <v>324</v>
      </c>
      <c r="G72" s="7" t="s">
        <v>325</v>
      </c>
      <c r="H72" s="7" t="s">
        <v>326</v>
      </c>
      <c r="I72" s="7" t="s">
        <v>327</v>
      </c>
      <c r="J72" s="7" t="s">
        <v>25</v>
      </c>
      <c r="K72" s="7" t="s">
        <v>170</v>
      </c>
      <c r="L72" s="10">
        <v>18080</v>
      </c>
      <c r="M72" s="10">
        <v>3305.25</v>
      </c>
      <c r="N72" s="10">
        <f>+L72-M72</f>
        <v>14774.75</v>
      </c>
      <c r="O72" s="10">
        <v>3305.25</v>
      </c>
      <c r="P72" s="10">
        <f>+L72-O72</f>
        <v>14774.75</v>
      </c>
      <c r="Q72" s="10">
        <v>1356</v>
      </c>
      <c r="R72" s="7" t="s">
        <v>27</v>
      </c>
      <c r="S72" t="s">
        <v>328</v>
      </c>
      <c r="T72" s="13"/>
    </row>
    <row r="73" spans="1:20" hidden="1">
      <c r="A73" s="7" t="s">
        <v>29</v>
      </c>
      <c r="B73" s="8">
        <v>20797</v>
      </c>
      <c r="C73" s="9">
        <v>46013.471476354163</v>
      </c>
      <c r="D73" s="9">
        <v>45948</v>
      </c>
      <c r="E73" s="9">
        <v>45836</v>
      </c>
      <c r="F73" s="7" t="s">
        <v>329</v>
      </c>
      <c r="G73" s="7" t="s">
        <v>330</v>
      </c>
      <c r="H73" s="7" t="s">
        <v>331</v>
      </c>
      <c r="I73" s="7" t="s">
        <v>332</v>
      </c>
      <c r="J73" s="7" t="s">
        <v>176</v>
      </c>
      <c r="K73" s="7" t="s">
        <v>317</v>
      </c>
      <c r="L73" s="10">
        <v>34500</v>
      </c>
      <c r="M73" s="10">
        <v>0</v>
      </c>
      <c r="N73" s="10">
        <f>+L73-M73</f>
        <v>34500</v>
      </c>
      <c r="O73" s="10">
        <v>20442.39</v>
      </c>
      <c r="P73" s="10">
        <f>+L73-O73</f>
        <v>14057.61</v>
      </c>
      <c r="Q73" s="10">
        <v>0</v>
      </c>
      <c r="R73" s="7" t="s">
        <v>27</v>
      </c>
    </row>
    <row r="74" spans="1:20">
      <c r="A74" s="7" t="s">
        <v>29</v>
      </c>
      <c r="B74" s="8">
        <v>20741</v>
      </c>
      <c r="C74" s="9">
        <v>45993.464975150462</v>
      </c>
      <c r="D74" s="9">
        <v>45999</v>
      </c>
      <c r="E74" s="9">
        <v>45947</v>
      </c>
      <c r="F74" s="7" t="s">
        <v>333</v>
      </c>
      <c r="G74" s="7" t="s">
        <v>334</v>
      </c>
      <c r="H74" s="7" t="s">
        <v>335</v>
      </c>
      <c r="I74" s="7" t="s">
        <v>336</v>
      </c>
      <c r="J74" s="7" t="s">
        <v>25</v>
      </c>
      <c r="K74" s="7" t="s">
        <v>55</v>
      </c>
      <c r="L74" s="10">
        <v>12843.17</v>
      </c>
      <c r="M74" s="10">
        <v>8866.0300000000007</v>
      </c>
      <c r="N74" s="10">
        <f>+L74-M74</f>
        <v>3977.1399999999994</v>
      </c>
      <c r="O74" s="10">
        <v>0</v>
      </c>
      <c r="P74" s="10">
        <f>+L74-O74</f>
        <v>12843.17</v>
      </c>
      <c r="Q74" s="10">
        <v>8866.0300000000007</v>
      </c>
      <c r="R74" s="7" t="s">
        <v>27</v>
      </c>
      <c r="S74" t="s">
        <v>337</v>
      </c>
    </row>
    <row r="75" spans="1:20" hidden="1">
      <c r="A75" s="7" t="s">
        <v>29</v>
      </c>
      <c r="B75" s="8">
        <v>20928</v>
      </c>
      <c r="C75" s="9">
        <v>46055.688032407408</v>
      </c>
      <c r="D75" s="9">
        <v>46055</v>
      </c>
      <c r="E75" s="9">
        <v>46066</v>
      </c>
      <c r="F75" s="7" t="s">
        <v>338</v>
      </c>
      <c r="G75" s="7" t="s">
        <v>339</v>
      </c>
      <c r="H75" s="7" t="s">
        <v>108</v>
      </c>
      <c r="I75" s="7" t="s">
        <v>24</v>
      </c>
      <c r="J75" s="7" t="s">
        <v>34</v>
      </c>
      <c r="K75" s="7" t="s">
        <v>105</v>
      </c>
      <c r="L75" s="10">
        <v>12462.76</v>
      </c>
      <c r="M75" s="10">
        <v>0</v>
      </c>
      <c r="N75" s="10">
        <f>+L75-M75</f>
        <v>12462.76</v>
      </c>
      <c r="O75" s="10">
        <v>0</v>
      </c>
      <c r="P75" s="10">
        <f>+L75-O75</f>
        <v>12462.76</v>
      </c>
      <c r="Q75" s="10">
        <v>0</v>
      </c>
      <c r="R75" s="7" t="s">
        <v>27</v>
      </c>
    </row>
    <row r="76" spans="1:20" hidden="1">
      <c r="A76" s="7" t="s">
        <v>29</v>
      </c>
      <c r="B76" s="8">
        <v>20083</v>
      </c>
      <c r="C76" s="9">
        <v>45840.642534722218</v>
      </c>
      <c r="D76" s="9">
        <v>45840</v>
      </c>
      <c r="E76" s="9">
        <v>45931</v>
      </c>
      <c r="F76" s="7" t="s">
        <v>340</v>
      </c>
      <c r="G76" s="7" t="s">
        <v>341</v>
      </c>
      <c r="H76" s="7" t="s">
        <v>342</v>
      </c>
      <c r="I76" s="7" t="s">
        <v>343</v>
      </c>
      <c r="J76" s="7" t="s">
        <v>34</v>
      </c>
      <c r="K76" s="7" t="s">
        <v>190</v>
      </c>
      <c r="L76" s="10">
        <v>22712.1</v>
      </c>
      <c r="M76" s="10">
        <v>2112.5</v>
      </c>
      <c r="N76" s="10">
        <f>+L76-M76</f>
        <v>20599.599999999999</v>
      </c>
      <c r="O76" s="10">
        <v>10651.51</v>
      </c>
      <c r="P76" s="10">
        <f>+L76-O76</f>
        <v>12060.589999999998</v>
      </c>
      <c r="Q76" s="10">
        <v>8058.27</v>
      </c>
      <c r="R76" s="7" t="s">
        <v>27</v>
      </c>
    </row>
    <row r="77" spans="1:20" hidden="1">
      <c r="A77" s="7" t="s">
        <v>29</v>
      </c>
      <c r="B77" s="8">
        <v>20739</v>
      </c>
      <c r="C77" s="9">
        <v>45993.391111111108</v>
      </c>
      <c r="D77" s="9">
        <v>45993</v>
      </c>
      <c r="E77" s="9">
        <v>46028</v>
      </c>
      <c r="F77" s="7" t="s">
        <v>344</v>
      </c>
      <c r="G77" s="7" t="s">
        <v>345</v>
      </c>
      <c r="H77" s="7" t="s">
        <v>346</v>
      </c>
      <c r="I77" s="7" t="s">
        <v>347</v>
      </c>
      <c r="J77" s="7" t="s">
        <v>34</v>
      </c>
      <c r="K77" s="7" t="s">
        <v>35</v>
      </c>
      <c r="L77" s="10">
        <v>11959.16</v>
      </c>
      <c r="M77" s="10">
        <v>0</v>
      </c>
      <c r="N77" s="10">
        <f>+L77-M77</f>
        <v>11959.16</v>
      </c>
      <c r="O77" s="10">
        <v>0</v>
      </c>
      <c r="P77" s="10">
        <f>+L77-O77</f>
        <v>11959.16</v>
      </c>
      <c r="Q77" s="10">
        <v>0</v>
      </c>
      <c r="R77" s="7" t="s">
        <v>27</v>
      </c>
    </row>
    <row r="78" spans="1:20" hidden="1">
      <c r="A78" s="7" t="s">
        <v>29</v>
      </c>
      <c r="B78" s="8">
        <v>4345</v>
      </c>
      <c r="C78" s="9">
        <v>46057.389977349536</v>
      </c>
      <c r="D78" s="9">
        <v>46066</v>
      </c>
      <c r="E78" s="9">
        <v>46052</v>
      </c>
      <c r="F78" s="7" t="s">
        <v>348</v>
      </c>
      <c r="G78" s="7" t="s">
        <v>349</v>
      </c>
      <c r="H78" s="7" t="s">
        <v>350</v>
      </c>
      <c r="I78" s="7" t="s">
        <v>351</v>
      </c>
      <c r="J78" s="7" t="s">
        <v>25</v>
      </c>
      <c r="K78" s="7" t="s">
        <v>125</v>
      </c>
      <c r="L78" s="10">
        <v>29572.95</v>
      </c>
      <c r="M78" s="10">
        <v>0</v>
      </c>
      <c r="N78" s="15">
        <f>+L78-M78</f>
        <v>29572.95</v>
      </c>
      <c r="O78" s="15">
        <v>17743.77</v>
      </c>
      <c r="P78" s="15">
        <f>+L78-O78</f>
        <v>11829.18</v>
      </c>
      <c r="Q78" s="10">
        <v>0</v>
      </c>
      <c r="R78" s="7" t="s">
        <v>87</v>
      </c>
      <c r="S78" t="s">
        <v>352</v>
      </c>
    </row>
    <row r="79" spans="1:20" hidden="1">
      <c r="A79" s="7" t="s">
        <v>29</v>
      </c>
      <c r="B79" s="8">
        <v>20651</v>
      </c>
      <c r="C79" s="9">
        <v>45964.421469907407</v>
      </c>
      <c r="D79" s="9">
        <v>46052</v>
      </c>
      <c r="E79" s="9">
        <v>45944</v>
      </c>
      <c r="F79" s="7" t="s">
        <v>353</v>
      </c>
      <c r="G79" s="7" t="s">
        <v>354</v>
      </c>
      <c r="H79" s="7" t="s">
        <v>138</v>
      </c>
      <c r="I79" s="7" t="s">
        <v>139</v>
      </c>
      <c r="J79" s="7" t="s">
        <v>40</v>
      </c>
      <c r="K79" s="7" t="s">
        <v>355</v>
      </c>
      <c r="L79" s="10">
        <v>37419.300000000003</v>
      </c>
      <c r="M79" s="10">
        <v>26193.51</v>
      </c>
      <c r="N79" s="10">
        <f>+L79-M79</f>
        <v>11225.790000000005</v>
      </c>
      <c r="O79" s="10">
        <v>26193.51</v>
      </c>
      <c r="P79" s="10">
        <f>+L79-O79</f>
        <v>11225.790000000005</v>
      </c>
      <c r="Q79" s="10">
        <v>0</v>
      </c>
      <c r="R79" s="7" t="s">
        <v>27</v>
      </c>
    </row>
    <row r="80" spans="1:20" hidden="1">
      <c r="A80" s="7" t="s">
        <v>29</v>
      </c>
      <c r="B80" s="8">
        <v>20810</v>
      </c>
      <c r="C80" s="9">
        <v>46019.997558680552</v>
      </c>
      <c r="D80" s="9">
        <v>45966</v>
      </c>
      <c r="E80" s="9">
        <v>45968</v>
      </c>
      <c r="F80" s="7" t="s">
        <v>356</v>
      </c>
      <c r="G80" s="7" t="s">
        <v>357</v>
      </c>
      <c r="H80" s="7" t="s">
        <v>358</v>
      </c>
      <c r="I80" s="7" t="s">
        <v>359</v>
      </c>
      <c r="J80" s="7" t="s">
        <v>176</v>
      </c>
      <c r="K80" s="7" t="s">
        <v>360</v>
      </c>
      <c r="L80" s="10">
        <v>10640</v>
      </c>
      <c r="M80" s="10">
        <v>0</v>
      </c>
      <c r="N80" s="10">
        <f>+L80-M80</f>
        <v>10640</v>
      </c>
      <c r="O80" s="10">
        <v>0</v>
      </c>
      <c r="P80" s="10">
        <f>+L80-O80</f>
        <v>10640</v>
      </c>
      <c r="Q80" s="10">
        <v>6504</v>
      </c>
      <c r="R80" s="7" t="s">
        <v>27</v>
      </c>
    </row>
    <row r="81" spans="1:20" hidden="1">
      <c r="A81" s="7" t="s">
        <v>29</v>
      </c>
      <c r="B81" s="8">
        <v>20898</v>
      </c>
      <c r="C81" s="9">
        <v>46044.481793981482</v>
      </c>
      <c r="D81" s="9">
        <v>46044</v>
      </c>
      <c r="E81" s="9">
        <v>46066</v>
      </c>
      <c r="F81" s="7" t="s">
        <v>361</v>
      </c>
      <c r="G81" s="7" t="s">
        <v>362</v>
      </c>
      <c r="H81" s="7" t="s">
        <v>363</v>
      </c>
      <c r="I81" s="7" t="s">
        <v>364</v>
      </c>
      <c r="J81" s="7" t="s">
        <v>34</v>
      </c>
      <c r="K81" s="7" t="s">
        <v>118</v>
      </c>
      <c r="L81" s="10">
        <v>10428.540000000001</v>
      </c>
      <c r="M81" s="10">
        <v>0</v>
      </c>
      <c r="N81" s="10">
        <f>+L81-M81</f>
        <v>10428.540000000001</v>
      </c>
      <c r="O81" s="10">
        <v>0</v>
      </c>
      <c r="P81" s="10">
        <f>+L81-O81</f>
        <v>10428.540000000001</v>
      </c>
      <c r="Q81" s="10">
        <v>0</v>
      </c>
      <c r="R81" s="7" t="s">
        <v>27</v>
      </c>
    </row>
    <row r="82" spans="1:20" hidden="1">
      <c r="A82" s="7" t="s">
        <v>29</v>
      </c>
      <c r="B82" s="8">
        <v>20751</v>
      </c>
      <c r="C82" s="9">
        <v>45994.621932870366</v>
      </c>
      <c r="D82" s="9">
        <v>45994</v>
      </c>
      <c r="E82" s="9">
        <v>46052</v>
      </c>
      <c r="F82" s="7" t="s">
        <v>365</v>
      </c>
      <c r="G82" s="7" t="s">
        <v>366</v>
      </c>
      <c r="H82" s="7" t="s">
        <v>367</v>
      </c>
      <c r="I82" s="7" t="s">
        <v>368</v>
      </c>
      <c r="J82" s="7" t="s">
        <v>34</v>
      </c>
      <c r="K82" s="7" t="s">
        <v>369</v>
      </c>
      <c r="L82" s="10">
        <v>10400.969999999999</v>
      </c>
      <c r="M82" s="10">
        <v>0</v>
      </c>
      <c r="N82" s="10">
        <f>+L82-M82</f>
        <v>10400.969999999999</v>
      </c>
      <c r="O82" s="10">
        <v>0</v>
      </c>
      <c r="P82" s="10">
        <f>+L82-O82</f>
        <v>10400.969999999999</v>
      </c>
      <c r="Q82" s="10">
        <v>0</v>
      </c>
      <c r="R82" s="7" t="s">
        <v>27</v>
      </c>
    </row>
    <row r="83" spans="1:20" hidden="1">
      <c r="A83" s="7" t="s">
        <v>29</v>
      </c>
      <c r="B83" s="8">
        <v>20257</v>
      </c>
      <c r="C83" s="9">
        <v>45876.687383414348</v>
      </c>
      <c r="D83" s="9">
        <v>45670</v>
      </c>
      <c r="E83" s="9">
        <v>45664</v>
      </c>
      <c r="F83" s="7" t="s">
        <v>370</v>
      </c>
      <c r="G83" s="7" t="s">
        <v>371</v>
      </c>
      <c r="H83" s="7" t="s">
        <v>372</v>
      </c>
      <c r="I83" s="7" t="s">
        <v>373</v>
      </c>
      <c r="J83" s="7" t="s">
        <v>176</v>
      </c>
      <c r="K83" s="7" t="s">
        <v>374</v>
      </c>
      <c r="L83" s="10">
        <v>10300</v>
      </c>
      <c r="M83" s="10">
        <v>0</v>
      </c>
      <c r="N83" s="10">
        <f>+L83-M83</f>
        <v>10300</v>
      </c>
      <c r="O83" s="10">
        <v>0</v>
      </c>
      <c r="P83" s="10">
        <f>+L83-O83</f>
        <v>10300</v>
      </c>
      <c r="Q83" s="10">
        <v>0</v>
      </c>
      <c r="R83" s="7" t="s">
        <v>27</v>
      </c>
    </row>
    <row r="84" spans="1:20" hidden="1">
      <c r="A84" s="7" t="s">
        <v>29</v>
      </c>
      <c r="B84" s="8">
        <v>4212</v>
      </c>
      <c r="C84" s="9">
        <v>45800.681172766199</v>
      </c>
      <c r="D84" s="9">
        <v>45789</v>
      </c>
      <c r="E84" s="9">
        <v>45910</v>
      </c>
      <c r="F84" s="7" t="s">
        <v>375</v>
      </c>
      <c r="G84" s="7" t="s">
        <v>376</v>
      </c>
      <c r="H84" s="7" t="s">
        <v>204</v>
      </c>
      <c r="I84" s="7" t="s">
        <v>205</v>
      </c>
      <c r="J84" s="7" t="s">
        <v>25</v>
      </c>
      <c r="K84" s="7" t="s">
        <v>206</v>
      </c>
      <c r="L84" s="10">
        <v>14608.75</v>
      </c>
      <c r="M84" s="10">
        <v>4382.63</v>
      </c>
      <c r="N84" s="15">
        <f>+L84-M84</f>
        <v>10226.119999999999</v>
      </c>
      <c r="O84" s="15">
        <v>4382.63</v>
      </c>
      <c r="P84" s="15">
        <f>+L84-O84</f>
        <v>10226.119999999999</v>
      </c>
      <c r="Q84" s="10">
        <v>0</v>
      </c>
      <c r="R84" s="7" t="s">
        <v>87</v>
      </c>
      <c r="S84" t="s">
        <v>210</v>
      </c>
    </row>
    <row r="85" spans="1:20" hidden="1">
      <c r="A85" s="7" t="s">
        <v>29</v>
      </c>
      <c r="B85" s="8">
        <v>20768</v>
      </c>
      <c r="C85" s="9">
        <v>46001.556469907402</v>
      </c>
      <c r="D85" s="9">
        <v>46001</v>
      </c>
      <c r="E85" s="9">
        <v>46052</v>
      </c>
      <c r="F85" s="7" t="s">
        <v>377</v>
      </c>
      <c r="G85" s="7" t="s">
        <v>378</v>
      </c>
      <c r="H85" s="7" t="s">
        <v>379</v>
      </c>
      <c r="I85" s="7" t="s">
        <v>380</v>
      </c>
      <c r="J85" s="7" t="s">
        <v>34</v>
      </c>
      <c r="K85" s="7" t="s">
        <v>118</v>
      </c>
      <c r="L85" s="10">
        <v>9980.25</v>
      </c>
      <c r="M85" s="10">
        <v>0</v>
      </c>
      <c r="N85" s="10">
        <f>+L85-M85</f>
        <v>9980.25</v>
      </c>
      <c r="O85" s="10">
        <v>0</v>
      </c>
      <c r="P85" s="10">
        <f>+L85-O85</f>
        <v>9980.25</v>
      </c>
      <c r="Q85" s="10">
        <v>0</v>
      </c>
      <c r="R85" s="7" t="s">
        <v>27</v>
      </c>
    </row>
    <row r="86" spans="1:20" hidden="1">
      <c r="A86" s="7" t="s">
        <v>29</v>
      </c>
      <c r="B86" s="8">
        <v>4350</v>
      </c>
      <c r="C86" s="9">
        <v>46064.382166354168</v>
      </c>
      <c r="D86" s="9">
        <v>46052</v>
      </c>
      <c r="E86" s="9">
        <v>46013</v>
      </c>
      <c r="F86" s="7" t="s">
        <v>381</v>
      </c>
      <c r="G86" s="7" t="s">
        <v>72</v>
      </c>
      <c r="H86" s="7" t="s">
        <v>382</v>
      </c>
      <c r="I86" s="7" t="s">
        <v>383</v>
      </c>
      <c r="J86" s="7" t="s">
        <v>25</v>
      </c>
      <c r="K86" s="7" t="s">
        <v>86</v>
      </c>
      <c r="L86" s="10">
        <v>9527.9699999999993</v>
      </c>
      <c r="M86" s="10">
        <f>+L86*0.6</f>
        <v>5716.7819999999992</v>
      </c>
      <c r="N86" s="15">
        <f>+L86-M86</f>
        <v>3811.1880000000001</v>
      </c>
      <c r="O86" s="15">
        <v>0</v>
      </c>
      <c r="P86" s="15">
        <f>+L86-O86</f>
        <v>9527.9699999999993</v>
      </c>
      <c r="Q86" s="10">
        <v>0</v>
      </c>
      <c r="R86" s="7" t="s">
        <v>87</v>
      </c>
      <c r="S86" t="s">
        <v>384</v>
      </c>
    </row>
    <row r="87" spans="1:20" hidden="1">
      <c r="A87" s="7" t="s">
        <v>29</v>
      </c>
      <c r="B87" s="8">
        <v>20758</v>
      </c>
      <c r="C87" s="9">
        <v>45996.670914351853</v>
      </c>
      <c r="D87" s="9">
        <v>45996</v>
      </c>
      <c r="E87" s="9">
        <v>46052</v>
      </c>
      <c r="F87" s="7" t="s">
        <v>385</v>
      </c>
      <c r="G87" s="7" t="s">
        <v>386</v>
      </c>
      <c r="H87" s="7" t="s">
        <v>234</v>
      </c>
      <c r="I87" s="7" t="s">
        <v>387</v>
      </c>
      <c r="J87" s="7" t="s">
        <v>34</v>
      </c>
      <c r="K87" s="7" t="s">
        <v>118</v>
      </c>
      <c r="L87" s="10">
        <v>67354.009999999995</v>
      </c>
      <c r="M87" s="10">
        <v>57863.46</v>
      </c>
      <c r="N87" s="10">
        <f>+L87-M87</f>
        <v>9490.5499999999956</v>
      </c>
      <c r="O87" s="10">
        <v>57898.46</v>
      </c>
      <c r="P87" s="10">
        <f>+L87-O87</f>
        <v>9455.5499999999956</v>
      </c>
      <c r="Q87" s="10">
        <v>0</v>
      </c>
      <c r="R87" s="7" t="s">
        <v>27</v>
      </c>
    </row>
    <row r="88" spans="1:20" hidden="1">
      <c r="A88" s="7" t="s">
        <v>29</v>
      </c>
      <c r="B88" s="8">
        <v>20804</v>
      </c>
      <c r="C88" s="9">
        <v>46014.401331018518</v>
      </c>
      <c r="D88" s="9">
        <v>46014</v>
      </c>
      <c r="E88" s="9">
        <v>46112</v>
      </c>
      <c r="F88" s="7" t="s">
        <v>388</v>
      </c>
      <c r="G88" s="7" t="s">
        <v>389</v>
      </c>
      <c r="H88" s="7" t="s">
        <v>390</v>
      </c>
      <c r="I88" s="7" t="s">
        <v>391</v>
      </c>
      <c r="J88" s="7" t="s">
        <v>34</v>
      </c>
      <c r="K88" s="7" t="s">
        <v>392</v>
      </c>
      <c r="L88" s="10">
        <v>9040</v>
      </c>
      <c r="M88" s="10">
        <v>0</v>
      </c>
      <c r="N88" s="10">
        <f>+L88-M88</f>
        <v>9040</v>
      </c>
      <c r="O88" s="10">
        <v>0</v>
      </c>
      <c r="P88" s="10">
        <f>+L88-O88</f>
        <v>9040</v>
      </c>
      <c r="Q88" s="10">
        <v>0</v>
      </c>
      <c r="R88" s="7" t="s">
        <v>27</v>
      </c>
    </row>
    <row r="89" spans="1:20">
      <c r="A89" s="7" t="s">
        <v>29</v>
      </c>
      <c r="B89" s="8">
        <v>20828</v>
      </c>
      <c r="C89" s="9">
        <v>46028.58488425926</v>
      </c>
      <c r="D89" s="9">
        <v>46030</v>
      </c>
      <c r="E89" s="9">
        <v>46007</v>
      </c>
      <c r="F89" s="7" t="s">
        <v>393</v>
      </c>
      <c r="G89" s="7" t="s">
        <v>283</v>
      </c>
      <c r="H89" s="7" t="s">
        <v>394</v>
      </c>
      <c r="I89" s="7" t="s">
        <v>395</v>
      </c>
      <c r="J89" s="7" t="s">
        <v>25</v>
      </c>
      <c r="K89" s="11" t="s">
        <v>240</v>
      </c>
      <c r="L89" s="10">
        <v>8643.1200000000008</v>
      </c>
      <c r="M89" s="10">
        <v>4321.5600000000004</v>
      </c>
      <c r="N89" s="10">
        <f>+L89-M89</f>
        <v>4321.5600000000004</v>
      </c>
      <c r="O89" s="10">
        <v>0</v>
      </c>
      <c r="P89" s="10">
        <f>+L89-O89</f>
        <v>8643.1200000000008</v>
      </c>
      <c r="Q89" s="10">
        <v>0</v>
      </c>
      <c r="R89" s="7" t="s">
        <v>27</v>
      </c>
      <c r="S89" t="s">
        <v>396</v>
      </c>
      <c r="T89">
        <v>8643</v>
      </c>
    </row>
    <row r="90" spans="1:20">
      <c r="A90" s="7" t="s">
        <v>29</v>
      </c>
      <c r="B90" s="8">
        <v>20596</v>
      </c>
      <c r="C90" s="9">
        <v>45950.482418981483</v>
      </c>
      <c r="D90" s="9">
        <v>45944</v>
      </c>
      <c r="E90" s="9">
        <v>45939</v>
      </c>
      <c r="F90" s="7" t="s">
        <v>397</v>
      </c>
      <c r="G90" s="7" t="s">
        <v>398</v>
      </c>
      <c r="H90" s="7" t="s">
        <v>399</v>
      </c>
      <c r="I90" s="7" t="s">
        <v>400</v>
      </c>
      <c r="J90" s="7" t="s">
        <v>25</v>
      </c>
      <c r="K90" s="7" t="s">
        <v>26</v>
      </c>
      <c r="L90" s="10">
        <v>156744.22</v>
      </c>
      <c r="M90" s="10">
        <v>90000</v>
      </c>
      <c r="N90" s="10">
        <f>+L90-M90</f>
        <v>66744.22</v>
      </c>
      <c r="O90" s="10">
        <v>148682.17000000001</v>
      </c>
      <c r="P90" s="10">
        <f>+L90-O90</f>
        <v>8062.0499999999884</v>
      </c>
      <c r="Q90" s="10">
        <v>0</v>
      </c>
      <c r="R90" s="7" t="s">
        <v>27</v>
      </c>
      <c r="S90" t="s">
        <v>401</v>
      </c>
    </row>
    <row r="91" spans="1:20">
      <c r="A91" s="7" t="s">
        <v>29</v>
      </c>
      <c r="B91" s="8">
        <v>19901</v>
      </c>
      <c r="C91" s="9">
        <v>45810.585138888884</v>
      </c>
      <c r="D91" s="9">
        <v>45869</v>
      </c>
      <c r="E91" s="9">
        <v>45786</v>
      </c>
      <c r="F91" s="7" t="s">
        <v>402</v>
      </c>
      <c r="G91" s="7" t="s">
        <v>403</v>
      </c>
      <c r="H91" s="7" t="s">
        <v>108</v>
      </c>
      <c r="I91" s="7" t="s">
        <v>24</v>
      </c>
      <c r="J91" s="7" t="s">
        <v>25</v>
      </c>
      <c r="K91" s="7" t="s">
        <v>26</v>
      </c>
      <c r="L91" s="10">
        <v>40206.44</v>
      </c>
      <c r="M91" s="10">
        <v>32165.15</v>
      </c>
      <c r="N91" s="10">
        <f>+L91-M91</f>
        <v>8041.2900000000009</v>
      </c>
      <c r="O91" s="10">
        <v>32165.15</v>
      </c>
      <c r="P91" s="10">
        <f>+L91-O91</f>
        <v>8041.2900000000009</v>
      </c>
      <c r="Q91" s="10">
        <v>0</v>
      </c>
      <c r="R91" s="7" t="s">
        <v>27</v>
      </c>
      <c r="S91" t="s">
        <v>404</v>
      </c>
    </row>
    <row r="92" spans="1:20">
      <c r="A92" s="7" t="s">
        <v>29</v>
      </c>
      <c r="B92" s="8">
        <v>20834</v>
      </c>
      <c r="C92" s="9">
        <v>46029.37455015046</v>
      </c>
      <c r="D92" s="9">
        <v>46030</v>
      </c>
      <c r="E92" s="9">
        <v>46030</v>
      </c>
      <c r="F92" s="7" t="s">
        <v>405</v>
      </c>
      <c r="G92" s="7" t="s">
        <v>406</v>
      </c>
      <c r="H92" s="7" t="s">
        <v>23</v>
      </c>
      <c r="I92" s="7" t="s">
        <v>24</v>
      </c>
      <c r="J92" s="7" t="s">
        <v>25</v>
      </c>
      <c r="K92" s="7" t="s">
        <v>407</v>
      </c>
      <c r="L92" s="10">
        <v>7998</v>
      </c>
      <c r="M92" s="10">
        <v>0</v>
      </c>
      <c r="N92" s="10">
        <f>+L92-M92</f>
        <v>7998</v>
      </c>
      <c r="O92" s="10">
        <v>0</v>
      </c>
      <c r="P92" s="10">
        <f>+L92-O92</f>
        <v>7998</v>
      </c>
      <c r="Q92" s="10">
        <v>4798.8</v>
      </c>
      <c r="R92" s="7" t="s">
        <v>27</v>
      </c>
      <c r="S92" t="s">
        <v>396</v>
      </c>
      <c r="T92">
        <v>7998</v>
      </c>
    </row>
    <row r="93" spans="1:20" hidden="1">
      <c r="A93" s="7" t="s">
        <v>29</v>
      </c>
      <c r="B93" s="8">
        <v>20866</v>
      </c>
      <c r="C93" s="9">
        <v>46036.551932870367</v>
      </c>
      <c r="D93" s="9">
        <v>46036</v>
      </c>
      <c r="E93" s="9">
        <v>46031</v>
      </c>
      <c r="F93" s="7" t="s">
        <v>408</v>
      </c>
      <c r="G93" s="7" t="s">
        <v>409</v>
      </c>
      <c r="H93" s="7" t="s">
        <v>410</v>
      </c>
      <c r="I93" s="7" t="s">
        <v>411</v>
      </c>
      <c r="J93" s="7" t="s">
        <v>34</v>
      </c>
      <c r="K93" s="7" t="s">
        <v>412</v>
      </c>
      <c r="L93" s="10">
        <v>7728.42</v>
      </c>
      <c r="M93" s="10">
        <v>0</v>
      </c>
      <c r="N93" s="10">
        <f>+L93-M93</f>
        <v>7728.42</v>
      </c>
      <c r="O93" s="10">
        <v>0</v>
      </c>
      <c r="P93" s="10">
        <f>+L93-O93</f>
        <v>7728.42</v>
      </c>
      <c r="Q93" s="10">
        <v>2318.5300000000002</v>
      </c>
      <c r="R93" s="7" t="s">
        <v>27</v>
      </c>
    </row>
    <row r="94" spans="1:20">
      <c r="A94" s="7" t="s">
        <v>29</v>
      </c>
      <c r="B94" s="8">
        <v>19467</v>
      </c>
      <c r="C94" s="9">
        <v>45715.461122685185</v>
      </c>
      <c r="D94" s="9">
        <v>45728</v>
      </c>
      <c r="E94" s="9">
        <v>45736</v>
      </c>
      <c r="F94" s="7" t="s">
        <v>413</v>
      </c>
      <c r="G94" s="7" t="s">
        <v>414</v>
      </c>
      <c r="H94" s="7" t="s">
        <v>44</v>
      </c>
      <c r="I94" s="7" t="s">
        <v>45</v>
      </c>
      <c r="J94" s="7" t="s">
        <v>25</v>
      </c>
      <c r="K94" s="7" t="s">
        <v>26</v>
      </c>
      <c r="L94" s="10">
        <v>7698.8</v>
      </c>
      <c r="M94" s="10">
        <v>0</v>
      </c>
      <c r="N94" s="10">
        <f>+L94-M94</f>
        <v>7698.8</v>
      </c>
      <c r="O94" s="10">
        <v>0</v>
      </c>
      <c r="P94" s="10">
        <f>+L94-O94</f>
        <v>7698.8</v>
      </c>
      <c r="Q94" s="10">
        <v>0</v>
      </c>
      <c r="R94" s="7" t="s">
        <v>27</v>
      </c>
      <c r="S94" t="s">
        <v>415</v>
      </c>
      <c r="T94">
        <v>7698</v>
      </c>
    </row>
    <row r="95" spans="1:20" hidden="1">
      <c r="A95" s="7" t="s">
        <v>29</v>
      </c>
      <c r="B95" s="8">
        <v>20930</v>
      </c>
      <c r="C95" s="9">
        <v>46055.707962962959</v>
      </c>
      <c r="D95" s="9">
        <v>46055</v>
      </c>
      <c r="E95" s="9">
        <v>46142</v>
      </c>
      <c r="F95" s="7" t="s">
        <v>416</v>
      </c>
      <c r="G95" s="7" t="s">
        <v>417</v>
      </c>
      <c r="H95" s="7" t="s">
        <v>418</v>
      </c>
      <c r="I95" s="7" t="s">
        <v>419</v>
      </c>
      <c r="J95" s="7" t="s">
        <v>34</v>
      </c>
      <c r="K95" s="7" t="s">
        <v>118</v>
      </c>
      <c r="L95" s="10">
        <v>7540.31</v>
      </c>
      <c r="M95" s="10">
        <v>0</v>
      </c>
      <c r="N95" s="10">
        <f>+L95-M95</f>
        <v>7540.31</v>
      </c>
      <c r="O95" s="10">
        <v>0</v>
      </c>
      <c r="P95" s="10">
        <f>+L95-O95</f>
        <v>7540.31</v>
      </c>
      <c r="Q95" s="10">
        <v>0</v>
      </c>
      <c r="R95" s="7" t="s">
        <v>27</v>
      </c>
    </row>
    <row r="96" spans="1:20" hidden="1">
      <c r="A96" s="7" t="s">
        <v>29</v>
      </c>
      <c r="B96" s="8">
        <v>20402</v>
      </c>
      <c r="C96" s="9">
        <v>45905.424432870372</v>
      </c>
      <c r="D96" s="9">
        <v>45660</v>
      </c>
      <c r="E96" s="9">
        <v>45905</v>
      </c>
      <c r="F96" s="7" t="s">
        <v>420</v>
      </c>
      <c r="G96" s="7" t="s">
        <v>421</v>
      </c>
      <c r="H96" s="7" t="s">
        <v>422</v>
      </c>
      <c r="I96" s="7" t="s">
        <v>423</v>
      </c>
      <c r="J96" s="7" t="s">
        <v>176</v>
      </c>
      <c r="K96" s="7" t="s">
        <v>374</v>
      </c>
      <c r="L96" s="10">
        <v>8500</v>
      </c>
      <c r="M96" s="10">
        <v>1000</v>
      </c>
      <c r="N96" s="10">
        <f>+L96-M96</f>
        <v>7500</v>
      </c>
      <c r="O96" s="10">
        <v>1000</v>
      </c>
      <c r="P96" s="10">
        <f>+L96-O96</f>
        <v>7500</v>
      </c>
      <c r="Q96" s="10">
        <v>4000</v>
      </c>
      <c r="R96" s="7" t="s">
        <v>27</v>
      </c>
    </row>
    <row r="97" spans="1:20" hidden="1">
      <c r="A97" s="7" t="s">
        <v>29</v>
      </c>
      <c r="B97" s="8">
        <v>20698</v>
      </c>
      <c r="C97" s="9">
        <v>45975.363020833334</v>
      </c>
      <c r="D97" s="9">
        <v>45971</v>
      </c>
      <c r="E97" s="9">
        <v>45965</v>
      </c>
      <c r="F97" s="7" t="s">
        <v>424</v>
      </c>
      <c r="G97" s="7" t="s">
        <v>425</v>
      </c>
      <c r="H97" s="7" t="s">
        <v>426</v>
      </c>
      <c r="I97" s="7" t="s">
        <v>427</v>
      </c>
      <c r="J97" s="7" t="s">
        <v>40</v>
      </c>
      <c r="K97" s="7" t="s">
        <v>308</v>
      </c>
      <c r="L97" s="10">
        <v>74835.360000000001</v>
      </c>
      <c r="M97" s="10">
        <v>67351.83</v>
      </c>
      <c r="N97" s="10">
        <f>+L97-M97</f>
        <v>7483.5299999999988</v>
      </c>
      <c r="O97" s="10">
        <v>67351.83</v>
      </c>
      <c r="P97" s="10">
        <f>+L97-O97</f>
        <v>7483.5299999999988</v>
      </c>
      <c r="Q97" s="10">
        <v>0</v>
      </c>
      <c r="R97" s="7" t="s">
        <v>27</v>
      </c>
    </row>
    <row r="98" spans="1:20" hidden="1">
      <c r="A98" s="7" t="s">
        <v>29</v>
      </c>
      <c r="B98" s="8">
        <v>20677</v>
      </c>
      <c r="C98" s="9">
        <v>45966.689328703702</v>
      </c>
      <c r="D98" s="9">
        <v>45966</v>
      </c>
      <c r="E98" s="9">
        <v>45966</v>
      </c>
      <c r="F98" s="7" t="s">
        <v>428</v>
      </c>
      <c r="G98" s="7" t="s">
        <v>429</v>
      </c>
      <c r="H98" s="7" t="s">
        <v>430</v>
      </c>
      <c r="I98" s="7" t="s">
        <v>431</v>
      </c>
      <c r="J98" s="7" t="s">
        <v>176</v>
      </c>
      <c r="K98" s="7" t="s">
        <v>360</v>
      </c>
      <c r="L98" s="10">
        <v>7209</v>
      </c>
      <c r="M98" s="10">
        <v>0</v>
      </c>
      <c r="N98" s="10">
        <f>+L98-M98</f>
        <v>7209</v>
      </c>
      <c r="O98" s="10">
        <v>0</v>
      </c>
      <c r="P98" s="10">
        <f>+L98-O98</f>
        <v>7209</v>
      </c>
      <c r="Q98" s="10">
        <v>4620</v>
      </c>
      <c r="R98" s="7" t="s">
        <v>27</v>
      </c>
    </row>
    <row r="99" spans="1:20">
      <c r="A99" s="7" t="s">
        <v>29</v>
      </c>
      <c r="B99" s="8">
        <v>19563</v>
      </c>
      <c r="C99" s="9">
        <v>45742.494467592587</v>
      </c>
      <c r="D99" s="9">
        <v>45708</v>
      </c>
      <c r="E99" s="9">
        <v>45743</v>
      </c>
      <c r="F99" s="7" t="s">
        <v>432</v>
      </c>
      <c r="G99" s="7" t="s">
        <v>433</v>
      </c>
      <c r="H99" s="7" t="s">
        <v>434</v>
      </c>
      <c r="I99" s="7" t="s">
        <v>435</v>
      </c>
      <c r="J99" s="7" t="s">
        <v>25</v>
      </c>
      <c r="K99" s="7" t="s">
        <v>26</v>
      </c>
      <c r="L99" s="10">
        <v>324310</v>
      </c>
      <c r="M99" s="10">
        <v>317342.67</v>
      </c>
      <c r="N99" s="10">
        <f>+L99-M99</f>
        <v>6967.3300000000163</v>
      </c>
      <c r="O99" s="10">
        <v>317342.67</v>
      </c>
      <c r="P99" s="10">
        <f>+L99-O99</f>
        <v>6967.3300000000163</v>
      </c>
      <c r="Q99" s="10">
        <v>0</v>
      </c>
      <c r="R99" s="7" t="s">
        <v>27</v>
      </c>
      <c r="S99" t="s">
        <v>415</v>
      </c>
      <c r="T99">
        <v>6967</v>
      </c>
    </row>
    <row r="100" spans="1:20">
      <c r="A100" s="7" t="s">
        <v>29</v>
      </c>
      <c r="B100" s="8">
        <v>20936</v>
      </c>
      <c r="C100" s="9">
        <v>46057.355966238421</v>
      </c>
      <c r="D100" s="9">
        <v>46070</v>
      </c>
      <c r="E100" s="9">
        <v>46041</v>
      </c>
      <c r="F100" s="7" t="s">
        <v>436</v>
      </c>
      <c r="G100" s="7" t="s">
        <v>437</v>
      </c>
      <c r="H100" s="7" t="s">
        <v>438</v>
      </c>
      <c r="I100" s="7" t="s">
        <v>439</v>
      </c>
      <c r="J100" s="7" t="s">
        <v>25</v>
      </c>
      <c r="K100" s="7" t="s">
        <v>407</v>
      </c>
      <c r="L100" s="10">
        <v>17033.62</v>
      </c>
      <c r="M100" s="10">
        <v>0</v>
      </c>
      <c r="N100" s="10">
        <f>+L100-M100</f>
        <v>17033.62</v>
      </c>
      <c r="O100" s="10">
        <v>10220.17</v>
      </c>
      <c r="P100" s="10">
        <f>+L100-O100</f>
        <v>6813.4499999999989</v>
      </c>
      <c r="Q100" s="10">
        <v>2012.8</v>
      </c>
      <c r="R100" s="7" t="s">
        <v>27</v>
      </c>
      <c r="S100" t="s">
        <v>440</v>
      </c>
    </row>
    <row r="101" spans="1:20">
      <c r="A101" s="7" t="s">
        <v>29</v>
      </c>
      <c r="B101" s="8">
        <v>20890</v>
      </c>
      <c r="C101" s="9">
        <v>46043.428093668983</v>
      </c>
      <c r="D101" s="9">
        <v>46010</v>
      </c>
      <c r="E101" s="9">
        <v>45982</v>
      </c>
      <c r="F101" s="7" t="s">
        <v>441</v>
      </c>
      <c r="G101" s="7" t="s">
        <v>442</v>
      </c>
      <c r="H101" s="7" t="s">
        <v>23</v>
      </c>
      <c r="I101" s="7" t="s">
        <v>24</v>
      </c>
      <c r="J101" s="7" t="s">
        <v>25</v>
      </c>
      <c r="K101" s="7" t="s">
        <v>26</v>
      </c>
      <c r="L101" s="10">
        <v>6736.22</v>
      </c>
      <c r="M101" s="10">
        <v>3368.11</v>
      </c>
      <c r="N101" s="10">
        <f>+L101-M101</f>
        <v>3368.11</v>
      </c>
      <c r="O101" s="10">
        <v>0</v>
      </c>
      <c r="P101" s="10">
        <f>+L101-O101</f>
        <v>6736.22</v>
      </c>
      <c r="Q101" s="10">
        <v>3368.11</v>
      </c>
      <c r="R101" s="7" t="s">
        <v>27</v>
      </c>
      <c r="S101" t="s">
        <v>273</v>
      </c>
    </row>
    <row r="102" spans="1:20" hidden="1">
      <c r="A102" s="7" t="s">
        <v>29</v>
      </c>
      <c r="B102" s="8">
        <v>4226</v>
      </c>
      <c r="C102" s="9">
        <v>45820.699432870366</v>
      </c>
      <c r="D102" s="9">
        <v>45807</v>
      </c>
      <c r="E102" s="9">
        <v>45812</v>
      </c>
      <c r="F102" s="7" t="s">
        <v>443</v>
      </c>
      <c r="G102" s="7" t="s">
        <v>444</v>
      </c>
      <c r="H102" s="7" t="s">
        <v>445</v>
      </c>
      <c r="I102" s="7" t="s">
        <v>321</v>
      </c>
      <c r="J102" s="7" t="s">
        <v>25</v>
      </c>
      <c r="K102" s="7" t="s">
        <v>86</v>
      </c>
      <c r="L102" s="10">
        <v>88690</v>
      </c>
      <c r="M102" s="10">
        <v>82045.600000000006</v>
      </c>
      <c r="N102" s="15">
        <f>+L102-M102</f>
        <v>6644.3999999999942</v>
      </c>
      <c r="O102" s="15">
        <v>82045.600000000006</v>
      </c>
      <c r="P102" s="15">
        <f>+L102-O102</f>
        <v>6644.3999999999942</v>
      </c>
      <c r="Q102" s="10">
        <v>0</v>
      </c>
      <c r="R102" s="7" t="s">
        <v>87</v>
      </c>
      <c r="S102" t="s">
        <v>446</v>
      </c>
    </row>
    <row r="103" spans="1:20" hidden="1">
      <c r="A103" s="7" t="s">
        <v>29</v>
      </c>
      <c r="B103" s="8">
        <v>19539</v>
      </c>
      <c r="C103" s="9">
        <v>45735.599803240737</v>
      </c>
      <c r="D103" s="9">
        <v>45747</v>
      </c>
      <c r="E103" s="9">
        <v>45741</v>
      </c>
      <c r="F103" s="7" t="s">
        <v>447</v>
      </c>
      <c r="G103" s="7" t="s">
        <v>448</v>
      </c>
      <c r="H103" s="7" t="s">
        <v>449</v>
      </c>
      <c r="I103" s="7" t="s">
        <v>450</v>
      </c>
      <c r="J103" s="7" t="s">
        <v>34</v>
      </c>
      <c r="K103" s="7" t="s">
        <v>451</v>
      </c>
      <c r="L103" s="10">
        <v>22765.279999999999</v>
      </c>
      <c r="M103" s="10">
        <v>16323.06</v>
      </c>
      <c r="N103" s="10">
        <f>+L103-M103</f>
        <v>6442.2199999999993</v>
      </c>
      <c r="O103" s="10">
        <v>16323.06</v>
      </c>
      <c r="P103" s="10">
        <f>+L103-O103</f>
        <v>6442.2199999999993</v>
      </c>
      <c r="Q103" s="10">
        <v>0</v>
      </c>
      <c r="R103" s="7" t="s">
        <v>27</v>
      </c>
    </row>
    <row r="104" spans="1:20" hidden="1">
      <c r="A104" s="7" t="s">
        <v>29</v>
      </c>
      <c r="B104" s="8">
        <v>4348</v>
      </c>
      <c r="C104" s="9">
        <v>46059.483939004625</v>
      </c>
      <c r="D104" s="9">
        <v>46101</v>
      </c>
      <c r="E104" s="9">
        <v>46037</v>
      </c>
      <c r="F104" s="7" t="s">
        <v>452</v>
      </c>
      <c r="G104" s="7" t="s">
        <v>52</v>
      </c>
      <c r="H104" s="7" t="s">
        <v>258</v>
      </c>
      <c r="I104" s="7" t="s">
        <v>259</v>
      </c>
      <c r="J104" s="7" t="s">
        <v>25</v>
      </c>
      <c r="K104" s="7" t="s">
        <v>260</v>
      </c>
      <c r="L104" s="10">
        <v>6432.41</v>
      </c>
      <c r="M104" s="10">
        <f>+L104*0.6</f>
        <v>3859.4459999999999</v>
      </c>
      <c r="N104" s="15">
        <f>+L104-M104</f>
        <v>2572.9639999999999</v>
      </c>
      <c r="O104" s="15">
        <v>0</v>
      </c>
      <c r="P104" s="15">
        <f>+L104-O104</f>
        <v>6432.41</v>
      </c>
      <c r="Q104" s="10">
        <v>0</v>
      </c>
      <c r="R104" s="7" t="s">
        <v>87</v>
      </c>
      <c r="S104" t="s">
        <v>261</v>
      </c>
    </row>
    <row r="105" spans="1:20" hidden="1">
      <c r="A105" s="7" t="s">
        <v>29</v>
      </c>
      <c r="B105" s="8">
        <v>20247</v>
      </c>
      <c r="C105" s="9">
        <v>45875.39362268518</v>
      </c>
      <c r="D105" s="9">
        <v>45873</v>
      </c>
      <c r="E105" s="9">
        <v>45873</v>
      </c>
      <c r="F105" s="7" t="s">
        <v>453</v>
      </c>
      <c r="G105" s="7" t="s">
        <v>454</v>
      </c>
      <c r="H105" s="7" t="s">
        <v>455</v>
      </c>
      <c r="I105" s="7" t="s">
        <v>456</v>
      </c>
      <c r="J105" s="7" t="s">
        <v>40</v>
      </c>
      <c r="K105" s="7" t="s">
        <v>41</v>
      </c>
      <c r="L105" s="10">
        <v>12583.88</v>
      </c>
      <c r="M105" s="10">
        <v>6291.94</v>
      </c>
      <c r="N105" s="10">
        <f>+L105-M105</f>
        <v>6291.94</v>
      </c>
      <c r="O105" s="10">
        <v>6291.94</v>
      </c>
      <c r="P105" s="10">
        <f>+L105-O105</f>
        <v>6291.94</v>
      </c>
      <c r="Q105" s="10">
        <v>0</v>
      </c>
      <c r="R105" s="7" t="s">
        <v>27</v>
      </c>
    </row>
    <row r="106" spans="1:20">
      <c r="A106" s="7" t="s">
        <v>29</v>
      </c>
      <c r="B106" s="8">
        <v>20957</v>
      </c>
      <c r="C106" s="9">
        <v>46065.402560729162</v>
      </c>
      <c r="D106" s="9">
        <v>46073</v>
      </c>
      <c r="E106" s="9">
        <v>46006</v>
      </c>
      <c r="F106" s="7" t="s">
        <v>457</v>
      </c>
      <c r="G106" s="7" t="s">
        <v>458</v>
      </c>
      <c r="H106" s="7" t="s">
        <v>438</v>
      </c>
      <c r="I106" s="7" t="s">
        <v>439</v>
      </c>
      <c r="J106" s="7" t="s">
        <v>25</v>
      </c>
      <c r="K106" s="7" t="s">
        <v>407</v>
      </c>
      <c r="L106" s="10">
        <v>15650.5</v>
      </c>
      <c r="M106" s="10">
        <v>9390.98</v>
      </c>
      <c r="N106" s="10">
        <f>+L106-M106</f>
        <v>6259.52</v>
      </c>
      <c r="O106" s="10">
        <v>9390.98</v>
      </c>
      <c r="P106" s="10">
        <f>+L106-O106</f>
        <v>6259.52</v>
      </c>
      <c r="Q106" s="10">
        <v>0</v>
      </c>
      <c r="R106" s="7" t="s">
        <v>27</v>
      </c>
      <c r="S106" t="s">
        <v>273</v>
      </c>
    </row>
    <row r="107" spans="1:20" hidden="1">
      <c r="A107" s="7" t="s">
        <v>29</v>
      </c>
      <c r="B107" s="8">
        <v>20609</v>
      </c>
      <c r="C107" s="9">
        <v>45952.733564814815</v>
      </c>
      <c r="D107" s="9">
        <v>45952</v>
      </c>
      <c r="E107" s="9">
        <v>45952</v>
      </c>
      <c r="F107" s="7" t="s">
        <v>459</v>
      </c>
      <c r="G107" s="7" t="s">
        <v>460</v>
      </c>
      <c r="H107" s="7" t="s">
        <v>461</v>
      </c>
      <c r="I107" s="7" t="s">
        <v>462</v>
      </c>
      <c r="J107" s="7" t="s">
        <v>176</v>
      </c>
      <c r="K107" s="7" t="s">
        <v>360</v>
      </c>
      <c r="L107" s="10">
        <v>6154.84</v>
      </c>
      <c r="M107" s="10">
        <v>0</v>
      </c>
      <c r="N107" s="10">
        <f>+L107-M107</f>
        <v>6154.84</v>
      </c>
      <c r="O107" s="10">
        <v>0</v>
      </c>
      <c r="P107" s="10">
        <f>+L107-O107</f>
        <v>6154.84</v>
      </c>
      <c r="Q107" s="10">
        <v>0</v>
      </c>
      <c r="R107" s="7" t="s">
        <v>27</v>
      </c>
    </row>
    <row r="108" spans="1:20">
      <c r="A108" s="7" t="s">
        <v>29</v>
      </c>
      <c r="B108" s="8">
        <v>20935</v>
      </c>
      <c r="C108" s="9">
        <v>46057.355661307869</v>
      </c>
      <c r="D108" s="9">
        <v>46073</v>
      </c>
      <c r="E108" s="9">
        <v>46027</v>
      </c>
      <c r="F108" s="7" t="s">
        <v>463</v>
      </c>
      <c r="G108" s="7" t="s">
        <v>464</v>
      </c>
      <c r="H108" s="7" t="s">
        <v>438</v>
      </c>
      <c r="I108" s="7" t="s">
        <v>439</v>
      </c>
      <c r="J108" s="7" t="s">
        <v>25</v>
      </c>
      <c r="K108" s="7" t="s">
        <v>407</v>
      </c>
      <c r="L108" s="10">
        <v>5822.89</v>
      </c>
      <c r="M108" s="10">
        <v>0</v>
      </c>
      <c r="N108" s="10">
        <f>+L108-M108</f>
        <v>5822.89</v>
      </c>
      <c r="O108" s="10">
        <v>0</v>
      </c>
      <c r="P108" s="10">
        <f>+L108-O108</f>
        <v>5822.89</v>
      </c>
      <c r="Q108" s="10">
        <v>2911.45</v>
      </c>
      <c r="R108" s="7" t="s">
        <v>27</v>
      </c>
      <c r="S108" t="s">
        <v>465</v>
      </c>
      <c r="T108">
        <f>+L108/2</f>
        <v>2911.4450000000002</v>
      </c>
    </row>
    <row r="109" spans="1:20">
      <c r="A109" s="7" t="s">
        <v>29</v>
      </c>
      <c r="B109" s="8">
        <v>20762</v>
      </c>
      <c r="C109" s="9">
        <v>45999.432028900461</v>
      </c>
      <c r="D109" s="9">
        <v>46029</v>
      </c>
      <c r="E109" s="9">
        <v>46029</v>
      </c>
      <c r="F109" s="7" t="s">
        <v>466</v>
      </c>
      <c r="G109" s="7" t="s">
        <v>467</v>
      </c>
      <c r="H109" s="7" t="s">
        <v>53</v>
      </c>
      <c r="I109" s="7" t="s">
        <v>54</v>
      </c>
      <c r="J109" s="7" t="s">
        <v>25</v>
      </c>
      <c r="K109" s="7" t="s">
        <v>55</v>
      </c>
      <c r="L109" s="10">
        <v>5581.5</v>
      </c>
      <c r="M109" s="10">
        <v>0</v>
      </c>
      <c r="N109" s="10">
        <f>+L109-M109</f>
        <v>5581.5</v>
      </c>
      <c r="O109" s="10">
        <v>0</v>
      </c>
      <c r="P109" s="10">
        <f>+L109-O109</f>
        <v>5581.5</v>
      </c>
      <c r="Q109" s="10">
        <v>0</v>
      </c>
      <c r="R109" s="7" t="s">
        <v>27</v>
      </c>
      <c r="S109" t="s">
        <v>396</v>
      </c>
      <c r="T109">
        <v>5581</v>
      </c>
    </row>
    <row r="110" spans="1:20" hidden="1">
      <c r="A110" s="7" t="s">
        <v>29</v>
      </c>
      <c r="B110" s="8">
        <v>20914</v>
      </c>
      <c r="C110" s="9">
        <v>46049.691331018519</v>
      </c>
      <c r="D110" s="9">
        <v>46049</v>
      </c>
      <c r="E110" s="9">
        <v>46108</v>
      </c>
      <c r="F110" s="7" t="s">
        <v>468</v>
      </c>
      <c r="G110" s="7" t="s">
        <v>469</v>
      </c>
      <c r="H110" s="7" t="s">
        <v>470</v>
      </c>
      <c r="I110" s="7" t="s">
        <v>471</v>
      </c>
      <c r="J110" s="7" t="s">
        <v>34</v>
      </c>
      <c r="K110" s="7" t="s">
        <v>472</v>
      </c>
      <c r="L110" s="10">
        <v>5511.5</v>
      </c>
      <c r="M110" s="10">
        <v>0</v>
      </c>
      <c r="N110" s="10">
        <f>+L110-M110</f>
        <v>5511.5</v>
      </c>
      <c r="O110" s="10">
        <v>0</v>
      </c>
      <c r="P110" s="10">
        <f>+L110-O110</f>
        <v>5511.5</v>
      </c>
      <c r="Q110" s="10">
        <v>2755.75</v>
      </c>
      <c r="R110" s="7" t="s">
        <v>27</v>
      </c>
    </row>
    <row r="111" spans="1:20" hidden="1">
      <c r="A111" s="7" t="s">
        <v>29</v>
      </c>
      <c r="B111" s="8">
        <v>20917</v>
      </c>
      <c r="C111" s="9">
        <v>46050.614560185182</v>
      </c>
      <c r="D111" s="9">
        <v>46050</v>
      </c>
      <c r="E111" s="9">
        <v>46080</v>
      </c>
      <c r="F111" s="7" t="s">
        <v>473</v>
      </c>
      <c r="G111" s="7" t="s">
        <v>474</v>
      </c>
      <c r="H111" s="7" t="s">
        <v>475</v>
      </c>
      <c r="I111" s="7" t="s">
        <v>476</v>
      </c>
      <c r="J111" s="7" t="s">
        <v>34</v>
      </c>
      <c r="K111" s="7" t="s">
        <v>477</v>
      </c>
      <c r="L111" s="10">
        <v>5374.31</v>
      </c>
      <c r="M111" s="10">
        <v>0</v>
      </c>
      <c r="N111" s="10">
        <f>+L111-M111</f>
        <v>5374.31</v>
      </c>
      <c r="O111" s="10">
        <v>0</v>
      </c>
      <c r="P111" s="10">
        <f>+L111-O111</f>
        <v>5374.31</v>
      </c>
      <c r="Q111" s="10">
        <v>0</v>
      </c>
      <c r="R111" s="7" t="s">
        <v>27</v>
      </c>
    </row>
    <row r="112" spans="1:20">
      <c r="A112" s="7" t="s">
        <v>29</v>
      </c>
      <c r="B112" s="8">
        <v>20380</v>
      </c>
      <c r="C112" s="9">
        <v>45902.549568252311</v>
      </c>
      <c r="D112" s="9">
        <v>45952</v>
      </c>
      <c r="E112" s="9">
        <v>45952</v>
      </c>
      <c r="F112" s="7" t="s">
        <v>478</v>
      </c>
      <c r="G112" s="7" t="s">
        <v>479</v>
      </c>
      <c r="H112" s="7" t="s">
        <v>480</v>
      </c>
      <c r="I112" s="7" t="s">
        <v>481</v>
      </c>
      <c r="J112" s="7" t="s">
        <v>25</v>
      </c>
      <c r="K112" s="7" t="s">
        <v>26</v>
      </c>
      <c r="L112" s="10">
        <v>5254.89</v>
      </c>
      <c r="M112" s="10">
        <v>0</v>
      </c>
      <c r="N112" s="10">
        <f>+L112-M112</f>
        <v>5254.89</v>
      </c>
      <c r="O112" s="10">
        <v>0</v>
      </c>
      <c r="P112" s="10">
        <f>+L112-O112</f>
        <v>5254.89</v>
      </c>
      <c r="Q112" s="10">
        <v>0</v>
      </c>
      <c r="R112" s="7" t="s">
        <v>27</v>
      </c>
      <c r="S112" t="s">
        <v>415</v>
      </c>
    </row>
    <row r="113" spans="1:20" hidden="1">
      <c r="A113" s="7" t="s">
        <v>29</v>
      </c>
      <c r="B113" s="8">
        <v>20044</v>
      </c>
      <c r="C113" s="9">
        <v>45836.748460648145</v>
      </c>
      <c r="D113" s="9">
        <v>45840</v>
      </c>
      <c r="E113" s="9">
        <v>45798</v>
      </c>
      <c r="F113" s="7" t="s">
        <v>482</v>
      </c>
      <c r="G113" s="7" t="s">
        <v>483</v>
      </c>
      <c r="H113" s="7" t="s">
        <v>484</v>
      </c>
      <c r="I113" s="7" t="s">
        <v>485</v>
      </c>
      <c r="J113" s="7" t="s">
        <v>176</v>
      </c>
      <c r="K113" s="7" t="s">
        <v>317</v>
      </c>
      <c r="L113" s="10">
        <v>5091</v>
      </c>
      <c r="M113" s="10">
        <v>0</v>
      </c>
      <c r="N113" s="10">
        <f>+L113-M113</f>
        <v>5091</v>
      </c>
      <c r="O113" s="10">
        <v>0</v>
      </c>
      <c r="P113" s="10">
        <f>+L113-O113</f>
        <v>5091</v>
      </c>
      <c r="Q113" s="10">
        <v>5091</v>
      </c>
      <c r="R113" s="7" t="s">
        <v>27</v>
      </c>
    </row>
    <row r="114" spans="1:20">
      <c r="A114" s="7" t="s">
        <v>29</v>
      </c>
      <c r="B114" s="8">
        <v>20881</v>
      </c>
      <c r="C114" s="9">
        <v>46041.698091666665</v>
      </c>
      <c r="D114" s="9">
        <v>46080</v>
      </c>
      <c r="E114" s="9">
        <v>46041</v>
      </c>
      <c r="F114" s="7" t="s">
        <v>486</v>
      </c>
      <c r="G114" s="7" t="s">
        <v>487</v>
      </c>
      <c r="H114" s="7" t="s">
        <v>488</v>
      </c>
      <c r="I114" s="7" t="s">
        <v>489</v>
      </c>
      <c r="J114" s="7" t="s">
        <v>25</v>
      </c>
      <c r="K114" s="7" t="s">
        <v>55</v>
      </c>
      <c r="L114" s="10">
        <v>13328.5</v>
      </c>
      <c r="M114" s="10">
        <v>0</v>
      </c>
      <c r="N114" s="10">
        <f>+L114-M114</f>
        <v>13328.5</v>
      </c>
      <c r="O114" s="10">
        <v>8340</v>
      </c>
      <c r="P114" s="10">
        <f>+L114-O114</f>
        <v>4988.5</v>
      </c>
      <c r="Q114" s="10">
        <v>0</v>
      </c>
      <c r="R114" s="7" t="s">
        <v>27</v>
      </c>
      <c r="S114" t="s">
        <v>396</v>
      </c>
      <c r="T114">
        <v>4988</v>
      </c>
    </row>
    <row r="115" spans="1:20" hidden="1">
      <c r="A115" s="7" t="s">
        <v>29</v>
      </c>
      <c r="B115" s="8">
        <v>19727</v>
      </c>
      <c r="C115" s="9">
        <v>45773.673252314809</v>
      </c>
      <c r="D115" s="9">
        <v>45476</v>
      </c>
      <c r="E115" s="9">
        <v>45427</v>
      </c>
      <c r="F115" s="7" t="s">
        <v>490</v>
      </c>
      <c r="G115" s="7" t="s">
        <v>491</v>
      </c>
      <c r="H115" s="7" t="s">
        <v>492</v>
      </c>
      <c r="I115" s="7" t="s">
        <v>493</v>
      </c>
      <c r="J115" s="7" t="s">
        <v>176</v>
      </c>
      <c r="K115" s="7" t="s">
        <v>494</v>
      </c>
      <c r="L115" s="10">
        <v>9020</v>
      </c>
      <c r="M115" s="10">
        <v>4100</v>
      </c>
      <c r="N115" s="10">
        <f>+L115-M115</f>
        <v>4920</v>
      </c>
      <c r="O115" s="10">
        <v>4100</v>
      </c>
      <c r="P115" s="10">
        <f>+L115-O115</f>
        <v>4920</v>
      </c>
      <c r="Q115" s="10">
        <v>0</v>
      </c>
      <c r="R115" s="7" t="s">
        <v>27</v>
      </c>
    </row>
    <row r="116" spans="1:20">
      <c r="A116" s="7" t="s">
        <v>29</v>
      </c>
      <c r="B116" s="8">
        <v>20932</v>
      </c>
      <c r="C116" s="9">
        <v>46056.392200775459</v>
      </c>
      <c r="D116" s="9">
        <v>46120</v>
      </c>
      <c r="E116" s="9">
        <v>46051</v>
      </c>
      <c r="F116" s="7" t="s">
        <v>495</v>
      </c>
      <c r="G116" s="7" t="s">
        <v>496</v>
      </c>
      <c r="H116" s="7" t="s">
        <v>497</v>
      </c>
      <c r="I116" s="7" t="s">
        <v>498</v>
      </c>
      <c r="J116" s="7" t="s">
        <v>25</v>
      </c>
      <c r="K116" s="7" t="s">
        <v>407</v>
      </c>
      <c r="L116" s="10">
        <v>12181.4</v>
      </c>
      <c r="M116" s="10">
        <v>7308.84</v>
      </c>
      <c r="N116" s="10">
        <f>+L116-M116</f>
        <v>4872.5599999999995</v>
      </c>
      <c r="O116" s="10">
        <v>7308.84</v>
      </c>
      <c r="P116" s="10">
        <f>+L116-O116</f>
        <v>4872.5599999999995</v>
      </c>
      <c r="Q116" s="10">
        <v>0</v>
      </c>
      <c r="R116" s="7" t="s">
        <v>27</v>
      </c>
      <c r="S116" t="s">
        <v>499</v>
      </c>
    </row>
    <row r="117" spans="1:20">
      <c r="A117" s="7" t="s">
        <v>29</v>
      </c>
      <c r="B117" s="8">
        <v>20383</v>
      </c>
      <c r="C117" s="9">
        <v>45902.550164201384</v>
      </c>
      <c r="D117" s="9">
        <v>45931</v>
      </c>
      <c r="E117" s="9">
        <v>45962</v>
      </c>
      <c r="F117" s="7" t="s">
        <v>500</v>
      </c>
      <c r="G117" s="7" t="s">
        <v>501</v>
      </c>
      <c r="H117" s="7" t="s">
        <v>480</v>
      </c>
      <c r="I117" s="7" t="s">
        <v>481</v>
      </c>
      <c r="J117" s="7" t="s">
        <v>25</v>
      </c>
      <c r="K117" s="7" t="s">
        <v>26</v>
      </c>
      <c r="L117" s="10">
        <v>4740.8</v>
      </c>
      <c r="M117" s="10">
        <v>0</v>
      </c>
      <c r="N117" s="10">
        <f>+L117-M117</f>
        <v>4740.8</v>
      </c>
      <c r="O117" s="10">
        <v>0</v>
      </c>
      <c r="P117" s="10">
        <f>+L117-O117</f>
        <v>4740.8</v>
      </c>
      <c r="Q117" s="10">
        <v>0</v>
      </c>
      <c r="R117" s="7" t="s">
        <v>27</v>
      </c>
      <c r="S117" t="s">
        <v>415</v>
      </c>
      <c r="T117">
        <v>4740</v>
      </c>
    </row>
    <row r="118" spans="1:20" hidden="1">
      <c r="A118" s="7" t="s">
        <v>29</v>
      </c>
      <c r="B118" s="8">
        <v>19436</v>
      </c>
      <c r="C118" s="9">
        <v>45709.390573263889</v>
      </c>
      <c r="D118" s="9">
        <v>45166</v>
      </c>
      <c r="E118" s="9">
        <v>45709</v>
      </c>
      <c r="F118" s="7" t="s">
        <v>502</v>
      </c>
      <c r="G118" s="7" t="s">
        <v>503</v>
      </c>
      <c r="H118" s="7" t="s">
        <v>504</v>
      </c>
      <c r="I118" s="7" t="s">
        <v>505</v>
      </c>
      <c r="J118" s="7" t="s">
        <v>176</v>
      </c>
      <c r="K118" s="7" t="s">
        <v>317</v>
      </c>
      <c r="L118" s="10">
        <v>4655</v>
      </c>
      <c r="M118" s="10">
        <v>0</v>
      </c>
      <c r="N118" s="10">
        <f>+L118-M118</f>
        <v>4655</v>
      </c>
      <c r="O118" s="10">
        <v>0</v>
      </c>
      <c r="P118" s="10">
        <f>+L118-O118</f>
        <v>4655</v>
      </c>
      <c r="Q118" s="10">
        <v>0</v>
      </c>
      <c r="R118" s="7" t="s">
        <v>27</v>
      </c>
    </row>
    <row r="119" spans="1:20" hidden="1">
      <c r="A119" s="7" t="s">
        <v>29</v>
      </c>
      <c r="B119" s="8">
        <v>20806</v>
      </c>
      <c r="C119" s="9">
        <v>46014.487916666665</v>
      </c>
      <c r="D119" s="9">
        <v>46014</v>
      </c>
      <c r="E119" s="9">
        <v>46010</v>
      </c>
      <c r="F119" s="7" t="s">
        <v>506</v>
      </c>
      <c r="G119" s="7" t="s">
        <v>507</v>
      </c>
      <c r="H119" s="7" t="s">
        <v>508</v>
      </c>
      <c r="I119" s="7" t="s">
        <v>509</v>
      </c>
      <c r="J119" s="7" t="s">
        <v>34</v>
      </c>
      <c r="K119" s="7" t="s">
        <v>472</v>
      </c>
      <c r="L119" s="10">
        <v>4553.54</v>
      </c>
      <c r="M119" s="10">
        <v>0</v>
      </c>
      <c r="N119" s="10">
        <f>+L119-M119</f>
        <v>4553.54</v>
      </c>
      <c r="O119" s="10">
        <v>0</v>
      </c>
      <c r="P119" s="10">
        <f>+L119-O119</f>
        <v>4553.54</v>
      </c>
      <c r="Q119" s="10">
        <v>1366.06</v>
      </c>
      <c r="R119" s="7" t="s">
        <v>27</v>
      </c>
      <c r="T119">
        <f>+P119/2</f>
        <v>2276.77</v>
      </c>
    </row>
    <row r="120" spans="1:20" hidden="1">
      <c r="A120" s="7" t="s">
        <v>29</v>
      </c>
      <c r="B120" s="8">
        <v>20458</v>
      </c>
      <c r="C120" s="9">
        <v>45917.466794479165</v>
      </c>
      <c r="D120" s="9">
        <v>45625</v>
      </c>
      <c r="E120" s="9">
        <v>45908</v>
      </c>
      <c r="F120" s="7" t="s">
        <v>510</v>
      </c>
      <c r="G120" s="7" t="s">
        <v>511</v>
      </c>
      <c r="H120" s="7" t="s">
        <v>512</v>
      </c>
      <c r="I120" s="7" t="s">
        <v>423</v>
      </c>
      <c r="J120" s="7" t="s">
        <v>176</v>
      </c>
      <c r="K120" s="7" t="s">
        <v>374</v>
      </c>
      <c r="L120" s="10">
        <v>4500</v>
      </c>
      <c r="M120" s="10">
        <v>0</v>
      </c>
      <c r="N120" s="10">
        <f>+L120-M120</f>
        <v>4500</v>
      </c>
      <c r="O120" s="10">
        <v>0</v>
      </c>
      <c r="P120" s="10">
        <f>+L120-O120</f>
        <v>4500</v>
      </c>
      <c r="Q120" s="10">
        <v>2000</v>
      </c>
      <c r="R120" s="7" t="s">
        <v>27</v>
      </c>
      <c r="T120">
        <f>+P120/2</f>
        <v>2250</v>
      </c>
    </row>
    <row r="121" spans="1:20" hidden="1">
      <c r="A121" s="7" t="s">
        <v>29</v>
      </c>
      <c r="B121" s="8">
        <v>19755</v>
      </c>
      <c r="C121" s="9">
        <v>45777.607662037037</v>
      </c>
      <c r="D121" s="9">
        <v>45860</v>
      </c>
      <c r="E121" s="9">
        <v>45778</v>
      </c>
      <c r="F121" s="7" t="s">
        <v>513</v>
      </c>
      <c r="G121" s="7" t="s">
        <v>514</v>
      </c>
      <c r="H121" s="7" t="s">
        <v>515</v>
      </c>
      <c r="I121" s="7" t="s">
        <v>516</v>
      </c>
      <c r="J121" s="7" t="s">
        <v>40</v>
      </c>
      <c r="K121" s="7" t="s">
        <v>355</v>
      </c>
      <c r="L121" s="10">
        <v>8955</v>
      </c>
      <c r="M121" s="10">
        <v>4477.5</v>
      </c>
      <c r="N121" s="10">
        <f>+L121-M121</f>
        <v>4477.5</v>
      </c>
      <c r="O121" s="10">
        <v>4477.5</v>
      </c>
      <c r="P121" s="10">
        <f>+L121-O121</f>
        <v>4477.5</v>
      </c>
      <c r="Q121" s="10">
        <v>0</v>
      </c>
      <c r="R121" s="7" t="s">
        <v>27</v>
      </c>
    </row>
    <row r="122" spans="1:20">
      <c r="A122" s="7" t="s">
        <v>29</v>
      </c>
      <c r="B122" s="8">
        <v>20583</v>
      </c>
      <c r="C122" s="9">
        <v>45944.363236111109</v>
      </c>
      <c r="D122" s="9">
        <v>45985</v>
      </c>
      <c r="E122" s="9">
        <v>45985</v>
      </c>
      <c r="F122" s="7" t="s">
        <v>517</v>
      </c>
      <c r="G122" s="7" t="s">
        <v>518</v>
      </c>
      <c r="H122" s="7" t="s">
        <v>519</v>
      </c>
      <c r="I122" s="7" t="s">
        <v>96</v>
      </c>
      <c r="J122" s="7" t="s">
        <v>25</v>
      </c>
      <c r="K122" s="7" t="s">
        <v>26</v>
      </c>
      <c r="L122" s="10">
        <v>4445</v>
      </c>
      <c r="M122" s="10">
        <v>0</v>
      </c>
      <c r="N122" s="10">
        <f>+L122-M122</f>
        <v>4445</v>
      </c>
      <c r="O122" s="10">
        <v>0</v>
      </c>
      <c r="P122" s="10">
        <f>+L122-O122</f>
        <v>4445</v>
      </c>
      <c r="Q122" s="10">
        <v>0</v>
      </c>
      <c r="R122" s="7" t="s">
        <v>27</v>
      </c>
      <c r="S122" t="s">
        <v>520</v>
      </c>
    </row>
    <row r="123" spans="1:20">
      <c r="A123" s="7" t="s">
        <v>29</v>
      </c>
      <c r="B123" s="8">
        <v>20224</v>
      </c>
      <c r="C123" s="9">
        <v>45870.703568668978</v>
      </c>
      <c r="D123" s="9">
        <v>45877</v>
      </c>
      <c r="E123" s="9">
        <v>45884</v>
      </c>
      <c r="F123" s="7" t="s">
        <v>521</v>
      </c>
      <c r="G123" s="7" t="s">
        <v>522</v>
      </c>
      <c r="H123" s="7" t="s">
        <v>523</v>
      </c>
      <c r="I123" s="7" t="s">
        <v>524</v>
      </c>
      <c r="J123" s="7" t="s">
        <v>25</v>
      </c>
      <c r="K123" s="7" t="s">
        <v>525</v>
      </c>
      <c r="L123" s="10">
        <v>4203.6000000000004</v>
      </c>
      <c r="M123" s="10">
        <v>0</v>
      </c>
      <c r="N123" s="10">
        <f>+L123-M123</f>
        <v>4203.6000000000004</v>
      </c>
      <c r="O123" s="10">
        <v>0</v>
      </c>
      <c r="P123" s="10">
        <f>+L123-O123</f>
        <v>4203.6000000000004</v>
      </c>
      <c r="Q123" s="10">
        <v>0</v>
      </c>
      <c r="R123" s="7" t="s">
        <v>27</v>
      </c>
    </row>
    <row r="124" spans="1:20">
      <c r="A124" s="7" t="s">
        <v>29</v>
      </c>
      <c r="B124" s="8">
        <v>20956</v>
      </c>
      <c r="C124" s="9">
        <v>46064.701192708329</v>
      </c>
      <c r="D124" s="9">
        <v>46069</v>
      </c>
      <c r="E124" s="9">
        <v>46069</v>
      </c>
      <c r="F124" s="7" t="s">
        <v>526</v>
      </c>
      <c r="G124" s="7" t="s">
        <v>527</v>
      </c>
      <c r="H124" s="7" t="s">
        <v>528</v>
      </c>
      <c r="I124" s="7" t="s">
        <v>45</v>
      </c>
      <c r="J124" s="7" t="s">
        <v>25</v>
      </c>
      <c r="K124" s="7" t="s">
        <v>26</v>
      </c>
      <c r="L124" s="10">
        <v>4085</v>
      </c>
      <c r="M124" s="10">
        <v>0</v>
      </c>
      <c r="N124" s="10">
        <f>+L124-M124</f>
        <v>4085</v>
      </c>
      <c r="O124" s="10">
        <v>0</v>
      </c>
      <c r="P124" s="10">
        <f>+L124-O124</f>
        <v>4085</v>
      </c>
      <c r="Q124" s="10">
        <v>0</v>
      </c>
      <c r="R124" s="7" t="s">
        <v>27</v>
      </c>
      <c r="S124" t="s">
        <v>415</v>
      </c>
      <c r="T124">
        <v>4085</v>
      </c>
    </row>
    <row r="125" spans="1:20" hidden="1">
      <c r="A125" s="7" t="s">
        <v>29</v>
      </c>
      <c r="B125" s="8">
        <v>20952</v>
      </c>
      <c r="C125" s="9">
        <v>46064.413634259254</v>
      </c>
      <c r="D125" s="9">
        <v>46060</v>
      </c>
      <c r="E125" s="9">
        <v>46049</v>
      </c>
      <c r="F125" s="7" t="s">
        <v>529</v>
      </c>
      <c r="G125" s="7" t="s">
        <v>530</v>
      </c>
      <c r="H125" s="7" t="s">
        <v>531</v>
      </c>
      <c r="I125" s="7" t="s">
        <v>532</v>
      </c>
      <c r="J125" s="7" t="s">
        <v>176</v>
      </c>
      <c r="K125" s="7" t="s">
        <v>177</v>
      </c>
      <c r="L125" s="10">
        <v>4000</v>
      </c>
      <c r="M125" s="10">
        <v>0</v>
      </c>
      <c r="N125" s="10">
        <f>+L125-M125</f>
        <v>4000</v>
      </c>
      <c r="O125" s="10">
        <v>0</v>
      </c>
      <c r="P125" s="10">
        <f>+L125-O125</f>
        <v>4000</v>
      </c>
      <c r="Q125" s="10">
        <v>4000</v>
      </c>
      <c r="R125" s="7" t="s">
        <v>27</v>
      </c>
    </row>
    <row r="126" spans="1:20">
      <c r="A126" s="7" t="s">
        <v>29</v>
      </c>
      <c r="B126" s="8">
        <v>19903</v>
      </c>
      <c r="C126" s="9">
        <v>45810.587247372685</v>
      </c>
      <c r="D126" s="9">
        <v>45831</v>
      </c>
      <c r="E126" s="9">
        <v>45834</v>
      </c>
      <c r="F126" s="7" t="s">
        <v>533</v>
      </c>
      <c r="G126" s="7" t="s">
        <v>534</v>
      </c>
      <c r="H126" s="7" t="s">
        <v>535</v>
      </c>
      <c r="I126" s="7" t="s">
        <v>536</v>
      </c>
      <c r="J126" s="7" t="s">
        <v>25</v>
      </c>
      <c r="K126" s="11" t="s">
        <v>537</v>
      </c>
      <c r="L126" s="10">
        <v>3992.57</v>
      </c>
      <c r="M126" s="10">
        <v>0</v>
      </c>
      <c r="N126" s="10">
        <f>+L126-M126</f>
        <v>3992.57</v>
      </c>
      <c r="O126" s="10">
        <v>0</v>
      </c>
      <c r="P126" s="10">
        <f>+L126-O126</f>
        <v>3992.57</v>
      </c>
      <c r="Q126" s="10">
        <v>0</v>
      </c>
      <c r="R126" s="7" t="s">
        <v>27</v>
      </c>
      <c r="S126" t="s">
        <v>538</v>
      </c>
    </row>
    <row r="127" spans="1:20">
      <c r="A127" s="7" t="s">
        <v>29</v>
      </c>
      <c r="B127" s="8">
        <v>20937</v>
      </c>
      <c r="C127" s="9">
        <v>46057.356932905088</v>
      </c>
      <c r="D127" s="9">
        <v>46080</v>
      </c>
      <c r="E127" s="9">
        <v>46140</v>
      </c>
      <c r="F127" s="7" t="s">
        <v>539</v>
      </c>
      <c r="G127" s="7" t="s">
        <v>540</v>
      </c>
      <c r="H127" s="7" t="s">
        <v>541</v>
      </c>
      <c r="I127" s="7" t="s">
        <v>542</v>
      </c>
      <c r="J127" s="7" t="s">
        <v>25</v>
      </c>
      <c r="K127" s="7" t="s">
        <v>170</v>
      </c>
      <c r="L127" s="10">
        <v>3973.98</v>
      </c>
      <c r="M127" s="10">
        <v>0</v>
      </c>
      <c r="N127" s="10">
        <f>+L127-M127</f>
        <v>3973.98</v>
      </c>
      <c r="O127" s="10">
        <v>0</v>
      </c>
      <c r="P127" s="10">
        <f>+L127-O127</f>
        <v>3973.98</v>
      </c>
      <c r="Q127" s="10">
        <v>0</v>
      </c>
      <c r="R127" s="7" t="s">
        <v>27</v>
      </c>
      <c r="S127" t="s">
        <v>543</v>
      </c>
    </row>
    <row r="128" spans="1:20" hidden="1">
      <c r="A128" s="7" t="s">
        <v>29</v>
      </c>
      <c r="B128" s="8">
        <v>20714</v>
      </c>
      <c r="C128" s="9">
        <v>45981.697083333333</v>
      </c>
      <c r="D128" s="9">
        <v>45980</v>
      </c>
      <c r="E128" s="9">
        <v>45980</v>
      </c>
      <c r="F128" s="7" t="s">
        <v>544</v>
      </c>
      <c r="G128" s="7" t="s">
        <v>545</v>
      </c>
      <c r="H128" s="7" t="s">
        <v>426</v>
      </c>
      <c r="I128" s="7" t="s">
        <v>427</v>
      </c>
      <c r="J128" s="7" t="s">
        <v>40</v>
      </c>
      <c r="K128" s="7" t="s">
        <v>308</v>
      </c>
      <c r="L128" s="10">
        <v>38440.769999999997</v>
      </c>
      <c r="M128" s="10">
        <v>34596.699999999997</v>
      </c>
      <c r="N128" s="10">
        <f>+L128-M128</f>
        <v>3844.0699999999997</v>
      </c>
      <c r="O128" s="10">
        <v>34596.699999999997</v>
      </c>
      <c r="P128" s="10">
        <f>+L128-O128</f>
        <v>3844.0699999999997</v>
      </c>
      <c r="Q128" s="10">
        <v>0</v>
      </c>
      <c r="R128" s="7" t="s">
        <v>27</v>
      </c>
    </row>
    <row r="129" spans="1:20" hidden="1">
      <c r="A129" s="7" t="s">
        <v>29</v>
      </c>
      <c r="B129" s="8">
        <v>19976</v>
      </c>
      <c r="C129" s="9">
        <v>45825.495428240742</v>
      </c>
      <c r="D129" s="9">
        <v>45719</v>
      </c>
      <c r="E129" s="9">
        <v>45714</v>
      </c>
      <c r="F129" s="7" t="s">
        <v>546</v>
      </c>
      <c r="G129" s="7" t="s">
        <v>547</v>
      </c>
      <c r="H129" s="7" t="s">
        <v>548</v>
      </c>
      <c r="I129" s="7" t="s">
        <v>549</v>
      </c>
      <c r="J129" s="7" t="s">
        <v>176</v>
      </c>
      <c r="K129" s="7" t="s">
        <v>550</v>
      </c>
      <c r="L129" s="10">
        <v>26661</v>
      </c>
      <c r="M129" s="10">
        <v>22900</v>
      </c>
      <c r="N129" s="10">
        <f>+L129-M129</f>
        <v>3761</v>
      </c>
      <c r="O129" s="10">
        <v>22900</v>
      </c>
      <c r="P129" s="10">
        <f>+L129-O129</f>
        <v>3761</v>
      </c>
      <c r="Q129" s="10">
        <v>0</v>
      </c>
      <c r="R129" s="7" t="s">
        <v>27</v>
      </c>
    </row>
    <row r="130" spans="1:20" hidden="1">
      <c r="A130" s="7" t="s">
        <v>29</v>
      </c>
      <c r="B130" s="8">
        <v>20359</v>
      </c>
      <c r="C130" s="9">
        <v>45898.752279513887</v>
      </c>
      <c r="D130" s="9">
        <v>46092</v>
      </c>
      <c r="E130" s="9">
        <v>46042</v>
      </c>
      <c r="F130" s="7" t="s">
        <v>551</v>
      </c>
      <c r="G130" s="7" t="s">
        <v>552</v>
      </c>
      <c r="H130" s="7" t="s">
        <v>553</v>
      </c>
      <c r="I130" s="7" t="s">
        <v>554</v>
      </c>
      <c r="J130" s="7" t="s">
        <v>176</v>
      </c>
      <c r="K130" s="7" t="s">
        <v>177</v>
      </c>
      <c r="L130" s="10">
        <v>3722.3</v>
      </c>
      <c r="M130" s="10">
        <v>0</v>
      </c>
      <c r="N130" s="10">
        <f>+L130-M130</f>
        <v>3722.3</v>
      </c>
      <c r="O130" s="10">
        <v>0</v>
      </c>
      <c r="P130" s="10">
        <f>+L130-O130</f>
        <v>3722.3</v>
      </c>
      <c r="Q130" s="10">
        <v>0</v>
      </c>
      <c r="R130" s="7" t="s">
        <v>27</v>
      </c>
    </row>
    <row r="131" spans="1:20" hidden="1">
      <c r="A131" s="7" t="s">
        <v>29</v>
      </c>
      <c r="B131" s="8">
        <v>20553</v>
      </c>
      <c r="C131" s="9">
        <v>45936.626724537033</v>
      </c>
      <c r="D131" s="9">
        <v>45933</v>
      </c>
      <c r="E131" s="9">
        <v>46001</v>
      </c>
      <c r="F131" s="7" t="s">
        <v>555</v>
      </c>
      <c r="G131" s="7" t="s">
        <v>556</v>
      </c>
      <c r="H131" s="7" t="s">
        <v>306</v>
      </c>
      <c r="I131" s="7" t="s">
        <v>307</v>
      </c>
      <c r="J131" s="7" t="s">
        <v>40</v>
      </c>
      <c r="K131" s="7" t="s">
        <v>308</v>
      </c>
      <c r="L131" s="10">
        <v>12305.15</v>
      </c>
      <c r="M131" s="10">
        <v>8613.6</v>
      </c>
      <c r="N131" s="10">
        <f>+L131-M131</f>
        <v>3691.5499999999993</v>
      </c>
      <c r="O131" s="10">
        <v>8613.6</v>
      </c>
      <c r="P131" s="10">
        <f>+L131-O131</f>
        <v>3691.5499999999993</v>
      </c>
      <c r="Q131" s="10">
        <v>0</v>
      </c>
      <c r="R131" s="7" t="s">
        <v>27</v>
      </c>
      <c r="T131" s="13"/>
    </row>
    <row r="132" spans="1:20">
      <c r="A132" s="7" t="s">
        <v>29</v>
      </c>
      <c r="B132" s="8">
        <v>20900</v>
      </c>
      <c r="C132" s="9">
        <v>46044.633306516203</v>
      </c>
      <c r="D132" s="9">
        <v>46052</v>
      </c>
      <c r="E132" s="9">
        <v>46030</v>
      </c>
      <c r="F132" s="7" t="s">
        <v>557</v>
      </c>
      <c r="G132" s="7" t="s">
        <v>558</v>
      </c>
      <c r="H132" s="7" t="s">
        <v>559</v>
      </c>
      <c r="I132" s="7" t="s">
        <v>560</v>
      </c>
      <c r="J132" s="7" t="s">
        <v>25</v>
      </c>
      <c r="K132" s="11" t="s">
        <v>240</v>
      </c>
      <c r="L132" s="10">
        <v>3573.01</v>
      </c>
      <c r="M132" s="10">
        <v>0</v>
      </c>
      <c r="N132" s="10">
        <f>+L132-M132</f>
        <v>3573.01</v>
      </c>
      <c r="O132" s="10">
        <v>0</v>
      </c>
      <c r="P132" s="10">
        <f>+L132-O132</f>
        <v>3573.01</v>
      </c>
      <c r="Q132" s="10">
        <v>0</v>
      </c>
      <c r="R132" s="7" t="s">
        <v>27</v>
      </c>
      <c r="S132" t="s">
        <v>312</v>
      </c>
    </row>
    <row r="133" spans="1:20">
      <c r="A133" s="7" t="s">
        <v>29</v>
      </c>
      <c r="B133" s="8">
        <v>20653</v>
      </c>
      <c r="C133" s="9">
        <v>45965.432509606479</v>
      </c>
      <c r="D133" s="9">
        <v>46024</v>
      </c>
      <c r="E133" s="9">
        <v>46024</v>
      </c>
      <c r="F133" s="7" t="s">
        <v>561</v>
      </c>
      <c r="G133" s="7" t="s">
        <v>562</v>
      </c>
      <c r="H133" s="7" t="s">
        <v>563</v>
      </c>
      <c r="I133" s="7" t="s">
        <v>564</v>
      </c>
      <c r="J133" s="7" t="s">
        <v>25</v>
      </c>
      <c r="K133" s="7" t="s">
        <v>55</v>
      </c>
      <c r="L133" s="10">
        <v>3438</v>
      </c>
      <c r="M133" s="10">
        <v>0</v>
      </c>
      <c r="N133" s="10">
        <f>+L133-M133</f>
        <v>3438</v>
      </c>
      <c r="O133" s="10">
        <v>0</v>
      </c>
      <c r="P133" s="10">
        <f>+L133-O133</f>
        <v>3438</v>
      </c>
      <c r="Q133" s="10">
        <v>0</v>
      </c>
      <c r="R133" s="7" t="s">
        <v>27</v>
      </c>
    </row>
    <row r="134" spans="1:20" hidden="1">
      <c r="A134" s="7" t="s">
        <v>29</v>
      </c>
      <c r="B134" s="8">
        <v>20100</v>
      </c>
      <c r="C134" s="9">
        <v>45842.640992361106</v>
      </c>
      <c r="D134" s="9">
        <v>45666</v>
      </c>
      <c r="E134" s="9">
        <v>45603</v>
      </c>
      <c r="F134" s="7" t="s">
        <v>565</v>
      </c>
      <c r="G134" s="7" t="s">
        <v>566</v>
      </c>
      <c r="H134" s="7" t="s">
        <v>567</v>
      </c>
      <c r="I134" s="7" t="s">
        <v>568</v>
      </c>
      <c r="J134" s="7" t="s">
        <v>176</v>
      </c>
      <c r="K134" s="7" t="s">
        <v>569</v>
      </c>
      <c r="L134" s="10">
        <v>3424.65</v>
      </c>
      <c r="M134" s="10">
        <v>0</v>
      </c>
      <c r="N134" s="10">
        <f>+L134-M134</f>
        <v>3424.65</v>
      </c>
      <c r="O134" s="10">
        <v>0</v>
      </c>
      <c r="P134" s="10">
        <f>+L134-O134</f>
        <v>3424.65</v>
      </c>
      <c r="Q134" s="10">
        <v>0</v>
      </c>
      <c r="R134" s="7" t="s">
        <v>27</v>
      </c>
    </row>
    <row r="135" spans="1:20" hidden="1">
      <c r="A135" s="7" t="s">
        <v>29</v>
      </c>
      <c r="B135" s="8">
        <v>4342</v>
      </c>
      <c r="C135" s="9">
        <v>46051.69185289352</v>
      </c>
      <c r="D135" s="9">
        <v>46051</v>
      </c>
      <c r="E135" s="9">
        <v>46013</v>
      </c>
      <c r="F135" s="7" t="s">
        <v>570</v>
      </c>
      <c r="G135" s="7" t="s">
        <v>571</v>
      </c>
      <c r="H135" s="7" t="s">
        <v>572</v>
      </c>
      <c r="I135" s="7" t="s">
        <v>573</v>
      </c>
      <c r="J135" s="7" t="s">
        <v>25</v>
      </c>
      <c r="K135" s="7" t="s">
        <v>206</v>
      </c>
      <c r="L135" s="10">
        <v>8024.78</v>
      </c>
      <c r="M135" s="10">
        <v>4814.87</v>
      </c>
      <c r="N135" s="15">
        <f>+L135-M135</f>
        <v>3209.91</v>
      </c>
      <c r="O135" s="15">
        <v>4814.87</v>
      </c>
      <c r="P135" s="15">
        <f>+L135-O135</f>
        <v>3209.91</v>
      </c>
      <c r="Q135" s="10">
        <v>0</v>
      </c>
      <c r="R135" s="7" t="s">
        <v>87</v>
      </c>
      <c r="S135" t="s">
        <v>574</v>
      </c>
    </row>
    <row r="136" spans="1:20">
      <c r="A136" s="7" t="s">
        <v>29</v>
      </c>
      <c r="B136" s="8">
        <v>20548</v>
      </c>
      <c r="C136" s="9">
        <v>45933.566160069444</v>
      </c>
      <c r="D136" s="9">
        <v>45961</v>
      </c>
      <c r="E136" s="9">
        <v>45930</v>
      </c>
      <c r="F136" s="7" t="s">
        <v>575</v>
      </c>
      <c r="G136" s="7" t="s">
        <v>576</v>
      </c>
      <c r="H136" s="7" t="s">
        <v>577</v>
      </c>
      <c r="I136" s="7" t="s">
        <v>578</v>
      </c>
      <c r="J136" s="7" t="s">
        <v>25</v>
      </c>
      <c r="K136" s="11" t="s">
        <v>240</v>
      </c>
      <c r="L136" s="10">
        <v>17771.04</v>
      </c>
      <c r="M136" s="10">
        <v>14563</v>
      </c>
      <c r="N136" s="10">
        <f>+L136-M136</f>
        <v>3208.0400000000009</v>
      </c>
      <c r="O136" s="10">
        <v>14563</v>
      </c>
      <c r="P136" s="10">
        <f>+L136-O136</f>
        <v>3208.0400000000009</v>
      </c>
      <c r="Q136" s="10">
        <v>0</v>
      </c>
      <c r="R136" s="7" t="s">
        <v>27</v>
      </c>
      <c r="S136" t="s">
        <v>579</v>
      </c>
    </row>
    <row r="137" spans="1:20" hidden="1">
      <c r="A137" s="7" t="s">
        <v>29</v>
      </c>
      <c r="B137" s="8">
        <v>20860</v>
      </c>
      <c r="C137" s="9">
        <v>46035.627906018519</v>
      </c>
      <c r="D137" s="9">
        <v>45989</v>
      </c>
      <c r="E137" s="9">
        <v>45933</v>
      </c>
      <c r="F137" s="7" t="s">
        <v>580</v>
      </c>
      <c r="G137" s="7" t="s">
        <v>581</v>
      </c>
      <c r="H137" s="7" t="s">
        <v>582</v>
      </c>
      <c r="I137" s="7" t="s">
        <v>583</v>
      </c>
      <c r="J137" s="7" t="s">
        <v>176</v>
      </c>
      <c r="K137" s="7" t="s">
        <v>584</v>
      </c>
      <c r="L137" s="10">
        <v>3100</v>
      </c>
      <c r="M137" s="10">
        <v>0</v>
      </c>
      <c r="N137" s="10">
        <f>+L137-M137</f>
        <v>3100</v>
      </c>
      <c r="O137" s="10">
        <v>0</v>
      </c>
      <c r="P137" s="10">
        <f>+L137-O137</f>
        <v>3100</v>
      </c>
      <c r="Q137" s="10">
        <v>3100</v>
      </c>
      <c r="R137" s="7" t="s">
        <v>27</v>
      </c>
    </row>
    <row r="138" spans="1:20" hidden="1">
      <c r="A138" s="7" t="s">
        <v>29</v>
      </c>
      <c r="B138" s="8">
        <v>19448</v>
      </c>
      <c r="C138" s="9">
        <v>45712.703424108797</v>
      </c>
      <c r="D138" s="9">
        <v>45706</v>
      </c>
      <c r="E138" s="9">
        <v>45695</v>
      </c>
      <c r="F138" s="7" t="s">
        <v>585</v>
      </c>
      <c r="G138" s="7" t="s">
        <v>586</v>
      </c>
      <c r="H138" s="7" t="s">
        <v>587</v>
      </c>
      <c r="I138" s="7" t="s">
        <v>588</v>
      </c>
      <c r="J138" s="7" t="s">
        <v>176</v>
      </c>
      <c r="K138" s="7" t="s">
        <v>569</v>
      </c>
      <c r="L138" s="10">
        <v>3060</v>
      </c>
      <c r="M138" s="10">
        <v>0</v>
      </c>
      <c r="N138" s="10">
        <f>+L138-M138</f>
        <v>3060</v>
      </c>
      <c r="O138" s="10">
        <v>0</v>
      </c>
      <c r="P138" s="10">
        <f>+L138-O138</f>
        <v>3060</v>
      </c>
      <c r="Q138" s="10">
        <v>0</v>
      </c>
      <c r="R138" s="7" t="s">
        <v>27</v>
      </c>
    </row>
    <row r="139" spans="1:20" hidden="1">
      <c r="A139" s="7" t="s">
        <v>29</v>
      </c>
      <c r="B139" s="8">
        <v>4267</v>
      </c>
      <c r="C139" s="9">
        <v>45931.605855324073</v>
      </c>
      <c r="D139" s="9">
        <v>45881</v>
      </c>
      <c r="E139" s="9">
        <v>45881</v>
      </c>
      <c r="F139" s="7" t="s">
        <v>589</v>
      </c>
      <c r="G139" s="7" t="s">
        <v>590</v>
      </c>
      <c r="H139" s="7" t="s">
        <v>320</v>
      </c>
      <c r="I139" s="7" t="s">
        <v>321</v>
      </c>
      <c r="J139" s="7" t="s">
        <v>25</v>
      </c>
      <c r="K139" s="7" t="s">
        <v>86</v>
      </c>
      <c r="L139" s="10">
        <v>38255</v>
      </c>
      <c r="M139" s="10">
        <v>35265.4</v>
      </c>
      <c r="N139" s="15">
        <f>+L139-M139</f>
        <v>2989.5999999999985</v>
      </c>
      <c r="O139" s="15">
        <v>35265.4</v>
      </c>
      <c r="P139" s="15">
        <f>+L139-O139</f>
        <v>2989.5999999999985</v>
      </c>
      <c r="Q139" s="10">
        <v>0</v>
      </c>
      <c r="R139" s="7" t="s">
        <v>87</v>
      </c>
      <c r="S139" t="s">
        <v>591</v>
      </c>
    </row>
    <row r="140" spans="1:20">
      <c r="A140" s="7" t="s">
        <v>29</v>
      </c>
      <c r="B140" s="8">
        <v>20833</v>
      </c>
      <c r="C140" s="9">
        <v>46029.373645219908</v>
      </c>
      <c r="D140" s="9">
        <v>46084</v>
      </c>
      <c r="E140" s="9">
        <v>46027</v>
      </c>
      <c r="F140" s="7" t="s">
        <v>592</v>
      </c>
      <c r="G140" s="7" t="s">
        <v>288</v>
      </c>
      <c r="H140" s="7" t="s">
        <v>593</v>
      </c>
      <c r="I140" s="7" t="s">
        <v>594</v>
      </c>
      <c r="J140" s="7" t="s">
        <v>25</v>
      </c>
      <c r="K140" s="7" t="s">
        <v>170</v>
      </c>
      <c r="L140" s="10">
        <v>2976.45</v>
      </c>
      <c r="M140" s="10">
        <v>0</v>
      </c>
      <c r="N140" s="10">
        <f>+L140-M140</f>
        <v>2976.45</v>
      </c>
      <c r="O140" s="10">
        <v>0</v>
      </c>
      <c r="P140" s="10">
        <f>+L140-O140</f>
        <v>2976.45</v>
      </c>
      <c r="Q140" s="10">
        <v>0</v>
      </c>
      <c r="R140" s="7" t="s">
        <v>27</v>
      </c>
      <c r="S140" t="s">
        <v>328</v>
      </c>
    </row>
    <row r="141" spans="1:20" hidden="1">
      <c r="A141" s="7" t="s">
        <v>29</v>
      </c>
      <c r="B141" s="8">
        <v>4210</v>
      </c>
      <c r="C141" s="9">
        <v>45800.664895833332</v>
      </c>
      <c r="D141" s="9">
        <v>45789</v>
      </c>
      <c r="E141" s="9">
        <v>45793</v>
      </c>
      <c r="F141" s="7" t="s">
        <v>595</v>
      </c>
      <c r="G141" s="7" t="s">
        <v>596</v>
      </c>
      <c r="H141" s="7" t="s">
        <v>280</v>
      </c>
      <c r="I141" s="7" t="s">
        <v>205</v>
      </c>
      <c r="J141" s="7" t="s">
        <v>25</v>
      </c>
      <c r="K141" s="7" t="s">
        <v>206</v>
      </c>
      <c r="L141" s="10">
        <v>59294.89</v>
      </c>
      <c r="M141" s="10">
        <v>35576.93</v>
      </c>
      <c r="N141" s="15">
        <f>+L141-M141</f>
        <v>23717.96</v>
      </c>
      <c r="O141" s="15">
        <v>56330.14</v>
      </c>
      <c r="P141" s="15">
        <f>+L141-O141</f>
        <v>2964.75</v>
      </c>
      <c r="Q141" s="10">
        <v>0</v>
      </c>
      <c r="R141" s="7" t="s">
        <v>87</v>
      </c>
      <c r="S141" t="s">
        <v>597</v>
      </c>
    </row>
    <row r="142" spans="1:20">
      <c r="A142" s="7" t="s">
        <v>29</v>
      </c>
      <c r="B142" s="8">
        <v>19862</v>
      </c>
      <c r="C142" s="9">
        <v>45803.664270833331</v>
      </c>
      <c r="D142" s="9">
        <v>45842</v>
      </c>
      <c r="E142" s="9">
        <v>45800</v>
      </c>
      <c r="F142" s="7" t="s">
        <v>598</v>
      </c>
      <c r="G142" s="7" t="s">
        <v>599</v>
      </c>
      <c r="H142" s="7" t="s">
        <v>600</v>
      </c>
      <c r="I142" s="7" t="s">
        <v>601</v>
      </c>
      <c r="J142" s="7" t="s">
        <v>25</v>
      </c>
      <c r="K142" s="7" t="s">
        <v>55</v>
      </c>
      <c r="L142" s="10">
        <v>146178.47</v>
      </c>
      <c r="M142" s="10">
        <v>71623.13</v>
      </c>
      <c r="N142" s="10">
        <f>+L142-M142</f>
        <v>74555.34</v>
      </c>
      <c r="O142" s="10">
        <v>143246.26</v>
      </c>
      <c r="P142" s="10">
        <f>+L142-O142</f>
        <v>2932.2099999999919</v>
      </c>
      <c r="Q142" s="10">
        <v>0</v>
      </c>
      <c r="R142" s="7" t="s">
        <v>27</v>
      </c>
      <c r="S142" t="s">
        <v>602</v>
      </c>
    </row>
    <row r="143" spans="1:20" hidden="1">
      <c r="A143" s="7" t="s">
        <v>29</v>
      </c>
      <c r="B143" s="8">
        <v>20934</v>
      </c>
      <c r="C143" s="9">
        <v>46056.729768518519</v>
      </c>
      <c r="D143" s="9">
        <v>46063</v>
      </c>
      <c r="E143" s="9">
        <v>46021</v>
      </c>
      <c r="F143" s="7" t="s">
        <v>603</v>
      </c>
      <c r="G143" s="7" t="s">
        <v>604</v>
      </c>
      <c r="H143" s="7" t="s">
        <v>605</v>
      </c>
      <c r="I143" s="7" t="s">
        <v>606</v>
      </c>
      <c r="J143" s="7" t="s">
        <v>176</v>
      </c>
      <c r="K143" s="7" t="s">
        <v>607</v>
      </c>
      <c r="L143" s="10">
        <v>2900</v>
      </c>
      <c r="M143" s="10">
        <v>0</v>
      </c>
      <c r="N143" s="10">
        <f>+L143-M143</f>
        <v>2900</v>
      </c>
      <c r="O143" s="10">
        <v>0</v>
      </c>
      <c r="P143" s="10">
        <f>+L143-O143</f>
        <v>2900</v>
      </c>
      <c r="Q143" s="10">
        <v>2900</v>
      </c>
      <c r="R143" s="7" t="s">
        <v>27</v>
      </c>
    </row>
    <row r="144" spans="1:20" hidden="1">
      <c r="A144" s="7" t="s">
        <v>29</v>
      </c>
      <c r="B144" s="8">
        <v>20798</v>
      </c>
      <c r="C144" s="9">
        <v>46013.51116898148</v>
      </c>
      <c r="D144" s="9">
        <v>46013</v>
      </c>
      <c r="E144" s="9">
        <v>46052</v>
      </c>
      <c r="F144" s="7" t="s">
        <v>608</v>
      </c>
      <c r="G144" s="7" t="s">
        <v>609</v>
      </c>
      <c r="H144" s="7" t="s">
        <v>610</v>
      </c>
      <c r="I144" s="7" t="s">
        <v>611</v>
      </c>
      <c r="J144" s="7" t="s">
        <v>34</v>
      </c>
      <c r="K144" s="7" t="s">
        <v>118</v>
      </c>
      <c r="L144" s="10">
        <v>2882.56</v>
      </c>
      <c r="M144" s="10">
        <v>0</v>
      </c>
      <c r="N144" s="10">
        <f>+L144-M144</f>
        <v>2882.56</v>
      </c>
      <c r="O144" s="10">
        <v>0</v>
      </c>
      <c r="P144" s="10">
        <f>+L144-O144</f>
        <v>2882.56</v>
      </c>
      <c r="Q144" s="10">
        <v>0</v>
      </c>
      <c r="R144" s="7" t="s">
        <v>27</v>
      </c>
    </row>
    <row r="145" spans="1:19" hidden="1">
      <c r="A145" s="7" t="s">
        <v>29</v>
      </c>
      <c r="B145" s="8">
        <v>4343</v>
      </c>
      <c r="C145" s="9">
        <v>46055.497509918976</v>
      </c>
      <c r="D145" s="9">
        <v>46087</v>
      </c>
      <c r="E145" s="9">
        <v>46052</v>
      </c>
      <c r="F145" s="7" t="s">
        <v>612</v>
      </c>
      <c r="G145" s="7" t="s">
        <v>613</v>
      </c>
      <c r="H145" s="7" t="s">
        <v>614</v>
      </c>
      <c r="I145" s="7" t="s">
        <v>615</v>
      </c>
      <c r="J145" s="7" t="s">
        <v>25</v>
      </c>
      <c r="K145" s="7" t="s">
        <v>86</v>
      </c>
      <c r="L145" s="10">
        <v>71606.070000000007</v>
      </c>
      <c r="M145" s="10">
        <v>68781.070000000007</v>
      </c>
      <c r="N145" s="15">
        <f>+L145-M145</f>
        <v>2825</v>
      </c>
      <c r="O145" s="15">
        <v>68781.070000000007</v>
      </c>
      <c r="P145" s="15">
        <f>+L145-O145</f>
        <v>2825</v>
      </c>
      <c r="Q145" s="10">
        <v>0</v>
      </c>
      <c r="R145" s="7" t="s">
        <v>87</v>
      </c>
      <c r="S145" t="s">
        <v>616</v>
      </c>
    </row>
    <row r="146" spans="1:19" hidden="1">
      <c r="A146" s="7" t="s">
        <v>29</v>
      </c>
      <c r="B146" s="8">
        <v>20815</v>
      </c>
      <c r="C146" s="9">
        <v>46020.026074340276</v>
      </c>
      <c r="D146" s="9">
        <v>46106</v>
      </c>
      <c r="E146" s="9">
        <v>46052</v>
      </c>
      <c r="F146" s="7" t="s">
        <v>617</v>
      </c>
      <c r="G146" s="7" t="s">
        <v>618</v>
      </c>
      <c r="H146" s="7" t="s">
        <v>619</v>
      </c>
      <c r="I146" s="7" t="s">
        <v>620</v>
      </c>
      <c r="J146" s="7" t="s">
        <v>176</v>
      </c>
      <c r="K146" s="7" t="s">
        <v>177</v>
      </c>
      <c r="L146" s="10">
        <v>2776</v>
      </c>
      <c r="M146" s="10">
        <v>0</v>
      </c>
      <c r="N146" s="10">
        <f>+L146-M146</f>
        <v>2776</v>
      </c>
      <c r="O146" s="10">
        <v>0</v>
      </c>
      <c r="P146" s="10">
        <f>+L146-O146</f>
        <v>2776</v>
      </c>
      <c r="Q146" s="10">
        <v>0</v>
      </c>
      <c r="R146" s="7" t="s">
        <v>27</v>
      </c>
    </row>
    <row r="147" spans="1:19">
      <c r="A147" s="7" t="s">
        <v>29</v>
      </c>
      <c r="B147" s="8">
        <v>20626</v>
      </c>
      <c r="C147" s="9">
        <v>45958.66889267361</v>
      </c>
      <c r="D147" s="9">
        <v>45972</v>
      </c>
      <c r="E147" s="9">
        <v>46002</v>
      </c>
      <c r="F147" s="7" t="s">
        <v>621</v>
      </c>
      <c r="G147" s="7" t="s">
        <v>622</v>
      </c>
      <c r="H147" s="7" t="s">
        <v>480</v>
      </c>
      <c r="I147" s="7" t="s">
        <v>481</v>
      </c>
      <c r="J147" s="7" t="s">
        <v>25</v>
      </c>
      <c r="K147" s="7" t="s">
        <v>26</v>
      </c>
      <c r="L147" s="10">
        <v>2760.15</v>
      </c>
      <c r="M147" s="10">
        <v>0</v>
      </c>
      <c r="N147" s="10">
        <f>+L147-M147</f>
        <v>2760.15</v>
      </c>
      <c r="O147" s="10">
        <v>0</v>
      </c>
      <c r="P147" s="10">
        <f>+L147-O147</f>
        <v>2760.15</v>
      </c>
      <c r="Q147" s="10">
        <v>0</v>
      </c>
      <c r="R147" s="7" t="s">
        <v>27</v>
      </c>
      <c r="S147" t="s">
        <v>415</v>
      </c>
    </row>
    <row r="148" spans="1:19" hidden="1">
      <c r="A148" s="7" t="s">
        <v>29</v>
      </c>
      <c r="B148" s="8">
        <v>20025</v>
      </c>
      <c r="C148" s="9">
        <v>45833.666550925926</v>
      </c>
      <c r="D148" s="9">
        <v>45833</v>
      </c>
      <c r="E148" s="9">
        <v>45863</v>
      </c>
      <c r="F148" s="7" t="s">
        <v>623</v>
      </c>
      <c r="G148" s="7" t="s">
        <v>624</v>
      </c>
      <c r="H148" s="7" t="s">
        <v>342</v>
      </c>
      <c r="I148" s="7" t="s">
        <v>343</v>
      </c>
      <c r="J148" s="7" t="s">
        <v>34</v>
      </c>
      <c r="K148" s="7" t="s">
        <v>190</v>
      </c>
      <c r="L148" s="10">
        <v>2538.2399999999998</v>
      </c>
      <c r="M148" s="10">
        <v>0</v>
      </c>
      <c r="N148" s="10">
        <f>+L148-M148</f>
        <v>2538.2399999999998</v>
      </c>
      <c r="O148" s="10">
        <v>0</v>
      </c>
      <c r="P148" s="10">
        <f>+L148-O148</f>
        <v>2538.2399999999998</v>
      </c>
      <c r="Q148" s="10">
        <v>0</v>
      </c>
      <c r="R148" s="7" t="s">
        <v>27</v>
      </c>
    </row>
    <row r="149" spans="1:19" hidden="1">
      <c r="A149" s="7" t="s">
        <v>29</v>
      </c>
      <c r="B149" s="8">
        <v>20702</v>
      </c>
      <c r="C149" s="9">
        <v>45975.693981481483</v>
      </c>
      <c r="D149" s="9">
        <v>45975</v>
      </c>
      <c r="E149" s="9">
        <v>46037</v>
      </c>
      <c r="F149" s="7" t="s">
        <v>625</v>
      </c>
      <c r="G149" s="7" t="s">
        <v>626</v>
      </c>
      <c r="H149" s="7" t="s">
        <v>367</v>
      </c>
      <c r="I149" s="7" t="s">
        <v>368</v>
      </c>
      <c r="J149" s="7" t="s">
        <v>34</v>
      </c>
      <c r="K149" s="7" t="s">
        <v>35</v>
      </c>
      <c r="L149" s="10">
        <v>2532.87</v>
      </c>
      <c r="M149" s="10">
        <v>0</v>
      </c>
      <c r="N149" s="10">
        <f>+L149-M149</f>
        <v>2532.87</v>
      </c>
      <c r="O149" s="10">
        <v>0</v>
      </c>
      <c r="P149" s="10">
        <f>+L149-O149</f>
        <v>2532.87</v>
      </c>
      <c r="Q149" s="10">
        <v>0</v>
      </c>
      <c r="R149" s="7" t="s">
        <v>27</v>
      </c>
    </row>
    <row r="150" spans="1:19" hidden="1">
      <c r="A150" s="7" t="s">
        <v>29</v>
      </c>
      <c r="B150" s="8">
        <v>4179</v>
      </c>
      <c r="C150" s="9">
        <v>45734.55688989583</v>
      </c>
      <c r="D150" s="9">
        <v>45715</v>
      </c>
      <c r="E150" s="9">
        <v>45715</v>
      </c>
      <c r="F150" s="7" t="s">
        <v>627</v>
      </c>
      <c r="G150" s="7" t="s">
        <v>628</v>
      </c>
      <c r="H150" s="7" t="s">
        <v>204</v>
      </c>
      <c r="I150" s="7" t="s">
        <v>205</v>
      </c>
      <c r="J150" s="7" t="s">
        <v>25</v>
      </c>
      <c r="K150" s="7" t="s">
        <v>206</v>
      </c>
      <c r="L150" s="10">
        <v>5028.95</v>
      </c>
      <c r="M150" s="10">
        <v>2765.92</v>
      </c>
      <c r="N150" s="15">
        <f>+L150-M150</f>
        <v>2263.0299999999997</v>
      </c>
      <c r="O150" s="15">
        <v>2765.92</v>
      </c>
      <c r="P150" s="15">
        <f>+L150-O150</f>
        <v>2263.0299999999997</v>
      </c>
      <c r="Q150" s="10">
        <v>0</v>
      </c>
      <c r="R150" s="7" t="s">
        <v>87</v>
      </c>
      <c r="S150" t="s">
        <v>629</v>
      </c>
    </row>
    <row r="151" spans="1:19" hidden="1">
      <c r="A151" s="7" t="s">
        <v>29</v>
      </c>
      <c r="B151" s="8">
        <v>4297</v>
      </c>
      <c r="C151" s="9">
        <v>45986.474506597224</v>
      </c>
      <c r="D151" s="9">
        <v>46043</v>
      </c>
      <c r="E151" s="9">
        <v>45964</v>
      </c>
      <c r="F151" s="7" t="s">
        <v>630</v>
      </c>
      <c r="G151" s="7" t="s">
        <v>586</v>
      </c>
      <c r="H151" s="7" t="s">
        <v>631</v>
      </c>
      <c r="I151" s="7" t="s">
        <v>632</v>
      </c>
      <c r="J151" s="7" t="s">
        <v>25</v>
      </c>
      <c r="K151" s="7" t="s">
        <v>86</v>
      </c>
      <c r="L151" s="10">
        <v>44959.23</v>
      </c>
      <c r="M151" s="10">
        <v>30903.68</v>
      </c>
      <c r="N151" s="15">
        <f>+L151-M151</f>
        <v>14055.550000000003</v>
      </c>
      <c r="O151" s="15">
        <v>42711.27</v>
      </c>
      <c r="P151" s="15">
        <f>+L151-O151</f>
        <v>2247.9600000000064</v>
      </c>
      <c r="Q151" s="10">
        <v>0</v>
      </c>
      <c r="R151" s="7" t="s">
        <v>87</v>
      </c>
      <c r="S151" t="s">
        <v>633</v>
      </c>
    </row>
    <row r="152" spans="1:19" hidden="1">
      <c r="A152" s="7" t="s">
        <v>29</v>
      </c>
      <c r="B152" s="8">
        <v>20720</v>
      </c>
      <c r="C152" s="9">
        <v>45986.49350694444</v>
      </c>
      <c r="D152" s="9">
        <v>45986</v>
      </c>
      <c r="E152" s="9">
        <v>45986</v>
      </c>
      <c r="F152" s="7" t="s">
        <v>634</v>
      </c>
      <c r="G152" s="7" t="s">
        <v>635</v>
      </c>
      <c r="H152" s="7" t="s">
        <v>195</v>
      </c>
      <c r="I152" s="7" t="s">
        <v>64</v>
      </c>
      <c r="J152" s="7" t="s">
        <v>40</v>
      </c>
      <c r="K152" s="7" t="s">
        <v>636</v>
      </c>
      <c r="L152" s="10">
        <v>2202.7399999999998</v>
      </c>
      <c r="M152" s="10">
        <v>0</v>
      </c>
      <c r="N152" s="10">
        <f>+L152-M152</f>
        <v>2202.7399999999998</v>
      </c>
      <c r="O152" s="10">
        <v>0</v>
      </c>
      <c r="P152" s="10">
        <f>+L152-O152</f>
        <v>2202.7399999999998</v>
      </c>
      <c r="Q152" s="10">
        <v>0</v>
      </c>
      <c r="R152" s="7" t="s">
        <v>27</v>
      </c>
    </row>
    <row r="153" spans="1:19" hidden="1">
      <c r="A153" s="7" t="s">
        <v>29</v>
      </c>
      <c r="B153" s="8">
        <v>19878</v>
      </c>
      <c r="C153" s="9">
        <v>45805.749895833331</v>
      </c>
      <c r="D153" s="9">
        <v>45822</v>
      </c>
      <c r="E153" s="9">
        <v>45787</v>
      </c>
      <c r="F153" s="7" t="s">
        <v>637</v>
      </c>
      <c r="G153" s="7" t="s">
        <v>638</v>
      </c>
      <c r="H153" s="7" t="s">
        <v>639</v>
      </c>
      <c r="I153" s="7" t="s">
        <v>640</v>
      </c>
      <c r="J153" s="7" t="s">
        <v>176</v>
      </c>
      <c r="K153" s="7" t="s">
        <v>584</v>
      </c>
      <c r="L153" s="10">
        <v>2100</v>
      </c>
      <c r="M153" s="10">
        <v>0</v>
      </c>
      <c r="N153" s="10">
        <f>+L153-M153</f>
        <v>2100</v>
      </c>
      <c r="O153" s="10">
        <v>0</v>
      </c>
      <c r="P153" s="10">
        <f>+L153-O153</f>
        <v>2100</v>
      </c>
      <c r="Q153" s="10">
        <v>1255.8900000000001</v>
      </c>
      <c r="R153" s="7" t="s">
        <v>27</v>
      </c>
    </row>
    <row r="154" spans="1:19" hidden="1">
      <c r="A154" s="7" t="s">
        <v>29</v>
      </c>
      <c r="B154" s="8">
        <v>20949</v>
      </c>
      <c r="C154" s="9">
        <v>46063.406724537032</v>
      </c>
      <c r="D154" s="9">
        <v>46063</v>
      </c>
      <c r="E154" s="9">
        <v>46091</v>
      </c>
      <c r="F154" s="7" t="s">
        <v>641</v>
      </c>
      <c r="G154" s="7" t="s">
        <v>642</v>
      </c>
      <c r="H154" s="7" t="s">
        <v>643</v>
      </c>
      <c r="I154" s="7" t="s">
        <v>644</v>
      </c>
      <c r="J154" s="7" t="s">
        <v>34</v>
      </c>
      <c r="K154" s="7" t="s">
        <v>369</v>
      </c>
      <c r="L154" s="10">
        <v>2061.12</v>
      </c>
      <c r="M154" s="10">
        <v>0</v>
      </c>
      <c r="N154" s="10">
        <f>+L154-M154</f>
        <v>2061.12</v>
      </c>
      <c r="O154" s="10">
        <v>0</v>
      </c>
      <c r="P154" s="10">
        <f>+L154-O154</f>
        <v>2061.12</v>
      </c>
      <c r="Q154" s="10">
        <v>0</v>
      </c>
      <c r="R154" s="7" t="s">
        <v>27</v>
      </c>
    </row>
    <row r="155" spans="1:19" hidden="1">
      <c r="A155" s="7" t="s">
        <v>29</v>
      </c>
      <c r="B155" s="8">
        <v>20863</v>
      </c>
      <c r="C155" s="9">
        <v>46035.659340393519</v>
      </c>
      <c r="D155" s="9">
        <v>45378</v>
      </c>
      <c r="E155" s="9">
        <v>45350</v>
      </c>
      <c r="F155" s="7" t="s">
        <v>645</v>
      </c>
      <c r="G155" s="7" t="s">
        <v>646</v>
      </c>
      <c r="H155" s="7" t="s">
        <v>647</v>
      </c>
      <c r="I155" s="7" t="s">
        <v>648</v>
      </c>
      <c r="J155" s="7" t="s">
        <v>176</v>
      </c>
      <c r="K155" s="7" t="s">
        <v>317</v>
      </c>
      <c r="L155" s="10">
        <v>2025</v>
      </c>
      <c r="M155" s="10">
        <v>0</v>
      </c>
      <c r="N155" s="10">
        <f>+L155-M155</f>
        <v>2025</v>
      </c>
      <c r="O155" s="10">
        <v>0</v>
      </c>
      <c r="P155" s="10">
        <f>+L155-O155</f>
        <v>2025</v>
      </c>
      <c r="Q155" s="10">
        <v>1000</v>
      </c>
      <c r="R155" s="7" t="s">
        <v>27</v>
      </c>
    </row>
    <row r="156" spans="1:19">
      <c r="A156" s="7" t="s">
        <v>29</v>
      </c>
      <c r="B156" s="8">
        <v>20763</v>
      </c>
      <c r="C156" s="9">
        <v>45999.432445682869</v>
      </c>
      <c r="D156" s="9">
        <v>46035</v>
      </c>
      <c r="E156" s="9">
        <v>45988</v>
      </c>
      <c r="F156" s="7" t="s">
        <v>649</v>
      </c>
      <c r="G156" s="7" t="s">
        <v>650</v>
      </c>
      <c r="H156" s="7" t="s">
        <v>651</v>
      </c>
      <c r="I156" s="7" t="s">
        <v>652</v>
      </c>
      <c r="J156" s="7" t="s">
        <v>25</v>
      </c>
      <c r="K156" s="7" t="s">
        <v>407</v>
      </c>
      <c r="L156" s="10">
        <v>5055.22</v>
      </c>
      <c r="M156" s="10">
        <v>3033.13</v>
      </c>
      <c r="N156" s="10">
        <f>+L156-M156</f>
        <v>2022.0900000000001</v>
      </c>
      <c r="O156" s="10">
        <v>3033.13</v>
      </c>
      <c r="P156" s="10">
        <f>+L156-O156</f>
        <v>2022.0900000000001</v>
      </c>
      <c r="Q156" s="10">
        <v>0</v>
      </c>
      <c r="R156" s="7" t="s">
        <v>27</v>
      </c>
      <c r="S156" t="s">
        <v>499</v>
      </c>
    </row>
    <row r="157" spans="1:19" hidden="1">
      <c r="A157" s="7" t="s">
        <v>29</v>
      </c>
      <c r="B157" s="8">
        <v>4270</v>
      </c>
      <c r="C157" s="9">
        <v>45933.355104166665</v>
      </c>
      <c r="D157" s="9">
        <v>45924</v>
      </c>
      <c r="E157" s="9">
        <v>45929</v>
      </c>
      <c r="F157" s="7" t="s">
        <v>653</v>
      </c>
      <c r="G157" s="7" t="s">
        <v>654</v>
      </c>
      <c r="H157" s="7" t="s">
        <v>85</v>
      </c>
      <c r="I157" s="7" t="s">
        <v>24</v>
      </c>
      <c r="J157" s="7" t="s">
        <v>25</v>
      </c>
      <c r="K157" s="7" t="s">
        <v>86</v>
      </c>
      <c r="L157" s="10">
        <v>24003</v>
      </c>
      <c r="M157" s="10">
        <f>+L157*0.2</f>
        <v>4800.6000000000004</v>
      </c>
      <c r="N157" s="15">
        <f>+L157-M157</f>
        <v>19202.400000000001</v>
      </c>
      <c r="O157" s="15">
        <v>21996.11</v>
      </c>
      <c r="P157" s="15">
        <f>+L157-O157</f>
        <v>2006.8899999999994</v>
      </c>
      <c r="Q157" s="10">
        <v>0</v>
      </c>
      <c r="R157" s="7" t="s">
        <v>87</v>
      </c>
      <c r="S157" t="s">
        <v>655</v>
      </c>
    </row>
    <row r="158" spans="1:19" hidden="1">
      <c r="A158" s="7" t="s">
        <v>29</v>
      </c>
      <c r="B158" s="8">
        <v>20803</v>
      </c>
      <c r="C158" s="9">
        <v>46014.394583333335</v>
      </c>
      <c r="D158" s="9">
        <v>46014</v>
      </c>
      <c r="E158" s="9">
        <v>46045</v>
      </c>
      <c r="F158" s="7" t="s">
        <v>656</v>
      </c>
      <c r="G158" s="7" t="s">
        <v>657</v>
      </c>
      <c r="H158" s="7" t="s">
        <v>134</v>
      </c>
      <c r="I158" s="7" t="s">
        <v>658</v>
      </c>
      <c r="J158" s="7" t="s">
        <v>34</v>
      </c>
      <c r="K158" s="7" t="s">
        <v>118</v>
      </c>
      <c r="L158" s="10">
        <v>1756.85</v>
      </c>
      <c r="M158" s="10">
        <v>0</v>
      </c>
      <c r="N158" s="10">
        <f>+L158-M158</f>
        <v>1756.85</v>
      </c>
      <c r="O158" s="10">
        <v>0</v>
      </c>
      <c r="P158" s="10">
        <f>+L158-O158</f>
        <v>1756.85</v>
      </c>
      <c r="Q158" s="10">
        <v>0</v>
      </c>
      <c r="R158" s="7" t="s">
        <v>27</v>
      </c>
    </row>
    <row r="159" spans="1:19" hidden="1">
      <c r="A159" s="7" t="s">
        <v>29</v>
      </c>
      <c r="B159" s="8">
        <v>4196</v>
      </c>
      <c r="C159" s="9">
        <v>45768.435915428236</v>
      </c>
      <c r="D159" s="9">
        <v>45757</v>
      </c>
      <c r="E159" s="9">
        <v>45757</v>
      </c>
      <c r="F159" s="7" t="s">
        <v>659</v>
      </c>
      <c r="G159" s="7" t="s">
        <v>660</v>
      </c>
      <c r="H159" s="7" t="s">
        <v>661</v>
      </c>
      <c r="I159" s="7" t="s">
        <v>662</v>
      </c>
      <c r="J159" s="7" t="s">
        <v>25</v>
      </c>
      <c r="K159" s="7" t="s">
        <v>206</v>
      </c>
      <c r="L159" s="10">
        <v>48141.61</v>
      </c>
      <c r="M159" s="10">
        <v>46432.11</v>
      </c>
      <c r="N159" s="15">
        <f>+L159-M159</f>
        <v>1709.5</v>
      </c>
      <c r="O159" s="15">
        <v>46432.11</v>
      </c>
      <c r="P159" s="15">
        <f>+L159-O159</f>
        <v>1709.5</v>
      </c>
      <c r="Q159" s="10">
        <v>0</v>
      </c>
      <c r="R159" s="7" t="s">
        <v>87</v>
      </c>
      <c r="S159" t="s">
        <v>663</v>
      </c>
    </row>
    <row r="160" spans="1:19" hidden="1">
      <c r="A160" s="7" t="s">
        <v>29</v>
      </c>
      <c r="B160" s="8">
        <v>20450</v>
      </c>
      <c r="C160" s="9">
        <v>45916.365318090277</v>
      </c>
      <c r="D160" s="9">
        <v>45913</v>
      </c>
      <c r="E160" s="9">
        <v>45913</v>
      </c>
      <c r="F160" s="7" t="s">
        <v>664</v>
      </c>
      <c r="G160" s="7" t="s">
        <v>665</v>
      </c>
      <c r="H160" s="7" t="s">
        <v>666</v>
      </c>
      <c r="I160" s="7" t="s">
        <v>667</v>
      </c>
      <c r="J160" s="7" t="s">
        <v>176</v>
      </c>
      <c r="K160" s="7" t="s">
        <v>360</v>
      </c>
      <c r="L160" s="10">
        <v>1652</v>
      </c>
      <c r="M160" s="10">
        <v>0</v>
      </c>
      <c r="N160" s="10">
        <f>+L160-M160</f>
        <v>1652</v>
      </c>
      <c r="O160" s="10">
        <v>0</v>
      </c>
      <c r="P160" s="10">
        <f>+L160-O160</f>
        <v>1652</v>
      </c>
      <c r="Q160" s="10">
        <v>1652</v>
      </c>
      <c r="R160" s="7" t="s">
        <v>27</v>
      </c>
    </row>
    <row r="161" spans="1:19">
      <c r="A161" s="7" t="s">
        <v>29</v>
      </c>
      <c r="B161" s="8">
        <v>20773</v>
      </c>
      <c r="C161" s="9">
        <v>46001.985735497685</v>
      </c>
      <c r="D161" s="9">
        <v>46020</v>
      </c>
      <c r="E161" s="9">
        <v>46000</v>
      </c>
      <c r="F161" s="7" t="s">
        <v>668</v>
      </c>
      <c r="G161" s="7" t="s">
        <v>669</v>
      </c>
      <c r="H161" s="7" t="s">
        <v>670</v>
      </c>
      <c r="I161" s="7" t="s">
        <v>671</v>
      </c>
      <c r="J161" s="7" t="s">
        <v>25</v>
      </c>
      <c r="K161" s="7" t="s">
        <v>407</v>
      </c>
      <c r="L161" s="10">
        <v>4101.8999999999996</v>
      </c>
      <c r="M161" s="10">
        <v>2461.14</v>
      </c>
      <c r="N161" s="10">
        <f>+L161-M161</f>
        <v>1640.7599999999998</v>
      </c>
      <c r="O161" s="10">
        <v>2461.14</v>
      </c>
      <c r="P161" s="10">
        <f>+L161-O161</f>
        <v>1640.7599999999998</v>
      </c>
      <c r="Q161" s="10">
        <v>0</v>
      </c>
      <c r="R161" s="7" t="s">
        <v>27</v>
      </c>
      <c r="S161" t="s">
        <v>672</v>
      </c>
    </row>
    <row r="162" spans="1:19" hidden="1">
      <c r="A162" s="7" t="s">
        <v>29</v>
      </c>
      <c r="B162" s="8">
        <v>20445</v>
      </c>
      <c r="C162" s="9">
        <v>45912.455162037033</v>
      </c>
      <c r="D162" s="9">
        <v>45912</v>
      </c>
      <c r="E162" s="9">
        <v>45975</v>
      </c>
      <c r="F162" s="7" t="s">
        <v>673</v>
      </c>
      <c r="G162" s="7" t="s">
        <v>674</v>
      </c>
      <c r="H162" s="7" t="s">
        <v>276</v>
      </c>
      <c r="I162" s="7" t="s">
        <v>277</v>
      </c>
      <c r="J162" s="7" t="s">
        <v>34</v>
      </c>
      <c r="K162" s="7" t="s">
        <v>35</v>
      </c>
      <c r="L162" s="10">
        <v>21456.27</v>
      </c>
      <c r="M162" s="10">
        <v>0</v>
      </c>
      <c r="N162" s="10">
        <f>+L162-M162</f>
        <v>21456.27</v>
      </c>
      <c r="O162" s="10">
        <v>19825.55</v>
      </c>
      <c r="P162" s="10">
        <f>+L162-O162</f>
        <v>1630.7200000000012</v>
      </c>
      <c r="Q162" s="10">
        <v>0</v>
      </c>
      <c r="R162" s="7" t="s">
        <v>27</v>
      </c>
    </row>
    <row r="163" spans="1:19" hidden="1">
      <c r="A163" s="7" t="s">
        <v>29</v>
      </c>
      <c r="B163" s="8">
        <v>20541</v>
      </c>
      <c r="C163" s="9">
        <v>45933.352187500001</v>
      </c>
      <c r="D163" s="9">
        <v>45930</v>
      </c>
      <c r="E163" s="9">
        <v>45930</v>
      </c>
      <c r="F163" s="7" t="s">
        <v>675</v>
      </c>
      <c r="G163" s="7" t="s">
        <v>676</v>
      </c>
      <c r="H163" s="7" t="s">
        <v>677</v>
      </c>
      <c r="I163" s="7" t="s">
        <v>678</v>
      </c>
      <c r="J163" s="7" t="s">
        <v>40</v>
      </c>
      <c r="K163" s="7" t="s">
        <v>355</v>
      </c>
      <c r="L163" s="10">
        <v>1551.72</v>
      </c>
      <c r="M163" s="10">
        <v>0</v>
      </c>
      <c r="N163" s="10">
        <f>+L163-M163</f>
        <v>1551.72</v>
      </c>
      <c r="O163" s="10">
        <v>0</v>
      </c>
      <c r="P163" s="10">
        <f>+L163-O163</f>
        <v>1551.72</v>
      </c>
      <c r="Q163" s="10">
        <v>0</v>
      </c>
      <c r="R163" s="7" t="s">
        <v>27</v>
      </c>
    </row>
    <row r="164" spans="1:19">
      <c r="A164" s="7" t="s">
        <v>29</v>
      </c>
      <c r="B164" s="8">
        <v>20923</v>
      </c>
      <c r="C164" s="9">
        <v>46051.687002314815</v>
      </c>
      <c r="D164" s="9">
        <v>46059</v>
      </c>
      <c r="E164" s="9">
        <v>46059</v>
      </c>
      <c r="F164" s="7" t="s">
        <v>679</v>
      </c>
      <c r="G164" s="7" t="s">
        <v>680</v>
      </c>
      <c r="H164" s="7" t="s">
        <v>681</v>
      </c>
      <c r="I164" s="7" t="s">
        <v>54</v>
      </c>
      <c r="J164" s="7" t="s">
        <v>25</v>
      </c>
      <c r="K164" s="7" t="s">
        <v>55</v>
      </c>
      <c r="L164" s="10">
        <v>1531.36</v>
      </c>
      <c r="M164" s="10">
        <v>0</v>
      </c>
      <c r="N164" s="10">
        <f>+L164-M164</f>
        <v>1531.36</v>
      </c>
      <c r="O164" s="10">
        <v>0</v>
      </c>
      <c r="P164" s="10">
        <f>+L164-O164</f>
        <v>1531.36</v>
      </c>
      <c r="Q164" s="10">
        <v>0</v>
      </c>
      <c r="R164" s="7" t="s">
        <v>27</v>
      </c>
      <c r="S164" t="s">
        <v>396</v>
      </c>
    </row>
    <row r="165" spans="1:19" hidden="1">
      <c r="A165" s="7" t="s">
        <v>29</v>
      </c>
      <c r="B165" s="8">
        <v>4169</v>
      </c>
      <c r="C165" s="9">
        <v>45706.662285879625</v>
      </c>
      <c r="D165" s="9">
        <v>45629</v>
      </c>
      <c r="E165" s="9">
        <v>45629</v>
      </c>
      <c r="F165" s="7" t="s">
        <v>682</v>
      </c>
      <c r="G165" s="7" t="s">
        <v>683</v>
      </c>
      <c r="H165" s="7" t="s">
        <v>684</v>
      </c>
      <c r="I165" s="7" t="s">
        <v>685</v>
      </c>
      <c r="J165" s="7" t="s">
        <v>25</v>
      </c>
      <c r="K165" s="7" t="s">
        <v>686</v>
      </c>
      <c r="L165" s="10">
        <v>1496</v>
      </c>
      <c r="M165" s="10">
        <v>0</v>
      </c>
      <c r="N165" s="15">
        <f>+L165-M165</f>
        <v>1496</v>
      </c>
      <c r="O165" s="15">
        <v>0</v>
      </c>
      <c r="P165" s="15">
        <f>+L165-O165</f>
        <v>1496</v>
      </c>
      <c r="Q165" s="10">
        <v>0</v>
      </c>
      <c r="R165" s="7" t="s">
        <v>87</v>
      </c>
    </row>
    <row r="166" spans="1:19" hidden="1">
      <c r="A166" s="7" t="s">
        <v>29</v>
      </c>
      <c r="B166" s="8">
        <v>20689</v>
      </c>
      <c r="C166" s="9">
        <v>45972.416226851848</v>
      </c>
      <c r="D166" s="9">
        <v>45972</v>
      </c>
      <c r="E166" s="9">
        <v>46021</v>
      </c>
      <c r="F166" s="7" t="s">
        <v>687</v>
      </c>
      <c r="G166" s="7" t="s">
        <v>688</v>
      </c>
      <c r="H166" s="7" t="s">
        <v>689</v>
      </c>
      <c r="I166" s="7" t="s">
        <v>690</v>
      </c>
      <c r="J166" s="7" t="s">
        <v>34</v>
      </c>
      <c r="K166" s="7" t="s">
        <v>118</v>
      </c>
      <c r="L166" s="10">
        <v>1491.5</v>
      </c>
      <c r="M166" s="10">
        <v>0</v>
      </c>
      <c r="N166" s="10">
        <f>+L166-M166</f>
        <v>1491.5</v>
      </c>
      <c r="O166" s="10">
        <v>0</v>
      </c>
      <c r="P166" s="10">
        <f>+L166-O166</f>
        <v>1491.5</v>
      </c>
      <c r="Q166" s="10">
        <v>0</v>
      </c>
      <c r="R166" s="7" t="s">
        <v>27</v>
      </c>
    </row>
    <row r="167" spans="1:19">
      <c r="A167" s="7" t="s">
        <v>29</v>
      </c>
      <c r="B167" s="8">
        <v>20759</v>
      </c>
      <c r="C167" s="9">
        <v>45999.431374189815</v>
      </c>
      <c r="D167" s="9">
        <v>46066</v>
      </c>
      <c r="E167" s="9">
        <v>46066</v>
      </c>
      <c r="F167" s="7" t="s">
        <v>691</v>
      </c>
      <c r="G167" s="7" t="s">
        <v>692</v>
      </c>
      <c r="H167" s="7" t="s">
        <v>693</v>
      </c>
      <c r="I167" s="7" t="s">
        <v>694</v>
      </c>
      <c r="J167" s="7" t="s">
        <v>25</v>
      </c>
      <c r="K167" s="7" t="s">
        <v>55</v>
      </c>
      <c r="L167" s="10">
        <v>1411.51</v>
      </c>
      <c r="M167" s="10">
        <v>0</v>
      </c>
      <c r="N167" s="10">
        <f>+L167-M167</f>
        <v>1411.51</v>
      </c>
      <c r="O167" s="10">
        <v>0</v>
      </c>
      <c r="P167" s="10">
        <f>+L167-O167</f>
        <v>1411.51</v>
      </c>
      <c r="Q167" s="10">
        <v>0</v>
      </c>
      <c r="R167" s="7" t="s">
        <v>27</v>
      </c>
      <c r="S167" t="s">
        <v>396</v>
      </c>
    </row>
    <row r="168" spans="1:19" hidden="1">
      <c r="A168" s="7" t="s">
        <v>29</v>
      </c>
      <c r="B168" s="8">
        <v>20356</v>
      </c>
      <c r="C168" s="9">
        <v>45898.736299537035</v>
      </c>
      <c r="D168" s="9">
        <v>45960</v>
      </c>
      <c r="E168" s="9">
        <v>45862</v>
      </c>
      <c r="F168" s="7" t="s">
        <v>695</v>
      </c>
      <c r="G168" s="7" t="s">
        <v>696</v>
      </c>
      <c r="H168" s="7" t="s">
        <v>697</v>
      </c>
      <c r="I168" s="7" t="s">
        <v>698</v>
      </c>
      <c r="J168" s="7" t="s">
        <v>176</v>
      </c>
      <c r="K168" s="7" t="s">
        <v>584</v>
      </c>
      <c r="L168" s="10">
        <v>1400</v>
      </c>
      <c r="M168" s="10">
        <v>0</v>
      </c>
      <c r="N168" s="10">
        <f>+L168-M168</f>
        <v>1400</v>
      </c>
      <c r="O168" s="10">
        <v>0</v>
      </c>
      <c r="P168" s="10">
        <f>+L168-O168</f>
        <v>1400</v>
      </c>
      <c r="Q168" s="10">
        <v>0</v>
      </c>
      <c r="R168" s="7" t="s">
        <v>27</v>
      </c>
    </row>
    <row r="169" spans="1:19" hidden="1">
      <c r="A169" s="7" t="s">
        <v>29</v>
      </c>
      <c r="B169" s="8">
        <v>19629</v>
      </c>
      <c r="C169" s="9">
        <v>45751.709305555552</v>
      </c>
      <c r="D169" s="9">
        <v>45786</v>
      </c>
      <c r="E169" s="9">
        <v>45774</v>
      </c>
      <c r="F169" s="7" t="s">
        <v>699</v>
      </c>
      <c r="G169" s="7" t="s">
        <v>700</v>
      </c>
      <c r="H169" s="7" t="s">
        <v>701</v>
      </c>
      <c r="I169" s="7" t="s">
        <v>702</v>
      </c>
      <c r="J169" s="7" t="s">
        <v>176</v>
      </c>
      <c r="K169" s="7" t="s">
        <v>374</v>
      </c>
      <c r="L169" s="10">
        <v>1350</v>
      </c>
      <c r="M169" s="10">
        <v>0</v>
      </c>
      <c r="N169" s="10">
        <f>+L169-M169</f>
        <v>1350</v>
      </c>
      <c r="O169" s="10">
        <v>0</v>
      </c>
      <c r="P169" s="10">
        <f>+L169-O169</f>
        <v>1350</v>
      </c>
      <c r="Q169" s="10">
        <v>0</v>
      </c>
      <c r="R169" s="7" t="s">
        <v>27</v>
      </c>
    </row>
    <row r="170" spans="1:19">
      <c r="A170" s="7" t="s">
        <v>29</v>
      </c>
      <c r="B170" s="8">
        <v>20101</v>
      </c>
      <c r="C170" s="9">
        <v>45842.670013576389</v>
      </c>
      <c r="D170" s="9">
        <v>45751</v>
      </c>
      <c r="E170" s="9">
        <v>45748</v>
      </c>
      <c r="F170" s="7" t="s">
        <v>703</v>
      </c>
      <c r="G170" s="7" t="s">
        <v>704</v>
      </c>
      <c r="H170" s="7" t="s">
        <v>480</v>
      </c>
      <c r="I170" s="7" t="s">
        <v>481</v>
      </c>
      <c r="J170" s="7" t="s">
        <v>25</v>
      </c>
      <c r="K170" s="7" t="s">
        <v>705</v>
      </c>
      <c r="L170" s="10">
        <v>26735</v>
      </c>
      <c r="M170" s="10">
        <v>25398.25</v>
      </c>
      <c r="N170" s="10">
        <f>+L170-M170</f>
        <v>1336.75</v>
      </c>
      <c r="O170" s="10">
        <v>25398.25</v>
      </c>
      <c r="P170" s="10">
        <f>+L170-O170</f>
        <v>1336.75</v>
      </c>
      <c r="Q170" s="10">
        <v>0</v>
      </c>
      <c r="R170" s="7" t="s">
        <v>27</v>
      </c>
      <c r="S170" t="s">
        <v>520</v>
      </c>
    </row>
    <row r="171" spans="1:19" hidden="1">
      <c r="A171" s="7" t="s">
        <v>29</v>
      </c>
      <c r="B171" s="8">
        <v>20366</v>
      </c>
      <c r="C171" s="9">
        <v>45900.830931331016</v>
      </c>
      <c r="D171" s="9">
        <v>45905</v>
      </c>
      <c r="E171" s="9">
        <v>45863</v>
      </c>
      <c r="F171" s="7" t="s">
        <v>706</v>
      </c>
      <c r="G171" s="7" t="s">
        <v>707</v>
      </c>
      <c r="H171" s="7" t="s">
        <v>708</v>
      </c>
      <c r="I171" s="7" t="s">
        <v>709</v>
      </c>
      <c r="J171" s="7" t="s">
        <v>176</v>
      </c>
      <c r="K171" s="7" t="s">
        <v>177</v>
      </c>
      <c r="L171" s="10">
        <v>1306.25</v>
      </c>
      <c r="M171" s="10">
        <v>0</v>
      </c>
      <c r="N171" s="10">
        <f>+L171-M171</f>
        <v>1306.25</v>
      </c>
      <c r="O171" s="10">
        <v>0</v>
      </c>
      <c r="P171" s="10">
        <f>+L171-O171</f>
        <v>1306.25</v>
      </c>
      <c r="Q171" s="10">
        <v>0</v>
      </c>
      <c r="R171" s="7" t="s">
        <v>27</v>
      </c>
    </row>
    <row r="172" spans="1:19" hidden="1">
      <c r="A172" s="7" t="s">
        <v>29</v>
      </c>
      <c r="B172" s="8">
        <v>20953</v>
      </c>
      <c r="C172" s="9">
        <v>46064.461840277778</v>
      </c>
      <c r="D172" s="9">
        <v>46064</v>
      </c>
      <c r="E172" s="9">
        <v>46064</v>
      </c>
      <c r="F172" s="7" t="s">
        <v>710</v>
      </c>
      <c r="G172" s="7" t="s">
        <v>711</v>
      </c>
      <c r="H172" s="7" t="s">
        <v>712</v>
      </c>
      <c r="I172" s="7" t="s">
        <v>713</v>
      </c>
      <c r="J172" s="7" t="s">
        <v>176</v>
      </c>
      <c r="K172" s="7" t="s">
        <v>360</v>
      </c>
      <c r="L172" s="10">
        <v>1270</v>
      </c>
      <c r="M172" s="10">
        <v>0</v>
      </c>
      <c r="N172" s="10">
        <f>+L172-M172</f>
        <v>1270</v>
      </c>
      <c r="O172" s="10">
        <v>0</v>
      </c>
      <c r="P172" s="10">
        <f>+L172-O172</f>
        <v>1270</v>
      </c>
      <c r="Q172" s="10">
        <v>1270</v>
      </c>
      <c r="R172" s="7" t="s">
        <v>27</v>
      </c>
    </row>
    <row r="173" spans="1:19" hidden="1">
      <c r="A173" s="7" t="s">
        <v>29</v>
      </c>
      <c r="B173" s="8">
        <v>20925</v>
      </c>
      <c r="C173" s="9">
        <v>46055.476174571755</v>
      </c>
      <c r="D173" s="9">
        <v>46053</v>
      </c>
      <c r="E173" s="9">
        <v>46053</v>
      </c>
      <c r="F173" s="7" t="s">
        <v>714</v>
      </c>
      <c r="G173" s="7" t="s">
        <v>715</v>
      </c>
      <c r="H173" s="7" t="s">
        <v>716</v>
      </c>
      <c r="I173" s="7" t="s">
        <v>717</v>
      </c>
      <c r="J173" s="7" t="s">
        <v>176</v>
      </c>
      <c r="K173" s="7" t="s">
        <v>360</v>
      </c>
      <c r="L173" s="10">
        <v>1270</v>
      </c>
      <c r="M173" s="10">
        <v>0</v>
      </c>
      <c r="N173" s="10">
        <f>+L173-M173</f>
        <v>1270</v>
      </c>
      <c r="O173" s="10">
        <v>0</v>
      </c>
      <c r="P173" s="10">
        <f>+L173-O173</f>
        <v>1270</v>
      </c>
      <c r="Q173" s="10">
        <v>1270</v>
      </c>
      <c r="R173" s="7" t="s">
        <v>27</v>
      </c>
    </row>
    <row r="174" spans="1:19" hidden="1">
      <c r="A174" s="7" t="s">
        <v>29</v>
      </c>
      <c r="B174" s="8">
        <v>19403</v>
      </c>
      <c r="C174" s="9">
        <v>45698.519958993056</v>
      </c>
      <c r="D174" s="9">
        <v>45493</v>
      </c>
      <c r="E174" s="9">
        <v>45444</v>
      </c>
      <c r="F174" s="7" t="s">
        <v>718</v>
      </c>
      <c r="G174" s="7" t="s">
        <v>719</v>
      </c>
      <c r="H174" s="7" t="s">
        <v>720</v>
      </c>
      <c r="I174" s="7" t="s">
        <v>721</v>
      </c>
      <c r="J174" s="7" t="s">
        <v>176</v>
      </c>
      <c r="K174" s="7" t="s">
        <v>550</v>
      </c>
      <c r="L174" s="10">
        <v>12000</v>
      </c>
      <c r="M174" s="10">
        <v>10800</v>
      </c>
      <c r="N174" s="10">
        <f>+L174-M174</f>
        <v>1200</v>
      </c>
      <c r="O174" s="10">
        <v>10800</v>
      </c>
      <c r="P174" s="10">
        <f>+L174-O174</f>
        <v>1200</v>
      </c>
      <c r="Q174" s="10">
        <v>0</v>
      </c>
      <c r="R174" s="7" t="s">
        <v>27</v>
      </c>
    </row>
    <row r="175" spans="1:19" hidden="1">
      <c r="A175" s="7" t="s">
        <v>29</v>
      </c>
      <c r="B175" s="8">
        <v>20365</v>
      </c>
      <c r="C175" s="9">
        <v>45900.830698807869</v>
      </c>
      <c r="D175" s="9">
        <v>45905</v>
      </c>
      <c r="E175" s="9">
        <v>45863</v>
      </c>
      <c r="F175" s="7" t="s">
        <v>722</v>
      </c>
      <c r="G175" s="7" t="s">
        <v>723</v>
      </c>
      <c r="H175" s="7" t="s">
        <v>708</v>
      </c>
      <c r="I175" s="7" t="s">
        <v>709</v>
      </c>
      <c r="J175" s="7" t="s">
        <v>176</v>
      </c>
      <c r="K175" s="7" t="s">
        <v>177</v>
      </c>
      <c r="L175" s="10">
        <v>1188.75</v>
      </c>
      <c r="M175" s="10">
        <v>0</v>
      </c>
      <c r="N175" s="10">
        <f>+L175-M175</f>
        <v>1188.75</v>
      </c>
      <c r="O175" s="10">
        <v>0</v>
      </c>
      <c r="P175" s="10">
        <f>+L175-O175</f>
        <v>1188.75</v>
      </c>
      <c r="Q175" s="10">
        <v>0</v>
      </c>
      <c r="R175" s="7" t="s">
        <v>27</v>
      </c>
    </row>
    <row r="176" spans="1:19" hidden="1">
      <c r="A176" s="7" t="s">
        <v>29</v>
      </c>
      <c r="B176" s="8">
        <v>20818</v>
      </c>
      <c r="C176" s="9">
        <v>46020.044363425921</v>
      </c>
      <c r="D176" s="9">
        <v>45986</v>
      </c>
      <c r="E176" s="9">
        <v>45916</v>
      </c>
      <c r="F176" s="7" t="s">
        <v>724</v>
      </c>
      <c r="G176" s="7" t="s">
        <v>725</v>
      </c>
      <c r="H176" s="7" t="s">
        <v>726</v>
      </c>
      <c r="I176" s="7" t="s">
        <v>727</v>
      </c>
      <c r="J176" s="7" t="s">
        <v>176</v>
      </c>
      <c r="K176" s="7" t="s">
        <v>728</v>
      </c>
      <c r="L176" s="10">
        <v>1110</v>
      </c>
      <c r="M176" s="10">
        <v>0</v>
      </c>
      <c r="N176" s="10">
        <f>+L176-M176</f>
        <v>1110</v>
      </c>
      <c r="O176" s="10">
        <v>0</v>
      </c>
      <c r="P176" s="10">
        <f>+L176-O176</f>
        <v>1110</v>
      </c>
      <c r="Q176" s="10">
        <v>1110</v>
      </c>
      <c r="R176" s="7" t="s">
        <v>27</v>
      </c>
    </row>
    <row r="177" spans="1:19" hidden="1">
      <c r="A177" s="7" t="s">
        <v>29</v>
      </c>
      <c r="B177" s="8">
        <v>20839</v>
      </c>
      <c r="C177" s="9">
        <v>46029.451111111106</v>
      </c>
      <c r="D177" s="9">
        <v>46029</v>
      </c>
      <c r="E177" s="9">
        <v>46028</v>
      </c>
      <c r="F177" s="7" t="s">
        <v>729</v>
      </c>
      <c r="G177" s="7" t="s">
        <v>730</v>
      </c>
      <c r="H177" s="7" t="s">
        <v>731</v>
      </c>
      <c r="I177" s="7" t="s">
        <v>732</v>
      </c>
      <c r="J177" s="7" t="s">
        <v>34</v>
      </c>
      <c r="K177" s="7" t="s">
        <v>733</v>
      </c>
      <c r="L177" s="10">
        <v>1094.05</v>
      </c>
      <c r="M177" s="10">
        <v>0</v>
      </c>
      <c r="N177" s="10">
        <f>+L177-M177</f>
        <v>1094.05</v>
      </c>
      <c r="O177" s="10">
        <v>0</v>
      </c>
      <c r="P177" s="10">
        <f>+L177-O177</f>
        <v>1094.05</v>
      </c>
      <c r="Q177" s="10">
        <v>929.94</v>
      </c>
      <c r="R177" s="7" t="s">
        <v>27</v>
      </c>
    </row>
    <row r="178" spans="1:19">
      <c r="A178" s="7" t="s">
        <v>29</v>
      </c>
      <c r="B178" s="8">
        <v>20870</v>
      </c>
      <c r="C178" s="9">
        <v>46037.474447719906</v>
      </c>
      <c r="D178" s="9">
        <v>46041</v>
      </c>
      <c r="E178" s="9">
        <v>46041</v>
      </c>
      <c r="F178" s="7" t="s">
        <v>734</v>
      </c>
      <c r="G178" s="7" t="s">
        <v>735</v>
      </c>
      <c r="H178" s="7" t="s">
        <v>736</v>
      </c>
      <c r="I178" s="7" t="s">
        <v>400</v>
      </c>
      <c r="J178" s="7" t="s">
        <v>25</v>
      </c>
      <c r="K178" s="7" t="s">
        <v>26</v>
      </c>
      <c r="L178" s="10">
        <v>963.89</v>
      </c>
      <c r="M178" s="10">
        <v>0</v>
      </c>
      <c r="N178" s="10">
        <f>+L178-M178</f>
        <v>963.89</v>
      </c>
      <c r="O178" s="10">
        <v>0</v>
      </c>
      <c r="P178" s="10">
        <f>+L178-O178</f>
        <v>963.89</v>
      </c>
      <c r="Q178" s="10">
        <v>0</v>
      </c>
      <c r="R178" s="7" t="s">
        <v>27</v>
      </c>
      <c r="S178" t="s">
        <v>415</v>
      </c>
    </row>
    <row r="179" spans="1:19" hidden="1">
      <c r="A179" s="7" t="s">
        <v>29</v>
      </c>
      <c r="B179" s="8">
        <v>4338</v>
      </c>
      <c r="C179" s="9">
        <v>46049.37631443287</v>
      </c>
      <c r="D179" s="9">
        <v>46065</v>
      </c>
      <c r="E179" s="9">
        <v>46065</v>
      </c>
      <c r="F179" s="7" t="s">
        <v>737</v>
      </c>
      <c r="G179" s="7" t="s">
        <v>738</v>
      </c>
      <c r="H179" s="7" t="s">
        <v>739</v>
      </c>
      <c r="I179" s="7" t="s">
        <v>740</v>
      </c>
      <c r="J179" s="7" t="s">
        <v>25</v>
      </c>
      <c r="K179" s="7" t="s">
        <v>125</v>
      </c>
      <c r="L179" s="10">
        <v>960.16</v>
      </c>
      <c r="M179" s="10">
        <v>0</v>
      </c>
      <c r="N179" s="15">
        <f>+L179-M179</f>
        <v>960.16</v>
      </c>
      <c r="O179" s="15">
        <v>0</v>
      </c>
      <c r="P179" s="15">
        <f>+L179-O179</f>
        <v>960.16</v>
      </c>
      <c r="Q179" s="10">
        <v>0</v>
      </c>
      <c r="R179" s="7" t="s">
        <v>87</v>
      </c>
      <c r="S179" t="s">
        <v>741</v>
      </c>
    </row>
    <row r="180" spans="1:19">
      <c r="A180" s="7" t="s">
        <v>29</v>
      </c>
      <c r="B180" s="8">
        <v>19713</v>
      </c>
      <c r="C180" s="9">
        <v>45771.646064814813</v>
      </c>
      <c r="D180" s="9">
        <v>45779</v>
      </c>
      <c r="E180" s="9">
        <v>45736</v>
      </c>
      <c r="F180" s="7" t="s">
        <v>742</v>
      </c>
      <c r="G180" s="7" t="s">
        <v>743</v>
      </c>
      <c r="H180" s="7" t="s">
        <v>744</v>
      </c>
      <c r="I180" s="7" t="s">
        <v>745</v>
      </c>
      <c r="J180" s="7" t="s">
        <v>25</v>
      </c>
      <c r="K180" s="7" t="s">
        <v>55</v>
      </c>
      <c r="L180" s="10">
        <v>898.81</v>
      </c>
      <c r="M180" s="10">
        <v>0</v>
      </c>
      <c r="N180" s="10">
        <f>+L180-M180</f>
        <v>898.81</v>
      </c>
      <c r="O180" s="10">
        <v>0</v>
      </c>
      <c r="P180" s="10">
        <f>+L180-O180</f>
        <v>898.81</v>
      </c>
      <c r="Q180" s="10">
        <v>898.42</v>
      </c>
      <c r="R180" s="7" t="s">
        <v>27</v>
      </c>
      <c r="S180" t="s">
        <v>396</v>
      </c>
    </row>
    <row r="181" spans="1:19">
      <c r="A181" s="7" t="s">
        <v>29</v>
      </c>
      <c r="B181" s="8">
        <v>20916</v>
      </c>
      <c r="C181" s="9">
        <v>46050.486178043982</v>
      </c>
      <c r="D181" s="9">
        <v>46084</v>
      </c>
      <c r="E181" s="9">
        <v>46048</v>
      </c>
      <c r="F181" s="7" t="s">
        <v>746</v>
      </c>
      <c r="G181" s="7" t="s">
        <v>747</v>
      </c>
      <c r="H181" s="7" t="s">
        <v>748</v>
      </c>
      <c r="I181" s="7" t="s">
        <v>749</v>
      </c>
      <c r="J181" s="7" t="s">
        <v>25</v>
      </c>
      <c r="K181" s="7" t="s">
        <v>407</v>
      </c>
      <c r="L181" s="10">
        <v>892.7</v>
      </c>
      <c r="M181" s="10">
        <v>0</v>
      </c>
      <c r="N181" s="10">
        <f>+L181-M181</f>
        <v>892.7</v>
      </c>
      <c r="O181" s="10">
        <v>0</v>
      </c>
      <c r="P181" s="10">
        <f>+L181-O181</f>
        <v>892.7</v>
      </c>
      <c r="Q181" s="10">
        <v>892.7</v>
      </c>
      <c r="R181" s="7" t="s">
        <v>27</v>
      </c>
      <c r="S181" t="s">
        <v>396</v>
      </c>
    </row>
    <row r="182" spans="1:19" hidden="1">
      <c r="A182" s="7" t="s">
        <v>29</v>
      </c>
      <c r="B182" s="8">
        <v>19914</v>
      </c>
      <c r="C182" s="9">
        <v>45811.415162037032</v>
      </c>
      <c r="D182" s="9">
        <v>45811</v>
      </c>
      <c r="E182" s="9">
        <v>45800</v>
      </c>
      <c r="F182" s="7" t="s">
        <v>750</v>
      </c>
      <c r="G182" s="7" t="s">
        <v>751</v>
      </c>
      <c r="H182" s="7" t="s">
        <v>752</v>
      </c>
      <c r="I182" s="7" t="s">
        <v>753</v>
      </c>
      <c r="J182" s="7" t="s">
        <v>34</v>
      </c>
      <c r="K182" s="7" t="s">
        <v>118</v>
      </c>
      <c r="L182" s="10">
        <v>11979.67</v>
      </c>
      <c r="M182" s="10">
        <v>11107.68</v>
      </c>
      <c r="N182" s="10">
        <f>+L182-M182</f>
        <v>871.98999999999978</v>
      </c>
      <c r="O182" s="10">
        <v>11107.68</v>
      </c>
      <c r="P182" s="10">
        <f>+L182-O182</f>
        <v>871.98999999999978</v>
      </c>
      <c r="Q182" s="10">
        <v>0</v>
      </c>
      <c r="R182" s="7" t="s">
        <v>27</v>
      </c>
    </row>
    <row r="183" spans="1:19">
      <c r="A183" s="7" t="s">
        <v>29</v>
      </c>
      <c r="B183" s="8">
        <v>20219</v>
      </c>
      <c r="C183" s="9">
        <v>45870.433566817126</v>
      </c>
      <c r="D183" s="9">
        <v>45870</v>
      </c>
      <c r="E183" s="9">
        <v>45869</v>
      </c>
      <c r="F183" s="7" t="s">
        <v>754</v>
      </c>
      <c r="G183" s="7" t="s">
        <v>755</v>
      </c>
      <c r="H183" s="7" t="s">
        <v>756</v>
      </c>
      <c r="I183" s="7" t="s">
        <v>757</v>
      </c>
      <c r="J183" s="7" t="s">
        <v>25</v>
      </c>
      <c r="K183" s="7" t="s">
        <v>170</v>
      </c>
      <c r="L183" s="10">
        <v>869.13</v>
      </c>
      <c r="M183" s="10">
        <v>0</v>
      </c>
      <c r="N183" s="10">
        <f>+L183-M183</f>
        <v>869.13</v>
      </c>
      <c r="O183" s="10">
        <v>0</v>
      </c>
      <c r="P183" s="10">
        <f>+L183-O183</f>
        <v>869.13</v>
      </c>
      <c r="Q183" s="10">
        <v>869.13</v>
      </c>
      <c r="R183" s="7" t="s">
        <v>27</v>
      </c>
      <c r="S183" t="s">
        <v>396</v>
      </c>
    </row>
    <row r="184" spans="1:19" hidden="1">
      <c r="A184" s="7" t="s">
        <v>29</v>
      </c>
      <c r="B184" s="8">
        <v>20926</v>
      </c>
      <c r="C184" s="9">
        <v>46055.67779228009</v>
      </c>
      <c r="D184" s="9">
        <v>46055</v>
      </c>
      <c r="E184" s="9">
        <v>46055</v>
      </c>
      <c r="F184" s="7" t="s">
        <v>758</v>
      </c>
      <c r="G184" s="7" t="s">
        <v>759</v>
      </c>
      <c r="H184" s="7" t="s">
        <v>760</v>
      </c>
      <c r="I184" s="7" t="s">
        <v>761</v>
      </c>
      <c r="J184" s="7" t="s">
        <v>176</v>
      </c>
      <c r="K184" s="7" t="s">
        <v>360</v>
      </c>
      <c r="L184" s="10">
        <v>1415</v>
      </c>
      <c r="M184" s="10">
        <v>0</v>
      </c>
      <c r="N184" s="10">
        <f>+L184-M184</f>
        <v>1415</v>
      </c>
      <c r="O184" s="10">
        <v>552.98</v>
      </c>
      <c r="P184" s="10">
        <f>+L184-O184</f>
        <v>862.02</v>
      </c>
      <c r="Q184" s="10">
        <v>1415</v>
      </c>
      <c r="R184" s="7" t="s">
        <v>27</v>
      </c>
    </row>
    <row r="185" spans="1:19">
      <c r="A185" s="7" t="s">
        <v>29</v>
      </c>
      <c r="B185" s="8">
        <v>20880</v>
      </c>
      <c r="C185" s="9">
        <v>46041.697876423612</v>
      </c>
      <c r="D185" s="9">
        <v>46044</v>
      </c>
      <c r="E185" s="9">
        <v>46041</v>
      </c>
      <c r="F185" s="7" t="s">
        <v>762</v>
      </c>
      <c r="G185" s="7" t="s">
        <v>763</v>
      </c>
      <c r="H185" s="7" t="s">
        <v>764</v>
      </c>
      <c r="I185" s="7" t="s">
        <v>765</v>
      </c>
      <c r="J185" s="7" t="s">
        <v>25</v>
      </c>
      <c r="K185" s="7" t="s">
        <v>170</v>
      </c>
      <c r="L185" s="10">
        <v>858.8</v>
      </c>
      <c r="M185" s="10">
        <v>0</v>
      </c>
      <c r="N185" s="10">
        <f>+L185-M185</f>
        <v>858.8</v>
      </c>
      <c r="O185" s="10">
        <v>0</v>
      </c>
      <c r="P185" s="10">
        <f>+L185-O185</f>
        <v>858.8</v>
      </c>
      <c r="Q185" s="10">
        <v>0</v>
      </c>
      <c r="R185" s="7" t="s">
        <v>27</v>
      </c>
      <c r="S185" t="s">
        <v>396</v>
      </c>
    </row>
    <row r="186" spans="1:19">
      <c r="A186" s="7" t="s">
        <v>29</v>
      </c>
      <c r="B186" s="8">
        <v>20825</v>
      </c>
      <c r="C186" s="9">
        <v>46028.390727893515</v>
      </c>
      <c r="D186" s="9">
        <v>46029</v>
      </c>
      <c r="E186" s="9">
        <v>46119</v>
      </c>
      <c r="F186" s="7" t="s">
        <v>766</v>
      </c>
      <c r="G186" s="7" t="s">
        <v>767</v>
      </c>
      <c r="H186" s="7" t="s">
        <v>53</v>
      </c>
      <c r="I186" s="7" t="s">
        <v>54</v>
      </c>
      <c r="J186" s="7" t="s">
        <v>25</v>
      </c>
      <c r="K186" s="7" t="s">
        <v>55</v>
      </c>
      <c r="L186" s="10">
        <v>837.9</v>
      </c>
      <c r="M186" s="10">
        <v>0</v>
      </c>
      <c r="N186" s="10">
        <f>+L186-M186</f>
        <v>837.9</v>
      </c>
      <c r="O186" s="10">
        <v>0</v>
      </c>
      <c r="P186" s="10">
        <f>+L186-O186</f>
        <v>837.9</v>
      </c>
      <c r="Q186" s="10">
        <v>0</v>
      </c>
      <c r="R186" s="7" t="s">
        <v>27</v>
      </c>
      <c r="S186" t="s">
        <v>396</v>
      </c>
    </row>
    <row r="187" spans="1:19">
      <c r="A187" s="7" t="s">
        <v>29</v>
      </c>
      <c r="B187" s="8">
        <v>20669</v>
      </c>
      <c r="C187" s="9">
        <v>45965.738159722219</v>
      </c>
      <c r="D187" s="9">
        <v>46014</v>
      </c>
      <c r="E187" s="9">
        <v>45959</v>
      </c>
      <c r="F187" s="7" t="s">
        <v>768</v>
      </c>
      <c r="G187" s="7" t="s">
        <v>769</v>
      </c>
      <c r="H187" s="7" t="s">
        <v>770</v>
      </c>
      <c r="I187" s="7" t="s">
        <v>771</v>
      </c>
      <c r="J187" s="7" t="s">
        <v>25</v>
      </c>
      <c r="K187" s="7" t="s">
        <v>26</v>
      </c>
      <c r="L187" s="10">
        <v>819.14</v>
      </c>
      <c r="M187" s="10">
        <v>409.57</v>
      </c>
      <c r="N187" s="10">
        <f>+L187-M187</f>
        <v>409.57</v>
      </c>
      <c r="O187" s="10">
        <v>0</v>
      </c>
      <c r="P187" s="10">
        <f>+L187-O187</f>
        <v>819.14</v>
      </c>
      <c r="Q187" s="10">
        <v>409.57</v>
      </c>
      <c r="R187" s="7" t="s">
        <v>27</v>
      </c>
      <c r="S187" t="s">
        <v>415</v>
      </c>
    </row>
    <row r="188" spans="1:19" hidden="1">
      <c r="A188" s="7" t="s">
        <v>29</v>
      </c>
      <c r="B188" s="8">
        <v>20515</v>
      </c>
      <c r="C188" s="9">
        <v>45926.634918981479</v>
      </c>
      <c r="D188" s="9">
        <v>45919</v>
      </c>
      <c r="E188" s="9">
        <v>45919</v>
      </c>
      <c r="F188" s="7" t="s">
        <v>772</v>
      </c>
      <c r="G188" s="7" t="s">
        <v>773</v>
      </c>
      <c r="H188" s="7" t="s">
        <v>774</v>
      </c>
      <c r="I188" s="7" t="s">
        <v>775</v>
      </c>
      <c r="J188" s="7" t="s">
        <v>176</v>
      </c>
      <c r="K188" s="7" t="s">
        <v>360</v>
      </c>
      <c r="L188" s="10">
        <v>797.88</v>
      </c>
      <c r="M188" s="10">
        <v>0</v>
      </c>
      <c r="N188" s="10">
        <f>+L188-M188</f>
        <v>797.88</v>
      </c>
      <c r="O188" s="10">
        <v>0</v>
      </c>
      <c r="P188" s="10">
        <f>+L188-O188</f>
        <v>797.88</v>
      </c>
      <c r="Q188" s="10">
        <v>797.88</v>
      </c>
      <c r="R188" s="7" t="s">
        <v>27</v>
      </c>
    </row>
    <row r="189" spans="1:19" hidden="1">
      <c r="A189" s="7" t="s">
        <v>29</v>
      </c>
      <c r="B189" s="8">
        <v>4346</v>
      </c>
      <c r="C189" s="9">
        <v>46057.596562499995</v>
      </c>
      <c r="D189" s="9">
        <v>46080</v>
      </c>
      <c r="E189" s="9">
        <v>46080</v>
      </c>
      <c r="F189" s="7" t="s">
        <v>776</v>
      </c>
      <c r="G189" s="7" t="s">
        <v>777</v>
      </c>
      <c r="H189" s="7" t="s">
        <v>778</v>
      </c>
      <c r="I189" s="7" t="s">
        <v>285</v>
      </c>
      <c r="J189" s="7" t="s">
        <v>25</v>
      </c>
      <c r="K189" s="7" t="s">
        <v>86</v>
      </c>
      <c r="L189" s="10">
        <v>783.09</v>
      </c>
      <c r="M189" s="10">
        <v>0</v>
      </c>
      <c r="N189" s="15">
        <f>+L189-M189</f>
        <v>783.09</v>
      </c>
      <c r="O189" s="15">
        <v>0</v>
      </c>
      <c r="P189" s="15">
        <f>+L189-O189</f>
        <v>783.09</v>
      </c>
      <c r="Q189" s="10">
        <v>0</v>
      </c>
      <c r="R189" s="7" t="s">
        <v>87</v>
      </c>
    </row>
    <row r="190" spans="1:19" hidden="1">
      <c r="A190" s="7" t="s">
        <v>29</v>
      </c>
      <c r="B190" s="8">
        <v>4347</v>
      </c>
      <c r="C190" s="9">
        <v>46057.606725034719</v>
      </c>
      <c r="D190" s="9">
        <v>46079</v>
      </c>
      <c r="E190" s="9">
        <v>46072</v>
      </c>
      <c r="F190" s="7" t="s">
        <v>779</v>
      </c>
      <c r="G190" s="7" t="s">
        <v>780</v>
      </c>
      <c r="H190" s="7" t="s">
        <v>204</v>
      </c>
      <c r="I190" s="7" t="s">
        <v>205</v>
      </c>
      <c r="J190" s="7" t="s">
        <v>25</v>
      </c>
      <c r="K190" s="7" t="s">
        <v>206</v>
      </c>
      <c r="L190" s="10">
        <v>778.71</v>
      </c>
      <c r="M190" s="10">
        <v>0</v>
      </c>
      <c r="N190" s="15">
        <f>+L190-M190</f>
        <v>778.71</v>
      </c>
      <c r="O190" s="15">
        <v>0</v>
      </c>
      <c r="P190" s="15">
        <f>+L190-O190</f>
        <v>778.71</v>
      </c>
      <c r="Q190" s="10">
        <v>0</v>
      </c>
      <c r="R190" s="7" t="s">
        <v>87</v>
      </c>
      <c r="S190" t="s">
        <v>781</v>
      </c>
    </row>
    <row r="191" spans="1:19">
      <c r="A191" s="7" t="s">
        <v>29</v>
      </c>
      <c r="B191" s="8">
        <v>20844</v>
      </c>
      <c r="C191" s="9">
        <v>46030.673639849534</v>
      </c>
      <c r="D191" s="9">
        <v>46052</v>
      </c>
      <c r="E191" s="9">
        <v>46052</v>
      </c>
      <c r="F191" s="7" t="s">
        <v>782</v>
      </c>
      <c r="G191" s="7" t="s">
        <v>349</v>
      </c>
      <c r="H191" s="7" t="s">
        <v>783</v>
      </c>
      <c r="I191" s="7" t="s">
        <v>784</v>
      </c>
      <c r="J191" s="7" t="s">
        <v>25</v>
      </c>
      <c r="K191" s="7" t="s">
        <v>55</v>
      </c>
      <c r="L191" s="10">
        <v>750.32</v>
      </c>
      <c r="M191" s="10">
        <v>0</v>
      </c>
      <c r="N191" s="10">
        <f>+L191-M191</f>
        <v>750.32</v>
      </c>
      <c r="O191" s="10">
        <v>0</v>
      </c>
      <c r="P191" s="10">
        <f>+L191-O191</f>
        <v>750.32</v>
      </c>
      <c r="Q191" s="10">
        <v>0</v>
      </c>
      <c r="R191" s="7" t="s">
        <v>27</v>
      </c>
    </row>
    <row r="192" spans="1:19">
      <c r="A192" s="7" t="s">
        <v>29</v>
      </c>
      <c r="B192" s="8">
        <v>20761</v>
      </c>
      <c r="C192" s="9">
        <v>45999.431830358793</v>
      </c>
      <c r="D192" s="9">
        <v>45989</v>
      </c>
      <c r="E192" s="9">
        <v>46020</v>
      </c>
      <c r="F192" s="7" t="s">
        <v>785</v>
      </c>
      <c r="G192" s="7" t="s">
        <v>786</v>
      </c>
      <c r="H192" s="7" t="s">
        <v>787</v>
      </c>
      <c r="I192" s="7" t="s">
        <v>788</v>
      </c>
      <c r="J192" s="7" t="s">
        <v>25</v>
      </c>
      <c r="K192" s="7" t="s">
        <v>55</v>
      </c>
      <c r="L192" s="10">
        <v>740.24</v>
      </c>
      <c r="M192" s="10">
        <v>0</v>
      </c>
      <c r="N192" s="10">
        <f>+L192-M192</f>
        <v>740.24</v>
      </c>
      <c r="O192" s="10">
        <v>0</v>
      </c>
      <c r="P192" s="10">
        <f>+L192-O192</f>
        <v>740.24</v>
      </c>
      <c r="Q192" s="10">
        <v>0</v>
      </c>
      <c r="R192" s="7" t="s">
        <v>27</v>
      </c>
    </row>
    <row r="193" spans="1:19">
      <c r="A193" s="7" t="s">
        <v>29</v>
      </c>
      <c r="B193" s="8">
        <v>20876</v>
      </c>
      <c r="C193" s="9">
        <v>46041.590071678242</v>
      </c>
      <c r="D193" s="9">
        <v>46044</v>
      </c>
      <c r="E193" s="9">
        <v>46044</v>
      </c>
      <c r="F193" s="7" t="s">
        <v>789</v>
      </c>
      <c r="G193" s="7" t="s">
        <v>790</v>
      </c>
      <c r="H193" s="7" t="s">
        <v>335</v>
      </c>
      <c r="I193" s="7" t="s">
        <v>336</v>
      </c>
      <c r="J193" s="7" t="s">
        <v>25</v>
      </c>
      <c r="K193" s="7" t="s">
        <v>55</v>
      </c>
      <c r="L193" s="10">
        <v>716.56</v>
      </c>
      <c r="M193" s="10">
        <v>0</v>
      </c>
      <c r="N193" s="10">
        <f>+L193-M193</f>
        <v>716.56</v>
      </c>
      <c r="O193" s="10">
        <v>0</v>
      </c>
      <c r="P193" s="10">
        <f>+L193-O193</f>
        <v>716.56</v>
      </c>
      <c r="Q193" s="10">
        <v>0</v>
      </c>
      <c r="R193" s="7" t="s">
        <v>27</v>
      </c>
    </row>
    <row r="194" spans="1:19" hidden="1">
      <c r="A194" s="7" t="s">
        <v>29</v>
      </c>
      <c r="B194" s="8">
        <v>20343</v>
      </c>
      <c r="C194" s="9">
        <v>45897.43761296296</v>
      </c>
      <c r="D194" s="9">
        <v>45894</v>
      </c>
      <c r="E194" s="9">
        <v>45894</v>
      </c>
      <c r="F194" s="7" t="s">
        <v>791</v>
      </c>
      <c r="G194" s="7" t="s">
        <v>792</v>
      </c>
      <c r="H194" s="7" t="s">
        <v>793</v>
      </c>
      <c r="I194" s="7" t="s">
        <v>794</v>
      </c>
      <c r="J194" s="7" t="s">
        <v>176</v>
      </c>
      <c r="K194" s="7" t="s">
        <v>360</v>
      </c>
      <c r="L194" s="10">
        <v>706</v>
      </c>
      <c r="M194" s="10">
        <v>0</v>
      </c>
      <c r="N194" s="10">
        <f>+L194-M194</f>
        <v>706</v>
      </c>
      <c r="O194" s="10">
        <v>0</v>
      </c>
      <c r="P194" s="10">
        <f>+L194-O194</f>
        <v>706</v>
      </c>
      <c r="Q194" s="10">
        <v>706</v>
      </c>
      <c r="R194" s="7" t="s">
        <v>27</v>
      </c>
    </row>
    <row r="195" spans="1:19">
      <c r="A195" s="7" t="s">
        <v>29</v>
      </c>
      <c r="B195" s="8">
        <v>20606</v>
      </c>
      <c r="C195" s="9">
        <v>45951.711362037036</v>
      </c>
      <c r="D195" s="9">
        <v>45954</v>
      </c>
      <c r="E195" s="9">
        <v>46015</v>
      </c>
      <c r="F195" s="7" t="s">
        <v>795</v>
      </c>
      <c r="G195" s="7" t="s">
        <v>796</v>
      </c>
      <c r="H195" s="7" t="s">
        <v>797</v>
      </c>
      <c r="I195" s="7" t="s">
        <v>798</v>
      </c>
      <c r="J195" s="7" t="s">
        <v>25</v>
      </c>
      <c r="K195" s="7" t="s">
        <v>525</v>
      </c>
      <c r="L195" s="10">
        <v>678</v>
      </c>
      <c r="M195" s="10">
        <v>0</v>
      </c>
      <c r="N195" s="10">
        <f>+L195-M195</f>
        <v>678</v>
      </c>
      <c r="O195" s="10">
        <v>0</v>
      </c>
      <c r="P195" s="10">
        <f>+L195-O195</f>
        <v>678</v>
      </c>
      <c r="Q195" s="10">
        <v>0</v>
      </c>
      <c r="R195" s="7" t="s">
        <v>27</v>
      </c>
    </row>
    <row r="196" spans="1:19" hidden="1">
      <c r="A196" s="7" t="s">
        <v>29</v>
      </c>
      <c r="B196" s="8">
        <v>20859</v>
      </c>
      <c r="C196" s="9">
        <v>46035.616122766201</v>
      </c>
      <c r="D196" s="9">
        <v>45979</v>
      </c>
      <c r="E196" s="9">
        <v>45951</v>
      </c>
      <c r="F196" s="7" t="s">
        <v>799</v>
      </c>
      <c r="G196" s="7" t="s">
        <v>800</v>
      </c>
      <c r="H196" s="7" t="s">
        <v>582</v>
      </c>
      <c r="I196" s="7" t="s">
        <v>583</v>
      </c>
      <c r="J196" s="7" t="s">
        <v>176</v>
      </c>
      <c r="K196" s="7" t="s">
        <v>584</v>
      </c>
      <c r="L196" s="10">
        <v>673</v>
      </c>
      <c r="M196" s="10">
        <v>0</v>
      </c>
      <c r="N196" s="10">
        <f>+L196-M196</f>
        <v>673</v>
      </c>
      <c r="O196" s="10">
        <v>0</v>
      </c>
      <c r="P196" s="10">
        <f>+L196-O196</f>
        <v>673</v>
      </c>
      <c r="Q196" s="10">
        <v>673</v>
      </c>
      <c r="R196" s="7" t="s">
        <v>27</v>
      </c>
    </row>
    <row r="197" spans="1:19" hidden="1">
      <c r="A197" s="7" t="s">
        <v>29</v>
      </c>
      <c r="B197" s="8">
        <v>19601</v>
      </c>
      <c r="C197" s="9">
        <v>45749.601018518515</v>
      </c>
      <c r="D197" s="9">
        <v>45754</v>
      </c>
      <c r="E197" s="9">
        <v>45747</v>
      </c>
      <c r="F197" s="7" t="s">
        <v>801</v>
      </c>
      <c r="G197" s="7" t="s">
        <v>802</v>
      </c>
      <c r="H197" s="7" t="s">
        <v>803</v>
      </c>
      <c r="I197" s="7" t="s">
        <v>804</v>
      </c>
      <c r="J197" s="7" t="s">
        <v>176</v>
      </c>
      <c r="K197" s="7" t="s">
        <v>569</v>
      </c>
      <c r="L197" s="10">
        <v>620</v>
      </c>
      <c r="M197" s="10">
        <v>0</v>
      </c>
      <c r="N197" s="10">
        <f>+L197-M197</f>
        <v>620</v>
      </c>
      <c r="O197" s="10">
        <v>0</v>
      </c>
      <c r="P197" s="10">
        <f>+L197-O197</f>
        <v>620</v>
      </c>
      <c r="Q197" s="10">
        <v>620</v>
      </c>
      <c r="R197" s="7" t="s">
        <v>27</v>
      </c>
    </row>
    <row r="198" spans="1:19" hidden="1">
      <c r="A198" s="7" t="s">
        <v>29</v>
      </c>
      <c r="B198" s="8">
        <v>20263</v>
      </c>
      <c r="C198" s="9">
        <v>45879.883437349534</v>
      </c>
      <c r="D198" s="9">
        <v>45673</v>
      </c>
      <c r="E198" s="9" t="s">
        <v>165</v>
      </c>
      <c r="F198" s="7" t="s">
        <v>805</v>
      </c>
      <c r="G198" s="7" t="s">
        <v>806</v>
      </c>
      <c r="H198" s="7" t="s">
        <v>807</v>
      </c>
      <c r="I198" s="7" t="s">
        <v>808</v>
      </c>
      <c r="J198" s="7" t="s">
        <v>176</v>
      </c>
      <c r="K198" s="7" t="s">
        <v>584</v>
      </c>
      <c r="L198" s="10">
        <v>620</v>
      </c>
      <c r="M198" s="10">
        <v>0</v>
      </c>
      <c r="N198" s="10">
        <f>+L198-M198</f>
        <v>620</v>
      </c>
      <c r="O198" s="10">
        <v>0</v>
      </c>
      <c r="P198" s="10">
        <f>+L198-O198</f>
        <v>620</v>
      </c>
      <c r="Q198" s="10">
        <v>0</v>
      </c>
      <c r="R198" s="7" t="s">
        <v>27</v>
      </c>
    </row>
    <row r="199" spans="1:19" hidden="1">
      <c r="A199" s="7" t="s">
        <v>29</v>
      </c>
      <c r="B199" s="8">
        <v>20080</v>
      </c>
      <c r="C199" s="9">
        <v>45840.587951388887</v>
      </c>
      <c r="D199" s="9">
        <v>45840</v>
      </c>
      <c r="E199" s="9">
        <v>45931</v>
      </c>
      <c r="F199" s="7" t="s">
        <v>809</v>
      </c>
      <c r="G199" s="7" t="s">
        <v>810</v>
      </c>
      <c r="H199" s="7" t="s">
        <v>811</v>
      </c>
      <c r="I199" s="7" t="s">
        <v>812</v>
      </c>
      <c r="J199" s="7" t="s">
        <v>34</v>
      </c>
      <c r="K199" s="7" t="s">
        <v>190</v>
      </c>
      <c r="L199" s="10">
        <v>21562.14</v>
      </c>
      <c r="M199" s="10">
        <v>16552.939999999999</v>
      </c>
      <c r="N199" s="10">
        <f>+L199-M199</f>
        <v>5009.2000000000007</v>
      </c>
      <c r="O199" s="10">
        <v>20945.52</v>
      </c>
      <c r="P199" s="10">
        <f>+L199-O199</f>
        <v>616.61999999999898</v>
      </c>
      <c r="Q199" s="10">
        <v>14496.92</v>
      </c>
      <c r="R199" s="7" t="s">
        <v>27</v>
      </c>
    </row>
    <row r="200" spans="1:19" hidden="1">
      <c r="A200" s="7" t="s">
        <v>29</v>
      </c>
      <c r="B200" s="8">
        <v>20371</v>
      </c>
      <c r="C200" s="9">
        <v>45901.475960648146</v>
      </c>
      <c r="D200" s="9">
        <v>45901</v>
      </c>
      <c r="E200" s="9">
        <v>45931</v>
      </c>
      <c r="F200" s="7" t="s">
        <v>813</v>
      </c>
      <c r="G200" s="7" t="s">
        <v>814</v>
      </c>
      <c r="H200" s="7" t="s">
        <v>302</v>
      </c>
      <c r="I200" s="7" t="s">
        <v>303</v>
      </c>
      <c r="J200" s="7" t="s">
        <v>34</v>
      </c>
      <c r="K200" s="7" t="s">
        <v>35</v>
      </c>
      <c r="L200" s="10">
        <v>582.64</v>
      </c>
      <c r="M200" s="10">
        <v>0</v>
      </c>
      <c r="N200" s="10">
        <f>+L200-M200</f>
        <v>582.64</v>
      </c>
      <c r="O200" s="10">
        <v>0</v>
      </c>
      <c r="P200" s="10">
        <f>+L200-O200</f>
        <v>582.64</v>
      </c>
      <c r="Q200" s="10">
        <v>0</v>
      </c>
      <c r="R200" s="7" t="s">
        <v>27</v>
      </c>
    </row>
    <row r="201" spans="1:19" hidden="1">
      <c r="A201" s="7" t="s">
        <v>29</v>
      </c>
      <c r="B201" s="8">
        <v>19676</v>
      </c>
      <c r="C201" s="9">
        <v>45758.689398148148</v>
      </c>
      <c r="D201" s="9">
        <v>45836</v>
      </c>
      <c r="E201" s="9">
        <v>45789</v>
      </c>
      <c r="F201" s="7" t="s">
        <v>815</v>
      </c>
      <c r="G201" s="7" t="s">
        <v>816</v>
      </c>
      <c r="H201" s="7" t="s">
        <v>817</v>
      </c>
      <c r="I201" s="7" t="s">
        <v>818</v>
      </c>
      <c r="J201" s="7" t="s">
        <v>176</v>
      </c>
      <c r="K201" s="7" t="s">
        <v>569</v>
      </c>
      <c r="L201" s="10">
        <v>564</v>
      </c>
      <c r="M201" s="10">
        <v>0</v>
      </c>
      <c r="N201" s="10">
        <f>+L201-M201</f>
        <v>564</v>
      </c>
      <c r="O201" s="10">
        <v>0</v>
      </c>
      <c r="P201" s="10">
        <f>+L201-O201</f>
        <v>564</v>
      </c>
      <c r="Q201" s="10">
        <v>0</v>
      </c>
      <c r="R201" s="7" t="s">
        <v>27</v>
      </c>
    </row>
    <row r="202" spans="1:19">
      <c r="A202" s="7" t="s">
        <v>29</v>
      </c>
      <c r="B202" s="8">
        <v>20875</v>
      </c>
      <c r="C202" s="9">
        <v>46041.589655671298</v>
      </c>
      <c r="D202" s="9">
        <v>46053</v>
      </c>
      <c r="E202" s="9">
        <v>46038</v>
      </c>
      <c r="F202" s="7" t="s">
        <v>819</v>
      </c>
      <c r="G202" s="7" t="s">
        <v>820</v>
      </c>
      <c r="H202" s="7" t="s">
        <v>821</v>
      </c>
      <c r="I202" s="7" t="s">
        <v>822</v>
      </c>
      <c r="J202" s="7" t="s">
        <v>25</v>
      </c>
      <c r="K202" s="7" t="s">
        <v>407</v>
      </c>
      <c r="L202" s="10">
        <v>554.83000000000004</v>
      </c>
      <c r="M202" s="10">
        <v>0</v>
      </c>
      <c r="N202" s="10">
        <f>+L202-M202</f>
        <v>554.83000000000004</v>
      </c>
      <c r="O202" s="10">
        <v>0</v>
      </c>
      <c r="P202" s="10">
        <f>+L202-O202</f>
        <v>554.83000000000004</v>
      </c>
      <c r="Q202" s="10">
        <v>0</v>
      </c>
      <c r="R202" s="7" t="s">
        <v>27</v>
      </c>
      <c r="S202" t="s">
        <v>396</v>
      </c>
    </row>
    <row r="203" spans="1:19" hidden="1">
      <c r="A203" s="7" t="s">
        <v>29</v>
      </c>
      <c r="B203" s="8">
        <v>19316</v>
      </c>
      <c r="C203" s="9">
        <v>45665.66809594907</v>
      </c>
      <c r="D203" s="9">
        <v>45639</v>
      </c>
      <c r="E203" s="9">
        <v>45583</v>
      </c>
      <c r="F203" s="7" t="s">
        <v>823</v>
      </c>
      <c r="G203" s="7" t="s">
        <v>824</v>
      </c>
      <c r="H203" s="7" t="s">
        <v>825</v>
      </c>
      <c r="I203" s="7" t="s">
        <v>826</v>
      </c>
      <c r="J203" s="7" t="s">
        <v>176</v>
      </c>
      <c r="K203" s="7" t="s">
        <v>317</v>
      </c>
      <c r="L203" s="10">
        <v>3368</v>
      </c>
      <c r="M203" s="10">
        <v>2814.52</v>
      </c>
      <c r="N203" s="10">
        <f>+L203-M203</f>
        <v>553.48</v>
      </c>
      <c r="O203" s="10">
        <v>2814.52</v>
      </c>
      <c r="P203" s="10">
        <f>+L203-O203</f>
        <v>553.48</v>
      </c>
      <c r="Q203" s="10">
        <v>513.48</v>
      </c>
      <c r="R203" s="7" t="s">
        <v>27</v>
      </c>
    </row>
    <row r="204" spans="1:19" hidden="1">
      <c r="A204" s="7" t="s">
        <v>29</v>
      </c>
      <c r="B204" s="8">
        <v>20516</v>
      </c>
      <c r="C204" s="9">
        <v>45926.635140937498</v>
      </c>
      <c r="D204" s="9">
        <v>45919</v>
      </c>
      <c r="E204" s="9">
        <v>45919</v>
      </c>
      <c r="F204" s="7" t="s">
        <v>772</v>
      </c>
      <c r="G204" s="7" t="s">
        <v>827</v>
      </c>
      <c r="H204" s="7" t="s">
        <v>828</v>
      </c>
      <c r="I204" s="7" t="s">
        <v>775</v>
      </c>
      <c r="J204" s="7" t="s">
        <v>176</v>
      </c>
      <c r="K204" s="7" t="s">
        <v>360</v>
      </c>
      <c r="L204" s="10">
        <v>541.12</v>
      </c>
      <c r="M204" s="10">
        <v>0</v>
      </c>
      <c r="N204" s="10">
        <f>+L204-M204</f>
        <v>541.12</v>
      </c>
      <c r="O204" s="10">
        <v>0</v>
      </c>
      <c r="P204" s="10">
        <f>+L204-O204</f>
        <v>541.12</v>
      </c>
      <c r="Q204" s="10">
        <v>541.12</v>
      </c>
      <c r="R204" s="7" t="s">
        <v>27</v>
      </c>
    </row>
    <row r="205" spans="1:19" hidden="1">
      <c r="A205" s="7" t="s">
        <v>29</v>
      </c>
      <c r="B205" s="8">
        <v>20920</v>
      </c>
      <c r="C205" s="9">
        <v>46050.696956018517</v>
      </c>
      <c r="D205" s="9">
        <v>45925</v>
      </c>
      <c r="E205" s="9">
        <v>45841</v>
      </c>
      <c r="F205" s="7" t="s">
        <v>829</v>
      </c>
      <c r="G205" s="7" t="s">
        <v>830</v>
      </c>
      <c r="H205" s="7" t="s">
        <v>831</v>
      </c>
      <c r="I205" s="7" t="s">
        <v>832</v>
      </c>
      <c r="J205" s="7" t="s">
        <v>176</v>
      </c>
      <c r="K205" s="7" t="s">
        <v>317</v>
      </c>
      <c r="L205" s="10">
        <v>7909</v>
      </c>
      <c r="M205" s="10">
        <v>7420</v>
      </c>
      <c r="N205" s="10">
        <f>+L205-M205</f>
        <v>489</v>
      </c>
      <c r="O205" s="10">
        <v>7420</v>
      </c>
      <c r="P205" s="10">
        <f>+L205-O205</f>
        <v>489</v>
      </c>
      <c r="Q205" s="10">
        <v>489</v>
      </c>
      <c r="R205" s="7" t="s">
        <v>27</v>
      </c>
    </row>
    <row r="206" spans="1:19" hidden="1">
      <c r="A206" s="7" t="s">
        <v>29</v>
      </c>
      <c r="B206" s="8">
        <v>19534</v>
      </c>
      <c r="C206" s="9">
        <v>45734.383402777778</v>
      </c>
      <c r="D206" s="9">
        <v>45759</v>
      </c>
      <c r="E206" s="9">
        <v>45708</v>
      </c>
      <c r="F206" s="7" t="s">
        <v>833</v>
      </c>
      <c r="G206" s="7" t="s">
        <v>834</v>
      </c>
      <c r="H206" s="7" t="s">
        <v>835</v>
      </c>
      <c r="I206" s="7" t="s">
        <v>836</v>
      </c>
      <c r="J206" s="7" t="s">
        <v>176</v>
      </c>
      <c r="K206" s="7" t="s">
        <v>584</v>
      </c>
      <c r="L206" s="10">
        <v>11423</v>
      </c>
      <c r="M206" s="10">
        <v>10935.06</v>
      </c>
      <c r="N206" s="10">
        <f>+L206-M206</f>
        <v>487.94000000000051</v>
      </c>
      <c r="O206" s="10">
        <v>10935.06</v>
      </c>
      <c r="P206" s="10">
        <f>+L206-O206</f>
        <v>487.94000000000051</v>
      </c>
      <c r="Q206" s="10">
        <v>0</v>
      </c>
      <c r="R206" s="7" t="s">
        <v>27</v>
      </c>
    </row>
    <row r="207" spans="1:19" hidden="1">
      <c r="A207" s="7" t="s">
        <v>29</v>
      </c>
      <c r="B207" s="8">
        <v>20208</v>
      </c>
      <c r="C207" s="9">
        <v>45869.44431712963</v>
      </c>
      <c r="D207" s="9">
        <v>45869</v>
      </c>
      <c r="E207" s="9">
        <v>45905</v>
      </c>
      <c r="F207" s="7" t="s">
        <v>837</v>
      </c>
      <c r="G207" s="7" t="s">
        <v>838</v>
      </c>
      <c r="H207" s="7" t="s">
        <v>839</v>
      </c>
      <c r="I207" s="7" t="s">
        <v>840</v>
      </c>
      <c r="J207" s="7" t="s">
        <v>34</v>
      </c>
      <c r="K207" s="7" t="s">
        <v>35</v>
      </c>
      <c r="L207" s="10">
        <v>485.95</v>
      </c>
      <c r="M207" s="10">
        <v>0</v>
      </c>
      <c r="N207" s="10">
        <f>+L207-M207</f>
        <v>485.95</v>
      </c>
      <c r="O207" s="10">
        <v>0</v>
      </c>
      <c r="P207" s="10">
        <f>+L207-O207</f>
        <v>485.95</v>
      </c>
      <c r="Q207" s="10">
        <v>0</v>
      </c>
      <c r="R207" s="7" t="s">
        <v>27</v>
      </c>
    </row>
    <row r="208" spans="1:19" hidden="1">
      <c r="A208" s="7" t="s">
        <v>29</v>
      </c>
      <c r="B208" s="8">
        <v>20830</v>
      </c>
      <c r="C208" s="9">
        <v>46028.658658912034</v>
      </c>
      <c r="D208" s="9">
        <v>46028</v>
      </c>
      <c r="E208" s="9">
        <v>46028</v>
      </c>
      <c r="F208" s="7" t="s">
        <v>841</v>
      </c>
      <c r="G208" s="7" t="s">
        <v>319</v>
      </c>
      <c r="H208" s="7" t="s">
        <v>842</v>
      </c>
      <c r="I208" s="7" t="s">
        <v>843</v>
      </c>
      <c r="J208" s="7" t="s">
        <v>176</v>
      </c>
      <c r="K208" s="7" t="s">
        <v>360</v>
      </c>
      <c r="L208" s="10">
        <v>475</v>
      </c>
      <c r="M208" s="10">
        <v>0</v>
      </c>
      <c r="N208" s="10">
        <f>+L208-M208</f>
        <v>475</v>
      </c>
      <c r="O208" s="10">
        <v>0</v>
      </c>
      <c r="P208" s="10">
        <f>+L208-O208</f>
        <v>475</v>
      </c>
      <c r="Q208" s="10">
        <v>0</v>
      </c>
      <c r="R208" s="7" t="s">
        <v>27</v>
      </c>
    </row>
    <row r="209" spans="1:19" hidden="1">
      <c r="A209" s="7" t="s">
        <v>29</v>
      </c>
      <c r="B209" s="8">
        <v>19396</v>
      </c>
      <c r="C209" s="9">
        <v>45695.647576701384</v>
      </c>
      <c r="D209" s="9">
        <v>45453</v>
      </c>
      <c r="E209" s="9">
        <v>45454</v>
      </c>
      <c r="F209" s="7" t="s">
        <v>844</v>
      </c>
      <c r="G209" s="7" t="s">
        <v>845</v>
      </c>
      <c r="H209" s="7" t="s">
        <v>846</v>
      </c>
      <c r="I209" s="7" t="s">
        <v>847</v>
      </c>
      <c r="J209" s="7" t="s">
        <v>176</v>
      </c>
      <c r="K209" s="7" t="s">
        <v>494</v>
      </c>
      <c r="L209" s="10">
        <v>469</v>
      </c>
      <c r="M209" s="10">
        <v>0</v>
      </c>
      <c r="N209" s="10">
        <f>+L209-M209</f>
        <v>469</v>
      </c>
      <c r="O209" s="10">
        <v>0</v>
      </c>
      <c r="P209" s="10">
        <f>+L209-O209</f>
        <v>469</v>
      </c>
      <c r="Q209" s="10">
        <v>469</v>
      </c>
      <c r="R209" s="7" t="s">
        <v>27</v>
      </c>
    </row>
    <row r="210" spans="1:19" hidden="1">
      <c r="A210" s="7" t="s">
        <v>29</v>
      </c>
      <c r="B210" s="8">
        <v>19674</v>
      </c>
      <c r="C210" s="9">
        <v>45758.68513888889</v>
      </c>
      <c r="D210" s="9">
        <v>45836</v>
      </c>
      <c r="E210" s="9">
        <v>45789</v>
      </c>
      <c r="F210" s="7" t="s">
        <v>848</v>
      </c>
      <c r="G210" s="7" t="s">
        <v>849</v>
      </c>
      <c r="H210" s="7" t="s">
        <v>817</v>
      </c>
      <c r="I210" s="7" t="s">
        <v>818</v>
      </c>
      <c r="J210" s="7" t="s">
        <v>176</v>
      </c>
      <c r="K210" s="7" t="s">
        <v>569</v>
      </c>
      <c r="L210" s="10">
        <v>458</v>
      </c>
      <c r="M210" s="10">
        <v>0</v>
      </c>
      <c r="N210" s="10">
        <f>+L210-M210</f>
        <v>458</v>
      </c>
      <c r="O210" s="10">
        <v>0</v>
      </c>
      <c r="P210" s="10">
        <f>+L210-O210</f>
        <v>458</v>
      </c>
      <c r="Q210" s="10">
        <v>0</v>
      </c>
      <c r="R210" s="7" t="s">
        <v>27</v>
      </c>
    </row>
    <row r="211" spans="1:19" hidden="1">
      <c r="A211" s="7" t="s">
        <v>29</v>
      </c>
      <c r="B211" s="8">
        <v>4341</v>
      </c>
      <c r="C211" s="9">
        <v>46051.691589120368</v>
      </c>
      <c r="D211" s="9">
        <v>46051</v>
      </c>
      <c r="E211" s="9">
        <v>46000</v>
      </c>
      <c r="F211" s="7" t="s">
        <v>850</v>
      </c>
      <c r="G211" s="7" t="s">
        <v>102</v>
      </c>
      <c r="H211" s="7" t="s">
        <v>572</v>
      </c>
      <c r="I211" s="7" t="s">
        <v>573</v>
      </c>
      <c r="J211" s="7" t="s">
        <v>25</v>
      </c>
      <c r="K211" s="7" t="s">
        <v>206</v>
      </c>
      <c r="L211" s="10">
        <v>4833.74</v>
      </c>
      <c r="M211" s="10">
        <v>0</v>
      </c>
      <c r="N211" s="15">
        <f>+L211-M211</f>
        <v>4833.74</v>
      </c>
      <c r="O211" s="15">
        <v>4383.6899999999996</v>
      </c>
      <c r="P211" s="15">
        <f>+L211-O211</f>
        <v>450.05000000000018</v>
      </c>
      <c r="Q211" s="10">
        <v>0</v>
      </c>
      <c r="R211" s="7" t="s">
        <v>87</v>
      </c>
      <c r="S211" t="s">
        <v>851</v>
      </c>
    </row>
    <row r="212" spans="1:19">
      <c r="A212" s="7" t="s">
        <v>29</v>
      </c>
      <c r="B212" s="8">
        <v>20836</v>
      </c>
      <c r="C212" s="9">
        <v>46029.375438229166</v>
      </c>
      <c r="D212" s="9">
        <v>46030</v>
      </c>
      <c r="E212" s="9">
        <v>46020</v>
      </c>
      <c r="F212" s="7" t="s">
        <v>852</v>
      </c>
      <c r="G212" s="7" t="s">
        <v>853</v>
      </c>
      <c r="H212" s="7" t="s">
        <v>854</v>
      </c>
      <c r="I212" s="7" t="s">
        <v>855</v>
      </c>
      <c r="J212" s="7" t="s">
        <v>25</v>
      </c>
      <c r="K212" s="7" t="s">
        <v>170</v>
      </c>
      <c r="L212" s="10">
        <v>427.14</v>
      </c>
      <c r="M212" s="10">
        <v>0</v>
      </c>
      <c r="N212" s="10">
        <f>+L212-M212</f>
        <v>427.14</v>
      </c>
      <c r="O212" s="10">
        <v>0</v>
      </c>
      <c r="P212" s="10">
        <f>+L212-O212</f>
        <v>427.14</v>
      </c>
      <c r="Q212" s="10">
        <v>427.14</v>
      </c>
      <c r="R212" s="7" t="s">
        <v>27</v>
      </c>
      <c r="S212" t="s">
        <v>396</v>
      </c>
    </row>
    <row r="213" spans="1:19" hidden="1">
      <c r="A213" s="7" t="s">
        <v>29</v>
      </c>
      <c r="B213" s="8">
        <v>19445</v>
      </c>
      <c r="C213" s="9">
        <v>45712.701307870368</v>
      </c>
      <c r="D213" s="9">
        <v>45701</v>
      </c>
      <c r="E213" s="9">
        <v>45828</v>
      </c>
      <c r="F213" s="7" t="s">
        <v>856</v>
      </c>
      <c r="G213" s="7" t="s">
        <v>857</v>
      </c>
      <c r="H213" s="7" t="s">
        <v>858</v>
      </c>
      <c r="I213" s="7" t="s">
        <v>859</v>
      </c>
      <c r="J213" s="7" t="s">
        <v>176</v>
      </c>
      <c r="K213" s="7" t="s">
        <v>317</v>
      </c>
      <c r="L213" s="10">
        <v>5755</v>
      </c>
      <c r="M213" s="10">
        <v>5330</v>
      </c>
      <c r="N213" s="10">
        <f>+L213-M213</f>
        <v>425</v>
      </c>
      <c r="O213" s="10">
        <v>5330</v>
      </c>
      <c r="P213" s="10">
        <f>+L213-O213</f>
        <v>425</v>
      </c>
      <c r="Q213" s="10">
        <v>0</v>
      </c>
      <c r="R213" s="7" t="s">
        <v>27</v>
      </c>
    </row>
    <row r="214" spans="1:19" hidden="1">
      <c r="A214" s="7" t="s">
        <v>29</v>
      </c>
      <c r="B214" s="8">
        <v>20795</v>
      </c>
      <c r="C214" s="9">
        <v>46010.71461805555</v>
      </c>
      <c r="D214" s="9">
        <v>46010</v>
      </c>
      <c r="E214" s="9">
        <v>46052</v>
      </c>
      <c r="F214" s="7" t="s">
        <v>860</v>
      </c>
      <c r="G214" s="7" t="s">
        <v>861</v>
      </c>
      <c r="H214" s="7" t="s">
        <v>254</v>
      </c>
      <c r="I214" s="7" t="s">
        <v>255</v>
      </c>
      <c r="J214" s="7" t="s">
        <v>34</v>
      </c>
      <c r="K214" s="7" t="s">
        <v>118</v>
      </c>
      <c r="L214" s="10">
        <v>423.86</v>
      </c>
      <c r="M214" s="10">
        <v>0</v>
      </c>
      <c r="N214" s="10">
        <f>+L214-M214</f>
        <v>423.86</v>
      </c>
      <c r="O214" s="10">
        <v>0</v>
      </c>
      <c r="P214" s="10">
        <f>+L214-O214</f>
        <v>423.86</v>
      </c>
      <c r="Q214" s="10">
        <v>0</v>
      </c>
      <c r="R214" s="7" t="s">
        <v>27</v>
      </c>
    </row>
    <row r="215" spans="1:19" hidden="1">
      <c r="A215" s="7" t="s">
        <v>29</v>
      </c>
      <c r="B215" s="8">
        <v>20210</v>
      </c>
      <c r="C215" s="9">
        <v>45869.626044444442</v>
      </c>
      <c r="D215" s="9">
        <v>45554</v>
      </c>
      <c r="E215" s="9">
        <v>45581</v>
      </c>
      <c r="F215" s="7" t="s">
        <v>862</v>
      </c>
      <c r="G215" s="7" t="s">
        <v>863</v>
      </c>
      <c r="H215" s="7" t="s">
        <v>864</v>
      </c>
      <c r="I215" s="7" t="s">
        <v>865</v>
      </c>
      <c r="J215" s="7" t="s">
        <v>176</v>
      </c>
      <c r="K215" s="7" t="s">
        <v>374</v>
      </c>
      <c r="L215" s="10">
        <v>2400</v>
      </c>
      <c r="M215" s="10">
        <v>2000</v>
      </c>
      <c r="N215" s="10">
        <f>+L215-M215</f>
        <v>400</v>
      </c>
      <c r="O215" s="10">
        <v>2000</v>
      </c>
      <c r="P215" s="10">
        <f>+L215-O215</f>
        <v>400</v>
      </c>
      <c r="Q215" s="10">
        <v>0</v>
      </c>
      <c r="R215" s="7" t="s">
        <v>27</v>
      </c>
    </row>
    <row r="216" spans="1:19">
      <c r="A216" s="7" t="s">
        <v>29</v>
      </c>
      <c r="B216" s="8">
        <v>20483</v>
      </c>
      <c r="C216" s="9">
        <v>45922.622642789349</v>
      </c>
      <c r="D216" s="9">
        <v>45922</v>
      </c>
      <c r="E216" s="9">
        <v>45922</v>
      </c>
      <c r="F216" s="7" t="s">
        <v>866</v>
      </c>
      <c r="G216" s="7" t="s">
        <v>867</v>
      </c>
      <c r="H216" s="7" t="s">
        <v>868</v>
      </c>
      <c r="I216" s="7" t="s">
        <v>869</v>
      </c>
      <c r="J216" s="7" t="s">
        <v>25</v>
      </c>
      <c r="K216" s="7" t="s">
        <v>26</v>
      </c>
      <c r="L216" s="10">
        <v>350</v>
      </c>
      <c r="M216" s="10">
        <v>0</v>
      </c>
      <c r="N216" s="10">
        <f>+L216-M216</f>
        <v>350</v>
      </c>
      <c r="O216" s="10">
        <v>0</v>
      </c>
      <c r="P216" s="10">
        <f>+L216-O216</f>
        <v>350</v>
      </c>
      <c r="Q216" s="10">
        <v>350</v>
      </c>
      <c r="R216" s="7" t="s">
        <v>27</v>
      </c>
    </row>
    <row r="217" spans="1:19">
      <c r="A217" s="7" t="s">
        <v>29</v>
      </c>
      <c r="B217" s="8">
        <v>20631</v>
      </c>
      <c r="C217" s="9">
        <v>45958.670199768516</v>
      </c>
      <c r="D217" s="9">
        <v>45952</v>
      </c>
      <c r="E217" s="9">
        <v>45992</v>
      </c>
      <c r="F217" s="7" t="s">
        <v>870</v>
      </c>
      <c r="G217" s="7" t="s">
        <v>871</v>
      </c>
      <c r="H217" s="7" t="s">
        <v>872</v>
      </c>
      <c r="I217" s="7" t="s">
        <v>873</v>
      </c>
      <c r="J217" s="7" t="s">
        <v>25</v>
      </c>
      <c r="K217" s="7" t="s">
        <v>55</v>
      </c>
      <c r="L217" s="10">
        <v>325</v>
      </c>
      <c r="M217" s="10">
        <v>0</v>
      </c>
      <c r="N217" s="10">
        <f>+L217-M217</f>
        <v>325</v>
      </c>
      <c r="O217" s="10">
        <v>0</v>
      </c>
      <c r="P217" s="10">
        <f>+L217-O217</f>
        <v>325</v>
      </c>
      <c r="Q217" s="10">
        <v>0</v>
      </c>
      <c r="R217" s="7" t="s">
        <v>27</v>
      </c>
    </row>
    <row r="218" spans="1:19" hidden="1">
      <c r="A218" s="7" t="s">
        <v>29</v>
      </c>
      <c r="B218" s="8">
        <v>19673</v>
      </c>
      <c r="C218" s="9">
        <v>45758.678668981476</v>
      </c>
      <c r="D218" s="9">
        <v>45836</v>
      </c>
      <c r="E218" s="9">
        <v>45789</v>
      </c>
      <c r="F218" s="7" t="s">
        <v>874</v>
      </c>
      <c r="G218" s="7" t="s">
        <v>875</v>
      </c>
      <c r="H218" s="7" t="s">
        <v>817</v>
      </c>
      <c r="I218" s="7" t="s">
        <v>818</v>
      </c>
      <c r="J218" s="7" t="s">
        <v>176</v>
      </c>
      <c r="K218" s="7" t="s">
        <v>569</v>
      </c>
      <c r="L218" s="10">
        <v>323</v>
      </c>
      <c r="M218" s="10">
        <v>0</v>
      </c>
      <c r="N218" s="10">
        <f>+L218-M218</f>
        <v>323</v>
      </c>
      <c r="O218" s="10">
        <v>0</v>
      </c>
      <c r="P218" s="10">
        <f>+L218-O218</f>
        <v>323</v>
      </c>
      <c r="Q218" s="10">
        <v>0</v>
      </c>
      <c r="R218" s="7" t="s">
        <v>27</v>
      </c>
    </row>
    <row r="219" spans="1:19">
      <c r="A219" s="7" t="s">
        <v>29</v>
      </c>
      <c r="B219" s="8">
        <v>20838</v>
      </c>
      <c r="C219" s="9">
        <v>46029.376046909718</v>
      </c>
      <c r="D219" s="9">
        <v>46008</v>
      </c>
      <c r="E219" s="9">
        <v>46022</v>
      </c>
      <c r="F219" s="7" t="s">
        <v>876</v>
      </c>
      <c r="G219" s="7" t="s">
        <v>877</v>
      </c>
      <c r="H219" s="7" t="s">
        <v>23</v>
      </c>
      <c r="I219" s="7" t="s">
        <v>24</v>
      </c>
      <c r="J219" s="7" t="s">
        <v>25</v>
      </c>
      <c r="K219" s="7" t="s">
        <v>407</v>
      </c>
      <c r="L219" s="10">
        <v>300</v>
      </c>
      <c r="M219" s="10">
        <v>0</v>
      </c>
      <c r="N219" s="10">
        <f>+L219-M219</f>
        <v>300</v>
      </c>
      <c r="O219" s="10">
        <v>0</v>
      </c>
      <c r="P219" s="10">
        <f>+L219-O219</f>
        <v>300</v>
      </c>
      <c r="Q219" s="10">
        <v>0</v>
      </c>
      <c r="R219" s="7" t="s">
        <v>27</v>
      </c>
      <c r="S219" t="s">
        <v>396</v>
      </c>
    </row>
    <row r="220" spans="1:19" hidden="1">
      <c r="A220" s="7" t="s">
        <v>29</v>
      </c>
      <c r="B220" s="8">
        <v>19293</v>
      </c>
      <c r="C220" s="9">
        <v>45659.41737268518</v>
      </c>
      <c r="D220" s="9">
        <v>45659</v>
      </c>
      <c r="E220" s="9">
        <v>45690</v>
      </c>
      <c r="F220" s="7" t="s">
        <v>878</v>
      </c>
      <c r="G220" s="7" t="s">
        <v>879</v>
      </c>
      <c r="H220" s="7" t="s">
        <v>880</v>
      </c>
      <c r="I220" s="7" t="s">
        <v>881</v>
      </c>
      <c r="J220" s="7" t="s">
        <v>34</v>
      </c>
      <c r="K220" s="7" t="s">
        <v>35</v>
      </c>
      <c r="L220" s="10">
        <v>270.26</v>
      </c>
      <c r="M220" s="10">
        <v>0</v>
      </c>
      <c r="N220" s="10">
        <f>+L220-M220</f>
        <v>270.26</v>
      </c>
      <c r="O220" s="10">
        <v>0</v>
      </c>
      <c r="P220" s="10">
        <f>+L220-O220</f>
        <v>270.26</v>
      </c>
      <c r="Q220" s="10">
        <v>0</v>
      </c>
      <c r="R220" s="7" t="s">
        <v>27</v>
      </c>
    </row>
    <row r="221" spans="1:19" hidden="1">
      <c r="A221" s="7" t="s">
        <v>29</v>
      </c>
      <c r="B221" s="8">
        <v>19532</v>
      </c>
      <c r="C221" s="9">
        <v>45733.68173611111</v>
      </c>
      <c r="D221" s="9">
        <v>45684</v>
      </c>
      <c r="E221" s="9">
        <v>45642</v>
      </c>
      <c r="F221" s="7" t="s">
        <v>882</v>
      </c>
      <c r="G221" s="7" t="s">
        <v>883</v>
      </c>
      <c r="H221" s="7" t="s">
        <v>884</v>
      </c>
      <c r="I221" s="7" t="s">
        <v>885</v>
      </c>
      <c r="J221" s="7" t="s">
        <v>176</v>
      </c>
      <c r="K221" s="7" t="s">
        <v>584</v>
      </c>
      <c r="L221" s="10">
        <v>11200</v>
      </c>
      <c r="M221" s="10">
        <v>11000</v>
      </c>
      <c r="N221" s="10">
        <f>+L221-M221</f>
        <v>200</v>
      </c>
      <c r="O221" s="10">
        <v>11000</v>
      </c>
      <c r="P221" s="10">
        <f>+L221-O221</f>
        <v>200</v>
      </c>
      <c r="Q221" s="10">
        <v>200</v>
      </c>
      <c r="R221" s="7" t="s">
        <v>27</v>
      </c>
    </row>
    <row r="222" spans="1:19" hidden="1">
      <c r="A222" s="7" t="s">
        <v>29</v>
      </c>
      <c r="B222" s="8">
        <v>19391</v>
      </c>
      <c r="C222" s="9">
        <v>45694.696782407409</v>
      </c>
      <c r="D222" s="9">
        <v>45714</v>
      </c>
      <c r="E222" s="9">
        <v>45686</v>
      </c>
      <c r="F222" s="7" t="s">
        <v>886</v>
      </c>
      <c r="G222" s="7" t="s">
        <v>887</v>
      </c>
      <c r="H222" s="7" t="s">
        <v>888</v>
      </c>
      <c r="I222" s="7" t="s">
        <v>889</v>
      </c>
      <c r="J222" s="7" t="s">
        <v>176</v>
      </c>
      <c r="K222" s="7" t="s">
        <v>317</v>
      </c>
      <c r="L222" s="10">
        <v>10500</v>
      </c>
      <c r="M222" s="10">
        <v>10300</v>
      </c>
      <c r="N222" s="10">
        <f>+L222-M222</f>
        <v>200</v>
      </c>
      <c r="O222" s="10">
        <v>10300</v>
      </c>
      <c r="P222" s="10">
        <f>+L222-O222</f>
        <v>200</v>
      </c>
      <c r="Q222" s="10">
        <v>0</v>
      </c>
      <c r="R222" s="7" t="s">
        <v>27</v>
      </c>
    </row>
    <row r="223" spans="1:19" hidden="1">
      <c r="A223" s="7" t="s">
        <v>29</v>
      </c>
      <c r="B223" s="8">
        <v>19383</v>
      </c>
      <c r="C223" s="9">
        <v>45694.607974537037</v>
      </c>
      <c r="D223" s="9">
        <v>45717</v>
      </c>
      <c r="E223" s="9">
        <v>45693</v>
      </c>
      <c r="F223" s="7" t="s">
        <v>890</v>
      </c>
      <c r="G223" s="7" t="s">
        <v>891</v>
      </c>
      <c r="H223" s="7" t="s">
        <v>892</v>
      </c>
      <c r="I223" s="7" t="s">
        <v>893</v>
      </c>
      <c r="J223" s="7" t="s">
        <v>176</v>
      </c>
      <c r="K223" s="7" t="s">
        <v>584</v>
      </c>
      <c r="L223" s="10">
        <v>14205</v>
      </c>
      <c r="M223" s="10">
        <v>14055</v>
      </c>
      <c r="N223" s="10">
        <f>+L223-M223</f>
        <v>150</v>
      </c>
      <c r="O223" s="10">
        <v>14055</v>
      </c>
      <c r="P223" s="10">
        <f>+L223-O223</f>
        <v>150</v>
      </c>
      <c r="Q223" s="10">
        <v>0</v>
      </c>
      <c r="R223" s="7" t="s">
        <v>27</v>
      </c>
    </row>
    <row r="224" spans="1:19" hidden="1">
      <c r="A224" s="7" t="s">
        <v>29</v>
      </c>
      <c r="B224" s="8">
        <v>20264</v>
      </c>
      <c r="C224" s="9">
        <v>45879.891111111108</v>
      </c>
      <c r="D224" s="9">
        <v>45692</v>
      </c>
      <c r="E224" s="9">
        <v>45685</v>
      </c>
      <c r="F224" s="7" t="s">
        <v>894</v>
      </c>
      <c r="G224" s="7" t="s">
        <v>895</v>
      </c>
      <c r="H224" s="7" t="s">
        <v>896</v>
      </c>
      <c r="I224" s="7" t="s">
        <v>897</v>
      </c>
      <c r="J224" s="7" t="s">
        <v>176</v>
      </c>
      <c r="K224" s="7" t="s">
        <v>374</v>
      </c>
      <c r="L224" s="10">
        <v>130</v>
      </c>
      <c r="M224" s="10">
        <v>0</v>
      </c>
      <c r="N224" s="10">
        <f>+L224-M224</f>
        <v>130</v>
      </c>
      <c r="O224" s="10">
        <v>0</v>
      </c>
      <c r="P224" s="10">
        <f>+L224-O224</f>
        <v>130</v>
      </c>
      <c r="Q224" s="10">
        <v>130</v>
      </c>
      <c r="R224" s="7" t="s">
        <v>27</v>
      </c>
    </row>
    <row r="225" spans="1:19" hidden="1">
      <c r="A225" s="7" t="s">
        <v>29</v>
      </c>
      <c r="B225" s="8">
        <v>20705</v>
      </c>
      <c r="C225" s="9">
        <v>45979.65825231481</v>
      </c>
      <c r="D225" s="9">
        <v>45979</v>
      </c>
      <c r="E225" s="9">
        <v>45979</v>
      </c>
      <c r="F225" s="7" t="s">
        <v>898</v>
      </c>
      <c r="G225" s="7" t="s">
        <v>899</v>
      </c>
      <c r="H225" s="7" t="s">
        <v>900</v>
      </c>
      <c r="I225" s="7" t="s">
        <v>901</v>
      </c>
      <c r="J225" s="7" t="s">
        <v>34</v>
      </c>
      <c r="K225" s="7" t="s">
        <v>902</v>
      </c>
      <c r="L225" s="10">
        <v>112.66</v>
      </c>
      <c r="M225" s="10">
        <v>0</v>
      </c>
      <c r="N225" s="10">
        <f>+L225-M225</f>
        <v>112.66</v>
      </c>
      <c r="O225" s="10">
        <v>0</v>
      </c>
      <c r="P225" s="10">
        <f>+L225-O225</f>
        <v>112.66</v>
      </c>
      <c r="Q225" s="10">
        <v>0</v>
      </c>
      <c r="R225" s="7" t="s">
        <v>27</v>
      </c>
    </row>
    <row r="226" spans="1:19">
      <c r="A226" s="7" t="s">
        <v>29</v>
      </c>
      <c r="B226" s="8">
        <v>20769</v>
      </c>
      <c r="C226" s="9">
        <v>46001.984579131946</v>
      </c>
      <c r="D226" s="9">
        <v>46008</v>
      </c>
      <c r="E226" s="9">
        <v>46000</v>
      </c>
      <c r="F226" s="7" t="s">
        <v>903</v>
      </c>
      <c r="G226" s="7" t="s">
        <v>904</v>
      </c>
      <c r="H226" s="7" t="s">
        <v>905</v>
      </c>
      <c r="I226" s="7" t="s">
        <v>906</v>
      </c>
      <c r="J226" s="7" t="s">
        <v>25</v>
      </c>
      <c r="K226" s="7" t="s">
        <v>407</v>
      </c>
      <c r="L226" s="10">
        <v>112</v>
      </c>
      <c r="M226" s="10">
        <v>0</v>
      </c>
      <c r="N226" s="10">
        <f>+L226-M226</f>
        <v>112</v>
      </c>
      <c r="O226" s="10">
        <v>0</v>
      </c>
      <c r="P226" s="10">
        <f>+L226-O226</f>
        <v>112</v>
      </c>
      <c r="Q226" s="10">
        <v>112</v>
      </c>
      <c r="R226" s="7" t="s">
        <v>27</v>
      </c>
      <c r="S226" t="s">
        <v>396</v>
      </c>
    </row>
    <row r="227" spans="1:19" hidden="1">
      <c r="A227" s="7" t="s">
        <v>29</v>
      </c>
      <c r="B227" s="8">
        <v>4254</v>
      </c>
      <c r="C227" s="9">
        <v>45905.429301736112</v>
      </c>
      <c r="D227" s="9">
        <v>45881</v>
      </c>
      <c r="E227" s="9">
        <v>45881</v>
      </c>
      <c r="F227" s="7" t="s">
        <v>907</v>
      </c>
      <c r="G227" s="7" t="s">
        <v>908</v>
      </c>
      <c r="H227" s="7" t="s">
        <v>909</v>
      </c>
      <c r="I227" s="7" t="s">
        <v>910</v>
      </c>
      <c r="J227" s="7" t="s">
        <v>25</v>
      </c>
      <c r="K227" s="7" t="s">
        <v>206</v>
      </c>
      <c r="L227" s="10">
        <v>8909.5</v>
      </c>
      <c r="M227" s="10">
        <v>5135.96</v>
      </c>
      <c r="N227" s="15">
        <f>+L227-M227</f>
        <v>3773.54</v>
      </c>
      <c r="O227" s="15">
        <v>8800.18</v>
      </c>
      <c r="P227" s="15">
        <f>+L227-O227</f>
        <v>109.31999999999971</v>
      </c>
      <c r="Q227" s="10">
        <v>0</v>
      </c>
      <c r="R227" s="7" t="s">
        <v>87</v>
      </c>
      <c r="S227" t="s">
        <v>911</v>
      </c>
    </row>
    <row r="228" spans="1:19" hidden="1">
      <c r="A228" s="7" t="s">
        <v>29</v>
      </c>
      <c r="B228" s="8">
        <v>4228</v>
      </c>
      <c r="C228" s="9">
        <v>45820.700287650463</v>
      </c>
      <c r="D228" s="9">
        <v>45784</v>
      </c>
      <c r="E228" s="9">
        <v>45784</v>
      </c>
      <c r="F228" s="7" t="s">
        <v>912</v>
      </c>
      <c r="G228" s="7" t="s">
        <v>913</v>
      </c>
      <c r="H228" s="7" t="s">
        <v>914</v>
      </c>
      <c r="I228" s="7" t="s">
        <v>915</v>
      </c>
      <c r="J228" s="7" t="s">
        <v>25</v>
      </c>
      <c r="K228" s="7" t="s">
        <v>916</v>
      </c>
      <c r="L228" s="10">
        <v>73.22</v>
      </c>
      <c r="M228" s="10">
        <v>0</v>
      </c>
      <c r="N228" s="15">
        <f>+L228-M228</f>
        <v>73.22</v>
      </c>
      <c r="O228" s="15">
        <v>0</v>
      </c>
      <c r="P228" s="15">
        <f>+L228-O228</f>
        <v>73.22</v>
      </c>
      <c r="Q228" s="10">
        <v>0</v>
      </c>
      <c r="R228" s="7" t="s">
        <v>87</v>
      </c>
    </row>
    <row r="229" spans="1:19">
      <c r="A229" s="7" t="s">
        <v>29</v>
      </c>
      <c r="B229" s="8">
        <v>20409</v>
      </c>
      <c r="C229" s="9">
        <v>45908.407973067129</v>
      </c>
      <c r="D229" s="9">
        <v>45909</v>
      </c>
      <c r="E229" s="9">
        <v>45891</v>
      </c>
      <c r="F229" s="7" t="s">
        <v>917</v>
      </c>
      <c r="G229" s="7" t="s">
        <v>918</v>
      </c>
      <c r="H229" s="7" t="s">
        <v>919</v>
      </c>
      <c r="I229" s="7" t="s">
        <v>920</v>
      </c>
      <c r="J229" s="7" t="s">
        <v>25</v>
      </c>
      <c r="K229" s="7" t="s">
        <v>55</v>
      </c>
      <c r="L229" s="10">
        <v>50</v>
      </c>
      <c r="M229" s="10">
        <v>0</v>
      </c>
      <c r="N229" s="10">
        <f>+L229-M229</f>
        <v>50</v>
      </c>
      <c r="O229" s="10">
        <v>0</v>
      </c>
      <c r="P229" s="10">
        <f>+L229-O229</f>
        <v>50</v>
      </c>
      <c r="Q229" s="10">
        <v>50</v>
      </c>
      <c r="R229" s="7" t="s">
        <v>27</v>
      </c>
    </row>
    <row r="230" spans="1:19" hidden="1">
      <c r="A230" s="7" t="s">
        <v>29</v>
      </c>
      <c r="B230" s="8">
        <v>20026</v>
      </c>
      <c r="C230" s="9">
        <v>45833.682777777773</v>
      </c>
      <c r="D230" s="9">
        <v>45833</v>
      </c>
      <c r="E230" s="9">
        <v>45863</v>
      </c>
      <c r="F230" s="7" t="s">
        <v>921</v>
      </c>
      <c r="G230" s="7" t="s">
        <v>922</v>
      </c>
      <c r="H230" s="7" t="s">
        <v>880</v>
      </c>
      <c r="I230" s="7" t="s">
        <v>881</v>
      </c>
      <c r="J230" s="7" t="s">
        <v>34</v>
      </c>
      <c r="K230" s="7" t="s">
        <v>35</v>
      </c>
      <c r="L230" s="10">
        <v>31.12</v>
      </c>
      <c r="M230" s="10">
        <v>0</v>
      </c>
      <c r="N230" s="10">
        <f>+L230-M230</f>
        <v>31.12</v>
      </c>
      <c r="O230" s="10">
        <v>0</v>
      </c>
      <c r="P230" s="10">
        <f>+L230-O230</f>
        <v>31.12</v>
      </c>
      <c r="Q230" s="10">
        <v>0</v>
      </c>
      <c r="R230" s="7" t="s">
        <v>27</v>
      </c>
    </row>
    <row r="231" spans="1:19" hidden="1">
      <c r="A231" s="7" t="s">
        <v>29</v>
      </c>
      <c r="B231" s="8">
        <v>20089</v>
      </c>
      <c r="C231" s="9">
        <v>45840.711655092593</v>
      </c>
      <c r="D231" s="9">
        <v>45840</v>
      </c>
      <c r="E231" s="9">
        <v>45840</v>
      </c>
      <c r="F231" s="7" t="s">
        <v>923</v>
      </c>
      <c r="G231" s="7" t="s">
        <v>924</v>
      </c>
      <c r="H231" s="7" t="s">
        <v>925</v>
      </c>
      <c r="I231" s="7" t="s">
        <v>926</v>
      </c>
      <c r="J231" s="7" t="s">
        <v>34</v>
      </c>
      <c r="K231" s="7" t="s">
        <v>902</v>
      </c>
      <c r="L231" s="10">
        <v>3096.87</v>
      </c>
      <c r="M231" s="10">
        <v>3069.87</v>
      </c>
      <c r="N231" s="10">
        <f>+L231-M231</f>
        <v>27</v>
      </c>
      <c r="O231" s="10">
        <v>3069.87</v>
      </c>
      <c r="P231" s="10">
        <f>+L231-O231</f>
        <v>27</v>
      </c>
      <c r="Q231" s="10">
        <v>27</v>
      </c>
      <c r="R231" s="7" t="s">
        <v>27</v>
      </c>
    </row>
    <row r="232" spans="1:19" hidden="1">
      <c r="A232" s="7" t="s">
        <v>29</v>
      </c>
      <c r="B232" s="8">
        <v>19917</v>
      </c>
      <c r="C232" s="9">
        <v>45811.675671296296</v>
      </c>
      <c r="D232" s="9">
        <v>45741</v>
      </c>
      <c r="E232" s="9">
        <v>45729</v>
      </c>
      <c r="F232" s="7" t="s">
        <v>927</v>
      </c>
      <c r="G232" s="7" t="s">
        <v>928</v>
      </c>
      <c r="H232" s="7" t="s">
        <v>929</v>
      </c>
      <c r="I232" s="7" t="s">
        <v>930</v>
      </c>
      <c r="J232" s="7" t="s">
        <v>176</v>
      </c>
      <c r="K232" s="7" t="s">
        <v>584</v>
      </c>
      <c r="L232" s="10">
        <v>770</v>
      </c>
      <c r="M232" s="10">
        <v>745.17</v>
      </c>
      <c r="N232" s="10">
        <f>+L232-M232</f>
        <v>24.830000000000041</v>
      </c>
      <c r="O232" s="10">
        <v>745.17</v>
      </c>
      <c r="P232" s="10">
        <f>+L232-O232</f>
        <v>24.830000000000041</v>
      </c>
      <c r="Q232" s="10">
        <v>0</v>
      </c>
      <c r="R232" s="7" t="s">
        <v>27</v>
      </c>
    </row>
    <row r="233" spans="1:19" hidden="1">
      <c r="A233" s="7" t="s">
        <v>29</v>
      </c>
      <c r="B233" s="8">
        <v>19834</v>
      </c>
      <c r="C233" s="9">
        <v>45796.493923611109</v>
      </c>
      <c r="D233" s="9">
        <v>45810</v>
      </c>
      <c r="E233" s="9">
        <v>45768</v>
      </c>
      <c r="F233" s="7" t="s">
        <v>931</v>
      </c>
      <c r="G233" s="7" t="s">
        <v>932</v>
      </c>
      <c r="H233" s="7" t="s">
        <v>933</v>
      </c>
      <c r="I233" s="7" t="s">
        <v>934</v>
      </c>
      <c r="J233" s="7" t="s">
        <v>176</v>
      </c>
      <c r="K233" s="7" t="s">
        <v>317</v>
      </c>
      <c r="L233" s="10">
        <v>6100</v>
      </c>
      <c r="M233" s="10">
        <v>6085.7</v>
      </c>
      <c r="N233" s="10">
        <f>+L233-M233</f>
        <v>14.300000000000182</v>
      </c>
      <c r="O233" s="10">
        <v>6085.7</v>
      </c>
      <c r="P233" s="10">
        <f>+L233-O233</f>
        <v>14.300000000000182</v>
      </c>
      <c r="Q233" s="10">
        <v>0</v>
      </c>
      <c r="R233" s="7" t="s">
        <v>27</v>
      </c>
    </row>
    <row r="234" spans="1:19" hidden="1">
      <c r="A234" s="7" t="s">
        <v>29</v>
      </c>
      <c r="B234" s="8">
        <v>19708</v>
      </c>
      <c r="C234" s="9">
        <v>45771.479768518519</v>
      </c>
      <c r="D234" s="9">
        <v>45740</v>
      </c>
      <c r="E234" s="9">
        <v>45771</v>
      </c>
      <c r="F234" s="7" t="s">
        <v>935</v>
      </c>
      <c r="G234" s="7" t="s">
        <v>936</v>
      </c>
      <c r="H234" s="7" t="s">
        <v>937</v>
      </c>
      <c r="I234" s="7" t="s">
        <v>938</v>
      </c>
      <c r="J234" s="7" t="s">
        <v>176</v>
      </c>
      <c r="K234" s="7" t="s">
        <v>374</v>
      </c>
      <c r="L234" s="10">
        <v>799</v>
      </c>
      <c r="M234" s="10">
        <v>786.56</v>
      </c>
      <c r="N234" s="10">
        <f>+L234-M234</f>
        <v>12.440000000000055</v>
      </c>
      <c r="O234" s="10">
        <v>786.56</v>
      </c>
      <c r="P234" s="10">
        <f>+L234-O234</f>
        <v>12.440000000000055</v>
      </c>
      <c r="Q234" s="10">
        <v>0</v>
      </c>
      <c r="R234" s="7" t="s">
        <v>27</v>
      </c>
    </row>
    <row r="235" spans="1:19" hidden="1">
      <c r="A235" s="7" t="s">
        <v>29</v>
      </c>
      <c r="B235" s="8">
        <v>20207</v>
      </c>
      <c r="C235" s="9">
        <v>45869.4</v>
      </c>
      <c r="D235" s="9">
        <v>45869</v>
      </c>
      <c r="E235" s="9">
        <v>45912</v>
      </c>
      <c r="F235" s="7" t="s">
        <v>939</v>
      </c>
      <c r="G235" s="7" t="s">
        <v>940</v>
      </c>
      <c r="H235" s="7" t="s">
        <v>689</v>
      </c>
      <c r="I235" s="7" t="s">
        <v>690</v>
      </c>
      <c r="J235" s="7" t="s">
        <v>34</v>
      </c>
      <c r="K235" s="7" t="s">
        <v>451</v>
      </c>
      <c r="L235" s="10">
        <v>1972.11</v>
      </c>
      <c r="M235" s="10">
        <v>1962.69</v>
      </c>
      <c r="N235" s="10">
        <f>+L235-M235</f>
        <v>9.4199999999998454</v>
      </c>
      <c r="O235" s="10">
        <v>1962.69</v>
      </c>
      <c r="P235" s="10">
        <f>+L235-O235</f>
        <v>9.4199999999998454</v>
      </c>
      <c r="Q235" s="10">
        <v>0</v>
      </c>
      <c r="R235" s="7" t="s">
        <v>27</v>
      </c>
    </row>
    <row r="236" spans="1:19" hidden="1">
      <c r="A236" s="7" t="s">
        <v>29</v>
      </c>
      <c r="B236" s="8">
        <v>19384</v>
      </c>
      <c r="C236" s="9">
        <v>45694.611967592587</v>
      </c>
      <c r="D236" s="9">
        <v>45682</v>
      </c>
      <c r="E236" s="9">
        <v>45640</v>
      </c>
      <c r="F236" s="7" t="s">
        <v>941</v>
      </c>
      <c r="G236" s="7" t="s">
        <v>942</v>
      </c>
      <c r="H236" s="7" t="s">
        <v>943</v>
      </c>
      <c r="I236" s="7" t="s">
        <v>944</v>
      </c>
      <c r="J236" s="7" t="s">
        <v>176</v>
      </c>
      <c r="K236" s="7" t="s">
        <v>945</v>
      </c>
      <c r="L236" s="10">
        <v>6000</v>
      </c>
      <c r="M236" s="10">
        <v>5995.99</v>
      </c>
      <c r="N236" s="10">
        <f>+L236-M236</f>
        <v>4.0100000000002183</v>
      </c>
      <c r="O236" s="10">
        <v>5995.99</v>
      </c>
      <c r="P236" s="10">
        <f>+L236-O236</f>
        <v>4.0100000000002183</v>
      </c>
      <c r="Q236" s="10">
        <v>0</v>
      </c>
      <c r="R236" s="7" t="s">
        <v>27</v>
      </c>
    </row>
    <row r="237" spans="1:19" hidden="1">
      <c r="A237" s="7" t="s">
        <v>29</v>
      </c>
      <c r="B237" s="8">
        <v>20103</v>
      </c>
      <c r="C237" s="9">
        <v>45845.380208333328</v>
      </c>
      <c r="D237" s="9">
        <v>45845</v>
      </c>
      <c r="E237" s="9">
        <v>45845</v>
      </c>
      <c r="F237" s="7" t="s">
        <v>946</v>
      </c>
      <c r="G237" s="7" t="s">
        <v>947</v>
      </c>
      <c r="H237" s="7" t="s">
        <v>234</v>
      </c>
      <c r="I237" s="7" t="s">
        <v>387</v>
      </c>
      <c r="J237" s="7" t="s">
        <v>34</v>
      </c>
      <c r="K237" s="7" t="s">
        <v>118</v>
      </c>
      <c r="L237" s="10">
        <v>320199.56</v>
      </c>
      <c r="M237" s="10">
        <v>280186.87</v>
      </c>
      <c r="N237" s="10">
        <f>+L237-M237</f>
        <v>40012.69</v>
      </c>
      <c r="O237" s="10">
        <v>320196.59000000003</v>
      </c>
      <c r="P237" s="10">
        <f>+L237-O237</f>
        <v>2.9699999999720603</v>
      </c>
      <c r="Q237" s="10">
        <v>0</v>
      </c>
      <c r="R237" s="7" t="s">
        <v>27</v>
      </c>
    </row>
    <row r="238" spans="1:19" hidden="1">
      <c r="A238" s="7" t="s">
        <v>29</v>
      </c>
      <c r="B238" s="8">
        <v>19832</v>
      </c>
      <c r="C238" s="9">
        <v>45796.470891203702</v>
      </c>
      <c r="D238" s="9">
        <v>45796</v>
      </c>
      <c r="E238" s="9">
        <v>45832</v>
      </c>
      <c r="F238" s="7" t="s">
        <v>948</v>
      </c>
      <c r="G238" s="7" t="s">
        <v>66</v>
      </c>
      <c r="H238" s="7" t="s">
        <v>302</v>
      </c>
      <c r="I238" s="7" t="s">
        <v>303</v>
      </c>
      <c r="J238" s="7" t="s">
        <v>34</v>
      </c>
      <c r="K238" s="7" t="s">
        <v>35</v>
      </c>
      <c r="L238" s="10">
        <v>2.71</v>
      </c>
      <c r="M238" s="10">
        <v>0</v>
      </c>
      <c r="N238" s="10">
        <f>+L238-M238</f>
        <v>2.71</v>
      </c>
      <c r="O238" s="10">
        <v>0</v>
      </c>
      <c r="P238" s="10">
        <f>+L238-O238</f>
        <v>2.71</v>
      </c>
      <c r="Q238" s="10">
        <v>0</v>
      </c>
      <c r="R238" s="7" t="s">
        <v>27</v>
      </c>
    </row>
    <row r="239" spans="1:19" hidden="1">
      <c r="A239" s="7" t="s">
        <v>29</v>
      </c>
      <c r="B239" s="8">
        <v>19520</v>
      </c>
      <c r="C239" s="9">
        <v>45729.563564814816</v>
      </c>
      <c r="D239" s="9">
        <v>45729</v>
      </c>
      <c r="E239" s="9">
        <v>45760</v>
      </c>
      <c r="F239" s="7" t="s">
        <v>949</v>
      </c>
      <c r="G239" s="7" t="s">
        <v>950</v>
      </c>
      <c r="H239" s="7" t="s">
        <v>951</v>
      </c>
      <c r="I239" s="7" t="s">
        <v>952</v>
      </c>
      <c r="J239" s="7" t="s">
        <v>34</v>
      </c>
      <c r="K239" s="7" t="s">
        <v>35</v>
      </c>
      <c r="L239" s="10">
        <v>16145.4</v>
      </c>
      <c r="M239" s="10">
        <v>16143.77</v>
      </c>
      <c r="N239" s="10">
        <f>+L239-M239</f>
        <v>1.6299999999991996</v>
      </c>
      <c r="O239" s="10">
        <v>16143.77</v>
      </c>
      <c r="P239" s="10">
        <f>+L239-O239</f>
        <v>1.6299999999991996</v>
      </c>
      <c r="Q239" s="10">
        <v>0</v>
      </c>
      <c r="R239" s="7" t="s">
        <v>27</v>
      </c>
    </row>
    <row r="240" spans="1:19">
      <c r="A240" s="7" t="s">
        <v>29</v>
      </c>
      <c r="B240" s="8">
        <v>19881</v>
      </c>
      <c r="C240" s="9">
        <v>45806.396836377317</v>
      </c>
      <c r="D240" s="9">
        <v>45783</v>
      </c>
      <c r="E240" s="9">
        <v>45814</v>
      </c>
      <c r="F240" s="7" t="s">
        <v>953</v>
      </c>
      <c r="G240" s="7" t="s">
        <v>954</v>
      </c>
      <c r="H240" s="7" t="s">
        <v>955</v>
      </c>
      <c r="I240" s="7" t="s">
        <v>435</v>
      </c>
      <c r="J240" s="7" t="s">
        <v>25</v>
      </c>
      <c r="K240" s="7" t="s">
        <v>26</v>
      </c>
      <c r="L240" s="10">
        <v>1.28</v>
      </c>
      <c r="M240" s="10">
        <v>0</v>
      </c>
      <c r="N240" s="10">
        <f>+L240-M240</f>
        <v>1.28</v>
      </c>
      <c r="O240" s="10">
        <v>0</v>
      </c>
      <c r="P240" s="10">
        <f>+L240-O240</f>
        <v>1.28</v>
      </c>
      <c r="Q240" s="10">
        <v>0</v>
      </c>
      <c r="R240" s="7" t="s">
        <v>27</v>
      </c>
    </row>
    <row r="241" spans="1:18" hidden="1">
      <c r="A241" s="7" t="s">
        <v>29</v>
      </c>
      <c r="B241" s="8">
        <v>4176</v>
      </c>
      <c r="C241" s="9">
        <v>45726.441574074073</v>
      </c>
      <c r="D241" s="9">
        <v>45716</v>
      </c>
      <c r="E241" s="9">
        <v>45721</v>
      </c>
      <c r="F241" s="7" t="s">
        <v>956</v>
      </c>
      <c r="G241" s="7" t="s">
        <v>957</v>
      </c>
      <c r="H241" s="7" t="s">
        <v>280</v>
      </c>
      <c r="I241" s="7" t="s">
        <v>205</v>
      </c>
      <c r="J241" s="7" t="s">
        <v>25</v>
      </c>
      <c r="K241" s="7" t="s">
        <v>206</v>
      </c>
      <c r="L241" s="10">
        <v>38850.620000000003</v>
      </c>
      <c r="M241" s="10">
        <v>38849.49</v>
      </c>
      <c r="N241" s="15">
        <f>+L241-M241</f>
        <v>1.1300000000046566</v>
      </c>
      <c r="O241" s="15">
        <v>38849.49</v>
      </c>
      <c r="P241" s="15">
        <f>+L241-O241</f>
        <v>1.1300000000046566</v>
      </c>
      <c r="Q241" s="10">
        <v>0</v>
      </c>
      <c r="R241" s="7" t="s">
        <v>87</v>
      </c>
    </row>
    <row r="242" spans="1:18" hidden="1">
      <c r="A242" s="7" t="s">
        <v>29</v>
      </c>
      <c r="B242" s="8">
        <v>19808</v>
      </c>
      <c r="C242" s="9">
        <v>45791.425717592589</v>
      </c>
      <c r="D242" s="9">
        <v>45791</v>
      </c>
      <c r="E242" s="9">
        <v>45791</v>
      </c>
      <c r="F242" s="7" t="s">
        <v>958</v>
      </c>
      <c r="G242" s="7" t="s">
        <v>959</v>
      </c>
      <c r="H242" s="7" t="s">
        <v>960</v>
      </c>
      <c r="I242" s="7" t="s">
        <v>961</v>
      </c>
      <c r="J242" s="7" t="s">
        <v>34</v>
      </c>
      <c r="K242" s="7" t="s">
        <v>269</v>
      </c>
      <c r="L242" s="10">
        <v>6502.26</v>
      </c>
      <c r="M242" s="10">
        <v>6501.24</v>
      </c>
      <c r="N242" s="10">
        <f>+L242-M242</f>
        <v>1.0200000000004366</v>
      </c>
      <c r="O242" s="10">
        <v>6501.24</v>
      </c>
      <c r="P242" s="10">
        <f>+L242-O242</f>
        <v>1.0200000000004366</v>
      </c>
      <c r="Q242" s="10">
        <v>0</v>
      </c>
      <c r="R242" s="7" t="s">
        <v>27</v>
      </c>
    </row>
    <row r="243" spans="1:18" hidden="1">
      <c r="A243" s="7" t="s">
        <v>29</v>
      </c>
      <c r="B243" s="8">
        <v>20009</v>
      </c>
      <c r="C243" s="9">
        <v>45833.361759259256</v>
      </c>
      <c r="D243" s="9">
        <v>45833</v>
      </c>
      <c r="E243" s="9">
        <v>45833</v>
      </c>
      <c r="F243" s="7" t="s">
        <v>962</v>
      </c>
      <c r="G243" s="7" t="s">
        <v>963</v>
      </c>
      <c r="H243" s="7" t="s">
        <v>964</v>
      </c>
      <c r="I243" s="7" t="s">
        <v>965</v>
      </c>
      <c r="J243" s="7" t="s">
        <v>34</v>
      </c>
      <c r="K243" s="7" t="s">
        <v>966</v>
      </c>
      <c r="L243" s="10">
        <v>10051.43</v>
      </c>
      <c r="M243" s="10">
        <v>0</v>
      </c>
      <c r="N243" s="10">
        <f>+L243-M243</f>
        <v>10051.43</v>
      </c>
      <c r="O243" s="10">
        <v>10050.44</v>
      </c>
      <c r="P243" s="10">
        <f>+L243-O243</f>
        <v>0.98999999999978172</v>
      </c>
      <c r="Q243" s="10">
        <v>5025.72</v>
      </c>
      <c r="R243" s="7" t="s">
        <v>27</v>
      </c>
    </row>
    <row r="244" spans="1:18" hidden="1">
      <c r="A244" s="7" t="s">
        <v>29</v>
      </c>
      <c r="B244" s="8">
        <v>19637</v>
      </c>
      <c r="C244" s="9">
        <v>45755.759108796294</v>
      </c>
      <c r="D244" s="9">
        <v>45790</v>
      </c>
      <c r="E244" s="9">
        <v>45754</v>
      </c>
      <c r="F244" s="7" t="s">
        <v>967</v>
      </c>
      <c r="G244" s="7" t="s">
        <v>968</v>
      </c>
      <c r="H244" s="7" t="s">
        <v>969</v>
      </c>
      <c r="I244" s="7" t="s">
        <v>970</v>
      </c>
      <c r="J244" s="7" t="s">
        <v>34</v>
      </c>
      <c r="K244" s="7" t="s">
        <v>451</v>
      </c>
      <c r="L244" s="10">
        <v>5389.81</v>
      </c>
      <c r="M244" s="10">
        <v>5388.83</v>
      </c>
      <c r="N244" s="10">
        <f>+L244-M244</f>
        <v>0.98000000000047294</v>
      </c>
      <c r="O244" s="10">
        <v>5388.83</v>
      </c>
      <c r="P244" s="10">
        <f>+L244-O244</f>
        <v>0.98000000000047294</v>
      </c>
      <c r="Q244" s="10">
        <v>0</v>
      </c>
      <c r="R244" s="7" t="s">
        <v>27</v>
      </c>
    </row>
    <row r="245" spans="1:18" hidden="1">
      <c r="A245" s="7" t="s">
        <v>29</v>
      </c>
      <c r="B245" s="8">
        <v>20147</v>
      </c>
      <c r="C245" s="9">
        <v>45853.471979166665</v>
      </c>
      <c r="D245" s="9">
        <v>45853</v>
      </c>
      <c r="E245" s="9">
        <v>45847</v>
      </c>
      <c r="F245" s="7" t="s">
        <v>971</v>
      </c>
      <c r="G245" s="7" t="s">
        <v>972</v>
      </c>
      <c r="H245" s="7" t="s">
        <v>973</v>
      </c>
      <c r="I245" s="7" t="s">
        <v>974</v>
      </c>
      <c r="J245" s="7" t="s">
        <v>34</v>
      </c>
      <c r="K245" s="7" t="s">
        <v>269</v>
      </c>
      <c r="L245" s="10">
        <v>6457.2</v>
      </c>
      <c r="M245" s="10">
        <v>6456.26</v>
      </c>
      <c r="N245" s="10">
        <f>+L245-M245</f>
        <v>0.93999999999959982</v>
      </c>
      <c r="O245" s="10">
        <v>6456.26</v>
      </c>
      <c r="P245" s="10">
        <f>+L245-O245</f>
        <v>0.93999999999959982</v>
      </c>
      <c r="Q245" s="10">
        <v>0</v>
      </c>
      <c r="R245" s="7" t="s">
        <v>27</v>
      </c>
    </row>
    <row r="246" spans="1:18" hidden="1">
      <c r="A246" s="7" t="s">
        <v>29</v>
      </c>
      <c r="B246" s="8">
        <v>19847</v>
      </c>
      <c r="C246" s="9">
        <v>45798.703090277777</v>
      </c>
      <c r="D246" s="9">
        <v>45738</v>
      </c>
      <c r="E246" s="9">
        <v>45731</v>
      </c>
      <c r="F246" s="7" t="s">
        <v>975</v>
      </c>
      <c r="G246" s="7" t="s">
        <v>110</v>
      </c>
      <c r="H246" s="7" t="s">
        <v>976</v>
      </c>
      <c r="I246" s="7" t="s">
        <v>977</v>
      </c>
      <c r="J246" s="7" t="s">
        <v>176</v>
      </c>
      <c r="K246" s="7" t="s">
        <v>945</v>
      </c>
      <c r="L246" s="10">
        <v>6644.91</v>
      </c>
      <c r="M246" s="10">
        <v>6644</v>
      </c>
      <c r="N246" s="10">
        <f>+L246-M246</f>
        <v>0.90999999999985448</v>
      </c>
      <c r="O246" s="10">
        <v>6644</v>
      </c>
      <c r="P246" s="10">
        <f>+L246-O246</f>
        <v>0.90999999999985448</v>
      </c>
      <c r="Q246" s="10">
        <v>0</v>
      </c>
      <c r="R246" s="7" t="s">
        <v>27</v>
      </c>
    </row>
    <row r="247" spans="1:18" hidden="1">
      <c r="A247" s="7" t="s">
        <v>29</v>
      </c>
      <c r="B247" s="8">
        <v>20001</v>
      </c>
      <c r="C247" s="9">
        <v>45831.603090277778</v>
      </c>
      <c r="D247" s="9">
        <v>45831</v>
      </c>
      <c r="E247" s="9">
        <v>45831</v>
      </c>
      <c r="F247" s="7" t="s">
        <v>978</v>
      </c>
      <c r="G247" s="7" t="s">
        <v>979</v>
      </c>
      <c r="H247" s="7" t="s">
        <v>980</v>
      </c>
      <c r="I247" s="7" t="s">
        <v>981</v>
      </c>
      <c r="J247" s="7" t="s">
        <v>34</v>
      </c>
      <c r="K247" s="7" t="s">
        <v>451</v>
      </c>
      <c r="L247" s="10">
        <v>21919.97</v>
      </c>
      <c r="M247" s="10">
        <v>21919.15</v>
      </c>
      <c r="N247" s="10">
        <f>+L247-M247</f>
        <v>0.81999999999970896</v>
      </c>
      <c r="O247" s="10">
        <v>21919.15</v>
      </c>
      <c r="P247" s="10">
        <f>+L247-O247</f>
        <v>0.81999999999970896</v>
      </c>
      <c r="Q247" s="10">
        <v>0</v>
      </c>
      <c r="R247" s="7" t="s">
        <v>27</v>
      </c>
    </row>
    <row r="248" spans="1:18" hidden="1">
      <c r="A248" s="7" t="s">
        <v>29</v>
      </c>
      <c r="B248" s="8">
        <v>19882</v>
      </c>
      <c r="C248" s="9">
        <v>45806.498298611106</v>
      </c>
      <c r="D248" s="9">
        <v>45806</v>
      </c>
      <c r="E248" s="9">
        <v>45806</v>
      </c>
      <c r="F248" s="7" t="s">
        <v>982</v>
      </c>
      <c r="G248" s="7" t="s">
        <v>983</v>
      </c>
      <c r="H248" s="7" t="s">
        <v>984</v>
      </c>
      <c r="I248" s="7" t="s">
        <v>985</v>
      </c>
      <c r="J248" s="7" t="s">
        <v>34</v>
      </c>
      <c r="K248" s="7" t="s">
        <v>451</v>
      </c>
      <c r="L248" s="10">
        <v>7661.51</v>
      </c>
      <c r="M248" s="10">
        <v>7660.7</v>
      </c>
      <c r="N248" s="10">
        <f>+L248-M248</f>
        <v>0.81000000000040018</v>
      </c>
      <c r="O248" s="10">
        <v>7660.7</v>
      </c>
      <c r="P248" s="10">
        <f>+L248-O248</f>
        <v>0.81000000000040018</v>
      </c>
      <c r="Q248" s="10">
        <v>0</v>
      </c>
      <c r="R248" s="7" t="s">
        <v>27</v>
      </c>
    </row>
    <row r="249" spans="1:18" hidden="1">
      <c r="A249" s="7" t="s">
        <v>29</v>
      </c>
      <c r="B249" s="8">
        <v>19548</v>
      </c>
      <c r="C249" s="9">
        <v>45737.596458333333</v>
      </c>
      <c r="D249" s="9">
        <v>45737</v>
      </c>
      <c r="E249" s="9">
        <v>45733</v>
      </c>
      <c r="F249" s="7" t="s">
        <v>986</v>
      </c>
      <c r="G249" s="7" t="s">
        <v>987</v>
      </c>
      <c r="H249" s="7" t="s">
        <v>988</v>
      </c>
      <c r="I249" s="7" t="s">
        <v>989</v>
      </c>
      <c r="J249" s="7" t="s">
        <v>34</v>
      </c>
      <c r="K249" s="7" t="s">
        <v>990</v>
      </c>
      <c r="L249" s="10">
        <v>1574</v>
      </c>
      <c r="M249" s="10">
        <v>1573.25</v>
      </c>
      <c r="N249" s="10">
        <f>+L249-M249</f>
        <v>0.75</v>
      </c>
      <c r="O249" s="10">
        <v>1573.25</v>
      </c>
      <c r="P249" s="10">
        <f>+L249-O249</f>
        <v>0.75</v>
      </c>
      <c r="Q249" s="10">
        <v>0</v>
      </c>
      <c r="R249" s="7" t="s">
        <v>27</v>
      </c>
    </row>
    <row r="250" spans="1:18" hidden="1">
      <c r="A250" s="7" t="s">
        <v>29</v>
      </c>
      <c r="B250" s="8">
        <v>19977</v>
      </c>
      <c r="C250" s="9">
        <v>45825.489201388889</v>
      </c>
      <c r="D250" s="9">
        <v>45825</v>
      </c>
      <c r="E250" s="9">
        <v>45824</v>
      </c>
      <c r="F250" s="7" t="s">
        <v>991</v>
      </c>
      <c r="G250" s="7" t="s">
        <v>992</v>
      </c>
      <c r="H250" s="7" t="s">
        <v>418</v>
      </c>
      <c r="I250" s="7" t="s">
        <v>419</v>
      </c>
      <c r="J250" s="7" t="s">
        <v>34</v>
      </c>
      <c r="K250" s="7" t="s">
        <v>118</v>
      </c>
      <c r="L250" s="10">
        <v>48832.11</v>
      </c>
      <c r="M250" s="10">
        <v>14584.44</v>
      </c>
      <c r="N250" s="10">
        <f>+L250-M250</f>
        <v>34247.67</v>
      </c>
      <c r="O250" s="10">
        <v>48831.45</v>
      </c>
      <c r="P250" s="10">
        <f>+L250-O250</f>
        <v>0.66000000000349246</v>
      </c>
      <c r="Q250" s="10">
        <v>0</v>
      </c>
      <c r="R250" s="7" t="s">
        <v>27</v>
      </c>
    </row>
    <row r="251" spans="1:18">
      <c r="A251" s="7" t="s">
        <v>29</v>
      </c>
      <c r="B251" s="8">
        <v>19566</v>
      </c>
      <c r="C251" s="9">
        <v>45742.605891203704</v>
      </c>
      <c r="D251" s="9">
        <v>45751</v>
      </c>
      <c r="E251" s="9">
        <v>45735</v>
      </c>
      <c r="F251" s="7" t="s">
        <v>993</v>
      </c>
      <c r="G251" s="7" t="s">
        <v>994</v>
      </c>
      <c r="H251" s="7" t="s">
        <v>995</v>
      </c>
      <c r="I251" s="7" t="s">
        <v>996</v>
      </c>
      <c r="J251" s="7" t="s">
        <v>25</v>
      </c>
      <c r="K251" s="7" t="s">
        <v>26</v>
      </c>
      <c r="L251" s="10">
        <v>45473.69</v>
      </c>
      <c r="M251" s="10">
        <v>45473.08</v>
      </c>
      <c r="N251" s="10">
        <f>+L251-M251</f>
        <v>0.61000000000058208</v>
      </c>
      <c r="O251" s="10">
        <v>45473.08</v>
      </c>
      <c r="P251" s="10">
        <f>+L251-O251</f>
        <v>0.61000000000058208</v>
      </c>
      <c r="Q251" s="10">
        <v>0</v>
      </c>
      <c r="R251" s="7" t="s">
        <v>27</v>
      </c>
    </row>
    <row r="252" spans="1:18" hidden="1">
      <c r="A252" s="7" t="s">
        <v>29</v>
      </c>
      <c r="B252" s="8">
        <v>19779</v>
      </c>
      <c r="C252" s="9">
        <v>45784.595613425925</v>
      </c>
      <c r="D252" s="9">
        <v>45784</v>
      </c>
      <c r="E252" s="9">
        <v>45784</v>
      </c>
      <c r="F252" s="7" t="s">
        <v>997</v>
      </c>
      <c r="G252" s="7" t="s">
        <v>998</v>
      </c>
      <c r="H252" s="7" t="s">
        <v>999</v>
      </c>
      <c r="I252" s="7" t="s">
        <v>1000</v>
      </c>
      <c r="J252" s="7" t="s">
        <v>34</v>
      </c>
      <c r="K252" s="7" t="s">
        <v>990</v>
      </c>
      <c r="L252" s="10">
        <v>17646.400000000001</v>
      </c>
      <c r="M252" s="10">
        <v>17645.79</v>
      </c>
      <c r="N252" s="10">
        <f>+L252-M252</f>
        <v>0.61000000000058208</v>
      </c>
      <c r="O252" s="10">
        <v>17645.79</v>
      </c>
      <c r="P252" s="10">
        <f>+L252-O252</f>
        <v>0.61000000000058208</v>
      </c>
      <c r="Q252" s="10">
        <v>0</v>
      </c>
      <c r="R252" s="7" t="s">
        <v>27</v>
      </c>
    </row>
    <row r="253" spans="1:18" hidden="1">
      <c r="A253" s="7" t="s">
        <v>29</v>
      </c>
      <c r="B253" s="8">
        <v>20008</v>
      </c>
      <c r="C253" s="9">
        <v>45832.690416666665</v>
      </c>
      <c r="D253" s="9">
        <v>45832</v>
      </c>
      <c r="E253" s="9">
        <v>45832</v>
      </c>
      <c r="F253" s="7" t="s">
        <v>1001</v>
      </c>
      <c r="G253" s="7" t="s">
        <v>1002</v>
      </c>
      <c r="H253" s="7" t="s">
        <v>1003</v>
      </c>
      <c r="I253" s="7" t="s">
        <v>1004</v>
      </c>
      <c r="J253" s="7" t="s">
        <v>34</v>
      </c>
      <c r="K253" s="7" t="s">
        <v>35</v>
      </c>
      <c r="L253" s="10">
        <v>341224.75</v>
      </c>
      <c r="M253" s="10">
        <v>306941.83</v>
      </c>
      <c r="N253" s="10">
        <f>+L253-M253</f>
        <v>34282.919999999984</v>
      </c>
      <c r="O253" s="10">
        <v>341224.15</v>
      </c>
      <c r="P253" s="10">
        <f>+L253-O253</f>
        <v>0.59999999997671694</v>
      </c>
      <c r="Q253" s="10">
        <v>0</v>
      </c>
      <c r="R253" s="7" t="s">
        <v>27</v>
      </c>
    </row>
    <row r="254" spans="1:18" hidden="1">
      <c r="A254" s="7" t="s">
        <v>29</v>
      </c>
      <c r="B254" s="8">
        <v>4260</v>
      </c>
      <c r="C254" s="9">
        <v>45930.429531284717</v>
      </c>
      <c r="D254" s="9">
        <v>45922</v>
      </c>
      <c r="E254" s="9">
        <v>45981</v>
      </c>
      <c r="F254" s="7" t="s">
        <v>1005</v>
      </c>
      <c r="G254" s="7" t="s">
        <v>1006</v>
      </c>
      <c r="H254" s="7" t="s">
        <v>909</v>
      </c>
      <c r="I254" s="7" t="s">
        <v>910</v>
      </c>
      <c r="J254" s="7" t="s">
        <v>25</v>
      </c>
      <c r="K254" s="7" t="s">
        <v>206</v>
      </c>
      <c r="L254" s="10">
        <v>201.52</v>
      </c>
      <c r="M254" s="10">
        <v>197.03</v>
      </c>
      <c r="N254" s="15">
        <f>+L254-M254</f>
        <v>4.4900000000000091</v>
      </c>
      <c r="O254" s="15">
        <v>200.98</v>
      </c>
      <c r="P254" s="15">
        <f>+L254-O254</f>
        <v>0.54000000000002046</v>
      </c>
      <c r="Q254" s="10">
        <v>0</v>
      </c>
      <c r="R254" s="7" t="s">
        <v>87</v>
      </c>
    </row>
    <row r="255" spans="1:18" hidden="1">
      <c r="A255" s="7" t="s">
        <v>29</v>
      </c>
      <c r="B255" s="8">
        <v>4178</v>
      </c>
      <c r="C255" s="9">
        <v>45734.418194444443</v>
      </c>
      <c r="D255" s="9">
        <v>45733</v>
      </c>
      <c r="E255" s="9">
        <v>45733</v>
      </c>
      <c r="F255" s="7" t="s">
        <v>1007</v>
      </c>
      <c r="G255" s="7" t="s">
        <v>1008</v>
      </c>
      <c r="H255" s="7" t="s">
        <v>1009</v>
      </c>
      <c r="I255" s="7" t="s">
        <v>1010</v>
      </c>
      <c r="J255" s="7" t="s">
        <v>25</v>
      </c>
      <c r="K255" s="7" t="s">
        <v>206</v>
      </c>
      <c r="L255" s="10">
        <v>197.56</v>
      </c>
      <c r="M255" s="10">
        <v>197.04</v>
      </c>
      <c r="N255" s="15">
        <f>+L255-M255</f>
        <v>0.52000000000001023</v>
      </c>
      <c r="O255" s="15">
        <v>197.04</v>
      </c>
      <c r="P255" s="15">
        <f>+L255-O255</f>
        <v>0.52000000000001023</v>
      </c>
      <c r="Q255" s="10">
        <v>0</v>
      </c>
      <c r="R255" s="7" t="s">
        <v>87</v>
      </c>
    </row>
    <row r="256" spans="1:18" hidden="1">
      <c r="A256" s="7" t="s">
        <v>29</v>
      </c>
      <c r="B256" s="8">
        <v>19772</v>
      </c>
      <c r="C256" s="9">
        <v>45783.657025462962</v>
      </c>
      <c r="D256" s="9">
        <v>45783</v>
      </c>
      <c r="E256" s="9">
        <v>45783</v>
      </c>
      <c r="F256" s="7" t="s">
        <v>1011</v>
      </c>
      <c r="G256" s="7" t="s">
        <v>1012</v>
      </c>
      <c r="H256" s="7" t="s">
        <v>1013</v>
      </c>
      <c r="I256" s="7" t="s">
        <v>1014</v>
      </c>
      <c r="J256" s="7" t="s">
        <v>176</v>
      </c>
      <c r="K256" s="7" t="s">
        <v>494</v>
      </c>
      <c r="L256" s="10">
        <v>199.46</v>
      </c>
      <c r="M256" s="10">
        <v>199</v>
      </c>
      <c r="N256" s="10">
        <f>+L256-M256</f>
        <v>0.46000000000000796</v>
      </c>
      <c r="O256" s="10">
        <v>199</v>
      </c>
      <c r="P256" s="10">
        <f>+L256-O256</f>
        <v>0.46000000000000796</v>
      </c>
      <c r="Q256" s="10">
        <v>0</v>
      </c>
      <c r="R256" s="7" t="s">
        <v>27</v>
      </c>
    </row>
    <row r="257" spans="1:18" hidden="1">
      <c r="A257" s="7" t="s">
        <v>29</v>
      </c>
      <c r="B257" s="8">
        <v>20233</v>
      </c>
      <c r="C257" s="9">
        <v>45874.526666666665</v>
      </c>
      <c r="D257" s="9">
        <v>45874</v>
      </c>
      <c r="E257" s="9">
        <v>45915</v>
      </c>
      <c r="F257" s="7" t="s">
        <v>1015</v>
      </c>
      <c r="G257" s="7" t="s">
        <v>1016</v>
      </c>
      <c r="H257" s="7" t="s">
        <v>1017</v>
      </c>
      <c r="I257" s="7" t="s">
        <v>1018</v>
      </c>
      <c r="J257" s="7" t="s">
        <v>34</v>
      </c>
      <c r="K257" s="7" t="s">
        <v>451</v>
      </c>
      <c r="L257" s="10">
        <v>13380.83</v>
      </c>
      <c r="M257" s="10">
        <v>13380.37</v>
      </c>
      <c r="N257" s="10">
        <f>+L257-M257</f>
        <v>0.45999999999912689</v>
      </c>
      <c r="O257" s="10">
        <v>13380.37</v>
      </c>
      <c r="P257" s="10">
        <f>+L257-O257</f>
        <v>0.45999999999912689</v>
      </c>
      <c r="Q257" s="10">
        <v>0</v>
      </c>
      <c r="R257" s="7" t="s">
        <v>27</v>
      </c>
    </row>
    <row r="258" spans="1:18" hidden="1">
      <c r="A258" s="7" t="s">
        <v>29</v>
      </c>
      <c r="B258" s="8">
        <v>19382</v>
      </c>
      <c r="C258" s="9">
        <v>45694.342557870368</v>
      </c>
      <c r="D258" s="9">
        <v>45694</v>
      </c>
      <c r="E258" s="9">
        <v>45804</v>
      </c>
      <c r="F258" s="7" t="s">
        <v>1019</v>
      </c>
      <c r="G258" s="7" t="s">
        <v>1020</v>
      </c>
      <c r="H258" s="7" t="s">
        <v>1021</v>
      </c>
      <c r="I258" s="7" t="s">
        <v>1022</v>
      </c>
      <c r="J258" s="7" t="s">
        <v>34</v>
      </c>
      <c r="K258" s="7" t="s">
        <v>269</v>
      </c>
      <c r="L258" s="10">
        <v>4863.2299999999996</v>
      </c>
      <c r="M258" s="10">
        <v>4862.79</v>
      </c>
      <c r="N258" s="10">
        <f>+L258-M258</f>
        <v>0.43999999999959982</v>
      </c>
      <c r="O258" s="10">
        <v>4862.79</v>
      </c>
      <c r="P258" s="10">
        <f>+L258-O258</f>
        <v>0.43999999999959982</v>
      </c>
      <c r="Q258" s="10">
        <v>0</v>
      </c>
      <c r="R258" s="7" t="s">
        <v>27</v>
      </c>
    </row>
    <row r="259" spans="1:18" hidden="1">
      <c r="A259" s="7" t="s">
        <v>29</v>
      </c>
      <c r="B259" s="8">
        <v>19728</v>
      </c>
      <c r="C259" s="9">
        <v>45775.519641203704</v>
      </c>
      <c r="D259" s="9">
        <v>45775</v>
      </c>
      <c r="E259" s="9">
        <v>45772</v>
      </c>
      <c r="F259" s="7" t="s">
        <v>1023</v>
      </c>
      <c r="G259" s="7" t="s">
        <v>1024</v>
      </c>
      <c r="H259" s="7" t="s">
        <v>1025</v>
      </c>
      <c r="I259" s="7" t="s">
        <v>1026</v>
      </c>
      <c r="J259" s="7" t="s">
        <v>34</v>
      </c>
      <c r="K259" s="7" t="s">
        <v>35</v>
      </c>
      <c r="L259" s="10">
        <v>1020.62</v>
      </c>
      <c r="M259" s="10">
        <v>1020.26</v>
      </c>
      <c r="N259" s="10">
        <f>+L259-M259</f>
        <v>0.36000000000001364</v>
      </c>
      <c r="O259" s="10">
        <v>1020.26</v>
      </c>
      <c r="P259" s="10">
        <f>+L259-O259</f>
        <v>0.36000000000001364</v>
      </c>
      <c r="Q259" s="10">
        <v>0</v>
      </c>
      <c r="R259" s="7" t="s">
        <v>27</v>
      </c>
    </row>
    <row r="260" spans="1:18" hidden="1">
      <c r="A260" s="7" t="s">
        <v>29</v>
      </c>
      <c r="B260" s="8">
        <v>19300</v>
      </c>
      <c r="C260" s="9">
        <v>45659.462951388887</v>
      </c>
      <c r="D260" s="9">
        <v>45659</v>
      </c>
      <c r="E260" s="9">
        <v>45690</v>
      </c>
      <c r="F260" s="7" t="s">
        <v>1027</v>
      </c>
      <c r="G260" s="7" t="s">
        <v>1028</v>
      </c>
      <c r="H260" s="7" t="s">
        <v>1029</v>
      </c>
      <c r="I260" s="7" t="s">
        <v>1030</v>
      </c>
      <c r="J260" s="7" t="s">
        <v>34</v>
      </c>
      <c r="K260" s="7" t="s">
        <v>35</v>
      </c>
      <c r="L260" s="10">
        <v>1589.58</v>
      </c>
      <c r="M260" s="10">
        <v>1589.23</v>
      </c>
      <c r="N260" s="10">
        <f>+L260-M260</f>
        <v>0.34999999999990905</v>
      </c>
      <c r="O260" s="10">
        <v>1589.23</v>
      </c>
      <c r="P260" s="10">
        <f>+L260-O260</f>
        <v>0.34999999999990905</v>
      </c>
      <c r="Q260" s="10">
        <v>0</v>
      </c>
      <c r="R260" s="7" t="s">
        <v>27</v>
      </c>
    </row>
    <row r="261" spans="1:18" hidden="1">
      <c r="A261" s="7" t="s">
        <v>29</v>
      </c>
      <c r="B261" s="8">
        <v>19671</v>
      </c>
      <c r="C261" s="9">
        <v>45758.666481481479</v>
      </c>
      <c r="D261" s="9">
        <v>45751</v>
      </c>
      <c r="E261" s="9">
        <v>45751</v>
      </c>
      <c r="F261" s="7" t="s">
        <v>1031</v>
      </c>
      <c r="G261" s="7" t="s">
        <v>1032</v>
      </c>
      <c r="H261" s="7" t="s">
        <v>1033</v>
      </c>
      <c r="I261" s="7" t="s">
        <v>1034</v>
      </c>
      <c r="J261" s="7" t="s">
        <v>176</v>
      </c>
      <c r="K261" s="7" t="s">
        <v>494</v>
      </c>
      <c r="L261" s="10">
        <v>3983.95</v>
      </c>
      <c r="M261" s="10">
        <v>3983.61</v>
      </c>
      <c r="N261" s="10">
        <f>+L261-M261</f>
        <v>0.33999999999969077</v>
      </c>
      <c r="O261" s="10">
        <v>3983.61</v>
      </c>
      <c r="P261" s="10">
        <f>+L261-O261</f>
        <v>0.33999999999969077</v>
      </c>
      <c r="Q261" s="10">
        <v>0</v>
      </c>
      <c r="R261" s="7" t="s">
        <v>27</v>
      </c>
    </row>
    <row r="262" spans="1:18" hidden="1">
      <c r="A262" s="7" t="s">
        <v>29</v>
      </c>
      <c r="B262" s="8">
        <v>20480</v>
      </c>
      <c r="C262" s="9">
        <v>45922.497256944444</v>
      </c>
      <c r="D262" s="9">
        <v>46112</v>
      </c>
      <c r="E262" s="9">
        <v>45945</v>
      </c>
      <c r="F262" s="7" t="s">
        <v>1035</v>
      </c>
      <c r="G262" s="7" t="s">
        <v>1036</v>
      </c>
      <c r="H262" s="7" t="s">
        <v>1037</v>
      </c>
      <c r="I262" s="7" t="s">
        <v>1038</v>
      </c>
      <c r="J262" s="7" t="s">
        <v>34</v>
      </c>
      <c r="K262" s="7" t="s">
        <v>118</v>
      </c>
      <c r="L262" s="10">
        <v>590841.81000000006</v>
      </c>
      <c r="M262" s="10">
        <v>590841.51</v>
      </c>
      <c r="N262" s="10">
        <f>+L262-M262</f>
        <v>0.30000000004656613</v>
      </c>
      <c r="O262" s="10">
        <v>590841.51</v>
      </c>
      <c r="P262" s="10">
        <f>+L262-O262</f>
        <v>0.30000000004656613</v>
      </c>
      <c r="Q262" s="10">
        <v>0</v>
      </c>
      <c r="R262" s="7" t="s">
        <v>27</v>
      </c>
    </row>
    <row r="263" spans="1:18" hidden="1">
      <c r="A263" s="7" t="s">
        <v>29</v>
      </c>
      <c r="B263" s="8">
        <v>20877</v>
      </c>
      <c r="C263" s="9">
        <v>46041.604178240741</v>
      </c>
      <c r="D263" s="9">
        <v>46006</v>
      </c>
      <c r="E263" s="9">
        <v>46006</v>
      </c>
      <c r="F263" s="7" t="s">
        <v>1039</v>
      </c>
      <c r="G263" s="7" t="s">
        <v>1040</v>
      </c>
      <c r="H263" s="7" t="s">
        <v>1041</v>
      </c>
      <c r="I263" s="7" t="s">
        <v>1042</v>
      </c>
      <c r="J263" s="7" t="s">
        <v>176</v>
      </c>
      <c r="K263" s="7" t="s">
        <v>360</v>
      </c>
      <c r="L263" s="10">
        <v>7442.3</v>
      </c>
      <c r="M263" s="10">
        <v>7442</v>
      </c>
      <c r="N263" s="10">
        <f>+L263-M263</f>
        <v>0.3000000000001819</v>
      </c>
      <c r="O263" s="10">
        <v>7442</v>
      </c>
      <c r="P263" s="10">
        <f>+L263-O263</f>
        <v>0.3000000000001819</v>
      </c>
      <c r="Q263" s="10">
        <v>0.3</v>
      </c>
      <c r="R263" s="7" t="s">
        <v>27</v>
      </c>
    </row>
    <row r="264" spans="1:18" hidden="1">
      <c r="A264" s="7" t="s">
        <v>29</v>
      </c>
      <c r="B264" s="8">
        <v>19538</v>
      </c>
      <c r="C264" s="9">
        <v>45734.461053240739</v>
      </c>
      <c r="D264" s="9">
        <v>45765</v>
      </c>
      <c r="E264" s="9">
        <v>45733</v>
      </c>
      <c r="F264" s="7" t="s">
        <v>1043</v>
      </c>
      <c r="G264" s="7" t="s">
        <v>1044</v>
      </c>
      <c r="H264" s="7" t="s">
        <v>1045</v>
      </c>
      <c r="I264" s="7" t="s">
        <v>1046</v>
      </c>
      <c r="J264" s="7" t="s">
        <v>34</v>
      </c>
      <c r="K264" s="7" t="s">
        <v>966</v>
      </c>
      <c r="L264" s="10">
        <v>14567.58</v>
      </c>
      <c r="M264" s="10">
        <v>14567.28</v>
      </c>
      <c r="N264" s="10">
        <f>+L264-M264</f>
        <v>0.2999999999992724</v>
      </c>
      <c r="O264" s="10">
        <v>14567.28</v>
      </c>
      <c r="P264" s="10">
        <f>+L264-O264</f>
        <v>0.2999999999992724</v>
      </c>
      <c r="Q264" s="10">
        <v>0</v>
      </c>
      <c r="R264" s="7" t="s">
        <v>27</v>
      </c>
    </row>
    <row r="265" spans="1:18" hidden="1">
      <c r="A265" s="7" t="s">
        <v>29</v>
      </c>
      <c r="B265" s="8">
        <v>20091</v>
      </c>
      <c r="C265" s="9">
        <v>45841.332731481481</v>
      </c>
      <c r="D265" s="9">
        <v>45841</v>
      </c>
      <c r="E265" s="9">
        <v>45870</v>
      </c>
      <c r="F265" s="7" t="s">
        <v>1047</v>
      </c>
      <c r="G265" s="7" t="s">
        <v>1048</v>
      </c>
      <c r="H265" s="7" t="s">
        <v>1049</v>
      </c>
      <c r="I265" s="7" t="s">
        <v>1050</v>
      </c>
      <c r="J265" s="7" t="s">
        <v>34</v>
      </c>
      <c r="K265" s="7" t="s">
        <v>118</v>
      </c>
      <c r="L265" s="10">
        <v>17373.84</v>
      </c>
      <c r="M265" s="10">
        <v>17373.55</v>
      </c>
      <c r="N265" s="10">
        <f>+L265-M265</f>
        <v>0.29000000000087311</v>
      </c>
      <c r="O265" s="10">
        <v>17373.55</v>
      </c>
      <c r="P265" s="10">
        <f>+L265-O265</f>
        <v>0.29000000000087311</v>
      </c>
      <c r="Q265" s="10">
        <v>0</v>
      </c>
      <c r="R265" s="7" t="s">
        <v>27</v>
      </c>
    </row>
    <row r="266" spans="1:18" hidden="1">
      <c r="A266" s="7" t="s">
        <v>29</v>
      </c>
      <c r="B266" s="8">
        <v>19824</v>
      </c>
      <c r="C266" s="9">
        <v>45792.57849537037</v>
      </c>
      <c r="D266" s="9">
        <v>45792</v>
      </c>
      <c r="E266" s="9">
        <v>45790</v>
      </c>
      <c r="F266" s="7" t="s">
        <v>1051</v>
      </c>
      <c r="G266" s="7" t="s">
        <v>1052</v>
      </c>
      <c r="H266" s="7" t="s">
        <v>1053</v>
      </c>
      <c r="I266" s="7" t="s">
        <v>1054</v>
      </c>
      <c r="J266" s="7" t="s">
        <v>34</v>
      </c>
      <c r="K266" s="7" t="s">
        <v>35</v>
      </c>
      <c r="L266" s="10">
        <v>62245.919999999998</v>
      </c>
      <c r="M266" s="10">
        <v>62245.64</v>
      </c>
      <c r="N266" s="10">
        <f>+L266-M266</f>
        <v>0.27999999999883585</v>
      </c>
      <c r="O266" s="10">
        <v>62245.64</v>
      </c>
      <c r="P266" s="10">
        <f>+L266-O266</f>
        <v>0.27999999999883585</v>
      </c>
      <c r="Q266" s="10">
        <v>0</v>
      </c>
      <c r="R266" s="7" t="s">
        <v>27</v>
      </c>
    </row>
    <row r="267" spans="1:18" hidden="1">
      <c r="A267" s="7" t="s">
        <v>29</v>
      </c>
      <c r="B267" s="8">
        <v>19404</v>
      </c>
      <c r="C267" s="9">
        <v>45698.630590277775</v>
      </c>
      <c r="D267" s="9">
        <v>45698</v>
      </c>
      <c r="E267" s="9">
        <v>45730</v>
      </c>
      <c r="F267" s="7" t="s">
        <v>1055</v>
      </c>
      <c r="G267" s="7" t="s">
        <v>1056</v>
      </c>
      <c r="H267" s="7" t="s">
        <v>1057</v>
      </c>
      <c r="I267" s="7" t="s">
        <v>1058</v>
      </c>
      <c r="J267" s="7" t="s">
        <v>34</v>
      </c>
      <c r="K267" s="7" t="s">
        <v>269</v>
      </c>
      <c r="L267" s="10">
        <v>12211.46</v>
      </c>
      <c r="M267" s="10">
        <v>12211.18</v>
      </c>
      <c r="N267" s="10">
        <f>+L267-M267</f>
        <v>0.27999999999883585</v>
      </c>
      <c r="O267" s="10">
        <v>12211.18</v>
      </c>
      <c r="P267" s="10">
        <f>+L267-O267</f>
        <v>0.27999999999883585</v>
      </c>
      <c r="Q267" s="10">
        <v>0</v>
      </c>
      <c r="R267" s="7" t="s">
        <v>27</v>
      </c>
    </row>
    <row r="268" spans="1:18" hidden="1">
      <c r="A268" s="7" t="s">
        <v>29</v>
      </c>
      <c r="B268" s="8">
        <v>19703</v>
      </c>
      <c r="C268" s="9">
        <v>45771.420624999999</v>
      </c>
      <c r="D268" s="9">
        <v>45748</v>
      </c>
      <c r="E268" s="9">
        <v>45720</v>
      </c>
      <c r="F268" s="7" t="s">
        <v>1059</v>
      </c>
      <c r="G268" s="7" t="s">
        <v>1060</v>
      </c>
      <c r="H268" s="7" t="s">
        <v>1061</v>
      </c>
      <c r="I268" s="7" t="s">
        <v>1062</v>
      </c>
      <c r="J268" s="7" t="s">
        <v>176</v>
      </c>
      <c r="K268" s="7" t="s">
        <v>1063</v>
      </c>
      <c r="L268" s="10">
        <v>1956</v>
      </c>
      <c r="M268" s="10">
        <v>1955.82</v>
      </c>
      <c r="N268" s="10">
        <f>+L268-M268</f>
        <v>0.18000000000006366</v>
      </c>
      <c r="O268" s="10">
        <v>1955.82</v>
      </c>
      <c r="P268" s="10">
        <f>+L268-O268</f>
        <v>0.18000000000006366</v>
      </c>
      <c r="Q268" s="10">
        <v>0</v>
      </c>
      <c r="R268" s="7" t="s">
        <v>27</v>
      </c>
    </row>
    <row r="269" spans="1:18" hidden="1">
      <c r="A269" s="7" t="s">
        <v>29</v>
      </c>
      <c r="B269" s="8">
        <v>19544</v>
      </c>
      <c r="C269" s="9">
        <v>45736.365289351852</v>
      </c>
      <c r="D269" s="9">
        <v>45736</v>
      </c>
      <c r="E269" s="9">
        <v>45736</v>
      </c>
      <c r="F269" s="7" t="s">
        <v>1064</v>
      </c>
      <c r="G269" s="7" t="s">
        <v>1065</v>
      </c>
      <c r="H269" s="7" t="s">
        <v>1066</v>
      </c>
      <c r="I269" s="7" t="s">
        <v>1067</v>
      </c>
      <c r="J269" s="7" t="s">
        <v>34</v>
      </c>
      <c r="K269" s="7" t="s">
        <v>35</v>
      </c>
      <c r="L269" s="10">
        <v>3294.97</v>
      </c>
      <c r="M269" s="10">
        <v>3294.8</v>
      </c>
      <c r="N269" s="10">
        <f>+L269-M269</f>
        <v>0.16999999999961801</v>
      </c>
      <c r="O269" s="10">
        <v>3294.8</v>
      </c>
      <c r="P269" s="10">
        <f>+L269-O269</f>
        <v>0.16999999999961801</v>
      </c>
      <c r="Q269" s="10">
        <v>0</v>
      </c>
      <c r="R269" s="7" t="s">
        <v>27</v>
      </c>
    </row>
    <row r="270" spans="1:18" hidden="1">
      <c r="A270" s="7" t="s">
        <v>29</v>
      </c>
      <c r="B270" s="8">
        <v>19625</v>
      </c>
      <c r="C270" s="9">
        <v>45751.69903935185</v>
      </c>
      <c r="D270" s="9">
        <v>45744</v>
      </c>
      <c r="E270" s="9">
        <v>45744</v>
      </c>
      <c r="F270" s="7" t="s">
        <v>1068</v>
      </c>
      <c r="G270" s="7" t="s">
        <v>1069</v>
      </c>
      <c r="H270" s="7" t="s">
        <v>1070</v>
      </c>
      <c r="I270" s="7" t="s">
        <v>1071</v>
      </c>
      <c r="J270" s="7" t="s">
        <v>176</v>
      </c>
      <c r="K270" s="7" t="s">
        <v>494</v>
      </c>
      <c r="L270" s="10">
        <v>860.14</v>
      </c>
      <c r="M270" s="10">
        <v>860</v>
      </c>
      <c r="N270" s="10">
        <f>+L270-M270</f>
        <v>0.13999999999998636</v>
      </c>
      <c r="O270" s="10">
        <v>860</v>
      </c>
      <c r="P270" s="10">
        <f>+L270-O270</f>
        <v>0.13999999999998636</v>
      </c>
      <c r="Q270" s="10">
        <v>0</v>
      </c>
      <c r="R270" s="7" t="s">
        <v>27</v>
      </c>
    </row>
    <row r="271" spans="1:18" hidden="1">
      <c r="A271" s="7" t="s">
        <v>29</v>
      </c>
      <c r="B271" s="8">
        <v>19991</v>
      </c>
      <c r="C271" s="9">
        <v>45827.564386574071</v>
      </c>
      <c r="D271" s="9">
        <v>45827</v>
      </c>
      <c r="E271" s="9">
        <v>45826</v>
      </c>
      <c r="F271" s="7" t="s">
        <v>1072</v>
      </c>
      <c r="G271" s="7" t="s">
        <v>1073</v>
      </c>
      <c r="H271" s="7" t="s">
        <v>1074</v>
      </c>
      <c r="I271" s="7" t="s">
        <v>1075</v>
      </c>
      <c r="J271" s="7" t="s">
        <v>34</v>
      </c>
      <c r="K271" s="7" t="s">
        <v>412</v>
      </c>
      <c r="L271" s="10">
        <v>2908.56</v>
      </c>
      <c r="M271" s="10">
        <v>2908.42</v>
      </c>
      <c r="N271" s="10">
        <f>+L271-M271</f>
        <v>0.13999999999987267</v>
      </c>
      <c r="O271" s="10">
        <v>2908.42</v>
      </c>
      <c r="P271" s="10">
        <f>+L271-O271</f>
        <v>0.13999999999987267</v>
      </c>
      <c r="Q271" s="10">
        <v>0</v>
      </c>
      <c r="R271" s="7" t="s">
        <v>27</v>
      </c>
    </row>
    <row r="272" spans="1:18" hidden="1">
      <c r="A272" s="7" t="s">
        <v>29</v>
      </c>
      <c r="B272" s="8">
        <v>19587</v>
      </c>
      <c r="C272" s="9">
        <v>45744.752071759256</v>
      </c>
      <c r="D272" s="9">
        <v>45777</v>
      </c>
      <c r="E272" s="9">
        <v>45715</v>
      </c>
      <c r="F272" s="7" t="s">
        <v>1076</v>
      </c>
      <c r="G272" s="7" t="s">
        <v>1077</v>
      </c>
      <c r="H272" s="7" t="s">
        <v>160</v>
      </c>
      <c r="I272" s="7" t="s">
        <v>60</v>
      </c>
      <c r="J272" s="7" t="s">
        <v>40</v>
      </c>
      <c r="K272" s="7" t="s">
        <v>41</v>
      </c>
      <c r="L272" s="10">
        <v>424361.18</v>
      </c>
      <c r="M272" s="10">
        <v>424361.05</v>
      </c>
      <c r="N272" s="10">
        <f>+L272-M272</f>
        <v>0.13000000000465661</v>
      </c>
      <c r="O272" s="10">
        <v>424361.05</v>
      </c>
      <c r="P272" s="10">
        <f>+L272-O272</f>
        <v>0.13000000000465661</v>
      </c>
      <c r="Q272" s="10">
        <v>0</v>
      </c>
      <c r="R272" s="7" t="s">
        <v>27</v>
      </c>
    </row>
    <row r="273" spans="1:19" hidden="1">
      <c r="A273" s="7" t="s">
        <v>29</v>
      </c>
      <c r="B273" s="8">
        <v>19572</v>
      </c>
      <c r="C273" s="9">
        <v>45742.660671296297</v>
      </c>
      <c r="D273" s="9">
        <v>45742</v>
      </c>
      <c r="E273" s="9">
        <v>45729</v>
      </c>
      <c r="F273" s="7" t="s">
        <v>1078</v>
      </c>
      <c r="G273" s="7" t="s">
        <v>1079</v>
      </c>
      <c r="H273" s="7" t="s">
        <v>1080</v>
      </c>
      <c r="I273" s="7" t="s">
        <v>1081</v>
      </c>
      <c r="J273" s="7" t="s">
        <v>34</v>
      </c>
      <c r="K273" s="7" t="s">
        <v>990</v>
      </c>
      <c r="L273" s="10">
        <v>6021.69</v>
      </c>
      <c r="M273" s="10">
        <v>6021.57</v>
      </c>
      <c r="N273" s="10">
        <f>+L273-M273</f>
        <v>0.11999999999989086</v>
      </c>
      <c r="O273" s="10">
        <v>6021.57</v>
      </c>
      <c r="P273" s="10">
        <f>+L273-O273</f>
        <v>0.11999999999989086</v>
      </c>
      <c r="Q273" s="10">
        <v>0</v>
      </c>
      <c r="R273" s="7" t="s">
        <v>27</v>
      </c>
    </row>
    <row r="274" spans="1:19" hidden="1">
      <c r="A274" s="7" t="s">
        <v>29</v>
      </c>
      <c r="B274" s="8">
        <v>20271</v>
      </c>
      <c r="C274" s="9">
        <v>45881.365798611107</v>
      </c>
      <c r="D274" s="9">
        <v>45881</v>
      </c>
      <c r="E274" s="9">
        <v>45870</v>
      </c>
      <c r="F274" s="7" t="s">
        <v>1082</v>
      </c>
      <c r="G274" s="7" t="s">
        <v>1083</v>
      </c>
      <c r="H274" s="7" t="s">
        <v>1084</v>
      </c>
      <c r="I274" s="7" t="s">
        <v>1085</v>
      </c>
      <c r="J274" s="7" t="s">
        <v>34</v>
      </c>
      <c r="K274" s="7" t="s">
        <v>990</v>
      </c>
      <c r="L274" s="10">
        <v>12037.19</v>
      </c>
      <c r="M274" s="10">
        <v>12037.08</v>
      </c>
      <c r="N274" s="10">
        <f>+L274-M274</f>
        <v>0.11000000000058208</v>
      </c>
      <c r="O274" s="10">
        <v>12037.08</v>
      </c>
      <c r="P274" s="10">
        <f>+L274-O274</f>
        <v>0.11000000000058208</v>
      </c>
      <c r="Q274" s="10">
        <v>0</v>
      </c>
      <c r="R274" s="7" t="s">
        <v>27</v>
      </c>
    </row>
    <row r="275" spans="1:19" hidden="1">
      <c r="A275" s="7" t="s">
        <v>29</v>
      </c>
      <c r="B275" s="8">
        <v>19952</v>
      </c>
      <c r="C275" s="9">
        <v>45820.475960648146</v>
      </c>
      <c r="D275" s="9">
        <v>45820</v>
      </c>
      <c r="E275" s="9">
        <v>45818</v>
      </c>
      <c r="F275" s="7" t="s">
        <v>1086</v>
      </c>
      <c r="G275" s="7" t="s">
        <v>1087</v>
      </c>
      <c r="H275" s="7" t="s">
        <v>1088</v>
      </c>
      <c r="I275" s="7" t="s">
        <v>1089</v>
      </c>
      <c r="J275" s="7" t="s">
        <v>34</v>
      </c>
      <c r="K275" s="7" t="s">
        <v>990</v>
      </c>
      <c r="L275" s="10">
        <v>2414.7600000000002</v>
      </c>
      <c r="M275" s="10">
        <v>2414.65</v>
      </c>
      <c r="N275" s="10">
        <f>+L275-M275</f>
        <v>0.11000000000012733</v>
      </c>
      <c r="O275" s="10">
        <v>2414.65</v>
      </c>
      <c r="P275" s="10">
        <f>+L275-O275</f>
        <v>0.11000000000012733</v>
      </c>
      <c r="Q275" s="10">
        <v>0</v>
      </c>
      <c r="R275" s="7" t="s">
        <v>27</v>
      </c>
    </row>
    <row r="276" spans="1:19">
      <c r="A276" s="7" t="s">
        <v>29</v>
      </c>
      <c r="B276" s="8">
        <v>19639</v>
      </c>
      <c r="C276" s="9">
        <v>45756.384146909717</v>
      </c>
      <c r="D276" s="9">
        <v>45758</v>
      </c>
      <c r="E276" s="9">
        <v>45758</v>
      </c>
      <c r="F276" s="7" t="s">
        <v>1090</v>
      </c>
      <c r="G276" s="7" t="s">
        <v>1091</v>
      </c>
      <c r="H276" s="7" t="s">
        <v>955</v>
      </c>
      <c r="I276" s="7" t="s">
        <v>435</v>
      </c>
      <c r="J276" s="7" t="s">
        <v>25</v>
      </c>
      <c r="K276" s="7" t="s">
        <v>26</v>
      </c>
      <c r="L276" s="10">
        <v>2255.6</v>
      </c>
      <c r="M276" s="10">
        <v>2255.5</v>
      </c>
      <c r="N276" s="10">
        <f>+L276-M276</f>
        <v>9.9999999999909051E-2</v>
      </c>
      <c r="O276" s="10">
        <v>2255.5</v>
      </c>
      <c r="P276" s="10">
        <f>+L276-O276</f>
        <v>9.9999999999909051E-2</v>
      </c>
      <c r="Q276" s="10">
        <v>0</v>
      </c>
      <c r="R276" s="7" t="s">
        <v>27</v>
      </c>
    </row>
    <row r="277" spans="1:19" hidden="1">
      <c r="A277" s="7" t="s">
        <v>29</v>
      </c>
      <c r="B277" s="8">
        <v>20427</v>
      </c>
      <c r="C277" s="9">
        <v>45909.593518518515</v>
      </c>
      <c r="D277" s="9">
        <v>45909</v>
      </c>
      <c r="E277" s="9">
        <v>45905</v>
      </c>
      <c r="F277" s="7" t="s">
        <v>1092</v>
      </c>
      <c r="G277" s="7" t="s">
        <v>1093</v>
      </c>
      <c r="H277" s="7" t="s">
        <v>988</v>
      </c>
      <c r="I277" s="7" t="s">
        <v>989</v>
      </c>
      <c r="J277" s="7" t="s">
        <v>34</v>
      </c>
      <c r="K277" s="7" t="s">
        <v>990</v>
      </c>
      <c r="L277" s="10">
        <v>2227.33</v>
      </c>
      <c r="M277" s="10">
        <v>2227.23</v>
      </c>
      <c r="N277" s="10">
        <f>+L277-M277</f>
        <v>9.9999999999909051E-2</v>
      </c>
      <c r="O277" s="10">
        <v>2227.23</v>
      </c>
      <c r="P277" s="10">
        <f>+L277-O277</f>
        <v>9.9999999999909051E-2</v>
      </c>
      <c r="Q277" s="10">
        <v>0</v>
      </c>
      <c r="R277" s="7" t="s">
        <v>27</v>
      </c>
    </row>
    <row r="278" spans="1:19" hidden="1">
      <c r="A278" s="7" t="s">
        <v>29</v>
      </c>
      <c r="B278" s="8">
        <v>19960</v>
      </c>
      <c r="C278" s="9">
        <v>45820.690451388888</v>
      </c>
      <c r="D278" s="9">
        <v>45820</v>
      </c>
      <c r="E278" s="9">
        <v>45853</v>
      </c>
      <c r="F278" s="7" t="s">
        <v>1094</v>
      </c>
      <c r="G278" s="7" t="s">
        <v>1095</v>
      </c>
      <c r="H278" s="7" t="s">
        <v>1029</v>
      </c>
      <c r="I278" s="7" t="s">
        <v>1030</v>
      </c>
      <c r="J278" s="7" t="s">
        <v>34</v>
      </c>
      <c r="K278" s="7" t="s">
        <v>118</v>
      </c>
      <c r="L278" s="10">
        <v>1744.27</v>
      </c>
      <c r="M278" s="10">
        <v>1744.17</v>
      </c>
      <c r="N278" s="10">
        <f>+L278-M278</f>
        <v>9.9999999999909051E-2</v>
      </c>
      <c r="O278" s="10">
        <v>1744.17</v>
      </c>
      <c r="P278" s="10">
        <f>+L278-O278</f>
        <v>9.9999999999909051E-2</v>
      </c>
      <c r="Q278" s="10">
        <v>0</v>
      </c>
      <c r="R278" s="7" t="s">
        <v>27</v>
      </c>
    </row>
    <row r="279" spans="1:19" hidden="1">
      <c r="A279" s="7" t="s">
        <v>29</v>
      </c>
      <c r="B279" s="8">
        <v>19328</v>
      </c>
      <c r="C279" s="9">
        <v>45672.614930555552</v>
      </c>
      <c r="D279" s="9">
        <v>45672</v>
      </c>
      <c r="E279" s="9">
        <v>45666</v>
      </c>
      <c r="F279" s="7" t="s">
        <v>1096</v>
      </c>
      <c r="G279" s="7" t="s">
        <v>1097</v>
      </c>
      <c r="H279" s="7" t="s">
        <v>1084</v>
      </c>
      <c r="I279" s="7" t="s">
        <v>1085</v>
      </c>
      <c r="J279" s="7" t="s">
        <v>34</v>
      </c>
      <c r="K279" s="7" t="s">
        <v>990</v>
      </c>
      <c r="L279" s="10">
        <v>5239.95</v>
      </c>
      <c r="M279" s="10">
        <v>5239.8599999999997</v>
      </c>
      <c r="N279" s="10">
        <f>+L279-M279</f>
        <v>9.0000000000145519E-2</v>
      </c>
      <c r="O279" s="10">
        <v>5239.8599999999997</v>
      </c>
      <c r="P279" s="10">
        <f>+L279-O279</f>
        <v>9.0000000000145519E-2</v>
      </c>
      <c r="Q279" s="10">
        <v>0</v>
      </c>
      <c r="R279" s="7" t="s">
        <v>27</v>
      </c>
    </row>
    <row r="280" spans="1:19" hidden="1">
      <c r="A280" s="7" t="s">
        <v>29</v>
      </c>
      <c r="B280" s="8">
        <v>4283</v>
      </c>
      <c r="C280" s="9">
        <v>45964.399791666663</v>
      </c>
      <c r="D280" s="9">
        <v>45951</v>
      </c>
      <c r="E280" s="9">
        <v>45931</v>
      </c>
      <c r="F280" s="7" t="s">
        <v>1098</v>
      </c>
      <c r="G280" s="7" t="s">
        <v>1099</v>
      </c>
      <c r="H280" s="7" t="s">
        <v>293</v>
      </c>
      <c r="I280" s="7" t="s">
        <v>294</v>
      </c>
      <c r="J280" s="7" t="s">
        <v>25</v>
      </c>
      <c r="K280" s="7" t="s">
        <v>86</v>
      </c>
      <c r="L280" s="10">
        <v>32885.620000000003</v>
      </c>
      <c r="M280" s="10">
        <f>+L280*0.88</f>
        <v>28939.345600000004</v>
      </c>
      <c r="N280" s="15">
        <f>+L280-M280</f>
        <v>3946.2743999999984</v>
      </c>
      <c r="O280" s="15">
        <v>32885.54</v>
      </c>
      <c r="P280" s="15">
        <f>+L280-O280</f>
        <v>8.000000000174623E-2</v>
      </c>
      <c r="Q280" s="10">
        <v>0</v>
      </c>
      <c r="R280" s="7" t="s">
        <v>87</v>
      </c>
      <c r="S280" t="s">
        <v>1100</v>
      </c>
    </row>
    <row r="281" spans="1:19" hidden="1">
      <c r="A281" s="7" t="s">
        <v>29</v>
      </c>
      <c r="B281" s="8">
        <v>20542</v>
      </c>
      <c r="C281" s="9">
        <v>45933.3746412037</v>
      </c>
      <c r="D281" s="9">
        <v>45933</v>
      </c>
      <c r="E281" s="9">
        <v>45930</v>
      </c>
      <c r="F281" s="7" t="s">
        <v>1101</v>
      </c>
      <c r="G281" s="7" t="s">
        <v>1102</v>
      </c>
      <c r="H281" s="7" t="s">
        <v>1103</v>
      </c>
      <c r="I281" s="7" t="s">
        <v>1104</v>
      </c>
      <c r="J281" s="7" t="s">
        <v>34</v>
      </c>
      <c r="K281" s="7" t="s">
        <v>269</v>
      </c>
      <c r="L281" s="10">
        <v>3926.56</v>
      </c>
      <c r="M281" s="10">
        <v>3926.48</v>
      </c>
      <c r="N281" s="10">
        <f>+L281-M281</f>
        <v>7.999999999992724E-2</v>
      </c>
      <c r="O281" s="10">
        <v>3926.48</v>
      </c>
      <c r="P281" s="10">
        <f>+L281-O281</f>
        <v>7.999999999992724E-2</v>
      </c>
      <c r="Q281" s="10">
        <v>0</v>
      </c>
      <c r="R281" s="7" t="s">
        <v>27</v>
      </c>
    </row>
    <row r="282" spans="1:19" hidden="1">
      <c r="A282" s="7" t="s">
        <v>29</v>
      </c>
      <c r="B282" s="8">
        <v>20167</v>
      </c>
      <c r="C282" s="9">
        <v>45859.635381944441</v>
      </c>
      <c r="D282" s="9">
        <v>45859</v>
      </c>
      <c r="E282" s="9">
        <v>45859</v>
      </c>
      <c r="F282" s="7" t="s">
        <v>1105</v>
      </c>
      <c r="G282" s="7" t="s">
        <v>1106</v>
      </c>
      <c r="H282" s="7" t="s">
        <v>1107</v>
      </c>
      <c r="I282" s="7" t="s">
        <v>1108</v>
      </c>
      <c r="J282" s="7" t="s">
        <v>34</v>
      </c>
      <c r="K282" s="7" t="s">
        <v>451</v>
      </c>
      <c r="L282" s="10">
        <v>1627</v>
      </c>
      <c r="M282" s="10">
        <v>1626.92</v>
      </c>
      <c r="N282" s="10">
        <f>+L282-M282</f>
        <v>7.999999999992724E-2</v>
      </c>
      <c r="O282" s="10">
        <v>1626.92</v>
      </c>
      <c r="P282" s="10">
        <f>+L282-O282</f>
        <v>7.999999999992724E-2</v>
      </c>
      <c r="Q282" s="10">
        <v>0</v>
      </c>
      <c r="R282" s="7" t="s">
        <v>27</v>
      </c>
    </row>
    <row r="283" spans="1:19" hidden="1">
      <c r="A283" s="7" t="s">
        <v>29</v>
      </c>
      <c r="B283" s="8">
        <v>4195</v>
      </c>
      <c r="C283" s="9">
        <v>45749.578726851847</v>
      </c>
      <c r="D283" s="9">
        <v>45737</v>
      </c>
      <c r="E283" s="9">
        <v>45737</v>
      </c>
      <c r="F283" s="7" t="s">
        <v>1109</v>
      </c>
      <c r="G283" s="7" t="s">
        <v>1110</v>
      </c>
      <c r="H283" s="7" t="s">
        <v>1111</v>
      </c>
      <c r="I283" s="7" t="s">
        <v>1112</v>
      </c>
      <c r="J283" s="7" t="s">
        <v>25</v>
      </c>
      <c r="K283" s="7" t="s">
        <v>86</v>
      </c>
      <c r="L283" s="10">
        <v>35407.03</v>
      </c>
      <c r="M283" s="10">
        <v>35406.959999999999</v>
      </c>
      <c r="N283" s="15">
        <f>+L283-M283</f>
        <v>6.9999999999708962E-2</v>
      </c>
      <c r="O283" s="15">
        <v>35406.959999999999</v>
      </c>
      <c r="P283" s="15">
        <f>+L283-O283</f>
        <v>6.9999999999708962E-2</v>
      </c>
      <c r="Q283" s="10">
        <v>0</v>
      </c>
      <c r="R283" s="7" t="s">
        <v>87</v>
      </c>
    </row>
    <row r="284" spans="1:19" hidden="1">
      <c r="A284" s="7" t="s">
        <v>29</v>
      </c>
      <c r="B284" s="8">
        <v>19400</v>
      </c>
      <c r="C284" s="9">
        <v>45695.720312500001</v>
      </c>
      <c r="D284" s="9">
        <v>45695</v>
      </c>
      <c r="E284" s="9">
        <v>45716</v>
      </c>
      <c r="F284" s="7" t="s">
        <v>1113</v>
      </c>
      <c r="G284" s="7" t="s">
        <v>1114</v>
      </c>
      <c r="H284" s="7" t="s">
        <v>1115</v>
      </c>
      <c r="I284" s="7" t="s">
        <v>1116</v>
      </c>
      <c r="J284" s="7" t="s">
        <v>34</v>
      </c>
      <c r="K284" s="7" t="s">
        <v>269</v>
      </c>
      <c r="L284" s="10">
        <v>2680.33</v>
      </c>
      <c r="M284" s="10">
        <v>2680.26</v>
      </c>
      <c r="N284" s="10">
        <f>+L284-M284</f>
        <v>6.9999999999708962E-2</v>
      </c>
      <c r="O284" s="10">
        <v>2680.26</v>
      </c>
      <c r="P284" s="10">
        <f>+L284-O284</f>
        <v>6.9999999999708962E-2</v>
      </c>
      <c r="Q284" s="10">
        <v>0</v>
      </c>
      <c r="R284" s="7" t="s">
        <v>27</v>
      </c>
    </row>
    <row r="285" spans="1:19" hidden="1">
      <c r="A285" s="7" t="s">
        <v>29</v>
      </c>
      <c r="B285" s="8">
        <v>20183</v>
      </c>
      <c r="C285" s="9">
        <v>45862.657106481478</v>
      </c>
      <c r="D285" s="9">
        <v>45862</v>
      </c>
      <c r="E285" s="9">
        <v>45807</v>
      </c>
      <c r="F285" s="7" t="s">
        <v>1117</v>
      </c>
      <c r="G285" s="7" t="s">
        <v>1118</v>
      </c>
      <c r="H285" s="7" t="s">
        <v>731</v>
      </c>
      <c r="I285" s="7" t="s">
        <v>732</v>
      </c>
      <c r="J285" s="7" t="s">
        <v>34</v>
      </c>
      <c r="K285" s="7" t="s">
        <v>269</v>
      </c>
      <c r="L285" s="10">
        <v>556.99</v>
      </c>
      <c r="M285" s="10">
        <v>556.92999999999995</v>
      </c>
      <c r="N285" s="10">
        <f>+L285-M285</f>
        <v>6.0000000000059117E-2</v>
      </c>
      <c r="O285" s="10">
        <v>556.92999999999995</v>
      </c>
      <c r="P285" s="10">
        <f>+L285-O285</f>
        <v>6.0000000000059117E-2</v>
      </c>
      <c r="Q285" s="10">
        <v>0</v>
      </c>
      <c r="R285" s="7" t="s">
        <v>27</v>
      </c>
    </row>
    <row r="286" spans="1:19" hidden="1">
      <c r="A286" s="7" t="s">
        <v>29</v>
      </c>
      <c r="B286" s="8">
        <v>4325</v>
      </c>
      <c r="C286" s="9">
        <v>46027.713587962964</v>
      </c>
      <c r="D286" s="9">
        <v>46069</v>
      </c>
      <c r="E286" s="9">
        <v>46010</v>
      </c>
      <c r="F286" s="7" t="s">
        <v>1119</v>
      </c>
      <c r="G286" s="7" t="s">
        <v>1120</v>
      </c>
      <c r="H286" s="7" t="s">
        <v>1121</v>
      </c>
      <c r="I286" s="7" t="s">
        <v>615</v>
      </c>
      <c r="J286" s="7" t="s">
        <v>25</v>
      </c>
      <c r="K286" s="7" t="s">
        <v>86</v>
      </c>
      <c r="L286" s="10">
        <v>3920.93</v>
      </c>
      <c r="M286" s="10">
        <v>3920.87</v>
      </c>
      <c r="N286" s="15">
        <f>+L286-M286</f>
        <v>5.999999999994543E-2</v>
      </c>
      <c r="O286" s="15">
        <v>3920.87</v>
      </c>
      <c r="P286" s="15">
        <f>+L286-O286</f>
        <v>5.999999999994543E-2</v>
      </c>
      <c r="Q286" s="10">
        <v>0</v>
      </c>
      <c r="R286" s="7" t="s">
        <v>87</v>
      </c>
    </row>
    <row r="287" spans="1:19" hidden="1">
      <c r="A287" s="7" t="s">
        <v>29</v>
      </c>
      <c r="B287" s="8">
        <v>19327</v>
      </c>
      <c r="C287" s="9">
        <v>45671.581655092588</v>
      </c>
      <c r="D287" s="9">
        <v>45671</v>
      </c>
      <c r="E287" s="9">
        <v>45714</v>
      </c>
      <c r="F287" s="7" t="s">
        <v>1122</v>
      </c>
      <c r="G287" s="7" t="s">
        <v>957</v>
      </c>
      <c r="H287" s="7" t="s">
        <v>1123</v>
      </c>
      <c r="I287" s="7" t="s">
        <v>1124</v>
      </c>
      <c r="J287" s="7" t="s">
        <v>34</v>
      </c>
      <c r="K287" s="7" t="s">
        <v>269</v>
      </c>
      <c r="L287" s="10">
        <v>834.6</v>
      </c>
      <c r="M287" s="10">
        <v>834.55</v>
      </c>
      <c r="N287" s="10">
        <f>+L287-M287</f>
        <v>5.0000000000068212E-2</v>
      </c>
      <c r="O287" s="10">
        <v>834.55</v>
      </c>
      <c r="P287" s="10">
        <f>+L287-O287</f>
        <v>5.0000000000068212E-2</v>
      </c>
      <c r="Q287" s="10">
        <v>0</v>
      </c>
      <c r="R287" s="7" t="s">
        <v>27</v>
      </c>
    </row>
    <row r="288" spans="1:19" hidden="1">
      <c r="A288" s="7" t="s">
        <v>29</v>
      </c>
      <c r="B288" s="8">
        <v>19356</v>
      </c>
      <c r="C288" s="9">
        <v>45684.616782407407</v>
      </c>
      <c r="D288" s="9">
        <v>45684</v>
      </c>
      <c r="E288" s="9">
        <v>45694</v>
      </c>
      <c r="F288" s="7" t="s">
        <v>1125</v>
      </c>
      <c r="G288" s="7" t="s">
        <v>1126</v>
      </c>
      <c r="H288" s="7" t="s">
        <v>1127</v>
      </c>
      <c r="I288" s="7" t="s">
        <v>1128</v>
      </c>
      <c r="J288" s="7" t="s">
        <v>34</v>
      </c>
      <c r="K288" s="7" t="s">
        <v>966</v>
      </c>
      <c r="L288" s="10">
        <v>512.07000000000005</v>
      </c>
      <c r="M288" s="10">
        <v>512.03</v>
      </c>
      <c r="N288" s="10">
        <f>+L288-M288</f>
        <v>4.0000000000077307E-2</v>
      </c>
      <c r="O288" s="10">
        <v>512.03</v>
      </c>
      <c r="P288" s="10">
        <f>+L288-O288</f>
        <v>4.0000000000077307E-2</v>
      </c>
      <c r="Q288" s="10">
        <v>0</v>
      </c>
      <c r="R288" s="7" t="s">
        <v>27</v>
      </c>
    </row>
    <row r="289" spans="1:18" hidden="1">
      <c r="A289" s="7" t="s">
        <v>29</v>
      </c>
      <c r="B289" s="8">
        <v>4280</v>
      </c>
      <c r="C289" s="9">
        <v>45964.398726851847</v>
      </c>
      <c r="D289" s="9">
        <v>45957</v>
      </c>
      <c r="E289" s="9">
        <v>45957</v>
      </c>
      <c r="F289" s="7" t="s">
        <v>1129</v>
      </c>
      <c r="G289" s="7" t="s">
        <v>1130</v>
      </c>
      <c r="H289" s="7" t="s">
        <v>1131</v>
      </c>
      <c r="I289" s="7" t="s">
        <v>915</v>
      </c>
      <c r="J289" s="7" t="s">
        <v>25</v>
      </c>
      <c r="K289" s="7" t="s">
        <v>206</v>
      </c>
      <c r="L289" s="10">
        <v>3771.81</v>
      </c>
      <c r="M289" s="10">
        <v>3771.78</v>
      </c>
      <c r="N289" s="15">
        <f>+L289-M289</f>
        <v>2.9999999999745341E-2</v>
      </c>
      <c r="O289" s="15">
        <v>3771.78</v>
      </c>
      <c r="P289" s="15">
        <f>+L289-O289</f>
        <v>2.9999999999745341E-2</v>
      </c>
      <c r="Q289" s="10">
        <v>0</v>
      </c>
      <c r="R289" s="7" t="s">
        <v>87</v>
      </c>
    </row>
    <row r="290" spans="1:18" hidden="1">
      <c r="A290" s="7" t="s">
        <v>29</v>
      </c>
      <c r="B290" s="8">
        <v>4316</v>
      </c>
      <c r="C290" s="9">
        <v>46003.496678240735</v>
      </c>
      <c r="D290" s="9">
        <v>45965</v>
      </c>
      <c r="E290" s="9">
        <v>46065</v>
      </c>
      <c r="F290" s="7" t="s">
        <v>1132</v>
      </c>
      <c r="G290" s="7" t="s">
        <v>414</v>
      </c>
      <c r="H290" s="7" t="s">
        <v>1133</v>
      </c>
      <c r="I290" s="7" t="s">
        <v>1030</v>
      </c>
      <c r="J290" s="7" t="s">
        <v>25</v>
      </c>
      <c r="K290" s="7" t="s">
        <v>86</v>
      </c>
      <c r="L290" s="10">
        <v>7081.31</v>
      </c>
      <c r="M290" s="10">
        <v>7081.29</v>
      </c>
      <c r="N290" s="15">
        <f>+L290-M290</f>
        <v>2.0000000000436557E-2</v>
      </c>
      <c r="O290" s="15">
        <v>7081.29</v>
      </c>
      <c r="P290" s="15">
        <f>+L290-O290</f>
        <v>2.0000000000436557E-2</v>
      </c>
      <c r="Q290" s="10">
        <v>0</v>
      </c>
      <c r="R290" s="7" t="s">
        <v>87</v>
      </c>
    </row>
    <row r="291" spans="1:18" hidden="1">
      <c r="A291" s="7" t="s">
        <v>29</v>
      </c>
      <c r="B291" s="8">
        <v>4219</v>
      </c>
      <c r="C291" s="9">
        <v>45812.596909722219</v>
      </c>
      <c r="D291" s="9">
        <v>45811</v>
      </c>
      <c r="E291" s="9">
        <v>45812</v>
      </c>
      <c r="F291" s="7" t="s">
        <v>1134</v>
      </c>
      <c r="G291" s="7" t="s">
        <v>1135</v>
      </c>
      <c r="H291" s="7" t="s">
        <v>280</v>
      </c>
      <c r="I291" s="7" t="s">
        <v>205</v>
      </c>
      <c r="J291" s="7" t="s">
        <v>25</v>
      </c>
      <c r="K291" s="7" t="s">
        <v>206</v>
      </c>
      <c r="L291" s="10">
        <v>5663.67</v>
      </c>
      <c r="M291" s="10">
        <v>5663.65</v>
      </c>
      <c r="N291" s="15">
        <f>+L291-M291</f>
        <v>2.0000000000436557E-2</v>
      </c>
      <c r="O291" s="15">
        <v>5663.65</v>
      </c>
      <c r="P291" s="15">
        <f>+L291-O291</f>
        <v>2.0000000000436557E-2</v>
      </c>
      <c r="Q291" s="10">
        <v>0</v>
      </c>
      <c r="R291" s="7" t="s">
        <v>87</v>
      </c>
    </row>
    <row r="292" spans="1:18" hidden="1">
      <c r="A292" s="7" t="s">
        <v>29</v>
      </c>
      <c r="B292" s="8">
        <v>20572</v>
      </c>
      <c r="C292" s="9">
        <v>45943.364178240736</v>
      </c>
      <c r="D292" s="9">
        <v>45943</v>
      </c>
      <c r="E292" s="9">
        <v>45937</v>
      </c>
      <c r="F292" s="7" t="s">
        <v>1136</v>
      </c>
      <c r="G292" s="7" t="s">
        <v>1137</v>
      </c>
      <c r="H292" s="7" t="s">
        <v>1138</v>
      </c>
      <c r="I292" s="7" t="s">
        <v>1139</v>
      </c>
      <c r="J292" s="7" t="s">
        <v>34</v>
      </c>
      <c r="K292" s="7" t="s">
        <v>35</v>
      </c>
      <c r="L292" s="10">
        <v>16516.59</v>
      </c>
      <c r="M292" s="10">
        <v>16516.57</v>
      </c>
      <c r="N292" s="10">
        <f>+L292-M292</f>
        <v>2.0000000000436557E-2</v>
      </c>
      <c r="O292" s="10">
        <v>16516.57</v>
      </c>
      <c r="P292" s="10">
        <f>+L292-O292</f>
        <v>2.0000000000436557E-2</v>
      </c>
      <c r="Q292" s="10">
        <v>0</v>
      </c>
      <c r="R292" s="7" t="s">
        <v>27</v>
      </c>
    </row>
    <row r="293" spans="1:18" hidden="1">
      <c r="A293" s="7" t="s">
        <v>29</v>
      </c>
      <c r="B293" s="8">
        <v>20276</v>
      </c>
      <c r="C293" s="9">
        <v>45881.615474537037</v>
      </c>
      <c r="D293" s="9">
        <v>45881</v>
      </c>
      <c r="E293" s="9">
        <v>45915</v>
      </c>
      <c r="F293" s="7" t="s">
        <v>1140</v>
      </c>
      <c r="G293" s="7" t="s">
        <v>1141</v>
      </c>
      <c r="H293" s="7" t="s">
        <v>951</v>
      </c>
      <c r="I293" s="7" t="s">
        <v>952</v>
      </c>
      <c r="J293" s="7" t="s">
        <v>34</v>
      </c>
      <c r="K293" s="7" t="s">
        <v>35</v>
      </c>
      <c r="L293" s="10">
        <v>12753.59</v>
      </c>
      <c r="M293" s="10">
        <v>12753.57</v>
      </c>
      <c r="N293" s="10">
        <f>+L293-M293</f>
        <v>2.0000000000436557E-2</v>
      </c>
      <c r="O293" s="10">
        <v>12753.57</v>
      </c>
      <c r="P293" s="10">
        <f>+L293-O293</f>
        <v>2.0000000000436557E-2</v>
      </c>
      <c r="Q293" s="10">
        <v>0</v>
      </c>
      <c r="R293" s="7" t="s">
        <v>27</v>
      </c>
    </row>
    <row r="294" spans="1:18">
      <c r="A294" s="7" t="s">
        <v>29</v>
      </c>
      <c r="B294" s="8">
        <v>19522</v>
      </c>
      <c r="C294" s="9">
        <v>45730.35738425926</v>
      </c>
      <c r="D294" s="9">
        <v>45734</v>
      </c>
      <c r="E294" s="9">
        <v>45734</v>
      </c>
      <c r="F294" s="7" t="s">
        <v>1142</v>
      </c>
      <c r="G294" s="7" t="s">
        <v>1143</v>
      </c>
      <c r="H294" s="7" t="s">
        <v>434</v>
      </c>
      <c r="I294" s="7" t="s">
        <v>435</v>
      </c>
      <c r="J294" s="7" t="s">
        <v>25</v>
      </c>
      <c r="K294" s="7" t="s">
        <v>26</v>
      </c>
      <c r="L294" s="10">
        <v>122.06</v>
      </c>
      <c r="M294" s="10">
        <v>122.04</v>
      </c>
      <c r="N294" s="10">
        <f>+L294-M294</f>
        <v>1.9999999999996021E-2</v>
      </c>
      <c r="O294" s="10">
        <v>122.04</v>
      </c>
      <c r="P294" s="10">
        <f>+L294-O294</f>
        <v>1.9999999999996021E-2</v>
      </c>
      <c r="Q294" s="10">
        <v>0</v>
      </c>
      <c r="R294" s="7" t="s">
        <v>27</v>
      </c>
    </row>
    <row r="295" spans="1:18" hidden="1">
      <c r="A295" s="7" t="s">
        <v>29</v>
      </c>
      <c r="B295" s="8">
        <v>19754</v>
      </c>
      <c r="C295" s="9">
        <v>45777.592812499999</v>
      </c>
      <c r="D295" s="9">
        <v>45777</v>
      </c>
      <c r="E295" s="9">
        <v>45772</v>
      </c>
      <c r="F295" s="7" t="s">
        <v>1144</v>
      </c>
      <c r="G295" s="7" t="s">
        <v>1145</v>
      </c>
      <c r="H295" s="7" t="s">
        <v>1146</v>
      </c>
      <c r="I295" s="7" t="s">
        <v>1147</v>
      </c>
      <c r="J295" s="7" t="s">
        <v>34</v>
      </c>
      <c r="K295" s="7" t="s">
        <v>451</v>
      </c>
      <c r="L295" s="10">
        <v>132480.29</v>
      </c>
      <c r="M295" s="10">
        <v>132480.28</v>
      </c>
      <c r="N295" s="10">
        <f>+L295-M295</f>
        <v>1.0000000009313226E-2</v>
      </c>
      <c r="O295" s="10">
        <v>132480.28</v>
      </c>
      <c r="P295" s="10">
        <f>+L295-O295</f>
        <v>1.0000000009313226E-2</v>
      </c>
      <c r="Q295" s="10">
        <v>0</v>
      </c>
      <c r="R295" s="7" t="s">
        <v>27</v>
      </c>
    </row>
    <row r="296" spans="1:18">
      <c r="A296" s="7" t="s">
        <v>29</v>
      </c>
      <c r="B296" s="8">
        <v>20441</v>
      </c>
      <c r="C296" s="9">
        <v>45911.57136574074</v>
      </c>
      <c r="D296" s="9">
        <v>45940</v>
      </c>
      <c r="E296" s="9">
        <v>45911</v>
      </c>
      <c r="F296" s="7" t="s">
        <v>1148</v>
      </c>
      <c r="G296" s="7" t="s">
        <v>1149</v>
      </c>
      <c r="H296" s="7" t="s">
        <v>1150</v>
      </c>
      <c r="I296" s="7" t="s">
        <v>1151</v>
      </c>
      <c r="J296" s="7" t="s">
        <v>25</v>
      </c>
      <c r="K296" s="7" t="s">
        <v>170</v>
      </c>
      <c r="L296" s="10">
        <v>21702.86</v>
      </c>
      <c r="M296" s="10">
        <v>21702.85</v>
      </c>
      <c r="N296" s="10">
        <f>+L296-M296</f>
        <v>1.0000000002037268E-2</v>
      </c>
      <c r="O296" s="10">
        <v>21702.85</v>
      </c>
      <c r="P296" s="10">
        <f>+L296-O296</f>
        <v>1.0000000002037268E-2</v>
      </c>
      <c r="Q296" s="10">
        <v>0</v>
      </c>
      <c r="R296" s="7" t="s">
        <v>27</v>
      </c>
    </row>
    <row r="297" spans="1:18">
      <c r="A297" s="7" t="s">
        <v>29</v>
      </c>
      <c r="B297" s="8">
        <v>20123</v>
      </c>
      <c r="C297" s="9">
        <v>45847.728333333333</v>
      </c>
      <c r="D297" s="9">
        <v>45874</v>
      </c>
      <c r="E297" s="9">
        <v>45821</v>
      </c>
      <c r="F297" s="7" t="s">
        <v>1152</v>
      </c>
      <c r="G297" s="7" t="s">
        <v>1153</v>
      </c>
      <c r="H297" s="7" t="s">
        <v>1154</v>
      </c>
      <c r="I297" s="7" t="s">
        <v>1155</v>
      </c>
      <c r="J297" s="7" t="s">
        <v>25</v>
      </c>
      <c r="K297" s="7" t="s">
        <v>537</v>
      </c>
      <c r="L297" s="10">
        <v>13474.49</v>
      </c>
      <c r="M297" s="10">
        <v>13474.48</v>
      </c>
      <c r="N297" s="10">
        <f>+L297-M297</f>
        <v>1.0000000000218279E-2</v>
      </c>
      <c r="O297" s="10">
        <v>13474.48</v>
      </c>
      <c r="P297" s="10">
        <f>+L297-O297</f>
        <v>1.0000000000218279E-2</v>
      </c>
      <c r="Q297" s="10">
        <v>0</v>
      </c>
      <c r="R297" s="7" t="s">
        <v>27</v>
      </c>
    </row>
    <row r="298" spans="1:18" hidden="1">
      <c r="A298" s="7" t="s">
        <v>29</v>
      </c>
      <c r="B298" s="8">
        <v>4229</v>
      </c>
      <c r="C298" s="9">
        <v>45820.700960648144</v>
      </c>
      <c r="D298" s="9">
        <v>45768</v>
      </c>
      <c r="E298" s="9">
        <v>45873</v>
      </c>
      <c r="F298" s="7" t="s">
        <v>1156</v>
      </c>
      <c r="G298" s="7" t="s">
        <v>1157</v>
      </c>
      <c r="H298" s="7" t="s">
        <v>1158</v>
      </c>
      <c r="I298" s="7" t="s">
        <v>901</v>
      </c>
      <c r="J298" s="7" t="s">
        <v>25</v>
      </c>
      <c r="K298" s="7" t="s">
        <v>125</v>
      </c>
      <c r="L298" s="10">
        <v>10947.36</v>
      </c>
      <c r="M298" s="10">
        <v>10947.35</v>
      </c>
      <c r="N298" s="15">
        <f>+L298-M298</f>
        <v>1.0000000000218279E-2</v>
      </c>
      <c r="O298" s="15">
        <v>10947.35</v>
      </c>
      <c r="P298" s="15">
        <f>+L298-O298</f>
        <v>1.0000000000218279E-2</v>
      </c>
      <c r="Q298" s="10">
        <v>0</v>
      </c>
      <c r="R298" s="7" t="s">
        <v>87</v>
      </c>
    </row>
    <row r="299" spans="1:18">
      <c r="A299" s="7" t="s">
        <v>29</v>
      </c>
      <c r="B299" s="8">
        <v>20202</v>
      </c>
      <c r="C299" s="9">
        <v>45868.683344907404</v>
      </c>
      <c r="D299" s="9">
        <v>45915</v>
      </c>
      <c r="E299" s="9">
        <v>45915</v>
      </c>
      <c r="F299" s="7" t="s">
        <v>1159</v>
      </c>
      <c r="G299" s="7" t="s">
        <v>1160</v>
      </c>
      <c r="H299" s="7" t="s">
        <v>1161</v>
      </c>
      <c r="I299" s="7" t="s">
        <v>1162</v>
      </c>
      <c r="J299" s="7" t="s">
        <v>25</v>
      </c>
      <c r="K299" s="7" t="s">
        <v>55</v>
      </c>
      <c r="L299" s="10">
        <v>4599.43</v>
      </c>
      <c r="M299" s="10">
        <v>4599.42</v>
      </c>
      <c r="N299" s="10">
        <f>+L299-M299</f>
        <v>1.0000000000218279E-2</v>
      </c>
      <c r="O299" s="10">
        <v>4599.42</v>
      </c>
      <c r="P299" s="10">
        <f>+L299-O299</f>
        <v>1.0000000000218279E-2</v>
      </c>
      <c r="Q299" s="10">
        <v>0</v>
      </c>
      <c r="R299" s="7" t="s">
        <v>27</v>
      </c>
    </row>
    <row r="300" spans="1:18">
      <c r="A300" s="7" t="s">
        <v>29</v>
      </c>
      <c r="B300" s="8">
        <v>19296</v>
      </c>
      <c r="C300" s="9">
        <v>45659.441458333335</v>
      </c>
      <c r="D300" s="9">
        <v>45688</v>
      </c>
      <c r="E300" s="9">
        <v>45688</v>
      </c>
      <c r="F300" s="7" t="s">
        <v>1163</v>
      </c>
      <c r="G300" s="7" t="s">
        <v>1164</v>
      </c>
      <c r="H300" s="7" t="s">
        <v>1165</v>
      </c>
      <c r="I300" s="7" t="s">
        <v>1166</v>
      </c>
      <c r="J300" s="7" t="s">
        <v>25</v>
      </c>
      <c r="K300" s="7" t="s">
        <v>26</v>
      </c>
      <c r="L300" s="10">
        <v>2715.96</v>
      </c>
      <c r="M300" s="10">
        <v>2715.95</v>
      </c>
      <c r="N300" s="10">
        <f>+L300-M300</f>
        <v>1.0000000000218279E-2</v>
      </c>
      <c r="O300" s="10">
        <v>2715.95</v>
      </c>
      <c r="P300" s="10">
        <f>+L300-O300</f>
        <v>1.0000000000218279E-2</v>
      </c>
      <c r="Q300" s="10">
        <v>0</v>
      </c>
      <c r="R300" s="7" t="s">
        <v>27</v>
      </c>
    </row>
    <row r="301" spans="1:18" hidden="1">
      <c r="A301" s="7" t="s">
        <v>29</v>
      </c>
      <c r="B301" s="8">
        <v>19444</v>
      </c>
      <c r="C301" s="9">
        <v>45712.696956018517</v>
      </c>
      <c r="D301" s="9">
        <v>45716</v>
      </c>
      <c r="E301" s="9">
        <v>45703</v>
      </c>
      <c r="F301" s="7" t="s">
        <v>1167</v>
      </c>
      <c r="G301" s="7" t="s">
        <v>122</v>
      </c>
      <c r="H301" s="7" t="s">
        <v>1168</v>
      </c>
      <c r="I301" s="7" t="s">
        <v>1169</v>
      </c>
      <c r="J301" s="7" t="s">
        <v>176</v>
      </c>
      <c r="K301" s="7" t="s">
        <v>550</v>
      </c>
      <c r="L301" s="10">
        <v>11356</v>
      </c>
      <c r="M301" s="10">
        <v>11355.99</v>
      </c>
      <c r="N301" s="10">
        <f>+L301-M301</f>
        <v>1.0000000000218279E-2</v>
      </c>
      <c r="O301" s="10">
        <v>11355.99</v>
      </c>
      <c r="P301" s="10">
        <f>+L301-O301</f>
        <v>1.0000000000218279E-2</v>
      </c>
      <c r="Q301" s="10">
        <v>0</v>
      </c>
      <c r="R301" s="7" t="s">
        <v>27</v>
      </c>
    </row>
    <row r="302" spans="1:18" hidden="1">
      <c r="A302" s="7" t="s">
        <v>29</v>
      </c>
      <c r="B302" s="8">
        <v>20618</v>
      </c>
      <c r="C302" s="9">
        <v>45957.463449074072</v>
      </c>
      <c r="D302" s="9">
        <v>45957</v>
      </c>
      <c r="E302" s="9">
        <v>45952</v>
      </c>
      <c r="F302" s="7" t="s">
        <v>1170</v>
      </c>
      <c r="G302" s="7" t="s">
        <v>1171</v>
      </c>
      <c r="H302" s="7" t="s">
        <v>1172</v>
      </c>
      <c r="I302" s="7" t="s">
        <v>1173</v>
      </c>
      <c r="J302" s="7" t="s">
        <v>34</v>
      </c>
      <c r="K302" s="7" t="s">
        <v>35</v>
      </c>
      <c r="L302" s="10">
        <v>10962.5</v>
      </c>
      <c r="M302" s="10">
        <v>10962.49</v>
      </c>
      <c r="N302" s="10">
        <f>+L302-M302</f>
        <v>1.0000000000218279E-2</v>
      </c>
      <c r="O302" s="10">
        <v>10962.49</v>
      </c>
      <c r="P302" s="10">
        <f>+L302-O302</f>
        <v>1.0000000000218279E-2</v>
      </c>
      <c r="Q302" s="10">
        <v>0</v>
      </c>
      <c r="R302" s="7" t="s">
        <v>27</v>
      </c>
    </row>
    <row r="303" spans="1:18" hidden="1">
      <c r="A303" s="7" t="s">
        <v>29</v>
      </c>
      <c r="B303" s="8">
        <v>20623</v>
      </c>
      <c r="C303" s="9">
        <v>45958.576516203699</v>
      </c>
      <c r="D303" s="9">
        <v>45958</v>
      </c>
      <c r="E303" s="9">
        <v>45957</v>
      </c>
      <c r="F303" s="7" t="s">
        <v>1174</v>
      </c>
      <c r="G303" s="7" t="s">
        <v>1175</v>
      </c>
      <c r="H303" s="7" t="s">
        <v>1176</v>
      </c>
      <c r="I303" s="7" t="s">
        <v>1177</v>
      </c>
      <c r="J303" s="7" t="s">
        <v>34</v>
      </c>
      <c r="K303" s="7" t="s">
        <v>105</v>
      </c>
      <c r="L303" s="10">
        <v>10932.4</v>
      </c>
      <c r="M303" s="10">
        <v>10932.39</v>
      </c>
      <c r="N303" s="10">
        <f>+L303-M303</f>
        <v>1.0000000000218279E-2</v>
      </c>
      <c r="O303" s="10">
        <v>10932.39</v>
      </c>
      <c r="P303" s="10">
        <f>+L303-O303</f>
        <v>1.0000000000218279E-2</v>
      </c>
      <c r="Q303" s="10">
        <v>0</v>
      </c>
      <c r="R303" s="7" t="s">
        <v>27</v>
      </c>
    </row>
    <row r="304" spans="1:18" hidden="1">
      <c r="A304" s="7" t="s">
        <v>29</v>
      </c>
      <c r="B304" s="8">
        <v>19441</v>
      </c>
      <c r="C304" s="9">
        <v>45712.661307870367</v>
      </c>
      <c r="D304" s="9">
        <v>45752</v>
      </c>
      <c r="E304" s="9">
        <v>45675</v>
      </c>
      <c r="F304" s="7" t="s">
        <v>1178</v>
      </c>
      <c r="G304" s="7" t="s">
        <v>1179</v>
      </c>
      <c r="H304" s="7" t="s">
        <v>1180</v>
      </c>
      <c r="I304" s="7" t="s">
        <v>1181</v>
      </c>
      <c r="J304" s="7" t="s">
        <v>176</v>
      </c>
      <c r="K304" s="7" t="s">
        <v>550</v>
      </c>
      <c r="L304" s="10">
        <v>9388</v>
      </c>
      <c r="M304" s="10">
        <v>9387.99</v>
      </c>
      <c r="N304" s="10">
        <f>+L304-M304</f>
        <v>1.0000000000218279E-2</v>
      </c>
      <c r="O304" s="10">
        <v>9387.99</v>
      </c>
      <c r="P304" s="10">
        <f>+L304-O304</f>
        <v>1.0000000000218279E-2</v>
      </c>
      <c r="Q304" s="10">
        <v>0</v>
      </c>
      <c r="R304" s="7" t="s">
        <v>27</v>
      </c>
    </row>
    <row r="305" spans="1:18" hidden="1">
      <c r="A305" s="7" t="s">
        <v>29</v>
      </c>
      <c r="B305" s="8">
        <v>20708</v>
      </c>
      <c r="C305" s="9">
        <v>45979.685428240737</v>
      </c>
      <c r="D305" s="9">
        <v>45979</v>
      </c>
      <c r="E305" s="9">
        <v>45982</v>
      </c>
      <c r="F305" s="7" t="s">
        <v>1182</v>
      </c>
      <c r="G305" s="7" t="s">
        <v>1183</v>
      </c>
      <c r="H305" s="7" t="s">
        <v>1184</v>
      </c>
      <c r="I305" s="7" t="s">
        <v>481</v>
      </c>
      <c r="J305" s="7" t="s">
        <v>34</v>
      </c>
      <c r="K305" s="7" t="s">
        <v>105</v>
      </c>
      <c r="L305" s="10">
        <v>8707.06</v>
      </c>
      <c r="M305" s="10">
        <v>8707.0499999999993</v>
      </c>
      <c r="N305" s="10">
        <f>+L305-M305</f>
        <v>1.0000000000218279E-2</v>
      </c>
      <c r="O305" s="10">
        <v>8707.0499999999993</v>
      </c>
      <c r="P305" s="10">
        <f>+L305-O305</f>
        <v>1.0000000000218279E-2</v>
      </c>
      <c r="Q305" s="10">
        <v>0</v>
      </c>
      <c r="R305" s="7" t="s">
        <v>27</v>
      </c>
    </row>
    <row r="306" spans="1:18" hidden="1">
      <c r="A306" s="7" t="s">
        <v>29</v>
      </c>
      <c r="B306" s="8">
        <v>20560</v>
      </c>
      <c r="C306" s="9">
        <v>45939.448472222219</v>
      </c>
      <c r="D306" s="9">
        <v>45939</v>
      </c>
      <c r="E306" s="9">
        <v>45938</v>
      </c>
      <c r="F306" s="7" t="s">
        <v>1185</v>
      </c>
      <c r="G306" s="7" t="s">
        <v>1186</v>
      </c>
      <c r="H306" s="7" t="s">
        <v>1187</v>
      </c>
      <c r="I306" s="7" t="s">
        <v>1188</v>
      </c>
      <c r="J306" s="7" t="s">
        <v>34</v>
      </c>
      <c r="K306" s="7" t="s">
        <v>412</v>
      </c>
      <c r="L306" s="10">
        <v>8462.7199999999993</v>
      </c>
      <c r="M306" s="10">
        <v>8462.7099999999991</v>
      </c>
      <c r="N306" s="10">
        <f>+L306-M306</f>
        <v>1.0000000000218279E-2</v>
      </c>
      <c r="O306" s="10">
        <v>8462.7099999999991</v>
      </c>
      <c r="P306" s="10">
        <f>+L306-O306</f>
        <v>1.0000000000218279E-2</v>
      </c>
      <c r="Q306" s="10">
        <v>0</v>
      </c>
      <c r="R306" s="7" t="s">
        <v>27</v>
      </c>
    </row>
    <row r="307" spans="1:18" hidden="1">
      <c r="A307" s="7" t="s">
        <v>29</v>
      </c>
      <c r="B307" s="8">
        <v>20636</v>
      </c>
      <c r="C307" s="9">
        <v>45959.710081018515</v>
      </c>
      <c r="D307" s="9">
        <v>45959</v>
      </c>
      <c r="E307" s="9">
        <v>45959</v>
      </c>
      <c r="F307" s="7" t="s">
        <v>1189</v>
      </c>
      <c r="G307" s="7" t="s">
        <v>1190</v>
      </c>
      <c r="H307" s="7" t="s">
        <v>1191</v>
      </c>
      <c r="I307" s="7" t="s">
        <v>1192</v>
      </c>
      <c r="J307" s="7" t="s">
        <v>34</v>
      </c>
      <c r="K307" s="7" t="s">
        <v>412</v>
      </c>
      <c r="L307" s="10">
        <v>4598.21</v>
      </c>
      <c r="M307" s="10">
        <v>4598.2</v>
      </c>
      <c r="N307" s="10">
        <f>+L307-M307</f>
        <v>1.0000000000218279E-2</v>
      </c>
      <c r="O307" s="10">
        <v>4598.2</v>
      </c>
      <c r="P307" s="10">
        <f>+L307-O307</f>
        <v>1.0000000000218279E-2</v>
      </c>
      <c r="Q307" s="10">
        <v>0</v>
      </c>
      <c r="R307" s="7" t="s">
        <v>27</v>
      </c>
    </row>
    <row r="308" spans="1:18" hidden="1">
      <c r="A308" s="7" t="s">
        <v>29</v>
      </c>
      <c r="B308" s="8">
        <v>19621</v>
      </c>
      <c r="C308" s="9">
        <v>45751.681238425925</v>
      </c>
      <c r="D308" s="9">
        <v>45742</v>
      </c>
      <c r="E308" s="9">
        <v>45742</v>
      </c>
      <c r="F308" s="7" t="s">
        <v>1193</v>
      </c>
      <c r="G308" s="7" t="s">
        <v>1194</v>
      </c>
      <c r="H308" s="7" t="s">
        <v>1195</v>
      </c>
      <c r="I308" s="7" t="s">
        <v>1196</v>
      </c>
      <c r="J308" s="7" t="s">
        <v>176</v>
      </c>
      <c r="K308" s="7" t="s">
        <v>494</v>
      </c>
      <c r="L308" s="10">
        <v>3669</v>
      </c>
      <c r="M308" s="10">
        <v>3668.99</v>
      </c>
      <c r="N308" s="10">
        <f>+L308-M308</f>
        <v>1.0000000000218279E-2</v>
      </c>
      <c r="O308" s="10">
        <v>3668.99</v>
      </c>
      <c r="P308" s="10">
        <f>+L308-O308</f>
        <v>1.0000000000218279E-2</v>
      </c>
      <c r="Q308" s="10">
        <v>0</v>
      </c>
      <c r="R308" s="7" t="s">
        <v>27</v>
      </c>
    </row>
    <row r="309" spans="1:18" hidden="1">
      <c r="A309" s="7" t="s">
        <v>29</v>
      </c>
      <c r="B309" s="8">
        <v>19786</v>
      </c>
      <c r="C309" s="9">
        <v>45786.40626157407</v>
      </c>
      <c r="D309" s="9">
        <v>45785</v>
      </c>
      <c r="E309" s="9">
        <v>45785</v>
      </c>
      <c r="F309" s="7" t="s">
        <v>1197</v>
      </c>
      <c r="G309" s="7" t="s">
        <v>1198</v>
      </c>
      <c r="H309" s="7" t="s">
        <v>1199</v>
      </c>
      <c r="I309" s="7" t="s">
        <v>1200</v>
      </c>
      <c r="J309" s="7" t="s">
        <v>176</v>
      </c>
      <c r="K309" s="7" t="s">
        <v>494</v>
      </c>
      <c r="L309" s="10">
        <v>199.46</v>
      </c>
      <c r="M309" s="10">
        <v>199.45</v>
      </c>
      <c r="N309" s="10">
        <f>+L309-M309</f>
        <v>1.0000000000019327E-2</v>
      </c>
      <c r="O309" s="10">
        <v>199.45</v>
      </c>
      <c r="P309" s="10">
        <f>+L309-O309</f>
        <v>1.0000000000019327E-2</v>
      </c>
      <c r="Q309" s="10">
        <v>0</v>
      </c>
      <c r="R309" s="7" t="s">
        <v>27</v>
      </c>
    </row>
    <row r="310" spans="1:18">
      <c r="A310" s="7" t="s">
        <v>29</v>
      </c>
      <c r="B310" s="8">
        <v>19879</v>
      </c>
      <c r="C310" s="9">
        <v>45806.352407407408</v>
      </c>
      <c r="D310" s="9">
        <v>45814</v>
      </c>
      <c r="E310" s="9">
        <v>45845</v>
      </c>
      <c r="F310" s="7" t="s">
        <v>1201</v>
      </c>
      <c r="G310" s="7" t="s">
        <v>1202</v>
      </c>
      <c r="H310" s="7" t="s">
        <v>1203</v>
      </c>
      <c r="I310" s="7" t="s">
        <v>1204</v>
      </c>
      <c r="J310" s="7" t="s">
        <v>25</v>
      </c>
      <c r="K310" s="7" t="s">
        <v>26</v>
      </c>
      <c r="L310" s="10">
        <v>1398.24</v>
      </c>
      <c r="M310" s="10">
        <v>1398.23</v>
      </c>
      <c r="N310" s="10">
        <f>+L310-M310</f>
        <v>9.9999999999909051E-3</v>
      </c>
      <c r="O310" s="10">
        <v>1398.23</v>
      </c>
      <c r="P310" s="10">
        <f>+L310-O310</f>
        <v>9.9999999999909051E-3</v>
      </c>
      <c r="Q310" s="10">
        <v>0</v>
      </c>
      <c r="R310" s="7" t="s">
        <v>27</v>
      </c>
    </row>
    <row r="311" spans="1:18">
      <c r="A311" s="7" t="s">
        <v>29</v>
      </c>
      <c r="B311" s="8">
        <v>19857</v>
      </c>
      <c r="C311" s="9">
        <v>45803.350671296292</v>
      </c>
      <c r="D311" s="9">
        <v>45800</v>
      </c>
      <c r="E311" s="9">
        <v>45800</v>
      </c>
      <c r="F311" s="7" t="s">
        <v>1205</v>
      </c>
      <c r="G311" s="7" t="s">
        <v>1206</v>
      </c>
      <c r="H311" s="7" t="s">
        <v>1207</v>
      </c>
      <c r="I311" s="7" t="s">
        <v>1208</v>
      </c>
      <c r="J311" s="7" t="s">
        <v>25</v>
      </c>
      <c r="K311" s="7" t="s">
        <v>537</v>
      </c>
      <c r="L311" s="10">
        <v>659.17</v>
      </c>
      <c r="M311" s="10">
        <v>659.16</v>
      </c>
      <c r="N311" s="10">
        <f>+L311-M311</f>
        <v>9.9999999999909051E-3</v>
      </c>
      <c r="O311" s="10">
        <v>659.16</v>
      </c>
      <c r="P311" s="10">
        <f>+L311-O311</f>
        <v>9.9999999999909051E-3</v>
      </c>
      <c r="Q311" s="10">
        <v>0</v>
      </c>
      <c r="R311" s="7" t="s">
        <v>27</v>
      </c>
    </row>
    <row r="312" spans="1:18" hidden="1">
      <c r="A312" s="7" t="s">
        <v>29</v>
      </c>
      <c r="B312" s="8">
        <v>19776</v>
      </c>
      <c r="C312" s="9">
        <v>45784.421435185184</v>
      </c>
      <c r="D312" s="9">
        <v>45783</v>
      </c>
      <c r="E312" s="9">
        <v>45783</v>
      </c>
      <c r="F312" s="7" t="s">
        <v>1209</v>
      </c>
      <c r="G312" s="7" t="s">
        <v>1210</v>
      </c>
      <c r="H312" s="7" t="s">
        <v>1211</v>
      </c>
      <c r="I312" s="7" t="s">
        <v>1212</v>
      </c>
      <c r="J312" s="7" t="s">
        <v>176</v>
      </c>
      <c r="K312" s="7" t="s">
        <v>494</v>
      </c>
      <c r="L312" s="10">
        <v>1021.3</v>
      </c>
      <c r="M312" s="10">
        <v>1021.29</v>
      </c>
      <c r="N312" s="10">
        <f>+L312-M312</f>
        <v>9.9999999999909051E-3</v>
      </c>
      <c r="O312" s="10">
        <v>1021.29</v>
      </c>
      <c r="P312" s="10">
        <f>+L312-O312</f>
        <v>9.9999999999909051E-3</v>
      </c>
      <c r="Q312" s="10">
        <v>0</v>
      </c>
      <c r="R312" s="7" t="s">
        <v>27</v>
      </c>
    </row>
    <row r="313" spans="1:18" hidden="1">
      <c r="A313" s="7" t="s">
        <v>29</v>
      </c>
      <c r="B313" s="8">
        <v>19856</v>
      </c>
      <c r="C313" s="9">
        <v>45800.438391203701</v>
      </c>
      <c r="D313" s="9">
        <v>45811</v>
      </c>
      <c r="E313" s="9">
        <v>45776</v>
      </c>
      <c r="F313" s="7" t="s">
        <v>1213</v>
      </c>
      <c r="G313" s="7" t="s">
        <v>1214</v>
      </c>
      <c r="H313" s="7" t="s">
        <v>1215</v>
      </c>
      <c r="I313" s="7" t="s">
        <v>1216</v>
      </c>
      <c r="J313" s="7" t="s">
        <v>176</v>
      </c>
      <c r="K313" s="7" t="s">
        <v>584</v>
      </c>
      <c r="L313" s="10">
        <v>1021</v>
      </c>
      <c r="M313" s="10">
        <v>1020.99</v>
      </c>
      <c r="N313" s="10">
        <f>+L313-M313</f>
        <v>9.9999999999909051E-3</v>
      </c>
      <c r="O313" s="10">
        <v>1020.99</v>
      </c>
      <c r="P313" s="10">
        <f>+L313-O313</f>
        <v>9.9999999999909051E-3</v>
      </c>
      <c r="Q313" s="10">
        <v>0</v>
      </c>
      <c r="R313" s="7" t="s">
        <v>27</v>
      </c>
    </row>
    <row r="314" spans="1:18" hidden="1">
      <c r="A314" s="7" t="s">
        <v>29</v>
      </c>
      <c r="B314" s="8">
        <v>19750</v>
      </c>
      <c r="C314" s="9">
        <v>45776.705231481479</v>
      </c>
      <c r="D314" s="9">
        <v>45777</v>
      </c>
      <c r="E314" s="9">
        <v>45770</v>
      </c>
      <c r="F314" s="7" t="s">
        <v>1217</v>
      </c>
      <c r="G314" s="7" t="s">
        <v>1218</v>
      </c>
      <c r="H314" s="7" t="s">
        <v>1219</v>
      </c>
      <c r="I314" s="7" t="s">
        <v>1220</v>
      </c>
      <c r="J314" s="7" t="s">
        <v>176</v>
      </c>
      <c r="K314" s="7" t="s">
        <v>317</v>
      </c>
      <c r="L314" s="10">
        <v>905</v>
      </c>
      <c r="M314" s="10">
        <v>904.99</v>
      </c>
      <c r="N314" s="10">
        <f>+L314-M314</f>
        <v>9.9999999999909051E-3</v>
      </c>
      <c r="O314" s="10">
        <v>904.99</v>
      </c>
      <c r="P314" s="10">
        <f>+L314-O314</f>
        <v>9.9999999999909051E-3</v>
      </c>
      <c r="Q314" s="10">
        <v>0</v>
      </c>
      <c r="R314" s="7" t="s">
        <v>27</v>
      </c>
    </row>
    <row r="315" spans="1:18" hidden="1">
      <c r="A315" s="7" t="s">
        <v>29</v>
      </c>
      <c r="B315" s="8">
        <v>19941</v>
      </c>
      <c r="C315" s="9">
        <v>45818.458773148144</v>
      </c>
      <c r="D315" s="9">
        <v>45817</v>
      </c>
      <c r="E315" s="9">
        <v>45817</v>
      </c>
      <c r="F315" s="7" t="s">
        <v>1221</v>
      </c>
      <c r="G315" s="7" t="s">
        <v>1222</v>
      </c>
      <c r="H315" s="7" t="s">
        <v>1223</v>
      </c>
      <c r="I315" s="7" t="s">
        <v>1224</v>
      </c>
      <c r="J315" s="7" t="s">
        <v>176</v>
      </c>
      <c r="K315" s="7" t="s">
        <v>494</v>
      </c>
      <c r="L315" s="10">
        <v>430</v>
      </c>
      <c r="M315" s="10">
        <v>429.99</v>
      </c>
      <c r="N315" s="10">
        <f>+L315-M315</f>
        <v>9.9999999999909051E-3</v>
      </c>
      <c r="O315" s="10">
        <v>429.99</v>
      </c>
      <c r="P315" s="10">
        <f>+L315-O315</f>
        <v>9.9999999999909051E-3</v>
      </c>
      <c r="Q315" s="10">
        <v>0</v>
      </c>
      <c r="R315" s="7" t="s">
        <v>27</v>
      </c>
    </row>
    <row r="316" spans="1:18" hidden="1">
      <c r="A316" s="7" t="s">
        <v>29</v>
      </c>
      <c r="B316" s="8">
        <v>19626</v>
      </c>
      <c r="C316" s="9">
        <v>45751.701724537037</v>
      </c>
      <c r="D316" s="9">
        <v>45743</v>
      </c>
      <c r="E316" s="9">
        <v>45743</v>
      </c>
      <c r="F316" s="7" t="s">
        <v>1225</v>
      </c>
      <c r="G316" s="7" t="s">
        <v>1226</v>
      </c>
      <c r="H316" s="7" t="s">
        <v>1227</v>
      </c>
      <c r="I316" s="7" t="s">
        <v>1228</v>
      </c>
      <c r="J316" s="7" t="s">
        <v>176</v>
      </c>
      <c r="K316" s="7" t="s">
        <v>494</v>
      </c>
      <c r="L316" s="10">
        <v>423</v>
      </c>
      <c r="M316" s="10">
        <v>422.99</v>
      </c>
      <c r="N316" s="10">
        <f>+L316-M316</f>
        <v>9.9999999999909051E-3</v>
      </c>
      <c r="O316" s="10">
        <v>422.99</v>
      </c>
      <c r="P316" s="10">
        <f>+L316-O316</f>
        <v>9.9999999999909051E-3</v>
      </c>
      <c r="Q316" s="10">
        <v>0</v>
      </c>
      <c r="R316" s="7" t="s">
        <v>27</v>
      </c>
    </row>
    <row r="317" spans="1:18" hidden="1">
      <c r="A317" s="7" t="s">
        <v>29</v>
      </c>
      <c r="B317" s="8">
        <v>19549</v>
      </c>
      <c r="C317" s="9">
        <v>45737.646504629629</v>
      </c>
      <c r="D317" s="9">
        <v>45737</v>
      </c>
      <c r="E317" s="9">
        <v>45768</v>
      </c>
      <c r="F317" s="7" t="s">
        <v>1229</v>
      </c>
      <c r="G317" s="7" t="s">
        <v>1230</v>
      </c>
      <c r="H317" s="7" t="s">
        <v>1029</v>
      </c>
      <c r="I317" s="7" t="s">
        <v>1030</v>
      </c>
      <c r="J317" s="7" t="s">
        <v>34</v>
      </c>
      <c r="K317" s="7" t="s">
        <v>35</v>
      </c>
      <c r="L317" s="10">
        <v>419.55</v>
      </c>
      <c r="M317" s="10">
        <v>419.54</v>
      </c>
      <c r="N317" s="10">
        <f>+L317-M317</f>
        <v>9.9999999999909051E-3</v>
      </c>
      <c r="O317" s="10">
        <v>419.54</v>
      </c>
      <c r="P317" s="10">
        <f>+L317-O317</f>
        <v>9.9999999999909051E-3</v>
      </c>
      <c r="Q317" s="10">
        <v>0</v>
      </c>
      <c r="R317" s="7" t="s">
        <v>27</v>
      </c>
    </row>
    <row r="318" spans="1:18">
      <c r="A318" s="7" t="s">
        <v>29</v>
      </c>
      <c r="B318" s="8">
        <v>19801</v>
      </c>
      <c r="C318" s="9">
        <v>45790.43063657407</v>
      </c>
      <c r="D318" s="9">
        <v>45792</v>
      </c>
      <c r="E318" s="9">
        <v>45786</v>
      </c>
      <c r="F318" s="7" t="s">
        <v>1231</v>
      </c>
      <c r="G318" s="7" t="s">
        <v>1232</v>
      </c>
      <c r="H318" s="7" t="s">
        <v>1233</v>
      </c>
      <c r="I318" s="7" t="s">
        <v>1234</v>
      </c>
      <c r="J318" s="7" t="s">
        <v>25</v>
      </c>
      <c r="K318" s="7" t="s">
        <v>26</v>
      </c>
      <c r="L318" s="10">
        <v>3595.43</v>
      </c>
      <c r="M318" s="10">
        <v>3595.42</v>
      </c>
      <c r="N318" s="10">
        <f>+L318-M318</f>
        <v>9.9999999997635314E-3</v>
      </c>
      <c r="O318" s="10">
        <v>3595.42</v>
      </c>
      <c r="P318" s="10">
        <f>+L318-O318</f>
        <v>9.9999999997635314E-3</v>
      </c>
      <c r="Q318" s="10">
        <v>0</v>
      </c>
      <c r="R318" s="7" t="s">
        <v>27</v>
      </c>
    </row>
    <row r="319" spans="1:18" hidden="1">
      <c r="A319" s="7" t="s">
        <v>29</v>
      </c>
      <c r="B319" s="8">
        <v>20016</v>
      </c>
      <c r="C319" s="9">
        <v>45833.488599537035</v>
      </c>
      <c r="D319" s="9">
        <v>45833</v>
      </c>
      <c r="E319" s="9">
        <v>45863</v>
      </c>
      <c r="F319" s="7" t="s">
        <v>1235</v>
      </c>
      <c r="G319" s="7" t="s">
        <v>1236</v>
      </c>
      <c r="H319" s="7" t="s">
        <v>1237</v>
      </c>
      <c r="I319" s="7" t="s">
        <v>1238</v>
      </c>
      <c r="J319" s="7" t="s">
        <v>34</v>
      </c>
      <c r="K319" s="7" t="s">
        <v>990</v>
      </c>
      <c r="L319" s="10">
        <v>7899.82</v>
      </c>
      <c r="M319" s="10">
        <v>7899.81</v>
      </c>
      <c r="N319" s="10">
        <f>+L319-M319</f>
        <v>9.999999999308784E-3</v>
      </c>
      <c r="O319" s="10">
        <v>7899.81</v>
      </c>
      <c r="P319" s="10">
        <f>+L319-O319</f>
        <v>9.999999999308784E-3</v>
      </c>
      <c r="Q319" s="10">
        <v>0</v>
      </c>
      <c r="R319" s="7" t="s">
        <v>27</v>
      </c>
    </row>
    <row r="320" spans="1:18" hidden="1">
      <c r="A320" s="7" t="s">
        <v>29</v>
      </c>
      <c r="B320" s="8">
        <v>20326</v>
      </c>
      <c r="C320" s="9">
        <v>45895.33394675926</v>
      </c>
      <c r="D320" s="9">
        <v>45895</v>
      </c>
      <c r="E320" s="9">
        <v>45975</v>
      </c>
      <c r="F320" s="7" t="s">
        <v>1239</v>
      </c>
      <c r="G320" s="7" t="s">
        <v>1240</v>
      </c>
      <c r="H320" s="7" t="s">
        <v>1066</v>
      </c>
      <c r="I320" s="7" t="s">
        <v>1067</v>
      </c>
      <c r="J320" s="7" t="s">
        <v>34</v>
      </c>
      <c r="K320" s="7" t="s">
        <v>35</v>
      </c>
      <c r="L320" s="10">
        <v>4373.6099999999997</v>
      </c>
      <c r="M320" s="10">
        <v>4373.6000000000004</v>
      </c>
      <c r="N320" s="10">
        <f>+L320-M320</f>
        <v>9.999999999308784E-3</v>
      </c>
      <c r="O320" s="10">
        <v>4373.6000000000004</v>
      </c>
      <c r="P320" s="10">
        <f>+L320-O320</f>
        <v>9.999999999308784E-3</v>
      </c>
      <c r="Q320" s="10">
        <v>0</v>
      </c>
      <c r="R320" s="7" t="s">
        <v>27</v>
      </c>
    </row>
    <row r="321" spans="1:20">
      <c r="A321" s="7" t="s">
        <v>29</v>
      </c>
      <c r="B321" s="8">
        <v>20520</v>
      </c>
      <c r="C321" s="9">
        <v>45929.560835960649</v>
      </c>
      <c r="D321" s="9">
        <v>45929</v>
      </c>
      <c r="E321" s="9">
        <v>45929</v>
      </c>
      <c r="F321" s="7" t="s">
        <v>1241</v>
      </c>
      <c r="G321" s="7" t="s">
        <v>1242</v>
      </c>
      <c r="H321" s="7" t="s">
        <v>1243</v>
      </c>
      <c r="I321" s="7" t="s">
        <v>1244</v>
      </c>
      <c r="J321" s="7" t="s">
        <v>25</v>
      </c>
      <c r="K321" s="7" t="s">
        <v>26</v>
      </c>
      <c r="L321" s="10">
        <v>25544.5</v>
      </c>
      <c r="M321" s="10">
        <v>24267.27</v>
      </c>
      <c r="N321" s="10">
        <f>+L321-M321</f>
        <v>1277.2299999999996</v>
      </c>
      <c r="O321" s="10">
        <v>25544.49</v>
      </c>
      <c r="P321" s="10">
        <f>+L321-O321</f>
        <v>9.9999999983992893E-3</v>
      </c>
      <c r="Q321" s="10">
        <v>0</v>
      </c>
      <c r="R321" s="7" t="s">
        <v>27</v>
      </c>
      <c r="S321" t="s">
        <v>1245</v>
      </c>
    </row>
    <row r="322" spans="1:20" hidden="1">
      <c r="A322" s="7" t="s">
        <v>29</v>
      </c>
      <c r="B322" s="8">
        <v>20189</v>
      </c>
      <c r="C322" s="9">
        <v>45866.664537037032</v>
      </c>
      <c r="D322" s="9">
        <v>45866</v>
      </c>
      <c r="E322" s="9">
        <v>45898</v>
      </c>
      <c r="F322" s="7" t="s">
        <v>1246</v>
      </c>
      <c r="G322" s="7" t="s">
        <v>1247</v>
      </c>
      <c r="H322" s="7" t="s">
        <v>1248</v>
      </c>
      <c r="I322" s="7" t="s">
        <v>1249</v>
      </c>
      <c r="J322" s="7" t="s">
        <v>34</v>
      </c>
      <c r="K322" s="7" t="s">
        <v>269</v>
      </c>
      <c r="L322" s="10">
        <v>9492.7099999999991</v>
      </c>
      <c r="M322" s="10">
        <v>9492.7000000000007</v>
      </c>
      <c r="N322" s="10">
        <f>+L322-M322</f>
        <v>9.9999999983992893E-3</v>
      </c>
      <c r="O322" s="10">
        <v>9492.7000000000007</v>
      </c>
      <c r="P322" s="10">
        <f>+L322-O322</f>
        <v>9.9999999983992893E-3</v>
      </c>
      <c r="Q322" s="10">
        <v>0</v>
      </c>
      <c r="R322" s="7" t="s">
        <v>27</v>
      </c>
    </row>
    <row r="323" spans="1:20">
      <c r="A323" s="7" t="s">
        <v>29</v>
      </c>
      <c r="B323" s="8">
        <v>20521</v>
      </c>
      <c r="C323" s="9">
        <v>45929.561000925925</v>
      </c>
      <c r="D323" s="9">
        <v>45929</v>
      </c>
      <c r="E323" s="9">
        <v>45929</v>
      </c>
      <c r="F323" s="7" t="s">
        <v>1250</v>
      </c>
      <c r="G323" s="7" t="s">
        <v>1251</v>
      </c>
      <c r="H323" s="7" t="s">
        <v>1243</v>
      </c>
      <c r="I323" s="7" t="s">
        <v>1244</v>
      </c>
      <c r="J323" s="7" t="s">
        <v>25</v>
      </c>
      <c r="K323" s="7" t="s">
        <v>26</v>
      </c>
      <c r="L323" s="10">
        <v>47578.06</v>
      </c>
      <c r="M323" s="10">
        <v>45199.16</v>
      </c>
      <c r="N323" s="10">
        <f>+L323-M323</f>
        <v>2378.8999999999942</v>
      </c>
      <c r="O323" s="10">
        <v>47578.05</v>
      </c>
      <c r="P323" s="10">
        <f>+L323-O323</f>
        <v>9.9999999947613105E-3</v>
      </c>
      <c r="Q323" s="10">
        <v>0</v>
      </c>
      <c r="R323" s="7" t="s">
        <v>27</v>
      </c>
      <c r="S323" t="s">
        <v>1245</v>
      </c>
    </row>
    <row r="324" spans="1:20" hidden="1">
      <c r="A324" s="7" t="s">
        <v>29</v>
      </c>
      <c r="B324" s="8">
        <v>20455</v>
      </c>
      <c r="C324" s="9">
        <v>45917.365289351852</v>
      </c>
      <c r="D324" s="9">
        <v>45751</v>
      </c>
      <c r="E324" s="9">
        <v>45866</v>
      </c>
      <c r="F324" s="7" t="s">
        <v>1252</v>
      </c>
      <c r="G324" s="7" t="s">
        <v>1253</v>
      </c>
      <c r="H324" s="7" t="s">
        <v>1254</v>
      </c>
      <c r="I324" s="7" t="s">
        <v>1255</v>
      </c>
      <c r="J324" s="7" t="s">
        <v>40</v>
      </c>
      <c r="K324" s="7" t="s">
        <v>41</v>
      </c>
      <c r="L324" s="10">
        <v>1110000</v>
      </c>
      <c r="M324" s="10">
        <v>582749.36</v>
      </c>
      <c r="N324" s="10">
        <f>+L324-M324</f>
        <v>527250.64</v>
      </c>
      <c r="O324" s="10">
        <v>1110000</v>
      </c>
      <c r="P324" s="10">
        <f>+L324-O324</f>
        <v>0</v>
      </c>
      <c r="Q324" s="10">
        <v>0</v>
      </c>
      <c r="R324" s="7" t="s">
        <v>27</v>
      </c>
    </row>
    <row r="325" spans="1:20" hidden="1">
      <c r="A325" s="7" t="s">
        <v>29</v>
      </c>
      <c r="B325" s="8">
        <v>19928</v>
      </c>
      <c r="C325" s="9">
        <v>45813.461388888885</v>
      </c>
      <c r="D325" s="9">
        <v>45813</v>
      </c>
      <c r="E325" s="9">
        <v>45596</v>
      </c>
      <c r="F325" s="7" t="s">
        <v>1256</v>
      </c>
      <c r="G325" s="7" t="s">
        <v>1257</v>
      </c>
      <c r="H325" s="7" t="s">
        <v>980</v>
      </c>
      <c r="I325" s="7" t="s">
        <v>981</v>
      </c>
      <c r="J325" s="7" t="s">
        <v>34</v>
      </c>
      <c r="K325" s="7" t="s">
        <v>118</v>
      </c>
      <c r="L325" s="10">
        <v>490480.81</v>
      </c>
      <c r="M325" s="10">
        <v>305479.65000000002</v>
      </c>
      <c r="N325" s="10">
        <f>+L325-M325</f>
        <v>185001.15999999997</v>
      </c>
      <c r="O325" s="10">
        <v>490480.81</v>
      </c>
      <c r="P325" s="10">
        <f>+L325-O325</f>
        <v>0</v>
      </c>
      <c r="Q325" s="10">
        <v>0</v>
      </c>
      <c r="R325" s="7" t="s">
        <v>27</v>
      </c>
    </row>
    <row r="326" spans="1:20" hidden="1">
      <c r="A326" s="7" t="s">
        <v>29</v>
      </c>
      <c r="B326" s="8">
        <v>20396</v>
      </c>
      <c r="C326" s="9">
        <v>45903.599097222221</v>
      </c>
      <c r="D326" s="9">
        <v>45903</v>
      </c>
      <c r="E326" s="9">
        <v>45861</v>
      </c>
      <c r="F326" s="7" t="s">
        <v>1258</v>
      </c>
      <c r="G326" s="7" t="s">
        <v>1259</v>
      </c>
      <c r="H326" s="7" t="s">
        <v>980</v>
      </c>
      <c r="I326" s="7" t="s">
        <v>981</v>
      </c>
      <c r="J326" s="7" t="s">
        <v>34</v>
      </c>
      <c r="K326" s="7" t="s">
        <v>118</v>
      </c>
      <c r="L326" s="10">
        <v>258461.71</v>
      </c>
      <c r="M326" s="10">
        <v>100000</v>
      </c>
      <c r="N326" s="10">
        <f>+L326-M326</f>
        <v>158461.71</v>
      </c>
      <c r="O326" s="10">
        <v>258461.71</v>
      </c>
      <c r="P326" s="10">
        <f>+L326-O326</f>
        <v>0</v>
      </c>
      <c r="Q326" s="10">
        <v>0</v>
      </c>
      <c r="R326" s="7" t="s">
        <v>27</v>
      </c>
    </row>
    <row r="327" spans="1:20" hidden="1">
      <c r="A327" s="7" t="s">
        <v>29</v>
      </c>
      <c r="B327" s="8">
        <v>20421</v>
      </c>
      <c r="C327" s="9">
        <v>45909.364687499998</v>
      </c>
      <c r="D327" s="9">
        <v>45903</v>
      </c>
      <c r="E327" s="9">
        <v>45777</v>
      </c>
      <c r="F327" s="7" t="s">
        <v>1260</v>
      </c>
      <c r="G327" s="7" t="s">
        <v>1261</v>
      </c>
      <c r="H327" s="7" t="s">
        <v>1262</v>
      </c>
      <c r="I327" s="7" t="s">
        <v>100</v>
      </c>
      <c r="J327" s="7" t="s">
        <v>40</v>
      </c>
      <c r="K327" s="7" t="s">
        <v>41</v>
      </c>
      <c r="L327" s="10">
        <v>418999.91</v>
      </c>
      <c r="M327" s="10">
        <v>272349.94</v>
      </c>
      <c r="N327" s="10">
        <f>+L327-M327</f>
        <v>146649.96999999997</v>
      </c>
      <c r="O327" s="10">
        <v>418999.91</v>
      </c>
      <c r="P327" s="10">
        <f>+L327-O327</f>
        <v>0</v>
      </c>
      <c r="Q327" s="10">
        <v>0</v>
      </c>
      <c r="R327" s="7" t="s">
        <v>27</v>
      </c>
    </row>
    <row r="328" spans="1:20">
      <c r="A328" s="7" t="s">
        <v>29</v>
      </c>
      <c r="B328" s="8">
        <v>19480</v>
      </c>
      <c r="C328" s="9">
        <v>45716.58917673611</v>
      </c>
      <c r="D328" s="9">
        <v>45751</v>
      </c>
      <c r="E328" s="9">
        <v>45409</v>
      </c>
      <c r="F328" s="7" t="s">
        <v>1263</v>
      </c>
      <c r="G328" s="7" t="s">
        <v>1264</v>
      </c>
      <c r="H328" s="7" t="s">
        <v>480</v>
      </c>
      <c r="I328" s="7" t="s">
        <v>481</v>
      </c>
      <c r="J328" s="7" t="s">
        <v>25</v>
      </c>
      <c r="K328" s="7" t="s">
        <v>26</v>
      </c>
      <c r="L328" s="10">
        <v>500000</v>
      </c>
      <c r="M328" s="10">
        <v>368750</v>
      </c>
      <c r="N328" s="10">
        <f>+L328-M328</f>
        <v>131250</v>
      </c>
      <c r="O328" s="10">
        <v>500000</v>
      </c>
      <c r="P328" s="10">
        <f>+L328-O328</f>
        <v>0</v>
      </c>
      <c r="Q328" s="10">
        <v>0</v>
      </c>
      <c r="R328" s="7" t="s">
        <v>27</v>
      </c>
      <c r="S328" t="s">
        <v>1265</v>
      </c>
    </row>
    <row r="329" spans="1:20" hidden="1">
      <c r="A329" s="7" t="s">
        <v>29</v>
      </c>
      <c r="B329" s="8">
        <v>20227</v>
      </c>
      <c r="C329" s="9">
        <v>45873.674618055556</v>
      </c>
      <c r="D329" s="9">
        <v>45873</v>
      </c>
      <c r="E329" s="9">
        <v>45884</v>
      </c>
      <c r="F329" s="7" t="s">
        <v>1266</v>
      </c>
      <c r="G329" s="7" t="s">
        <v>1267</v>
      </c>
      <c r="H329" s="7" t="s">
        <v>689</v>
      </c>
      <c r="I329" s="7" t="s">
        <v>690</v>
      </c>
      <c r="J329" s="7" t="s">
        <v>34</v>
      </c>
      <c r="K329" s="7" t="s">
        <v>472</v>
      </c>
      <c r="L329" s="10">
        <v>132498.32</v>
      </c>
      <c r="M329" s="10">
        <v>35177</v>
      </c>
      <c r="N329" s="10">
        <f>+L329-M329</f>
        <v>97321.32</v>
      </c>
      <c r="O329" s="10">
        <v>132498.32</v>
      </c>
      <c r="P329" s="10">
        <f>+L329-O329</f>
        <v>0</v>
      </c>
      <c r="Q329" s="10">
        <v>0</v>
      </c>
      <c r="R329" s="7" t="s">
        <v>27</v>
      </c>
    </row>
    <row r="330" spans="1:20">
      <c r="A330" s="7" t="s">
        <v>29</v>
      </c>
      <c r="B330" s="8">
        <v>19846</v>
      </c>
      <c r="C330" s="9">
        <v>45798.564273530093</v>
      </c>
      <c r="D330" s="9">
        <v>45838</v>
      </c>
      <c r="E330" s="9">
        <v>45552</v>
      </c>
      <c r="F330" s="7" t="s">
        <v>1268</v>
      </c>
      <c r="G330" s="7" t="s">
        <v>1269</v>
      </c>
      <c r="H330" s="7" t="s">
        <v>868</v>
      </c>
      <c r="I330" s="7" t="s">
        <v>869</v>
      </c>
      <c r="J330" s="7" t="s">
        <v>25</v>
      </c>
      <c r="K330" s="7" t="s">
        <v>26</v>
      </c>
      <c r="L330" s="10">
        <v>404499.99</v>
      </c>
      <c r="M330" s="10">
        <v>310100</v>
      </c>
      <c r="N330" s="10">
        <f>+L330-M330</f>
        <v>94399.989999999991</v>
      </c>
      <c r="O330" s="10">
        <v>404499.99</v>
      </c>
      <c r="P330" s="10">
        <f>+L330-O330</f>
        <v>0</v>
      </c>
      <c r="Q330" s="10">
        <v>0</v>
      </c>
      <c r="R330" s="7" t="s">
        <v>27</v>
      </c>
      <c r="S330" t="s">
        <v>1270</v>
      </c>
    </row>
    <row r="331" spans="1:20">
      <c r="A331" s="7" t="s">
        <v>29</v>
      </c>
      <c r="B331" s="8">
        <v>20406</v>
      </c>
      <c r="C331" s="9">
        <v>45908.407252743054</v>
      </c>
      <c r="D331" s="9">
        <v>45952</v>
      </c>
      <c r="E331" s="9">
        <v>45902</v>
      </c>
      <c r="F331" s="7" t="s">
        <v>1271</v>
      </c>
      <c r="G331" s="7" t="s">
        <v>1272</v>
      </c>
      <c r="H331" s="7" t="s">
        <v>480</v>
      </c>
      <c r="I331" s="7" t="s">
        <v>481</v>
      </c>
      <c r="J331" s="7" t="s">
        <v>25</v>
      </c>
      <c r="K331" s="7" t="s">
        <v>26</v>
      </c>
      <c r="L331" s="10">
        <v>123646.52</v>
      </c>
      <c r="M331" s="10">
        <v>43276.28</v>
      </c>
      <c r="N331" s="10">
        <f>+L331-M331</f>
        <v>80370.240000000005</v>
      </c>
      <c r="O331" s="10">
        <v>123646.52</v>
      </c>
      <c r="P331" s="10">
        <f>+L331-O331</f>
        <v>0</v>
      </c>
      <c r="Q331" s="10">
        <v>74187.899999999994</v>
      </c>
      <c r="R331" s="7" t="s">
        <v>27</v>
      </c>
      <c r="S331" t="s">
        <v>1265</v>
      </c>
    </row>
    <row r="332" spans="1:20" hidden="1">
      <c r="A332" s="7" t="s">
        <v>29</v>
      </c>
      <c r="B332" s="8">
        <v>20039</v>
      </c>
      <c r="C332" s="9">
        <v>45835.678067129629</v>
      </c>
      <c r="D332" s="9">
        <v>45835</v>
      </c>
      <c r="E332" s="9">
        <v>45835</v>
      </c>
      <c r="F332" s="7" t="s">
        <v>1273</v>
      </c>
      <c r="G332" s="7" t="s">
        <v>1274</v>
      </c>
      <c r="H332" s="7" t="s">
        <v>681</v>
      </c>
      <c r="I332" s="7" t="s">
        <v>54</v>
      </c>
      <c r="J332" s="7" t="s">
        <v>34</v>
      </c>
      <c r="K332" s="7" t="s">
        <v>472</v>
      </c>
      <c r="L332" s="10">
        <v>109998.93</v>
      </c>
      <c r="M332" s="10">
        <v>32999.68</v>
      </c>
      <c r="N332" s="10">
        <f>+L332-M332</f>
        <v>76999.25</v>
      </c>
      <c r="O332" s="10">
        <v>109998.93</v>
      </c>
      <c r="P332" s="10">
        <f>+L332-O332</f>
        <v>0</v>
      </c>
      <c r="Q332" s="10">
        <v>0</v>
      </c>
      <c r="R332" s="7" t="s">
        <v>27</v>
      </c>
    </row>
    <row r="333" spans="1:20" hidden="1">
      <c r="A333" s="7" t="s">
        <v>29</v>
      </c>
      <c r="B333" s="8">
        <v>20075</v>
      </c>
      <c r="C333" s="9">
        <v>45839.737013888887</v>
      </c>
      <c r="D333" s="9">
        <v>45839</v>
      </c>
      <c r="E333" s="9">
        <v>45870</v>
      </c>
      <c r="F333" s="7" t="s">
        <v>1275</v>
      </c>
      <c r="G333" s="7" t="s">
        <v>1276</v>
      </c>
      <c r="H333" s="7" t="s">
        <v>276</v>
      </c>
      <c r="I333" s="7" t="s">
        <v>277</v>
      </c>
      <c r="J333" s="7" t="s">
        <v>34</v>
      </c>
      <c r="K333" s="7" t="s">
        <v>35</v>
      </c>
      <c r="L333" s="10">
        <v>72667.83</v>
      </c>
      <c r="M333" s="10">
        <v>0</v>
      </c>
      <c r="N333" s="10">
        <f>+L333-M333</f>
        <v>72667.83</v>
      </c>
      <c r="O333" s="10">
        <v>72667.83</v>
      </c>
      <c r="P333" s="10">
        <f>+L333-O333</f>
        <v>0</v>
      </c>
      <c r="Q333" s="10">
        <v>0</v>
      </c>
      <c r="R333" s="7" t="s">
        <v>27</v>
      </c>
    </row>
    <row r="334" spans="1:20" hidden="1">
      <c r="A334" s="7" t="s">
        <v>29</v>
      </c>
      <c r="B334" s="8">
        <v>20730</v>
      </c>
      <c r="C334" s="9">
        <v>45988.61513888889</v>
      </c>
      <c r="D334" s="9">
        <v>45988</v>
      </c>
      <c r="E334" s="9">
        <v>45986</v>
      </c>
      <c r="F334" s="7" t="s">
        <v>1277</v>
      </c>
      <c r="G334" s="7" t="s">
        <v>1278</v>
      </c>
      <c r="H334" s="7" t="s">
        <v>1279</v>
      </c>
      <c r="I334" s="7" t="s">
        <v>1280</v>
      </c>
      <c r="J334" s="7" t="s">
        <v>34</v>
      </c>
      <c r="K334" s="7" t="s">
        <v>412</v>
      </c>
      <c r="L334" s="10">
        <v>85299.11</v>
      </c>
      <c r="M334" s="10">
        <v>17059.82</v>
      </c>
      <c r="N334" s="10">
        <f>+L334-M334</f>
        <v>68239.290000000008</v>
      </c>
      <c r="O334" s="10">
        <v>85299.11</v>
      </c>
      <c r="P334" s="10">
        <f>+L334-O334</f>
        <v>0</v>
      </c>
      <c r="Q334" s="10">
        <v>0</v>
      </c>
      <c r="R334" s="7" t="s">
        <v>27</v>
      </c>
      <c r="T334" s="13"/>
    </row>
    <row r="335" spans="1:20" hidden="1">
      <c r="A335" s="7" t="s">
        <v>29</v>
      </c>
      <c r="B335" s="8">
        <v>20635</v>
      </c>
      <c r="C335" s="9">
        <v>45959.698032407403</v>
      </c>
      <c r="D335" s="9">
        <v>45959</v>
      </c>
      <c r="E335" s="9">
        <v>45951</v>
      </c>
      <c r="F335" s="7" t="s">
        <v>1281</v>
      </c>
      <c r="G335" s="7" t="s">
        <v>1282</v>
      </c>
      <c r="H335" s="7" t="s">
        <v>1283</v>
      </c>
      <c r="I335" s="7" t="s">
        <v>1284</v>
      </c>
      <c r="J335" s="7" t="s">
        <v>34</v>
      </c>
      <c r="K335" s="7" t="s">
        <v>105</v>
      </c>
      <c r="L335" s="10">
        <v>63180.160000000003</v>
      </c>
      <c r="M335" s="10">
        <v>12636.03</v>
      </c>
      <c r="N335" s="10">
        <f>+L335-M335</f>
        <v>50544.130000000005</v>
      </c>
      <c r="O335" s="10">
        <v>63180.160000000003</v>
      </c>
      <c r="P335" s="10">
        <f>+L335-O335</f>
        <v>0</v>
      </c>
      <c r="Q335" s="10">
        <v>0</v>
      </c>
      <c r="R335" s="7" t="s">
        <v>27</v>
      </c>
    </row>
    <row r="336" spans="1:20" hidden="1">
      <c r="A336" s="7" t="s">
        <v>29</v>
      </c>
      <c r="B336" s="8">
        <v>20617</v>
      </c>
      <c r="C336" s="9">
        <v>45957.450659722221</v>
      </c>
      <c r="D336" s="9">
        <v>45957</v>
      </c>
      <c r="E336" s="9">
        <v>45989</v>
      </c>
      <c r="F336" s="7" t="s">
        <v>1285</v>
      </c>
      <c r="G336" s="7" t="s">
        <v>1286</v>
      </c>
      <c r="H336" s="7" t="s">
        <v>276</v>
      </c>
      <c r="I336" s="7" t="s">
        <v>277</v>
      </c>
      <c r="J336" s="7" t="s">
        <v>34</v>
      </c>
      <c r="K336" s="7" t="s">
        <v>35</v>
      </c>
      <c r="L336" s="10">
        <v>50518.51</v>
      </c>
      <c r="M336" s="10">
        <v>0</v>
      </c>
      <c r="N336" s="10">
        <f>+L336-M336</f>
        <v>50518.51</v>
      </c>
      <c r="O336" s="10">
        <v>50518.51</v>
      </c>
      <c r="P336" s="10">
        <f>+L336-O336</f>
        <v>0</v>
      </c>
      <c r="Q336" s="10">
        <v>0</v>
      </c>
      <c r="R336" s="7" t="s">
        <v>27</v>
      </c>
    </row>
    <row r="337" spans="1:19" hidden="1">
      <c r="A337" s="7" t="s">
        <v>29</v>
      </c>
      <c r="B337" s="8">
        <v>20340</v>
      </c>
      <c r="C337" s="9">
        <v>45896.6483912037</v>
      </c>
      <c r="D337" s="9">
        <v>45896</v>
      </c>
      <c r="E337" s="9">
        <v>45926</v>
      </c>
      <c r="F337" s="7" t="s">
        <v>1287</v>
      </c>
      <c r="G337" s="7" t="s">
        <v>1288</v>
      </c>
      <c r="H337" s="7" t="s">
        <v>1289</v>
      </c>
      <c r="I337" s="7" t="s">
        <v>1290</v>
      </c>
      <c r="J337" s="7" t="s">
        <v>34</v>
      </c>
      <c r="K337" s="7" t="s">
        <v>451</v>
      </c>
      <c r="L337" s="10">
        <v>205045.77</v>
      </c>
      <c r="M337" s="10">
        <v>164036.62</v>
      </c>
      <c r="N337" s="10">
        <f>+L337-M337</f>
        <v>41009.149999999994</v>
      </c>
      <c r="O337" s="10">
        <v>205045.77</v>
      </c>
      <c r="P337" s="10">
        <f>+L337-O337</f>
        <v>0</v>
      </c>
      <c r="Q337" s="10">
        <v>0</v>
      </c>
      <c r="R337" s="7" t="s">
        <v>27</v>
      </c>
    </row>
    <row r="338" spans="1:19">
      <c r="A338" s="7" t="s">
        <v>29</v>
      </c>
      <c r="B338" s="8">
        <v>20470</v>
      </c>
      <c r="C338" s="9">
        <v>45918.613923611112</v>
      </c>
      <c r="D338" s="9">
        <v>45989</v>
      </c>
      <c r="E338" s="9">
        <v>45917</v>
      </c>
      <c r="F338" s="7" t="s">
        <v>1291</v>
      </c>
      <c r="G338" s="7" t="s">
        <v>1292</v>
      </c>
      <c r="H338" s="7" t="s">
        <v>1293</v>
      </c>
      <c r="I338" s="7" t="s">
        <v>1294</v>
      </c>
      <c r="J338" s="7" t="s">
        <v>25</v>
      </c>
      <c r="K338" s="7" t="s">
        <v>26</v>
      </c>
      <c r="L338" s="10">
        <v>67192.23</v>
      </c>
      <c r="M338" s="10">
        <v>26876.9</v>
      </c>
      <c r="N338" s="10">
        <f>+L338-M338</f>
        <v>40315.329999999994</v>
      </c>
      <c r="O338" s="10">
        <v>67192.23</v>
      </c>
      <c r="P338" s="10">
        <f>+L338-O338</f>
        <v>0</v>
      </c>
      <c r="Q338" s="10">
        <v>0</v>
      </c>
      <c r="R338" s="7" t="s">
        <v>27</v>
      </c>
      <c r="S338" t="s">
        <v>1270</v>
      </c>
    </row>
    <row r="339" spans="1:19" hidden="1">
      <c r="A339" s="7" t="s">
        <v>29</v>
      </c>
      <c r="B339" s="8">
        <v>4307</v>
      </c>
      <c r="C339" s="9">
        <v>45987.599694988421</v>
      </c>
      <c r="D339" s="9">
        <v>46017</v>
      </c>
      <c r="E339" s="9">
        <v>46017</v>
      </c>
      <c r="F339" s="7" t="s">
        <v>1295</v>
      </c>
      <c r="G339" s="7" t="s">
        <v>1296</v>
      </c>
      <c r="H339" s="7" t="s">
        <v>1297</v>
      </c>
      <c r="I339" s="7" t="s">
        <v>1298</v>
      </c>
      <c r="J339" s="7" t="s">
        <v>25</v>
      </c>
      <c r="K339" s="7" t="s">
        <v>206</v>
      </c>
      <c r="L339" s="10">
        <v>37894.370000000003</v>
      </c>
      <c r="M339" s="10">
        <v>0</v>
      </c>
      <c r="N339" s="15">
        <f>+L339-M339</f>
        <v>37894.370000000003</v>
      </c>
      <c r="O339" s="15">
        <v>37894.370000000003</v>
      </c>
      <c r="P339" s="15">
        <f>+L339-O339</f>
        <v>0</v>
      </c>
      <c r="Q339" s="10">
        <v>0</v>
      </c>
      <c r="R339" s="7" t="s">
        <v>87</v>
      </c>
      <c r="S339" t="s">
        <v>911</v>
      </c>
    </row>
    <row r="340" spans="1:19" hidden="1">
      <c r="A340" s="7" t="s">
        <v>29</v>
      </c>
      <c r="B340" s="8">
        <v>20489</v>
      </c>
      <c r="C340" s="9">
        <v>45923.456926701387</v>
      </c>
      <c r="D340" s="9">
        <v>45955</v>
      </c>
      <c r="E340" s="9">
        <v>45899</v>
      </c>
      <c r="F340" s="7" t="s">
        <v>1299</v>
      </c>
      <c r="G340" s="7" t="s">
        <v>1300</v>
      </c>
      <c r="H340" s="7" t="s">
        <v>1301</v>
      </c>
      <c r="I340" s="7" t="s">
        <v>1302</v>
      </c>
      <c r="J340" s="7" t="s">
        <v>176</v>
      </c>
      <c r="K340" s="7" t="s">
        <v>317</v>
      </c>
      <c r="L340" s="10">
        <v>48500</v>
      </c>
      <c r="M340" s="10">
        <v>12000</v>
      </c>
      <c r="N340" s="10">
        <f>+L340-M340</f>
        <v>36500</v>
      </c>
      <c r="O340" s="10">
        <v>48500</v>
      </c>
      <c r="P340" s="10">
        <f>+L340-O340</f>
        <v>0</v>
      </c>
      <c r="Q340" s="10">
        <v>0</v>
      </c>
      <c r="R340" s="7" t="s">
        <v>27</v>
      </c>
    </row>
    <row r="341" spans="1:19">
      <c r="A341" s="7" t="s">
        <v>29</v>
      </c>
      <c r="B341" s="8">
        <v>19898</v>
      </c>
      <c r="C341" s="9">
        <v>45810.381887766205</v>
      </c>
      <c r="D341" s="9">
        <v>45723</v>
      </c>
      <c r="E341" s="9">
        <v>45905</v>
      </c>
      <c r="F341" s="7" t="s">
        <v>1303</v>
      </c>
      <c r="G341" s="7" t="s">
        <v>1304</v>
      </c>
      <c r="H341" s="7" t="s">
        <v>1305</v>
      </c>
      <c r="I341" s="7" t="s">
        <v>1306</v>
      </c>
      <c r="J341" s="7" t="s">
        <v>25</v>
      </c>
      <c r="K341" s="7" t="s">
        <v>1307</v>
      </c>
      <c r="L341" s="10">
        <v>69664.5</v>
      </c>
      <c r="M341" s="10">
        <v>35289.9</v>
      </c>
      <c r="N341" s="10">
        <f>+L341-M341</f>
        <v>34374.6</v>
      </c>
      <c r="O341" s="10">
        <v>69664.5</v>
      </c>
      <c r="P341" s="10">
        <f>+L341-O341</f>
        <v>0</v>
      </c>
      <c r="Q341" s="10">
        <v>0</v>
      </c>
      <c r="R341" s="7" t="s">
        <v>27</v>
      </c>
    </row>
    <row r="342" spans="1:19" hidden="1">
      <c r="A342" s="7" t="s">
        <v>29</v>
      </c>
      <c r="B342" s="8">
        <v>20611</v>
      </c>
      <c r="C342" s="9">
        <v>45953.469629629624</v>
      </c>
      <c r="D342" s="9">
        <v>45953</v>
      </c>
      <c r="E342" s="9">
        <v>45945</v>
      </c>
      <c r="F342" s="7" t="s">
        <v>1308</v>
      </c>
      <c r="G342" s="7" t="s">
        <v>1309</v>
      </c>
      <c r="H342" s="7" t="s">
        <v>1310</v>
      </c>
      <c r="I342" s="7" t="s">
        <v>1311</v>
      </c>
      <c r="J342" s="7" t="s">
        <v>34</v>
      </c>
      <c r="K342" s="7" t="s">
        <v>35</v>
      </c>
      <c r="L342" s="10">
        <v>34111.39</v>
      </c>
      <c r="M342" s="10">
        <v>0</v>
      </c>
      <c r="N342" s="10">
        <f>+L342-M342</f>
        <v>34111.39</v>
      </c>
      <c r="O342" s="10">
        <v>34111.39</v>
      </c>
      <c r="P342" s="10">
        <f>+L342-O342</f>
        <v>0</v>
      </c>
      <c r="Q342" s="10">
        <v>17055.689999999999</v>
      </c>
      <c r="R342" s="7" t="s">
        <v>27</v>
      </c>
    </row>
    <row r="343" spans="1:19" hidden="1">
      <c r="A343" s="7" t="s">
        <v>29</v>
      </c>
      <c r="B343" s="8">
        <v>20491</v>
      </c>
      <c r="C343" s="9">
        <v>45923.462581018517</v>
      </c>
      <c r="D343" s="9">
        <v>45992</v>
      </c>
      <c r="E343" s="9">
        <v>45992</v>
      </c>
      <c r="F343" s="7" t="s">
        <v>1312</v>
      </c>
      <c r="G343" s="7" t="s">
        <v>1313</v>
      </c>
      <c r="H343" s="7" t="s">
        <v>1314</v>
      </c>
      <c r="I343" s="7" t="s">
        <v>1315</v>
      </c>
      <c r="J343" s="7" t="s">
        <v>176</v>
      </c>
      <c r="K343" s="7" t="s">
        <v>177</v>
      </c>
      <c r="L343" s="10">
        <v>32500</v>
      </c>
      <c r="M343" s="10">
        <v>0</v>
      </c>
      <c r="N343" s="10">
        <f>+L343-M343</f>
        <v>32500</v>
      </c>
      <c r="O343" s="10">
        <v>32500</v>
      </c>
      <c r="P343" s="10">
        <f>+L343-O343</f>
        <v>0</v>
      </c>
      <c r="Q343" s="10">
        <v>21316.799999999999</v>
      </c>
      <c r="R343" s="7" t="s">
        <v>27</v>
      </c>
    </row>
    <row r="344" spans="1:19" hidden="1">
      <c r="A344" s="7" t="s">
        <v>29</v>
      </c>
      <c r="B344" s="8">
        <v>20057</v>
      </c>
      <c r="C344" s="9">
        <v>45837.755547025459</v>
      </c>
      <c r="D344" s="9">
        <v>45798</v>
      </c>
      <c r="E344" s="9">
        <v>45873</v>
      </c>
      <c r="F344" s="7" t="s">
        <v>1316</v>
      </c>
      <c r="G344" s="7" t="s">
        <v>1317</v>
      </c>
      <c r="H344" s="7" t="s">
        <v>1318</v>
      </c>
      <c r="I344" s="7" t="s">
        <v>818</v>
      </c>
      <c r="J344" s="7" t="s">
        <v>176</v>
      </c>
      <c r="K344" s="7" t="s">
        <v>550</v>
      </c>
      <c r="L344" s="10">
        <v>35780</v>
      </c>
      <c r="M344" s="10">
        <v>5000</v>
      </c>
      <c r="N344" s="10">
        <f>+L344-M344</f>
        <v>30780</v>
      </c>
      <c r="O344" s="10">
        <v>35780</v>
      </c>
      <c r="P344" s="10">
        <f>+L344-O344</f>
        <v>0</v>
      </c>
      <c r="Q344" s="10">
        <v>0</v>
      </c>
      <c r="R344" s="7" t="s">
        <v>27</v>
      </c>
    </row>
    <row r="345" spans="1:19" hidden="1">
      <c r="A345" s="7" t="s">
        <v>29</v>
      </c>
      <c r="B345" s="8">
        <v>19419</v>
      </c>
      <c r="C345" s="9">
        <v>45705.602743055555</v>
      </c>
      <c r="D345" s="9">
        <v>46019</v>
      </c>
      <c r="E345" s="9">
        <v>45918</v>
      </c>
      <c r="F345" s="7" t="s">
        <v>1319</v>
      </c>
      <c r="G345" s="7" t="s">
        <v>84</v>
      </c>
      <c r="H345" s="7" t="s">
        <v>1320</v>
      </c>
      <c r="I345" s="7" t="s">
        <v>1321</v>
      </c>
      <c r="J345" s="7" t="s">
        <v>40</v>
      </c>
      <c r="K345" s="7" t="s">
        <v>1322</v>
      </c>
      <c r="L345" s="10">
        <v>29662.5</v>
      </c>
      <c r="M345" s="10">
        <v>0</v>
      </c>
      <c r="N345" s="10">
        <f>+L345-M345</f>
        <v>29662.5</v>
      </c>
      <c r="O345" s="10">
        <v>29662.5</v>
      </c>
      <c r="P345" s="10">
        <f>+L345-O345</f>
        <v>0</v>
      </c>
      <c r="Q345" s="10">
        <v>0</v>
      </c>
      <c r="R345" s="7" t="s">
        <v>27</v>
      </c>
    </row>
    <row r="346" spans="1:19" hidden="1">
      <c r="A346" s="7" t="s">
        <v>29</v>
      </c>
      <c r="B346" s="8">
        <v>19499</v>
      </c>
      <c r="C346" s="9">
        <v>45726.344826388886</v>
      </c>
      <c r="D346" s="9">
        <v>45869</v>
      </c>
      <c r="E346" s="9">
        <v>45807</v>
      </c>
      <c r="F346" s="7" t="s">
        <v>1323</v>
      </c>
      <c r="G346" s="7" t="s">
        <v>1324</v>
      </c>
      <c r="H346" s="7" t="s">
        <v>1325</v>
      </c>
      <c r="I346" s="7" t="s">
        <v>74</v>
      </c>
      <c r="J346" s="7" t="s">
        <v>40</v>
      </c>
      <c r="K346" s="7" t="s">
        <v>1326</v>
      </c>
      <c r="L346" s="10">
        <v>318774.13</v>
      </c>
      <c r="M346" s="10">
        <v>289426.06</v>
      </c>
      <c r="N346" s="10">
        <f>+L346-M346</f>
        <v>29348.070000000007</v>
      </c>
      <c r="O346" s="10">
        <v>318774.13</v>
      </c>
      <c r="P346" s="10">
        <f>+L346-O346</f>
        <v>0</v>
      </c>
      <c r="Q346" s="10">
        <v>0</v>
      </c>
      <c r="R346" s="7" t="s">
        <v>27</v>
      </c>
    </row>
    <row r="347" spans="1:19" hidden="1">
      <c r="A347" s="7" t="s">
        <v>29</v>
      </c>
      <c r="B347" s="8">
        <v>20027</v>
      </c>
      <c r="C347" s="9">
        <v>45833.702048611107</v>
      </c>
      <c r="D347" s="9">
        <v>45833</v>
      </c>
      <c r="E347" s="9">
        <v>45904</v>
      </c>
      <c r="F347" s="7" t="s">
        <v>1327</v>
      </c>
      <c r="G347" s="7" t="s">
        <v>1328</v>
      </c>
      <c r="H347" s="7" t="s">
        <v>418</v>
      </c>
      <c r="I347" s="7" t="s">
        <v>419</v>
      </c>
      <c r="J347" s="7" t="s">
        <v>34</v>
      </c>
      <c r="K347" s="7" t="s">
        <v>118</v>
      </c>
      <c r="L347" s="10">
        <v>241399.69</v>
      </c>
      <c r="M347" s="10">
        <v>215184.4</v>
      </c>
      <c r="N347" s="10">
        <f>+L347-M347</f>
        <v>26215.290000000008</v>
      </c>
      <c r="O347" s="10">
        <v>241399.69</v>
      </c>
      <c r="P347" s="10">
        <f>+L347-O347</f>
        <v>0</v>
      </c>
      <c r="Q347" s="10">
        <v>0</v>
      </c>
      <c r="R347" s="7" t="s">
        <v>27</v>
      </c>
    </row>
    <row r="348" spans="1:19" hidden="1">
      <c r="A348" s="7" t="s">
        <v>29</v>
      </c>
      <c r="B348" s="8">
        <v>20034</v>
      </c>
      <c r="C348" s="9">
        <v>45835.396944444445</v>
      </c>
      <c r="D348" s="9">
        <v>45835</v>
      </c>
      <c r="E348" s="9">
        <v>45835</v>
      </c>
      <c r="F348" s="7" t="s">
        <v>1329</v>
      </c>
      <c r="G348" s="7" t="s">
        <v>1330</v>
      </c>
      <c r="H348" s="7" t="s">
        <v>1331</v>
      </c>
      <c r="I348" s="7" t="s">
        <v>1332</v>
      </c>
      <c r="J348" s="7" t="s">
        <v>34</v>
      </c>
      <c r="K348" s="7" t="s">
        <v>35</v>
      </c>
      <c r="L348" s="10">
        <v>43668</v>
      </c>
      <c r="M348" s="10">
        <v>20826.849999999999</v>
      </c>
      <c r="N348" s="10">
        <f>+L348-M348</f>
        <v>22841.15</v>
      </c>
      <c r="O348" s="10">
        <v>43668</v>
      </c>
      <c r="P348" s="10">
        <f>+L348-O348</f>
        <v>0</v>
      </c>
      <c r="Q348" s="10">
        <v>0</v>
      </c>
      <c r="R348" s="7" t="s">
        <v>27</v>
      </c>
    </row>
    <row r="349" spans="1:19" hidden="1">
      <c r="A349" s="7" t="s">
        <v>29</v>
      </c>
      <c r="B349" s="8">
        <v>20211</v>
      </c>
      <c r="C349" s="9">
        <v>45870.338634259257</v>
      </c>
      <c r="D349" s="9">
        <v>45870</v>
      </c>
      <c r="E349" s="9">
        <v>45992</v>
      </c>
      <c r="F349" s="7" t="s">
        <v>1333</v>
      </c>
      <c r="G349" s="7" t="s">
        <v>1334</v>
      </c>
      <c r="H349" s="7" t="s">
        <v>1335</v>
      </c>
      <c r="I349" s="7" t="s">
        <v>1336</v>
      </c>
      <c r="J349" s="7" t="s">
        <v>34</v>
      </c>
      <c r="K349" s="7" t="s">
        <v>118</v>
      </c>
      <c r="L349" s="10">
        <v>72235.12</v>
      </c>
      <c r="M349" s="10">
        <v>50000</v>
      </c>
      <c r="N349" s="10">
        <f>+L349-M349</f>
        <v>22235.119999999995</v>
      </c>
      <c r="O349" s="10">
        <v>72235.12</v>
      </c>
      <c r="P349" s="10">
        <f>+L349-O349</f>
        <v>0</v>
      </c>
      <c r="Q349" s="10">
        <v>0</v>
      </c>
      <c r="R349" s="7" t="s">
        <v>27</v>
      </c>
    </row>
    <row r="350" spans="1:19" hidden="1">
      <c r="A350" s="7" t="s">
        <v>29</v>
      </c>
      <c r="B350" s="8">
        <v>20796</v>
      </c>
      <c r="C350" s="9">
        <v>46013.47039505787</v>
      </c>
      <c r="D350" s="9">
        <v>45933</v>
      </c>
      <c r="E350" s="9">
        <v>45849</v>
      </c>
      <c r="F350" s="7" t="s">
        <v>1337</v>
      </c>
      <c r="G350" s="7" t="s">
        <v>1338</v>
      </c>
      <c r="H350" s="7" t="s">
        <v>331</v>
      </c>
      <c r="I350" s="7" t="s">
        <v>332</v>
      </c>
      <c r="J350" s="7" t="s">
        <v>176</v>
      </c>
      <c r="K350" s="7" t="s">
        <v>317</v>
      </c>
      <c r="L350" s="10">
        <v>21204</v>
      </c>
      <c r="M350" s="10">
        <v>0</v>
      </c>
      <c r="N350" s="10">
        <f>+L350-M350</f>
        <v>21204</v>
      </c>
      <c r="O350" s="10">
        <v>21204</v>
      </c>
      <c r="P350" s="10">
        <f>+L350-O350</f>
        <v>0</v>
      </c>
      <c r="Q350" s="10">
        <v>12722.4</v>
      </c>
      <c r="R350" s="7" t="s">
        <v>27</v>
      </c>
    </row>
    <row r="351" spans="1:19" hidden="1">
      <c r="A351" s="7" t="s">
        <v>29</v>
      </c>
      <c r="B351" s="8">
        <v>4291</v>
      </c>
      <c r="C351" s="9">
        <v>45967.358413229165</v>
      </c>
      <c r="D351" s="9">
        <v>45931</v>
      </c>
      <c r="E351" s="9">
        <v>45962</v>
      </c>
      <c r="F351" s="7" t="s">
        <v>1339</v>
      </c>
      <c r="G351" s="7" t="s">
        <v>1340</v>
      </c>
      <c r="H351" s="7" t="s">
        <v>1341</v>
      </c>
      <c r="I351" s="7" t="s">
        <v>1342</v>
      </c>
      <c r="J351" s="7" t="s">
        <v>25</v>
      </c>
      <c r="K351" s="7" t="s">
        <v>125</v>
      </c>
      <c r="L351" s="10">
        <v>78457.960000000006</v>
      </c>
      <c r="M351" s="10">
        <v>57274.96</v>
      </c>
      <c r="N351" s="15">
        <f>+L351-M351</f>
        <v>21183.000000000007</v>
      </c>
      <c r="O351" s="15">
        <v>78457.960000000006</v>
      </c>
      <c r="P351" s="15">
        <f>+L351-O351</f>
        <v>0</v>
      </c>
      <c r="Q351" s="10">
        <v>0</v>
      </c>
      <c r="R351" s="7" t="s">
        <v>87</v>
      </c>
      <c r="S351" t="s">
        <v>1343</v>
      </c>
    </row>
    <row r="352" spans="1:19" hidden="1">
      <c r="A352" s="7" t="s">
        <v>29</v>
      </c>
      <c r="B352" s="8">
        <v>20031</v>
      </c>
      <c r="C352" s="9">
        <v>45834.578055555554</v>
      </c>
      <c r="D352" s="9">
        <v>45834</v>
      </c>
      <c r="E352" s="9">
        <v>45834</v>
      </c>
      <c r="F352" s="7" t="s">
        <v>1344</v>
      </c>
      <c r="G352" s="7" t="s">
        <v>1345</v>
      </c>
      <c r="H352" s="7" t="s">
        <v>1335</v>
      </c>
      <c r="I352" s="7" t="s">
        <v>1336</v>
      </c>
      <c r="J352" s="7" t="s">
        <v>34</v>
      </c>
      <c r="K352" s="7" t="s">
        <v>118</v>
      </c>
      <c r="L352" s="10">
        <v>21129.279999999999</v>
      </c>
      <c r="M352" s="10">
        <v>0</v>
      </c>
      <c r="N352" s="10">
        <f>+L352-M352</f>
        <v>21129.279999999999</v>
      </c>
      <c r="O352" s="10">
        <v>21129.279999999999</v>
      </c>
      <c r="P352" s="10">
        <f>+L352-O352</f>
        <v>0</v>
      </c>
      <c r="Q352" s="10">
        <v>0</v>
      </c>
      <c r="R352" s="7" t="s">
        <v>27</v>
      </c>
    </row>
    <row r="353" spans="1:19" hidden="1">
      <c r="A353" s="7" t="s">
        <v>29</v>
      </c>
      <c r="B353" s="8">
        <v>19818</v>
      </c>
      <c r="C353" s="9">
        <v>45792.476805555554</v>
      </c>
      <c r="D353" s="9">
        <v>45840</v>
      </c>
      <c r="E353" s="9">
        <v>45785</v>
      </c>
      <c r="F353" s="7" t="s">
        <v>1346</v>
      </c>
      <c r="G353" s="7" t="s">
        <v>1347</v>
      </c>
      <c r="H353" s="7" t="s">
        <v>1348</v>
      </c>
      <c r="I353" s="7" t="s">
        <v>1349</v>
      </c>
      <c r="J353" s="7" t="s">
        <v>176</v>
      </c>
      <c r="K353" s="7" t="s">
        <v>584</v>
      </c>
      <c r="L353" s="10">
        <v>22068</v>
      </c>
      <c r="M353" s="10">
        <v>1000</v>
      </c>
      <c r="N353" s="10">
        <f>+L353-M353</f>
        <v>21068</v>
      </c>
      <c r="O353" s="10">
        <v>22068</v>
      </c>
      <c r="P353" s="10">
        <f>+L353-O353</f>
        <v>0</v>
      </c>
      <c r="Q353" s="10">
        <v>0</v>
      </c>
      <c r="R353" s="7" t="s">
        <v>27</v>
      </c>
    </row>
    <row r="354" spans="1:19">
      <c r="A354" s="7" t="s">
        <v>29</v>
      </c>
      <c r="B354" s="8">
        <v>20906</v>
      </c>
      <c r="C354" s="9">
        <v>46045.5813184375</v>
      </c>
      <c r="D354" s="9">
        <v>46083</v>
      </c>
      <c r="E354" s="9">
        <v>46083</v>
      </c>
      <c r="F354" s="7" t="s">
        <v>1350</v>
      </c>
      <c r="G354" s="11" t="s">
        <v>1351</v>
      </c>
      <c r="H354" s="7" t="s">
        <v>1352</v>
      </c>
      <c r="I354" s="7" t="s">
        <v>156</v>
      </c>
      <c r="J354" s="7" t="s">
        <v>25</v>
      </c>
      <c r="K354" s="7" t="s">
        <v>55</v>
      </c>
      <c r="L354" s="10">
        <v>20873.650000000001</v>
      </c>
      <c r="M354" s="10">
        <v>0</v>
      </c>
      <c r="N354" s="10">
        <f>+L354-M354</f>
        <v>20873.650000000001</v>
      </c>
      <c r="O354" s="10">
        <v>20873.650000000001</v>
      </c>
      <c r="P354" s="10">
        <f>+L354-O354</f>
        <v>0</v>
      </c>
      <c r="Q354" s="10">
        <v>0</v>
      </c>
      <c r="R354" s="7" t="s">
        <v>27</v>
      </c>
      <c r="S354" t="s">
        <v>1353</v>
      </c>
    </row>
    <row r="355" spans="1:19" hidden="1">
      <c r="A355" s="7" t="s">
        <v>29</v>
      </c>
      <c r="B355" s="8">
        <v>20212</v>
      </c>
      <c r="C355" s="9">
        <v>45870.345312500001</v>
      </c>
      <c r="D355" s="9">
        <v>45870</v>
      </c>
      <c r="E355" s="9">
        <v>45992</v>
      </c>
      <c r="F355" s="7" t="s">
        <v>1354</v>
      </c>
      <c r="G355" s="7" t="s">
        <v>1355</v>
      </c>
      <c r="H355" s="7" t="s">
        <v>1335</v>
      </c>
      <c r="I355" s="7" t="s">
        <v>1336</v>
      </c>
      <c r="J355" s="7" t="s">
        <v>34</v>
      </c>
      <c r="K355" s="7" t="s">
        <v>118</v>
      </c>
      <c r="L355" s="10">
        <v>20236.63</v>
      </c>
      <c r="M355" s="10">
        <v>0</v>
      </c>
      <c r="N355" s="10">
        <f>+L355-M355</f>
        <v>20236.63</v>
      </c>
      <c r="O355" s="10">
        <v>20236.63</v>
      </c>
      <c r="P355" s="10">
        <f>+L355-O355</f>
        <v>0</v>
      </c>
      <c r="Q355" s="10">
        <v>0</v>
      </c>
      <c r="R355" s="7" t="s">
        <v>27</v>
      </c>
    </row>
    <row r="356" spans="1:19">
      <c r="A356" s="7" t="s">
        <v>29</v>
      </c>
      <c r="B356" s="8">
        <v>20772</v>
      </c>
      <c r="C356" s="9">
        <v>46001.985479201387</v>
      </c>
      <c r="D356" s="9">
        <v>46036</v>
      </c>
      <c r="E356" s="9">
        <v>45966</v>
      </c>
      <c r="F356" s="7" t="s">
        <v>1356</v>
      </c>
      <c r="G356" s="7" t="s">
        <v>1357</v>
      </c>
      <c r="H356" s="7" t="s">
        <v>1358</v>
      </c>
      <c r="I356" s="7" t="s">
        <v>135</v>
      </c>
      <c r="J356" s="7" t="s">
        <v>25</v>
      </c>
      <c r="K356" s="7" t="s">
        <v>55</v>
      </c>
      <c r="L356" s="10">
        <v>18672</v>
      </c>
      <c r="M356" s="10">
        <v>0</v>
      </c>
      <c r="N356" s="10">
        <f>+L356-M356</f>
        <v>18672</v>
      </c>
      <c r="O356" s="10">
        <v>18672</v>
      </c>
      <c r="P356" s="10">
        <f>+L356-O356</f>
        <v>0</v>
      </c>
      <c r="Q356" s="10">
        <v>0</v>
      </c>
      <c r="R356" s="7" t="s">
        <v>27</v>
      </c>
      <c r="S356" t="s">
        <v>1359</v>
      </c>
    </row>
    <row r="357" spans="1:19">
      <c r="A357" s="7" t="s">
        <v>29</v>
      </c>
      <c r="B357" s="8">
        <v>20419</v>
      </c>
      <c r="C357" s="9">
        <v>45908.739634224534</v>
      </c>
      <c r="D357" s="9">
        <v>45940</v>
      </c>
      <c r="E357" s="9">
        <v>45908</v>
      </c>
      <c r="F357" s="7" t="s">
        <v>1360</v>
      </c>
      <c r="G357" s="7" t="s">
        <v>1361</v>
      </c>
      <c r="H357" s="7" t="s">
        <v>1362</v>
      </c>
      <c r="I357" s="7" t="s">
        <v>1363</v>
      </c>
      <c r="J357" s="7" t="s">
        <v>25</v>
      </c>
      <c r="K357" s="7" t="s">
        <v>55</v>
      </c>
      <c r="L357" s="10">
        <v>18520.7</v>
      </c>
      <c r="M357" s="10">
        <v>0</v>
      </c>
      <c r="N357" s="10">
        <f>+L357-M357</f>
        <v>18520.7</v>
      </c>
      <c r="O357" s="10">
        <v>18520.7</v>
      </c>
      <c r="P357" s="10">
        <f>+L357-O357</f>
        <v>0</v>
      </c>
      <c r="Q357" s="10">
        <v>0</v>
      </c>
      <c r="R357" s="7" t="s">
        <v>27</v>
      </c>
      <c r="S357" t="s">
        <v>1364</v>
      </c>
    </row>
    <row r="358" spans="1:19" hidden="1">
      <c r="A358" s="7" t="s">
        <v>29</v>
      </c>
      <c r="B358" s="8">
        <v>19797</v>
      </c>
      <c r="C358" s="9">
        <v>45789.638402777775</v>
      </c>
      <c r="D358" s="9">
        <v>45779</v>
      </c>
      <c r="E358" s="9">
        <v>45708</v>
      </c>
      <c r="F358" s="7" t="s">
        <v>1365</v>
      </c>
      <c r="G358" s="7" t="s">
        <v>1366</v>
      </c>
      <c r="H358" s="7" t="s">
        <v>1367</v>
      </c>
      <c r="I358" s="7" t="s">
        <v>1368</v>
      </c>
      <c r="J358" s="7" t="s">
        <v>176</v>
      </c>
      <c r="K358" s="7" t="s">
        <v>550</v>
      </c>
      <c r="L358" s="10">
        <v>20000</v>
      </c>
      <c r="M358" s="10">
        <v>2000</v>
      </c>
      <c r="N358" s="10">
        <f>+L358-M358</f>
        <v>18000</v>
      </c>
      <c r="O358" s="10">
        <v>20000</v>
      </c>
      <c r="P358" s="10">
        <f>+L358-O358</f>
        <v>0</v>
      </c>
      <c r="Q358" s="10">
        <v>0</v>
      </c>
      <c r="R358" s="7" t="s">
        <v>27</v>
      </c>
    </row>
    <row r="359" spans="1:19" hidden="1">
      <c r="A359" s="7" t="s">
        <v>29</v>
      </c>
      <c r="B359" s="8">
        <v>19666</v>
      </c>
      <c r="C359" s="9">
        <v>45758.570891203701</v>
      </c>
      <c r="D359" s="9">
        <v>45829</v>
      </c>
      <c r="E359" s="9">
        <v>45812</v>
      </c>
      <c r="F359" s="7" t="s">
        <v>1369</v>
      </c>
      <c r="G359" s="7" t="s">
        <v>1370</v>
      </c>
      <c r="H359" s="7" t="s">
        <v>1371</v>
      </c>
      <c r="I359" s="7" t="s">
        <v>1372</v>
      </c>
      <c r="J359" s="7" t="s">
        <v>176</v>
      </c>
      <c r="K359" s="7" t="s">
        <v>550</v>
      </c>
      <c r="L359" s="10">
        <v>18000</v>
      </c>
      <c r="M359" s="10">
        <v>0</v>
      </c>
      <c r="N359" s="10">
        <f>+L359-M359</f>
        <v>18000</v>
      </c>
      <c r="O359" s="10">
        <v>18000</v>
      </c>
      <c r="P359" s="10">
        <f>+L359-O359</f>
        <v>0</v>
      </c>
      <c r="Q359" s="10">
        <v>0</v>
      </c>
      <c r="R359" s="7" t="s">
        <v>27</v>
      </c>
    </row>
    <row r="360" spans="1:19" hidden="1">
      <c r="A360" s="7" t="s">
        <v>29</v>
      </c>
      <c r="B360" s="8">
        <v>20437</v>
      </c>
      <c r="C360" s="9">
        <v>45911.457245370366</v>
      </c>
      <c r="D360" s="9">
        <v>45911</v>
      </c>
      <c r="E360" s="9">
        <v>46006</v>
      </c>
      <c r="F360" s="7" t="s">
        <v>1373</v>
      </c>
      <c r="G360" s="7" t="s">
        <v>1374</v>
      </c>
      <c r="H360" s="7" t="s">
        <v>1375</v>
      </c>
      <c r="I360" s="7" t="s">
        <v>1376</v>
      </c>
      <c r="J360" s="7" t="s">
        <v>34</v>
      </c>
      <c r="K360" s="7" t="s">
        <v>35</v>
      </c>
      <c r="L360" s="10">
        <v>17873.919999999998</v>
      </c>
      <c r="M360" s="10">
        <v>0</v>
      </c>
      <c r="N360" s="10">
        <f>+L360-M360</f>
        <v>17873.919999999998</v>
      </c>
      <c r="O360" s="10">
        <v>17873.919999999998</v>
      </c>
      <c r="P360" s="10">
        <f>+L360-O360</f>
        <v>0</v>
      </c>
      <c r="Q360" s="10">
        <v>0</v>
      </c>
      <c r="R360" s="7" t="s">
        <v>27</v>
      </c>
    </row>
    <row r="361" spans="1:19" hidden="1">
      <c r="A361" s="7" t="s">
        <v>29</v>
      </c>
      <c r="B361" s="8">
        <v>19811</v>
      </c>
      <c r="C361" s="9">
        <v>45791.499675925923</v>
      </c>
      <c r="D361" s="9">
        <v>45791</v>
      </c>
      <c r="E361" s="9">
        <v>45791</v>
      </c>
      <c r="F361" s="7" t="s">
        <v>1377</v>
      </c>
      <c r="G361" s="7" t="s">
        <v>1378</v>
      </c>
      <c r="H361" s="7" t="s">
        <v>1379</v>
      </c>
      <c r="I361" s="7" t="s">
        <v>1380</v>
      </c>
      <c r="J361" s="7" t="s">
        <v>40</v>
      </c>
      <c r="K361" s="7" t="s">
        <v>41</v>
      </c>
      <c r="L361" s="10">
        <v>42681.23</v>
      </c>
      <c r="M361" s="10">
        <v>25457.65</v>
      </c>
      <c r="N361" s="10">
        <f>+L361-M361</f>
        <v>17223.580000000002</v>
      </c>
      <c r="O361" s="10">
        <v>42681.23</v>
      </c>
      <c r="P361" s="10">
        <f>+L361-O361</f>
        <v>0</v>
      </c>
      <c r="Q361" s="10">
        <v>0</v>
      </c>
      <c r="R361" s="7" t="s">
        <v>27</v>
      </c>
    </row>
    <row r="362" spans="1:19" hidden="1">
      <c r="A362" s="7" t="s">
        <v>29</v>
      </c>
      <c r="B362" s="8">
        <v>20738</v>
      </c>
      <c r="C362" s="9">
        <v>45991.92882241898</v>
      </c>
      <c r="D362" s="9">
        <v>46042</v>
      </c>
      <c r="E362" s="9">
        <v>45944</v>
      </c>
      <c r="F362" s="7" t="s">
        <v>1381</v>
      </c>
      <c r="G362" s="7" t="s">
        <v>1382</v>
      </c>
      <c r="H362" s="7" t="s">
        <v>1383</v>
      </c>
      <c r="I362" s="7" t="s">
        <v>1384</v>
      </c>
      <c r="J362" s="7" t="s">
        <v>176</v>
      </c>
      <c r="K362" s="7" t="s">
        <v>728</v>
      </c>
      <c r="L362" s="10">
        <v>16950</v>
      </c>
      <c r="M362" s="10">
        <v>0</v>
      </c>
      <c r="N362" s="10">
        <f>+L362-M362</f>
        <v>16950</v>
      </c>
      <c r="O362" s="10">
        <v>16950</v>
      </c>
      <c r="P362" s="10">
        <f>+L362-O362</f>
        <v>0</v>
      </c>
      <c r="Q362" s="10">
        <v>10170</v>
      </c>
      <c r="R362" s="7" t="s">
        <v>27</v>
      </c>
    </row>
    <row r="363" spans="1:19" hidden="1">
      <c r="A363" s="7" t="s">
        <v>29</v>
      </c>
      <c r="B363" s="8">
        <v>20074</v>
      </c>
      <c r="C363" s="9">
        <v>45839.728622685187</v>
      </c>
      <c r="D363" s="9">
        <v>45839</v>
      </c>
      <c r="E363" s="9">
        <v>45870</v>
      </c>
      <c r="F363" s="7" t="s">
        <v>1385</v>
      </c>
      <c r="G363" s="7" t="s">
        <v>1386</v>
      </c>
      <c r="H363" s="7" t="s">
        <v>302</v>
      </c>
      <c r="I363" s="7" t="s">
        <v>303</v>
      </c>
      <c r="J363" s="7" t="s">
        <v>34</v>
      </c>
      <c r="K363" s="7" t="s">
        <v>35</v>
      </c>
      <c r="L363" s="10">
        <v>16887.77</v>
      </c>
      <c r="M363" s="10">
        <v>0</v>
      </c>
      <c r="N363" s="10">
        <f>+L363-M363</f>
        <v>16887.77</v>
      </c>
      <c r="O363" s="10">
        <v>16887.77</v>
      </c>
      <c r="P363" s="10">
        <f>+L363-O363</f>
        <v>0</v>
      </c>
      <c r="Q363" s="10">
        <v>0</v>
      </c>
      <c r="R363" s="7" t="s">
        <v>27</v>
      </c>
    </row>
    <row r="364" spans="1:19" hidden="1">
      <c r="A364" s="7" t="s">
        <v>29</v>
      </c>
      <c r="B364" s="8">
        <v>20199</v>
      </c>
      <c r="C364" s="9">
        <v>45868.409406678242</v>
      </c>
      <c r="D364" s="9">
        <v>45560</v>
      </c>
      <c r="E364" s="9">
        <v>45511</v>
      </c>
      <c r="F364" s="7" t="s">
        <v>1387</v>
      </c>
      <c r="G364" s="7" t="s">
        <v>1388</v>
      </c>
      <c r="H364" s="7" t="s">
        <v>1389</v>
      </c>
      <c r="I364" s="7" t="s">
        <v>1390</v>
      </c>
      <c r="J364" s="7" t="s">
        <v>176</v>
      </c>
      <c r="K364" s="7" t="s">
        <v>374</v>
      </c>
      <c r="L364" s="10">
        <v>18500</v>
      </c>
      <c r="M364" s="10">
        <v>2000</v>
      </c>
      <c r="N364" s="10">
        <f>+L364-M364</f>
        <v>16500</v>
      </c>
      <c r="O364" s="10">
        <v>18500</v>
      </c>
      <c r="P364" s="10">
        <f>+L364-O364</f>
        <v>0</v>
      </c>
      <c r="Q364" s="10">
        <v>0</v>
      </c>
      <c r="R364" s="7" t="s">
        <v>27</v>
      </c>
    </row>
    <row r="365" spans="1:19">
      <c r="A365" s="7" t="s">
        <v>29</v>
      </c>
      <c r="B365" s="8">
        <v>20654</v>
      </c>
      <c r="C365" s="9">
        <v>45965.432864548609</v>
      </c>
      <c r="D365" s="9">
        <v>46020</v>
      </c>
      <c r="E365" s="9">
        <v>46020</v>
      </c>
      <c r="F365" s="7" t="s">
        <v>1391</v>
      </c>
      <c r="G365" s="7" t="s">
        <v>1392</v>
      </c>
      <c r="H365" s="7" t="s">
        <v>1393</v>
      </c>
      <c r="I365" s="7" t="s">
        <v>915</v>
      </c>
      <c r="J365" s="7" t="s">
        <v>25</v>
      </c>
      <c r="K365" s="7" t="s">
        <v>55</v>
      </c>
      <c r="L365" s="10">
        <v>16497.86</v>
      </c>
      <c r="M365" s="10">
        <v>0</v>
      </c>
      <c r="N365" s="10">
        <f>+L365-M365</f>
        <v>16497.86</v>
      </c>
      <c r="O365" s="10">
        <v>16497.86</v>
      </c>
      <c r="P365" s="10">
        <f>+L365-O365</f>
        <v>0</v>
      </c>
      <c r="Q365" s="10">
        <v>0</v>
      </c>
      <c r="R365" s="7" t="s">
        <v>27</v>
      </c>
    </row>
    <row r="366" spans="1:19" hidden="1">
      <c r="A366" s="7" t="s">
        <v>29</v>
      </c>
      <c r="B366" s="8">
        <v>20598</v>
      </c>
      <c r="C366" s="9">
        <v>45950.542569444442</v>
      </c>
      <c r="D366" s="9">
        <v>46340</v>
      </c>
      <c r="E366" s="9">
        <v>46330</v>
      </c>
      <c r="F366" s="7" t="s">
        <v>1394</v>
      </c>
      <c r="G366" s="7" t="s">
        <v>1395</v>
      </c>
      <c r="H366" s="7" t="s">
        <v>1396</v>
      </c>
      <c r="I366" s="7" t="s">
        <v>1397</v>
      </c>
      <c r="J366" s="7" t="s">
        <v>176</v>
      </c>
      <c r="K366" s="7" t="s">
        <v>177</v>
      </c>
      <c r="L366" s="10">
        <v>16336.84</v>
      </c>
      <c r="M366" s="10">
        <v>0</v>
      </c>
      <c r="N366" s="10">
        <f>+L366-M366</f>
        <v>16336.84</v>
      </c>
      <c r="O366" s="10">
        <v>16336.84</v>
      </c>
      <c r="P366" s="10">
        <f>+L366-O366</f>
        <v>0</v>
      </c>
      <c r="Q366" s="10">
        <v>1000</v>
      </c>
      <c r="R366" s="7" t="s">
        <v>27</v>
      </c>
    </row>
    <row r="367" spans="1:19" hidden="1">
      <c r="A367" s="7" t="s">
        <v>29</v>
      </c>
      <c r="B367" s="8">
        <v>19985</v>
      </c>
      <c r="C367" s="9">
        <v>45826.495682870365</v>
      </c>
      <c r="D367" s="9">
        <v>45965</v>
      </c>
      <c r="E367" s="9">
        <v>45832</v>
      </c>
      <c r="F367" s="7" t="s">
        <v>1398</v>
      </c>
      <c r="G367" s="7" t="s">
        <v>1399</v>
      </c>
      <c r="H367" s="7" t="s">
        <v>689</v>
      </c>
      <c r="I367" s="7" t="s">
        <v>690</v>
      </c>
      <c r="J367" s="7" t="s">
        <v>34</v>
      </c>
      <c r="K367" s="7" t="s">
        <v>1400</v>
      </c>
      <c r="L367" s="10">
        <v>40249</v>
      </c>
      <c r="M367" s="10">
        <v>24150</v>
      </c>
      <c r="N367" s="10">
        <f>+L367-M367</f>
        <v>16099</v>
      </c>
      <c r="O367" s="10">
        <v>40249</v>
      </c>
      <c r="P367" s="10">
        <f>+L367-O367</f>
        <v>0</v>
      </c>
      <c r="Q367" s="10">
        <v>0</v>
      </c>
      <c r="R367" s="7" t="s">
        <v>27</v>
      </c>
    </row>
    <row r="368" spans="1:19" hidden="1">
      <c r="A368" s="7" t="s">
        <v>29</v>
      </c>
      <c r="B368" s="8">
        <v>20478</v>
      </c>
      <c r="C368" s="9">
        <v>45919.622361111113</v>
      </c>
      <c r="D368" s="9">
        <v>45919</v>
      </c>
      <c r="E368" s="9">
        <v>45975</v>
      </c>
      <c r="F368" s="7" t="s">
        <v>1401</v>
      </c>
      <c r="G368" s="7" t="s">
        <v>1402</v>
      </c>
      <c r="H368" s="7" t="s">
        <v>1403</v>
      </c>
      <c r="I368" s="7" t="s">
        <v>1404</v>
      </c>
      <c r="J368" s="7" t="s">
        <v>34</v>
      </c>
      <c r="K368" s="7" t="s">
        <v>990</v>
      </c>
      <c r="L368" s="10">
        <v>15339.52</v>
      </c>
      <c r="M368" s="10">
        <v>0</v>
      </c>
      <c r="N368" s="10">
        <f>+L368-M368</f>
        <v>15339.52</v>
      </c>
      <c r="O368" s="10">
        <v>15339.52</v>
      </c>
      <c r="P368" s="10">
        <f>+L368-O368</f>
        <v>0</v>
      </c>
      <c r="Q368" s="10">
        <v>0</v>
      </c>
      <c r="R368" s="7" t="s">
        <v>27</v>
      </c>
    </row>
    <row r="369" spans="1:19" hidden="1">
      <c r="A369" s="7" t="s">
        <v>29</v>
      </c>
      <c r="B369" s="8">
        <v>4318</v>
      </c>
      <c r="C369" s="9">
        <v>46006.420478587963</v>
      </c>
      <c r="D369" s="9">
        <v>46025</v>
      </c>
      <c r="E369" s="9">
        <v>46052</v>
      </c>
      <c r="F369" s="7" t="s">
        <v>1405</v>
      </c>
      <c r="G369" s="7" t="s">
        <v>1406</v>
      </c>
      <c r="H369" s="7" t="s">
        <v>1407</v>
      </c>
      <c r="I369" s="7" t="s">
        <v>1408</v>
      </c>
      <c r="J369" s="7" t="s">
        <v>25</v>
      </c>
      <c r="K369" s="7" t="s">
        <v>260</v>
      </c>
      <c r="L369" s="10">
        <v>14818.59</v>
      </c>
      <c r="M369" s="10">
        <v>0</v>
      </c>
      <c r="N369" s="15">
        <f>+L369-M369</f>
        <v>14818.59</v>
      </c>
      <c r="O369" s="15">
        <v>14818.59</v>
      </c>
      <c r="P369" s="15">
        <f>+L369-O369</f>
        <v>0</v>
      </c>
      <c r="Q369" s="10">
        <v>0</v>
      </c>
      <c r="R369" s="7" t="s">
        <v>87</v>
      </c>
      <c r="S369" t="s">
        <v>911</v>
      </c>
    </row>
    <row r="370" spans="1:19" hidden="1">
      <c r="A370" s="7" t="s">
        <v>29</v>
      </c>
      <c r="B370" s="8">
        <v>20058</v>
      </c>
      <c r="C370" s="9">
        <v>45837.945208333331</v>
      </c>
      <c r="D370" s="9">
        <v>45778</v>
      </c>
      <c r="E370" s="9">
        <v>45936</v>
      </c>
      <c r="F370" s="7" t="s">
        <v>1409</v>
      </c>
      <c r="G370" s="7" t="s">
        <v>1410</v>
      </c>
      <c r="H370" s="7" t="s">
        <v>1411</v>
      </c>
      <c r="I370" s="7" t="s">
        <v>1412</v>
      </c>
      <c r="J370" s="7" t="s">
        <v>176</v>
      </c>
      <c r="K370" s="7" t="s">
        <v>550</v>
      </c>
      <c r="L370" s="10">
        <v>16292</v>
      </c>
      <c r="M370" s="10">
        <v>1500</v>
      </c>
      <c r="N370" s="10">
        <f>+L370-M370</f>
        <v>14792</v>
      </c>
      <c r="O370" s="10">
        <v>16292</v>
      </c>
      <c r="P370" s="10">
        <f>+L370-O370</f>
        <v>0</v>
      </c>
      <c r="Q370" s="10">
        <v>0</v>
      </c>
      <c r="R370" s="7" t="s">
        <v>27</v>
      </c>
    </row>
    <row r="371" spans="1:19">
      <c r="A371" s="7" t="s">
        <v>29</v>
      </c>
      <c r="B371" s="8">
        <v>19465</v>
      </c>
      <c r="C371" s="9">
        <v>45714.746296296296</v>
      </c>
      <c r="D371" s="9">
        <v>45688</v>
      </c>
      <c r="E371" s="9">
        <v>45628</v>
      </c>
      <c r="F371" s="7" t="s">
        <v>1413</v>
      </c>
      <c r="G371" s="7" t="s">
        <v>1414</v>
      </c>
      <c r="H371" s="7" t="s">
        <v>1415</v>
      </c>
      <c r="I371" s="7" t="s">
        <v>205</v>
      </c>
      <c r="J371" s="7" t="s">
        <v>25</v>
      </c>
      <c r="K371" s="7" t="s">
        <v>1416</v>
      </c>
      <c r="L371" s="10">
        <v>107350</v>
      </c>
      <c r="M371" s="10">
        <v>92940</v>
      </c>
      <c r="N371" s="10">
        <f>+L371-M371</f>
        <v>14410</v>
      </c>
      <c r="O371" s="10">
        <v>107350</v>
      </c>
      <c r="P371" s="10">
        <f>+L371-O371</f>
        <v>0</v>
      </c>
      <c r="Q371" s="10">
        <v>0</v>
      </c>
      <c r="R371" s="7" t="s">
        <v>27</v>
      </c>
      <c r="S371" t="s">
        <v>1417</v>
      </c>
    </row>
    <row r="372" spans="1:19" hidden="1">
      <c r="A372" s="7" t="s">
        <v>29</v>
      </c>
      <c r="B372" s="8">
        <v>20059</v>
      </c>
      <c r="C372" s="9">
        <v>45837.957048611112</v>
      </c>
      <c r="D372" s="9">
        <v>45737</v>
      </c>
      <c r="E372" s="9">
        <v>45784</v>
      </c>
      <c r="F372" s="7" t="s">
        <v>1418</v>
      </c>
      <c r="G372" s="7" t="s">
        <v>1419</v>
      </c>
      <c r="H372" s="7" t="s">
        <v>1420</v>
      </c>
      <c r="I372" s="7" t="s">
        <v>1421</v>
      </c>
      <c r="J372" s="7" t="s">
        <v>176</v>
      </c>
      <c r="K372" s="7" t="s">
        <v>374</v>
      </c>
      <c r="L372" s="10">
        <v>14548</v>
      </c>
      <c r="M372" s="10">
        <v>500</v>
      </c>
      <c r="N372" s="10">
        <f>+L372-M372</f>
        <v>14048</v>
      </c>
      <c r="O372" s="10">
        <v>14548</v>
      </c>
      <c r="P372" s="10">
        <f>+L372-O372</f>
        <v>0</v>
      </c>
      <c r="Q372" s="10">
        <v>0</v>
      </c>
      <c r="R372" s="7" t="s">
        <v>27</v>
      </c>
    </row>
    <row r="373" spans="1:19" hidden="1">
      <c r="A373" s="7" t="s">
        <v>29</v>
      </c>
      <c r="B373" s="8">
        <v>20492</v>
      </c>
      <c r="C373" s="9">
        <v>45923.47366319444</v>
      </c>
      <c r="D373" s="9">
        <v>45955</v>
      </c>
      <c r="E373" s="9">
        <v>45899</v>
      </c>
      <c r="F373" s="7" t="s">
        <v>1422</v>
      </c>
      <c r="G373" s="7" t="s">
        <v>1423</v>
      </c>
      <c r="H373" s="7" t="s">
        <v>1424</v>
      </c>
      <c r="I373" s="7" t="s">
        <v>1425</v>
      </c>
      <c r="J373" s="7" t="s">
        <v>176</v>
      </c>
      <c r="K373" s="7" t="s">
        <v>317</v>
      </c>
      <c r="L373" s="10">
        <v>13831</v>
      </c>
      <c r="M373" s="10">
        <v>0</v>
      </c>
      <c r="N373" s="10">
        <f>+L373-M373</f>
        <v>13831</v>
      </c>
      <c r="O373" s="10">
        <v>13831</v>
      </c>
      <c r="P373" s="10">
        <f>+L373-O373</f>
        <v>0</v>
      </c>
      <c r="Q373" s="10">
        <v>1383</v>
      </c>
      <c r="R373" s="7" t="s">
        <v>27</v>
      </c>
    </row>
    <row r="374" spans="1:19">
      <c r="A374" s="7" t="s">
        <v>29</v>
      </c>
      <c r="B374" s="8">
        <v>19298</v>
      </c>
      <c r="C374" s="9">
        <v>45659.442245370366</v>
      </c>
      <c r="D374" s="9">
        <v>45688</v>
      </c>
      <c r="E374" s="9">
        <v>45688</v>
      </c>
      <c r="F374" s="7" t="s">
        <v>1426</v>
      </c>
      <c r="G374" s="7" t="s">
        <v>1427</v>
      </c>
      <c r="H374" s="7" t="s">
        <v>1428</v>
      </c>
      <c r="I374" s="7" t="s">
        <v>1429</v>
      </c>
      <c r="J374" s="7" t="s">
        <v>25</v>
      </c>
      <c r="K374" s="7" t="s">
        <v>55</v>
      </c>
      <c r="L374" s="10">
        <v>13496</v>
      </c>
      <c r="M374" s="10">
        <v>0</v>
      </c>
      <c r="N374" s="10">
        <f>+L374-M374</f>
        <v>13496</v>
      </c>
      <c r="O374" s="10">
        <v>13496</v>
      </c>
      <c r="P374" s="10">
        <f>+L374-O374</f>
        <v>0</v>
      </c>
      <c r="Q374" s="10">
        <v>0</v>
      </c>
      <c r="R374" s="7" t="s">
        <v>27</v>
      </c>
    </row>
    <row r="375" spans="1:19" hidden="1">
      <c r="A375" s="7" t="s">
        <v>29</v>
      </c>
      <c r="B375" s="8">
        <v>19945</v>
      </c>
      <c r="C375" s="9">
        <v>45819.321932870371</v>
      </c>
      <c r="D375" s="9">
        <v>45819</v>
      </c>
      <c r="E375" s="9">
        <v>45819</v>
      </c>
      <c r="F375" s="7" t="s">
        <v>1430</v>
      </c>
      <c r="G375" s="7" t="s">
        <v>1431</v>
      </c>
      <c r="H375" s="7" t="s">
        <v>1379</v>
      </c>
      <c r="I375" s="7" t="s">
        <v>1380</v>
      </c>
      <c r="J375" s="7" t="s">
        <v>40</v>
      </c>
      <c r="K375" s="7" t="s">
        <v>41</v>
      </c>
      <c r="L375" s="10">
        <v>40508.6</v>
      </c>
      <c r="M375" s="10">
        <v>27101.33</v>
      </c>
      <c r="N375" s="10">
        <f>+L375-M375</f>
        <v>13407.269999999997</v>
      </c>
      <c r="O375" s="10">
        <v>40508.6</v>
      </c>
      <c r="P375" s="10">
        <f>+L375-O375</f>
        <v>0</v>
      </c>
      <c r="Q375" s="10">
        <v>0</v>
      </c>
      <c r="R375" s="7" t="s">
        <v>27</v>
      </c>
    </row>
    <row r="376" spans="1:19" hidden="1">
      <c r="A376" s="7" t="s">
        <v>29</v>
      </c>
      <c r="B376" s="8">
        <v>20816</v>
      </c>
      <c r="C376" s="9">
        <v>46020.027316319443</v>
      </c>
      <c r="D376" s="9">
        <v>46106</v>
      </c>
      <c r="E376" s="9">
        <v>45931</v>
      </c>
      <c r="F376" s="7" t="s">
        <v>1432</v>
      </c>
      <c r="G376" s="7" t="s">
        <v>1433</v>
      </c>
      <c r="H376" s="7" t="s">
        <v>619</v>
      </c>
      <c r="I376" s="7" t="s">
        <v>620</v>
      </c>
      <c r="J376" s="7" t="s">
        <v>176</v>
      </c>
      <c r="K376" s="7" t="s">
        <v>177</v>
      </c>
      <c r="L376" s="10">
        <v>13224</v>
      </c>
      <c r="M376" s="10">
        <v>0</v>
      </c>
      <c r="N376" s="10">
        <f>+L376-M376</f>
        <v>13224</v>
      </c>
      <c r="O376" s="10">
        <v>13224</v>
      </c>
      <c r="P376" s="10">
        <f>+L376-O376</f>
        <v>0</v>
      </c>
      <c r="Q376" s="10">
        <v>0</v>
      </c>
      <c r="R376" s="7" t="s">
        <v>27</v>
      </c>
    </row>
    <row r="377" spans="1:19">
      <c r="A377" s="11" t="s">
        <v>20</v>
      </c>
      <c r="B377" s="8">
        <v>12509</v>
      </c>
      <c r="C377" s="9">
        <v>46017.691412037035</v>
      </c>
      <c r="D377" s="9">
        <v>46048</v>
      </c>
      <c r="E377" s="9">
        <v>46001</v>
      </c>
      <c r="F377" s="7" t="s">
        <v>1434</v>
      </c>
      <c r="G377" s="7" t="s">
        <v>1435</v>
      </c>
      <c r="H377" s="7" t="s">
        <v>1436</v>
      </c>
      <c r="I377" s="7" t="s">
        <v>1437</v>
      </c>
      <c r="J377" s="7" t="s">
        <v>25</v>
      </c>
      <c r="K377" s="7" t="s">
        <v>170</v>
      </c>
      <c r="L377" s="10">
        <v>26322.14</v>
      </c>
      <c r="M377" s="10">
        <v>13161.07</v>
      </c>
      <c r="N377" s="10">
        <f>+L377-M377</f>
        <v>13161.07</v>
      </c>
      <c r="O377" s="10">
        <v>26322.14</v>
      </c>
      <c r="P377" s="10">
        <f>+L377-O377</f>
        <v>0</v>
      </c>
      <c r="Q377" s="10">
        <v>0</v>
      </c>
      <c r="R377" s="7" t="s">
        <v>27</v>
      </c>
      <c r="S377" t="s">
        <v>1438</v>
      </c>
    </row>
    <row r="378" spans="1:19" hidden="1">
      <c r="A378" s="7" t="s">
        <v>29</v>
      </c>
      <c r="B378" s="8">
        <v>19675</v>
      </c>
      <c r="C378" s="9">
        <v>45758.686516203699</v>
      </c>
      <c r="D378" s="9">
        <v>45822</v>
      </c>
      <c r="E378" s="9">
        <v>45789</v>
      </c>
      <c r="F378" s="7" t="s">
        <v>1439</v>
      </c>
      <c r="G378" s="7" t="s">
        <v>1440</v>
      </c>
      <c r="H378" s="7" t="s">
        <v>817</v>
      </c>
      <c r="I378" s="7" t="s">
        <v>818</v>
      </c>
      <c r="J378" s="7" t="s">
        <v>176</v>
      </c>
      <c r="K378" s="7" t="s">
        <v>550</v>
      </c>
      <c r="L378" s="10">
        <v>12811</v>
      </c>
      <c r="M378" s="10">
        <v>0</v>
      </c>
      <c r="N378" s="10">
        <f>+L378-M378</f>
        <v>12811</v>
      </c>
      <c r="O378" s="10">
        <v>12811</v>
      </c>
      <c r="P378" s="10">
        <f>+L378-O378</f>
        <v>0</v>
      </c>
      <c r="Q378" s="10">
        <v>0</v>
      </c>
      <c r="R378" s="7" t="s">
        <v>27</v>
      </c>
    </row>
    <row r="379" spans="1:19">
      <c r="A379" s="7" t="s">
        <v>29</v>
      </c>
      <c r="B379" s="8">
        <v>19905</v>
      </c>
      <c r="C379" s="9">
        <v>45810.588436458333</v>
      </c>
      <c r="D379" s="9">
        <v>45814</v>
      </c>
      <c r="E379" s="9">
        <v>45807</v>
      </c>
      <c r="F379" s="7" t="s">
        <v>1441</v>
      </c>
      <c r="G379" s="7" t="s">
        <v>1442</v>
      </c>
      <c r="H379" s="7" t="s">
        <v>480</v>
      </c>
      <c r="I379" s="7" t="s">
        <v>481</v>
      </c>
      <c r="J379" s="7" t="s">
        <v>25</v>
      </c>
      <c r="K379" s="7" t="s">
        <v>26</v>
      </c>
      <c r="L379" s="10">
        <v>12203.8</v>
      </c>
      <c r="M379" s="10">
        <v>0</v>
      </c>
      <c r="N379" s="10">
        <f>+L379-M379</f>
        <v>12203.8</v>
      </c>
      <c r="O379" s="10">
        <v>12203.8</v>
      </c>
      <c r="P379" s="10">
        <f>+L379-O379</f>
        <v>0</v>
      </c>
      <c r="Q379" s="10">
        <v>0</v>
      </c>
      <c r="R379" s="7" t="s">
        <v>27</v>
      </c>
      <c r="S379" t="s">
        <v>1265</v>
      </c>
    </row>
    <row r="380" spans="1:19" hidden="1">
      <c r="A380" s="7" t="s">
        <v>29</v>
      </c>
      <c r="B380" s="8">
        <v>20046</v>
      </c>
      <c r="C380" s="9">
        <v>45836.900821759256</v>
      </c>
      <c r="D380" s="9">
        <v>45972</v>
      </c>
      <c r="E380" s="9">
        <v>45804</v>
      </c>
      <c r="F380" s="7" t="s">
        <v>1443</v>
      </c>
      <c r="G380" s="7" t="s">
        <v>1444</v>
      </c>
      <c r="H380" s="7" t="s">
        <v>1445</v>
      </c>
      <c r="I380" s="7" t="s">
        <v>1446</v>
      </c>
      <c r="J380" s="7" t="s">
        <v>176</v>
      </c>
      <c r="K380" s="7" t="s">
        <v>177</v>
      </c>
      <c r="L380" s="10">
        <v>30500</v>
      </c>
      <c r="M380" s="10">
        <v>18300</v>
      </c>
      <c r="N380" s="10">
        <f>+L380-M380</f>
        <v>12200</v>
      </c>
      <c r="O380" s="10">
        <v>30500</v>
      </c>
      <c r="P380" s="10">
        <f>+L380-O380</f>
        <v>0</v>
      </c>
      <c r="Q380" s="10">
        <v>0</v>
      </c>
      <c r="R380" s="7" t="s">
        <v>27</v>
      </c>
    </row>
    <row r="381" spans="1:19" hidden="1">
      <c r="A381" s="7" t="s">
        <v>29</v>
      </c>
      <c r="B381" s="8">
        <v>20029</v>
      </c>
      <c r="C381" s="9">
        <v>45834.499571759254</v>
      </c>
      <c r="D381" s="9">
        <v>45834</v>
      </c>
      <c r="E381" s="9">
        <v>45845</v>
      </c>
      <c r="F381" s="7" t="s">
        <v>1447</v>
      </c>
      <c r="G381" s="7" t="s">
        <v>1448</v>
      </c>
      <c r="H381" s="7" t="s">
        <v>1449</v>
      </c>
      <c r="I381" s="7" t="s">
        <v>1450</v>
      </c>
      <c r="J381" s="7" t="s">
        <v>34</v>
      </c>
      <c r="K381" s="7" t="s">
        <v>35</v>
      </c>
      <c r="L381" s="10">
        <v>10983</v>
      </c>
      <c r="M381" s="10">
        <v>0</v>
      </c>
      <c r="N381" s="10">
        <f>+L381-M381</f>
        <v>10983</v>
      </c>
      <c r="O381" s="10">
        <v>10983</v>
      </c>
      <c r="P381" s="10">
        <f>+L381-O381</f>
        <v>0</v>
      </c>
      <c r="Q381" s="10">
        <v>0</v>
      </c>
      <c r="R381" s="7" t="s">
        <v>27</v>
      </c>
    </row>
    <row r="382" spans="1:19" hidden="1">
      <c r="A382" s="7" t="s">
        <v>29</v>
      </c>
      <c r="B382" s="8">
        <v>19678</v>
      </c>
      <c r="C382" s="9">
        <v>45761.370208333334</v>
      </c>
      <c r="D382" s="9">
        <v>45878</v>
      </c>
      <c r="E382" s="9">
        <v>45751</v>
      </c>
      <c r="F382" s="7" t="s">
        <v>1451</v>
      </c>
      <c r="G382" s="7" t="s">
        <v>1452</v>
      </c>
      <c r="H382" s="7" t="s">
        <v>1453</v>
      </c>
      <c r="I382" s="7" t="s">
        <v>1454</v>
      </c>
      <c r="J382" s="7" t="s">
        <v>176</v>
      </c>
      <c r="K382" s="7" t="s">
        <v>945</v>
      </c>
      <c r="L382" s="10">
        <v>24569</v>
      </c>
      <c r="M382" s="10">
        <v>14000</v>
      </c>
      <c r="N382" s="10">
        <f>+L382-M382</f>
        <v>10569</v>
      </c>
      <c r="O382" s="10">
        <v>24569</v>
      </c>
      <c r="P382" s="10">
        <f>+L382-O382</f>
        <v>0</v>
      </c>
      <c r="Q382" s="10">
        <v>0</v>
      </c>
      <c r="R382" s="7" t="s">
        <v>27</v>
      </c>
    </row>
    <row r="383" spans="1:19" hidden="1">
      <c r="A383" s="7" t="s">
        <v>29</v>
      </c>
      <c r="B383" s="8">
        <v>20700</v>
      </c>
      <c r="C383" s="9">
        <v>45975.610682870371</v>
      </c>
      <c r="D383" s="9">
        <v>45975</v>
      </c>
      <c r="E383" s="9">
        <v>46021</v>
      </c>
      <c r="F383" s="7" t="s">
        <v>1455</v>
      </c>
      <c r="G383" s="7" t="s">
        <v>1456</v>
      </c>
      <c r="H383" s="7" t="s">
        <v>1457</v>
      </c>
      <c r="I383" s="7" t="s">
        <v>1458</v>
      </c>
      <c r="J383" s="7" t="s">
        <v>34</v>
      </c>
      <c r="K383" s="7" t="s">
        <v>105</v>
      </c>
      <c r="L383" s="10">
        <v>17368.04</v>
      </c>
      <c r="M383" s="10">
        <v>6947.21</v>
      </c>
      <c r="N383" s="10">
        <f>+L383-M383</f>
        <v>10420.830000000002</v>
      </c>
      <c r="O383" s="10">
        <v>17368.04</v>
      </c>
      <c r="P383" s="10">
        <f>+L383-O383</f>
        <v>0</v>
      </c>
      <c r="Q383" s="10">
        <v>0</v>
      </c>
      <c r="R383" s="7" t="s">
        <v>27</v>
      </c>
    </row>
    <row r="384" spans="1:19">
      <c r="A384" s="7" t="s">
        <v>29</v>
      </c>
      <c r="B384" s="8">
        <v>20403</v>
      </c>
      <c r="C384" s="9">
        <v>45905.48458788194</v>
      </c>
      <c r="D384" s="9">
        <v>45898</v>
      </c>
      <c r="E384" s="9">
        <v>45862</v>
      </c>
      <c r="F384" s="7" t="s">
        <v>1459</v>
      </c>
      <c r="G384" s="7" t="s">
        <v>1460</v>
      </c>
      <c r="H384" s="7" t="s">
        <v>1461</v>
      </c>
      <c r="I384" s="7" t="s">
        <v>1462</v>
      </c>
      <c r="J384" s="7" t="s">
        <v>25</v>
      </c>
      <c r="K384" s="7" t="s">
        <v>26</v>
      </c>
      <c r="L384" s="10">
        <v>128696.57</v>
      </c>
      <c r="M384" s="10">
        <v>119044.34</v>
      </c>
      <c r="N384" s="10">
        <f>+L384-M384</f>
        <v>9652.2300000000105</v>
      </c>
      <c r="O384" s="10">
        <v>128696.57</v>
      </c>
      <c r="P384" s="10">
        <f>+L384-O384</f>
        <v>0</v>
      </c>
      <c r="Q384" s="10">
        <v>0</v>
      </c>
      <c r="R384" s="7" t="s">
        <v>27</v>
      </c>
      <c r="S384" t="s">
        <v>1463</v>
      </c>
    </row>
    <row r="385" spans="1:19" hidden="1">
      <c r="A385" s="7" t="s">
        <v>29</v>
      </c>
      <c r="B385" s="8">
        <v>20415</v>
      </c>
      <c r="C385" s="9">
        <v>45908.634201388886</v>
      </c>
      <c r="D385" s="9">
        <v>45898</v>
      </c>
      <c r="E385" s="9">
        <v>45898</v>
      </c>
      <c r="F385" s="7" t="s">
        <v>1464</v>
      </c>
      <c r="G385" s="7" t="s">
        <v>1465</v>
      </c>
      <c r="H385" s="7" t="s">
        <v>163</v>
      </c>
      <c r="I385" s="7" t="s">
        <v>164</v>
      </c>
      <c r="J385" s="7" t="s">
        <v>40</v>
      </c>
      <c r="K385" s="7" t="s">
        <v>46</v>
      </c>
      <c r="L385" s="10">
        <v>15745.41</v>
      </c>
      <c r="M385" s="10">
        <v>6298.16</v>
      </c>
      <c r="N385" s="10">
        <f>+L385-M385</f>
        <v>9447.25</v>
      </c>
      <c r="O385" s="10">
        <v>15745.41</v>
      </c>
      <c r="P385" s="10">
        <f>+L385-O385</f>
        <v>0</v>
      </c>
      <c r="Q385" s="10">
        <v>0</v>
      </c>
      <c r="R385" s="7" t="s">
        <v>27</v>
      </c>
    </row>
    <row r="386" spans="1:19" hidden="1">
      <c r="A386" s="7" t="s">
        <v>29</v>
      </c>
      <c r="B386" s="8">
        <v>4294</v>
      </c>
      <c r="C386" s="9">
        <v>45981.476053240738</v>
      </c>
      <c r="D386" s="9">
        <v>45951</v>
      </c>
      <c r="E386" s="9">
        <v>45964</v>
      </c>
      <c r="F386" s="7" t="s">
        <v>1466</v>
      </c>
      <c r="G386" s="7" t="s">
        <v>857</v>
      </c>
      <c r="H386" s="7" t="s">
        <v>1467</v>
      </c>
      <c r="I386" s="7" t="s">
        <v>1468</v>
      </c>
      <c r="J386" s="7" t="s">
        <v>25</v>
      </c>
      <c r="K386" s="7" t="s">
        <v>86</v>
      </c>
      <c r="L386" s="10">
        <v>23160.71</v>
      </c>
      <c r="M386" s="10">
        <v>13896.43</v>
      </c>
      <c r="N386" s="15">
        <f>+L386-M386</f>
        <v>9264.2799999999988</v>
      </c>
      <c r="O386" s="15">
        <v>23160.71</v>
      </c>
      <c r="P386" s="15">
        <f>+L386-O386</f>
        <v>0</v>
      </c>
      <c r="Q386" s="10">
        <v>0</v>
      </c>
      <c r="R386" s="7" t="s">
        <v>87</v>
      </c>
      <c r="S386" t="s">
        <v>851</v>
      </c>
    </row>
    <row r="387" spans="1:19" hidden="1">
      <c r="A387" s="7" t="s">
        <v>29</v>
      </c>
      <c r="B387" s="8">
        <v>20947</v>
      </c>
      <c r="C387" s="9">
        <v>46062.639756944445</v>
      </c>
      <c r="D387" s="9">
        <v>46062</v>
      </c>
      <c r="E387" s="9">
        <v>46108</v>
      </c>
      <c r="F387" s="7" t="s">
        <v>1469</v>
      </c>
      <c r="G387" s="7" t="s">
        <v>1470</v>
      </c>
      <c r="H387" s="7" t="s">
        <v>475</v>
      </c>
      <c r="I387" s="7" t="s">
        <v>476</v>
      </c>
      <c r="J387" s="7" t="s">
        <v>34</v>
      </c>
      <c r="K387" s="7" t="s">
        <v>1471</v>
      </c>
      <c r="L387" s="10">
        <v>9196.36</v>
      </c>
      <c r="M387" s="10">
        <v>0</v>
      </c>
      <c r="N387" s="10">
        <f>+L387-M387</f>
        <v>9196.36</v>
      </c>
      <c r="O387" s="10">
        <v>9196.36</v>
      </c>
      <c r="P387" s="10">
        <f>+L387-O387</f>
        <v>0</v>
      </c>
      <c r="Q387" s="10">
        <v>0</v>
      </c>
      <c r="R387" s="7" t="s">
        <v>27</v>
      </c>
    </row>
    <row r="388" spans="1:19" hidden="1">
      <c r="A388" s="7" t="s">
        <v>29</v>
      </c>
      <c r="B388" s="8">
        <v>20680</v>
      </c>
      <c r="C388" s="9">
        <v>45968.362800925926</v>
      </c>
      <c r="D388" s="9">
        <v>45910</v>
      </c>
      <c r="E388" s="9">
        <v>45910</v>
      </c>
      <c r="F388" s="7" t="s">
        <v>1472</v>
      </c>
      <c r="G388" s="7" t="s">
        <v>1473</v>
      </c>
      <c r="H388" s="7" t="s">
        <v>455</v>
      </c>
      <c r="I388" s="7" t="s">
        <v>456</v>
      </c>
      <c r="J388" s="7" t="s">
        <v>40</v>
      </c>
      <c r="K388" s="7" t="s">
        <v>308</v>
      </c>
      <c r="L388" s="10">
        <v>42465.59</v>
      </c>
      <c r="M388" s="10">
        <v>33335.480000000003</v>
      </c>
      <c r="N388" s="10">
        <f>+L388-M388</f>
        <v>9130.1099999999933</v>
      </c>
      <c r="O388" s="10">
        <v>42465.59</v>
      </c>
      <c r="P388" s="10">
        <f>+L388-O388</f>
        <v>0</v>
      </c>
      <c r="Q388" s="10">
        <v>0</v>
      </c>
      <c r="R388" s="7" t="s">
        <v>27</v>
      </c>
    </row>
    <row r="389" spans="1:19" hidden="1">
      <c r="A389" s="7" t="s">
        <v>29</v>
      </c>
      <c r="B389" s="8">
        <v>19946</v>
      </c>
      <c r="C389" s="9">
        <v>45819.38481481481</v>
      </c>
      <c r="D389" s="9">
        <v>45919</v>
      </c>
      <c r="E389" s="9">
        <v>45813</v>
      </c>
      <c r="F389" s="7" t="s">
        <v>1474</v>
      </c>
      <c r="G389" s="7" t="s">
        <v>1475</v>
      </c>
      <c r="H389" s="7" t="s">
        <v>1476</v>
      </c>
      <c r="I389" s="7" t="s">
        <v>1477</v>
      </c>
      <c r="J389" s="7" t="s">
        <v>176</v>
      </c>
      <c r="K389" s="7" t="s">
        <v>374</v>
      </c>
      <c r="L389" s="10">
        <v>11000</v>
      </c>
      <c r="M389" s="10">
        <v>2000</v>
      </c>
      <c r="N389" s="10">
        <f>+L389-M389</f>
        <v>9000</v>
      </c>
      <c r="O389" s="10">
        <v>11000</v>
      </c>
      <c r="P389" s="10">
        <f>+L389-O389</f>
        <v>0</v>
      </c>
      <c r="Q389" s="10">
        <v>0</v>
      </c>
      <c r="R389" s="7" t="s">
        <v>27</v>
      </c>
    </row>
    <row r="390" spans="1:19" hidden="1">
      <c r="A390" s="7" t="s">
        <v>29</v>
      </c>
      <c r="B390" s="8">
        <v>20079</v>
      </c>
      <c r="C390" s="9">
        <v>45840.492546296293</v>
      </c>
      <c r="D390" s="9">
        <v>45840</v>
      </c>
      <c r="E390" s="9">
        <v>45873</v>
      </c>
      <c r="F390" s="7" t="s">
        <v>1478</v>
      </c>
      <c r="G390" s="7" t="s">
        <v>1479</v>
      </c>
      <c r="H390" s="7" t="s">
        <v>302</v>
      </c>
      <c r="I390" s="7" t="s">
        <v>303</v>
      </c>
      <c r="J390" s="7" t="s">
        <v>34</v>
      </c>
      <c r="K390" s="7" t="s">
        <v>35</v>
      </c>
      <c r="L390" s="10">
        <v>8848.84</v>
      </c>
      <c r="M390" s="10">
        <v>0</v>
      </c>
      <c r="N390" s="10">
        <f>+L390-M390</f>
        <v>8848.84</v>
      </c>
      <c r="O390" s="10">
        <v>8848.84</v>
      </c>
      <c r="P390" s="10">
        <f>+L390-O390</f>
        <v>0</v>
      </c>
      <c r="Q390" s="10">
        <v>0</v>
      </c>
      <c r="R390" s="7" t="s">
        <v>27</v>
      </c>
    </row>
    <row r="391" spans="1:19">
      <c r="A391" s="7" t="s">
        <v>29</v>
      </c>
      <c r="B391" s="8">
        <v>20665</v>
      </c>
      <c r="C391" s="9">
        <v>45965.736957986112</v>
      </c>
      <c r="D391" s="9">
        <v>46020</v>
      </c>
      <c r="E391" s="9">
        <v>46020</v>
      </c>
      <c r="F391" s="7" t="s">
        <v>1480</v>
      </c>
      <c r="G391" s="7" t="s">
        <v>1481</v>
      </c>
      <c r="H391" s="7" t="s">
        <v>1482</v>
      </c>
      <c r="I391" s="7" t="s">
        <v>1483</v>
      </c>
      <c r="J391" s="7" t="s">
        <v>25</v>
      </c>
      <c r="K391" s="7" t="s">
        <v>55</v>
      </c>
      <c r="L391" s="10">
        <v>8321.5300000000007</v>
      </c>
      <c r="M391" s="10">
        <v>0</v>
      </c>
      <c r="N391" s="10">
        <f>+L391-M391</f>
        <v>8321.5300000000007</v>
      </c>
      <c r="O391" s="10">
        <v>8321.5300000000007</v>
      </c>
      <c r="P391" s="10">
        <f>+L391-O391</f>
        <v>0</v>
      </c>
      <c r="Q391" s="10">
        <v>0</v>
      </c>
      <c r="R391" s="7" t="s">
        <v>27</v>
      </c>
    </row>
    <row r="392" spans="1:19" hidden="1">
      <c r="A392" s="7" t="s">
        <v>29</v>
      </c>
      <c r="B392" s="8">
        <v>4245</v>
      </c>
      <c r="C392" s="9">
        <v>45862.656544293983</v>
      </c>
      <c r="D392" s="9">
        <v>45790</v>
      </c>
      <c r="E392" s="9">
        <v>45853</v>
      </c>
      <c r="F392" s="7" t="s">
        <v>1484</v>
      </c>
      <c r="G392" s="7" t="s">
        <v>845</v>
      </c>
      <c r="H392" s="7" t="s">
        <v>1485</v>
      </c>
      <c r="I392" s="7" t="s">
        <v>1486</v>
      </c>
      <c r="J392" s="7" t="s">
        <v>25</v>
      </c>
      <c r="K392" s="7" t="s">
        <v>125</v>
      </c>
      <c r="L392" s="10">
        <v>83068.639999999999</v>
      </c>
      <c r="M392" s="10">
        <v>74779.570000000007</v>
      </c>
      <c r="N392" s="15">
        <f>+L392-M392</f>
        <v>8289.0699999999924</v>
      </c>
      <c r="O392" s="15">
        <v>83068.639999999999</v>
      </c>
      <c r="P392" s="15">
        <f>+L392-O392</f>
        <v>0</v>
      </c>
      <c r="Q392" s="10">
        <v>0</v>
      </c>
      <c r="R392" s="7" t="s">
        <v>87</v>
      </c>
      <c r="S392" t="s">
        <v>851</v>
      </c>
    </row>
    <row r="393" spans="1:19" hidden="1">
      <c r="A393" s="7" t="s">
        <v>29</v>
      </c>
      <c r="B393" s="8">
        <v>20360</v>
      </c>
      <c r="C393" s="9">
        <v>45898.752418981479</v>
      </c>
      <c r="D393" s="9">
        <v>46105</v>
      </c>
      <c r="E393" s="9">
        <v>46030</v>
      </c>
      <c r="F393" s="7" t="s">
        <v>1487</v>
      </c>
      <c r="G393" s="7" t="s">
        <v>1488</v>
      </c>
      <c r="H393" s="7" t="s">
        <v>1489</v>
      </c>
      <c r="I393" s="7" t="s">
        <v>554</v>
      </c>
      <c r="J393" s="7" t="s">
        <v>176</v>
      </c>
      <c r="K393" s="7" t="s">
        <v>177</v>
      </c>
      <c r="L393" s="10">
        <v>9277.7000000000007</v>
      </c>
      <c r="M393" s="10">
        <v>1000</v>
      </c>
      <c r="N393" s="10">
        <f>+L393-M393</f>
        <v>8277.7000000000007</v>
      </c>
      <c r="O393" s="10">
        <v>9277.7000000000007</v>
      </c>
      <c r="P393" s="10">
        <f>+L393-O393</f>
        <v>0</v>
      </c>
      <c r="Q393" s="10">
        <v>0</v>
      </c>
      <c r="R393" s="7" t="s">
        <v>27</v>
      </c>
    </row>
    <row r="394" spans="1:19" hidden="1">
      <c r="A394" s="7" t="s">
        <v>29</v>
      </c>
      <c r="B394" s="8">
        <v>20004</v>
      </c>
      <c r="C394" s="9">
        <v>45832.476435185185</v>
      </c>
      <c r="D394" s="9">
        <v>45832</v>
      </c>
      <c r="E394" s="9">
        <v>45889</v>
      </c>
      <c r="F394" s="7" t="s">
        <v>1490</v>
      </c>
      <c r="G394" s="7" t="s">
        <v>1491</v>
      </c>
      <c r="H394" s="7" t="s">
        <v>276</v>
      </c>
      <c r="I394" s="7" t="s">
        <v>277</v>
      </c>
      <c r="J394" s="7" t="s">
        <v>34</v>
      </c>
      <c r="K394" s="7" t="s">
        <v>35</v>
      </c>
      <c r="L394" s="10">
        <v>8079.66</v>
      </c>
      <c r="M394" s="10">
        <v>0</v>
      </c>
      <c r="N394" s="10">
        <f>+L394-M394</f>
        <v>8079.66</v>
      </c>
      <c r="O394" s="10">
        <v>8079.66</v>
      </c>
      <c r="P394" s="10">
        <f>+L394-O394</f>
        <v>0</v>
      </c>
      <c r="Q394" s="10">
        <v>0</v>
      </c>
      <c r="R394" s="7" t="s">
        <v>27</v>
      </c>
    </row>
    <row r="395" spans="1:19" hidden="1">
      <c r="A395" s="7" t="s">
        <v>29</v>
      </c>
      <c r="B395" s="8">
        <v>19672</v>
      </c>
      <c r="C395" s="9">
        <v>45758.676985185186</v>
      </c>
      <c r="D395" s="9">
        <v>45836</v>
      </c>
      <c r="E395" s="9">
        <v>45789</v>
      </c>
      <c r="F395" s="7" t="s">
        <v>1492</v>
      </c>
      <c r="G395" s="7" t="s">
        <v>1493</v>
      </c>
      <c r="H395" s="7" t="s">
        <v>1318</v>
      </c>
      <c r="I395" s="7" t="s">
        <v>1494</v>
      </c>
      <c r="J395" s="7" t="s">
        <v>176</v>
      </c>
      <c r="K395" s="7" t="s">
        <v>550</v>
      </c>
      <c r="L395" s="10">
        <v>8064</v>
      </c>
      <c r="M395" s="10">
        <v>0</v>
      </c>
      <c r="N395" s="10">
        <f>+L395-M395</f>
        <v>8064</v>
      </c>
      <c r="O395" s="10">
        <v>8064</v>
      </c>
      <c r="P395" s="10">
        <f>+L395-O395</f>
        <v>0</v>
      </c>
      <c r="Q395" s="10">
        <v>0</v>
      </c>
      <c r="R395" s="7" t="s">
        <v>27</v>
      </c>
    </row>
    <row r="396" spans="1:19" hidden="1">
      <c r="A396" s="7" t="s">
        <v>29</v>
      </c>
      <c r="B396" s="8">
        <v>20777</v>
      </c>
      <c r="C396" s="9">
        <v>46002.608993055554</v>
      </c>
      <c r="D396" s="9">
        <v>46002</v>
      </c>
      <c r="E396" s="9">
        <v>46052</v>
      </c>
      <c r="F396" s="7" t="s">
        <v>1495</v>
      </c>
      <c r="G396" s="7" t="s">
        <v>1496</v>
      </c>
      <c r="H396" s="7" t="s">
        <v>1497</v>
      </c>
      <c r="I396" s="7" t="s">
        <v>1498</v>
      </c>
      <c r="J396" s="7" t="s">
        <v>34</v>
      </c>
      <c r="K396" s="7" t="s">
        <v>118</v>
      </c>
      <c r="L396" s="10">
        <v>7834.52</v>
      </c>
      <c r="M396" s="10">
        <v>0</v>
      </c>
      <c r="N396" s="10">
        <f>+L396-M396</f>
        <v>7834.52</v>
      </c>
      <c r="O396" s="10">
        <v>7834.52</v>
      </c>
      <c r="P396" s="10">
        <f>+L396-O396</f>
        <v>0</v>
      </c>
      <c r="Q396" s="10">
        <v>0</v>
      </c>
      <c r="R396" s="7" t="s">
        <v>27</v>
      </c>
    </row>
    <row r="397" spans="1:19">
      <c r="A397" s="7" t="s">
        <v>29</v>
      </c>
      <c r="B397" s="8">
        <v>20664</v>
      </c>
      <c r="C397" s="9">
        <v>45965.736770682866</v>
      </c>
      <c r="D397" s="9">
        <v>46000</v>
      </c>
      <c r="E397" s="9">
        <v>46000</v>
      </c>
      <c r="F397" s="7" t="s">
        <v>1499</v>
      </c>
      <c r="G397" s="7" t="s">
        <v>1500</v>
      </c>
      <c r="H397" s="7" t="s">
        <v>1501</v>
      </c>
      <c r="I397" s="7" t="s">
        <v>1147</v>
      </c>
      <c r="J397" s="7" t="s">
        <v>25</v>
      </c>
      <c r="K397" s="7" t="s">
        <v>407</v>
      </c>
      <c r="L397" s="10">
        <v>19474.84</v>
      </c>
      <c r="M397" s="10">
        <v>11684.9</v>
      </c>
      <c r="N397" s="10">
        <f>+L397-M397</f>
        <v>7789.9400000000005</v>
      </c>
      <c r="O397" s="10">
        <v>19474.84</v>
      </c>
      <c r="P397" s="10">
        <f>+L397-O397</f>
        <v>0</v>
      </c>
      <c r="Q397" s="10">
        <v>0</v>
      </c>
      <c r="R397" s="7" t="s">
        <v>27</v>
      </c>
      <c r="S397" t="s">
        <v>1502</v>
      </c>
    </row>
    <row r="398" spans="1:19">
      <c r="A398" s="7" t="s">
        <v>29</v>
      </c>
      <c r="B398" s="8">
        <v>20513</v>
      </c>
      <c r="C398" s="9">
        <v>45926.411712962959</v>
      </c>
      <c r="D398" s="9">
        <v>45923</v>
      </c>
      <c r="E398" s="9">
        <v>45883</v>
      </c>
      <c r="F398" s="7" t="s">
        <v>1503</v>
      </c>
      <c r="G398" s="7" t="s">
        <v>1504</v>
      </c>
      <c r="H398" s="7" t="s">
        <v>1505</v>
      </c>
      <c r="I398" s="7" t="s">
        <v>1506</v>
      </c>
      <c r="J398" s="7" t="s">
        <v>25</v>
      </c>
      <c r="K398" s="7" t="s">
        <v>55</v>
      </c>
      <c r="L398" s="10">
        <v>29820.59</v>
      </c>
      <c r="M398" s="10">
        <v>22109.31</v>
      </c>
      <c r="N398" s="10">
        <f>+L398-M398</f>
        <v>7711.2799999999988</v>
      </c>
      <c r="O398" s="10">
        <v>29820.59</v>
      </c>
      <c r="P398" s="10">
        <f>+L398-O398</f>
        <v>0</v>
      </c>
      <c r="Q398" s="10">
        <v>0</v>
      </c>
      <c r="R398" s="7" t="s">
        <v>27</v>
      </c>
    </row>
    <row r="399" spans="1:19" hidden="1">
      <c r="A399" s="7" t="s">
        <v>29</v>
      </c>
      <c r="B399" s="8">
        <v>20819</v>
      </c>
      <c r="C399" s="9">
        <v>46020.056493055556</v>
      </c>
      <c r="D399" s="9">
        <v>46009</v>
      </c>
      <c r="E399" s="9">
        <v>45897</v>
      </c>
      <c r="F399" s="7" t="s">
        <v>1507</v>
      </c>
      <c r="G399" s="7" t="s">
        <v>1508</v>
      </c>
      <c r="H399" s="7" t="s">
        <v>1509</v>
      </c>
      <c r="I399" s="7" t="s">
        <v>1510</v>
      </c>
      <c r="J399" s="7" t="s">
        <v>176</v>
      </c>
      <c r="K399" s="7" t="s">
        <v>374</v>
      </c>
      <c r="L399" s="10">
        <v>18500</v>
      </c>
      <c r="M399" s="10">
        <v>11100</v>
      </c>
      <c r="N399" s="10">
        <f>+L399-M399</f>
        <v>7400</v>
      </c>
      <c r="O399" s="10">
        <v>18500</v>
      </c>
      <c r="P399" s="10">
        <f>+L399-O399</f>
        <v>0</v>
      </c>
      <c r="Q399" s="10">
        <v>0</v>
      </c>
      <c r="R399" s="7" t="s">
        <v>27</v>
      </c>
    </row>
    <row r="400" spans="1:19" hidden="1">
      <c r="A400" s="7" t="s">
        <v>29</v>
      </c>
      <c r="B400" s="8">
        <v>19624</v>
      </c>
      <c r="C400" s="9">
        <v>45751.696273148147</v>
      </c>
      <c r="D400" s="9">
        <v>45769</v>
      </c>
      <c r="E400" s="9">
        <v>45741</v>
      </c>
      <c r="F400" s="7" t="s">
        <v>1511</v>
      </c>
      <c r="G400" s="7" t="s">
        <v>1512</v>
      </c>
      <c r="H400" s="7" t="s">
        <v>1513</v>
      </c>
      <c r="I400" s="7" t="s">
        <v>808</v>
      </c>
      <c r="J400" s="7" t="s">
        <v>176</v>
      </c>
      <c r="K400" s="7" t="s">
        <v>584</v>
      </c>
      <c r="L400" s="10">
        <v>8294</v>
      </c>
      <c r="M400" s="10">
        <v>1000</v>
      </c>
      <c r="N400" s="10">
        <f>+L400-M400</f>
        <v>7294</v>
      </c>
      <c r="O400" s="10">
        <v>8294</v>
      </c>
      <c r="P400" s="10">
        <f>+L400-O400</f>
        <v>0</v>
      </c>
      <c r="Q400" s="10">
        <v>0</v>
      </c>
      <c r="R400" s="7" t="s">
        <v>27</v>
      </c>
    </row>
    <row r="401" spans="1:19" hidden="1">
      <c r="A401" s="7" t="s">
        <v>29</v>
      </c>
      <c r="B401" s="8">
        <v>19864</v>
      </c>
      <c r="C401" s="9">
        <v>45803.702615740738</v>
      </c>
      <c r="D401" s="9">
        <v>45863</v>
      </c>
      <c r="E401" s="9">
        <v>45800</v>
      </c>
      <c r="F401" s="7" t="s">
        <v>1514</v>
      </c>
      <c r="G401" s="7" t="s">
        <v>1515</v>
      </c>
      <c r="H401" s="7" t="s">
        <v>1516</v>
      </c>
      <c r="I401" s="7" t="s">
        <v>1517</v>
      </c>
      <c r="J401" s="7" t="s">
        <v>40</v>
      </c>
      <c r="K401" s="7" t="s">
        <v>41</v>
      </c>
      <c r="L401" s="10">
        <v>7162.17</v>
      </c>
      <c r="M401" s="10">
        <v>0</v>
      </c>
      <c r="N401" s="10">
        <f>+L401-M401</f>
        <v>7162.17</v>
      </c>
      <c r="O401" s="10">
        <v>7162.17</v>
      </c>
      <c r="P401" s="10">
        <f>+L401-O401</f>
        <v>0</v>
      </c>
      <c r="Q401" s="10">
        <v>0</v>
      </c>
      <c r="R401" s="7" t="s">
        <v>27</v>
      </c>
    </row>
    <row r="402" spans="1:19" hidden="1">
      <c r="A402" s="7" t="s">
        <v>29</v>
      </c>
      <c r="B402" s="8">
        <v>19447</v>
      </c>
      <c r="C402" s="9">
        <v>45712.702677893518</v>
      </c>
      <c r="D402" s="9">
        <v>45706</v>
      </c>
      <c r="E402" s="9">
        <v>45754</v>
      </c>
      <c r="F402" s="7" t="s">
        <v>1518</v>
      </c>
      <c r="G402" s="7" t="s">
        <v>1519</v>
      </c>
      <c r="H402" s="7" t="s">
        <v>587</v>
      </c>
      <c r="I402" s="7" t="s">
        <v>588</v>
      </c>
      <c r="J402" s="7" t="s">
        <v>176</v>
      </c>
      <c r="K402" s="7" t="s">
        <v>569</v>
      </c>
      <c r="L402" s="10">
        <v>11825</v>
      </c>
      <c r="M402" s="10">
        <v>5229.66</v>
      </c>
      <c r="N402" s="10">
        <f>+L402-M402</f>
        <v>6595.34</v>
      </c>
      <c r="O402" s="10">
        <v>11825</v>
      </c>
      <c r="P402" s="10">
        <f>+L402-O402</f>
        <v>0</v>
      </c>
      <c r="Q402" s="10">
        <v>0</v>
      </c>
      <c r="R402" s="7" t="s">
        <v>27</v>
      </c>
    </row>
    <row r="403" spans="1:19" hidden="1">
      <c r="A403" s="7" t="s">
        <v>29</v>
      </c>
      <c r="B403" s="8">
        <v>20694</v>
      </c>
      <c r="C403" s="9">
        <v>45973.550960648143</v>
      </c>
      <c r="D403" s="9">
        <v>45982</v>
      </c>
      <c r="E403" s="9">
        <v>46021</v>
      </c>
      <c r="F403" s="7" t="s">
        <v>1520</v>
      </c>
      <c r="G403" s="7" t="s">
        <v>1521</v>
      </c>
      <c r="H403" s="7" t="s">
        <v>1522</v>
      </c>
      <c r="I403" s="7" t="s">
        <v>1523</v>
      </c>
      <c r="J403" s="7" t="s">
        <v>176</v>
      </c>
      <c r="K403" s="7" t="s">
        <v>584</v>
      </c>
      <c r="L403" s="10">
        <v>16300</v>
      </c>
      <c r="M403" s="10">
        <v>9780</v>
      </c>
      <c r="N403" s="10">
        <f>+L403-M403</f>
        <v>6520</v>
      </c>
      <c r="O403" s="10">
        <v>16300</v>
      </c>
      <c r="P403" s="10">
        <f>+L403-O403</f>
        <v>0</v>
      </c>
      <c r="Q403" s="10">
        <v>0</v>
      </c>
      <c r="R403" s="7" t="s">
        <v>27</v>
      </c>
    </row>
    <row r="404" spans="1:19" hidden="1">
      <c r="A404" s="7" t="s">
        <v>29</v>
      </c>
      <c r="B404" s="8">
        <v>20646</v>
      </c>
      <c r="C404" s="9">
        <v>45960.732939814814</v>
      </c>
      <c r="D404" s="9">
        <v>45960</v>
      </c>
      <c r="E404" s="9">
        <v>46080</v>
      </c>
      <c r="F404" s="7" t="s">
        <v>1524</v>
      </c>
      <c r="G404" s="7" t="s">
        <v>1525</v>
      </c>
      <c r="H404" s="7" t="s">
        <v>1526</v>
      </c>
      <c r="I404" s="7" t="s">
        <v>1527</v>
      </c>
      <c r="J404" s="7" t="s">
        <v>34</v>
      </c>
      <c r="K404" s="7" t="s">
        <v>35</v>
      </c>
      <c r="L404" s="10">
        <v>21412.240000000002</v>
      </c>
      <c r="M404" s="10">
        <v>15002.36</v>
      </c>
      <c r="N404" s="10">
        <f>+L404-M404</f>
        <v>6409.880000000001</v>
      </c>
      <c r="O404" s="10">
        <v>21412.240000000002</v>
      </c>
      <c r="P404" s="10">
        <f>+L404-O404</f>
        <v>0</v>
      </c>
      <c r="Q404" s="10">
        <v>0</v>
      </c>
      <c r="R404" s="7" t="s">
        <v>27</v>
      </c>
    </row>
    <row r="405" spans="1:19" hidden="1">
      <c r="A405" s="7" t="s">
        <v>29</v>
      </c>
      <c r="B405" s="8">
        <v>20358</v>
      </c>
      <c r="C405" s="9">
        <v>45898.742708333331</v>
      </c>
      <c r="D405" s="9">
        <v>45964</v>
      </c>
      <c r="E405" s="9">
        <v>45874</v>
      </c>
      <c r="F405" s="7" t="s">
        <v>1528</v>
      </c>
      <c r="G405" s="7" t="s">
        <v>1529</v>
      </c>
      <c r="H405" s="7" t="s">
        <v>1530</v>
      </c>
      <c r="I405" s="7" t="s">
        <v>1531</v>
      </c>
      <c r="J405" s="7" t="s">
        <v>176</v>
      </c>
      <c r="K405" s="7" t="s">
        <v>584</v>
      </c>
      <c r="L405" s="10">
        <v>10000</v>
      </c>
      <c r="M405" s="10">
        <v>4000</v>
      </c>
      <c r="N405" s="10">
        <f>+L405-M405</f>
        <v>6000</v>
      </c>
      <c r="O405" s="10">
        <v>10000</v>
      </c>
      <c r="P405" s="10">
        <f>+L405-O405</f>
        <v>0</v>
      </c>
      <c r="Q405" s="10">
        <v>0</v>
      </c>
      <c r="R405" s="7" t="s">
        <v>27</v>
      </c>
    </row>
    <row r="406" spans="1:19" hidden="1">
      <c r="A406" s="7" t="s">
        <v>29</v>
      </c>
      <c r="B406" s="8">
        <v>19803</v>
      </c>
      <c r="C406" s="9">
        <v>45790.592650462961</v>
      </c>
      <c r="D406" s="9">
        <v>45716</v>
      </c>
      <c r="E406" s="9">
        <v>45083</v>
      </c>
      <c r="F406" s="7" t="s">
        <v>1532</v>
      </c>
      <c r="G406" s="7" t="s">
        <v>1533</v>
      </c>
      <c r="H406" s="7" t="s">
        <v>1320</v>
      </c>
      <c r="I406" s="7" t="s">
        <v>1321</v>
      </c>
      <c r="J406" s="7" t="s">
        <v>40</v>
      </c>
      <c r="K406" s="7" t="s">
        <v>46</v>
      </c>
      <c r="L406" s="10">
        <v>113826.61</v>
      </c>
      <c r="M406" s="10">
        <v>107909.2</v>
      </c>
      <c r="N406" s="10">
        <f>+L406-M406</f>
        <v>5917.4100000000035</v>
      </c>
      <c r="O406" s="10">
        <v>113826.61</v>
      </c>
      <c r="P406" s="10">
        <f>+L406-O406</f>
        <v>0</v>
      </c>
      <c r="Q406" s="10">
        <v>0</v>
      </c>
      <c r="R406" s="7" t="s">
        <v>27</v>
      </c>
    </row>
    <row r="407" spans="1:19" hidden="1">
      <c r="A407" s="7" t="s">
        <v>29</v>
      </c>
      <c r="B407" s="8">
        <v>19645</v>
      </c>
      <c r="C407" s="9">
        <v>45757.483530092592</v>
      </c>
      <c r="D407" s="9">
        <v>45757</v>
      </c>
      <c r="E407" s="9">
        <v>45805</v>
      </c>
      <c r="F407" s="7" t="s">
        <v>1534</v>
      </c>
      <c r="G407" s="7" t="s">
        <v>1535</v>
      </c>
      <c r="H407" s="7" t="s">
        <v>276</v>
      </c>
      <c r="I407" s="7" t="s">
        <v>277</v>
      </c>
      <c r="J407" s="7" t="s">
        <v>34</v>
      </c>
      <c r="K407" s="7" t="s">
        <v>35</v>
      </c>
      <c r="L407" s="10">
        <v>5853.78</v>
      </c>
      <c r="M407" s="10">
        <v>0</v>
      </c>
      <c r="N407" s="10">
        <f>+L407-M407</f>
        <v>5853.78</v>
      </c>
      <c r="O407" s="10">
        <v>5853.78</v>
      </c>
      <c r="P407" s="10">
        <f>+L407-O407</f>
        <v>0</v>
      </c>
      <c r="Q407" s="10">
        <v>0</v>
      </c>
      <c r="R407" s="7" t="s">
        <v>27</v>
      </c>
    </row>
    <row r="408" spans="1:19" hidden="1">
      <c r="A408" s="7" t="s">
        <v>29</v>
      </c>
      <c r="B408" s="8">
        <v>19933</v>
      </c>
      <c r="C408" s="9">
        <v>45817.456319444442</v>
      </c>
      <c r="D408" s="9">
        <v>45817</v>
      </c>
      <c r="E408" s="9">
        <v>45776</v>
      </c>
      <c r="F408" s="7" t="s">
        <v>1536</v>
      </c>
      <c r="G408" s="7" t="s">
        <v>1537</v>
      </c>
      <c r="H408" s="7" t="s">
        <v>1538</v>
      </c>
      <c r="I408" s="7" t="s">
        <v>1539</v>
      </c>
      <c r="J408" s="7" t="s">
        <v>34</v>
      </c>
      <c r="K408" s="7" t="s">
        <v>269</v>
      </c>
      <c r="L408" s="10">
        <v>10335.719999999999</v>
      </c>
      <c r="M408" s="10">
        <v>4496.04</v>
      </c>
      <c r="N408" s="10">
        <f>+L408-M408</f>
        <v>5839.6799999999994</v>
      </c>
      <c r="O408" s="10">
        <v>10335.719999999999</v>
      </c>
      <c r="P408" s="10">
        <f>+L408-O408</f>
        <v>0</v>
      </c>
      <c r="Q408" s="10">
        <v>0</v>
      </c>
      <c r="R408" s="7" t="s">
        <v>27</v>
      </c>
    </row>
    <row r="409" spans="1:19">
      <c r="A409" s="7" t="s">
        <v>29</v>
      </c>
      <c r="B409" s="8">
        <v>20666</v>
      </c>
      <c r="C409" s="9">
        <v>45965.737160648147</v>
      </c>
      <c r="D409" s="9">
        <v>45994</v>
      </c>
      <c r="E409" s="9">
        <v>46027</v>
      </c>
      <c r="F409" s="7" t="s">
        <v>1540</v>
      </c>
      <c r="G409" s="7" t="s">
        <v>1541</v>
      </c>
      <c r="H409" s="7" t="s">
        <v>1542</v>
      </c>
      <c r="I409" s="7" t="s">
        <v>1543</v>
      </c>
      <c r="J409" s="7" t="s">
        <v>25</v>
      </c>
      <c r="K409" s="7" t="s">
        <v>170</v>
      </c>
      <c r="L409" s="10">
        <v>5780.06</v>
      </c>
      <c r="M409" s="10">
        <v>0</v>
      </c>
      <c r="N409" s="10">
        <f>+L409-M409</f>
        <v>5780.06</v>
      </c>
      <c r="O409" s="10">
        <v>5780.06</v>
      </c>
      <c r="P409" s="10">
        <f>+L409-O409</f>
        <v>0</v>
      </c>
      <c r="Q409" s="10">
        <v>0</v>
      </c>
      <c r="R409" s="7" t="s">
        <v>27</v>
      </c>
      <c r="S409" t="s">
        <v>1544</v>
      </c>
    </row>
    <row r="410" spans="1:19" hidden="1">
      <c r="A410" s="7" t="s">
        <v>29</v>
      </c>
      <c r="B410" s="8">
        <v>20487</v>
      </c>
      <c r="C410" s="9">
        <v>45923.437627314815</v>
      </c>
      <c r="D410" s="9">
        <v>45979</v>
      </c>
      <c r="E410" s="9">
        <v>45987</v>
      </c>
      <c r="F410" s="7" t="s">
        <v>1545</v>
      </c>
      <c r="G410" s="7" t="s">
        <v>1546</v>
      </c>
      <c r="H410" s="7" t="s">
        <v>1547</v>
      </c>
      <c r="I410" s="7" t="s">
        <v>1548</v>
      </c>
      <c r="J410" s="7" t="s">
        <v>176</v>
      </c>
      <c r="K410" s="7" t="s">
        <v>317</v>
      </c>
      <c r="L410" s="10">
        <v>64300</v>
      </c>
      <c r="M410" s="10">
        <v>58650</v>
      </c>
      <c r="N410" s="10">
        <f>+L410-M410</f>
        <v>5650</v>
      </c>
      <c r="O410" s="10">
        <v>64300</v>
      </c>
      <c r="P410" s="10">
        <f>+L410-O410</f>
        <v>0</v>
      </c>
      <c r="Q410" s="10">
        <v>0</v>
      </c>
      <c r="R410" s="7" t="s">
        <v>27</v>
      </c>
    </row>
    <row r="411" spans="1:19" hidden="1">
      <c r="A411" s="7" t="s">
        <v>29</v>
      </c>
      <c r="B411" s="8">
        <v>20364</v>
      </c>
      <c r="C411" s="9">
        <v>45900.830474537033</v>
      </c>
      <c r="D411" s="9">
        <v>45905</v>
      </c>
      <c r="E411" s="9">
        <v>45870</v>
      </c>
      <c r="F411" s="7" t="s">
        <v>1549</v>
      </c>
      <c r="G411" s="7" t="s">
        <v>1550</v>
      </c>
      <c r="H411" s="7" t="s">
        <v>1551</v>
      </c>
      <c r="I411" s="7" t="s">
        <v>709</v>
      </c>
      <c r="J411" s="7" t="s">
        <v>176</v>
      </c>
      <c r="K411" s="7" t="s">
        <v>177</v>
      </c>
      <c r="L411" s="10">
        <v>6483.7</v>
      </c>
      <c r="M411" s="10">
        <v>1000</v>
      </c>
      <c r="N411" s="10">
        <f>+L411-M411</f>
        <v>5483.7</v>
      </c>
      <c r="O411" s="10">
        <v>6483.7</v>
      </c>
      <c r="P411" s="10">
        <f>+L411-O411</f>
        <v>0</v>
      </c>
      <c r="Q411" s="10">
        <v>0</v>
      </c>
      <c r="R411" s="7" t="s">
        <v>27</v>
      </c>
    </row>
    <row r="412" spans="1:19" hidden="1">
      <c r="A412" s="7" t="s">
        <v>29</v>
      </c>
      <c r="B412" s="8">
        <v>4277</v>
      </c>
      <c r="C412" s="9">
        <v>45958.622723182867</v>
      </c>
      <c r="D412" s="9">
        <v>45898</v>
      </c>
      <c r="E412" s="9">
        <v>45898</v>
      </c>
      <c r="F412" s="7" t="s">
        <v>1552</v>
      </c>
      <c r="G412" s="7" t="s">
        <v>1553</v>
      </c>
      <c r="H412" s="7" t="s">
        <v>739</v>
      </c>
      <c r="I412" s="7" t="s">
        <v>740</v>
      </c>
      <c r="J412" s="7" t="s">
        <v>25</v>
      </c>
      <c r="K412" s="7" t="s">
        <v>125</v>
      </c>
      <c r="L412" s="10">
        <v>5451.45</v>
      </c>
      <c r="M412" s="10">
        <v>0</v>
      </c>
      <c r="N412" s="15">
        <f>+L412-M412</f>
        <v>5451.45</v>
      </c>
      <c r="O412" s="15">
        <v>5451.45</v>
      </c>
      <c r="P412" s="15">
        <f>+L412-O412</f>
        <v>0</v>
      </c>
      <c r="Q412" s="10">
        <v>0</v>
      </c>
      <c r="R412" s="7" t="s">
        <v>87</v>
      </c>
      <c r="S412" t="s">
        <v>1554</v>
      </c>
    </row>
    <row r="413" spans="1:19" hidden="1">
      <c r="A413" s="7" t="s">
        <v>29</v>
      </c>
      <c r="B413" s="8">
        <v>19938</v>
      </c>
      <c r="C413" s="9">
        <v>45818.433966666664</v>
      </c>
      <c r="D413" s="9">
        <v>45792</v>
      </c>
      <c r="E413" s="9">
        <v>45785</v>
      </c>
      <c r="F413" s="7" t="s">
        <v>1555</v>
      </c>
      <c r="G413" s="7" t="s">
        <v>1556</v>
      </c>
      <c r="H413" s="7" t="s">
        <v>1557</v>
      </c>
      <c r="I413" s="7" t="s">
        <v>702</v>
      </c>
      <c r="J413" s="7" t="s">
        <v>176</v>
      </c>
      <c r="K413" s="7" t="s">
        <v>374</v>
      </c>
      <c r="L413" s="10">
        <v>9000</v>
      </c>
      <c r="M413" s="10">
        <v>3600</v>
      </c>
      <c r="N413" s="10">
        <f>+L413-M413</f>
        <v>5400</v>
      </c>
      <c r="O413" s="10">
        <v>9000</v>
      </c>
      <c r="P413" s="10">
        <f>+L413-O413</f>
        <v>0</v>
      </c>
      <c r="Q413" s="10">
        <v>0</v>
      </c>
      <c r="R413" s="7" t="s">
        <v>27</v>
      </c>
    </row>
    <row r="414" spans="1:19" hidden="1">
      <c r="A414" s="7" t="s">
        <v>29</v>
      </c>
      <c r="B414" s="8">
        <v>20750</v>
      </c>
      <c r="C414" s="9">
        <v>45994.553032407406</v>
      </c>
      <c r="D414" s="9">
        <v>45994</v>
      </c>
      <c r="E414" s="9">
        <v>46052</v>
      </c>
      <c r="F414" s="7" t="s">
        <v>1558</v>
      </c>
      <c r="G414" s="7" t="s">
        <v>1559</v>
      </c>
      <c r="H414" s="7" t="s">
        <v>1560</v>
      </c>
      <c r="I414" s="7" t="s">
        <v>1561</v>
      </c>
      <c r="J414" s="7" t="s">
        <v>34</v>
      </c>
      <c r="K414" s="7" t="s">
        <v>118</v>
      </c>
      <c r="L414" s="10">
        <v>5242.08</v>
      </c>
      <c r="M414" s="10">
        <v>0</v>
      </c>
      <c r="N414" s="10">
        <f>+L414-M414</f>
        <v>5242.08</v>
      </c>
      <c r="O414" s="10">
        <v>5242.08</v>
      </c>
      <c r="P414" s="10">
        <f>+L414-O414</f>
        <v>0</v>
      </c>
      <c r="Q414" s="10">
        <v>0</v>
      </c>
      <c r="R414" s="7" t="s">
        <v>27</v>
      </c>
    </row>
    <row r="415" spans="1:19" hidden="1">
      <c r="A415" s="7" t="s">
        <v>29</v>
      </c>
      <c r="B415" s="8">
        <v>20040</v>
      </c>
      <c r="C415" s="9">
        <v>45836.598657407405</v>
      </c>
      <c r="D415" s="9">
        <v>45870</v>
      </c>
      <c r="E415" s="9">
        <v>45808</v>
      </c>
      <c r="F415" s="7" t="s">
        <v>1562</v>
      </c>
      <c r="G415" s="7" t="s">
        <v>1563</v>
      </c>
      <c r="H415" s="7" t="s">
        <v>1564</v>
      </c>
      <c r="I415" s="7" t="s">
        <v>1565</v>
      </c>
      <c r="J415" s="7" t="s">
        <v>176</v>
      </c>
      <c r="K415" s="7" t="s">
        <v>374</v>
      </c>
      <c r="L415" s="10">
        <v>13000</v>
      </c>
      <c r="M415" s="10">
        <v>7800</v>
      </c>
      <c r="N415" s="10">
        <f>+L415-M415</f>
        <v>5200</v>
      </c>
      <c r="O415" s="10">
        <v>13000</v>
      </c>
      <c r="P415" s="10">
        <f>+L415-O415</f>
        <v>0</v>
      </c>
      <c r="Q415" s="10">
        <v>0</v>
      </c>
      <c r="R415" s="7" t="s">
        <v>27</v>
      </c>
    </row>
    <row r="416" spans="1:19">
      <c r="A416" s="7" t="s">
        <v>29</v>
      </c>
      <c r="B416" s="8">
        <v>19407</v>
      </c>
      <c r="C416" s="9">
        <v>45699.503019675925</v>
      </c>
      <c r="D416" s="9">
        <v>45702</v>
      </c>
      <c r="E416" s="9">
        <v>45730</v>
      </c>
      <c r="F416" s="7" t="s">
        <v>1566</v>
      </c>
      <c r="G416" s="7" t="s">
        <v>1567</v>
      </c>
      <c r="H416" s="7" t="s">
        <v>519</v>
      </c>
      <c r="I416" s="7" t="s">
        <v>96</v>
      </c>
      <c r="J416" s="7" t="s">
        <v>25</v>
      </c>
      <c r="K416" s="7" t="s">
        <v>26</v>
      </c>
      <c r="L416" s="10">
        <v>4953.6400000000003</v>
      </c>
      <c r="M416" s="10">
        <v>0</v>
      </c>
      <c r="N416" s="10">
        <f>+L416-M416</f>
        <v>4953.6400000000003</v>
      </c>
      <c r="O416" s="10">
        <v>4953.6400000000003</v>
      </c>
      <c r="P416" s="10">
        <f>+L416-O416</f>
        <v>0</v>
      </c>
      <c r="Q416" s="10">
        <v>0</v>
      </c>
      <c r="R416" s="7" t="s">
        <v>27</v>
      </c>
      <c r="S416" t="s">
        <v>520</v>
      </c>
    </row>
    <row r="417" spans="1:19" hidden="1">
      <c r="A417" s="7" t="s">
        <v>29</v>
      </c>
      <c r="B417" s="8">
        <v>20679</v>
      </c>
      <c r="C417" s="9">
        <v>45967.48946759259</v>
      </c>
      <c r="D417" s="9">
        <v>45908</v>
      </c>
      <c r="E417" s="9">
        <v>45908</v>
      </c>
      <c r="F417" s="7" t="s">
        <v>1568</v>
      </c>
      <c r="G417" s="7" t="s">
        <v>1569</v>
      </c>
      <c r="H417" s="7" t="s">
        <v>1379</v>
      </c>
      <c r="I417" s="7" t="s">
        <v>1380</v>
      </c>
      <c r="J417" s="7" t="s">
        <v>40</v>
      </c>
      <c r="K417" s="7" t="s">
        <v>355</v>
      </c>
      <c r="L417" s="10">
        <v>4759.0600000000004</v>
      </c>
      <c r="M417" s="10">
        <v>0</v>
      </c>
      <c r="N417" s="10">
        <f>+L417-M417</f>
        <v>4759.0600000000004</v>
      </c>
      <c r="O417" s="10">
        <v>4759.0600000000004</v>
      </c>
      <c r="P417" s="10">
        <f>+L417-O417</f>
        <v>0</v>
      </c>
      <c r="Q417" s="10">
        <v>0</v>
      </c>
      <c r="R417" s="7" t="s">
        <v>27</v>
      </c>
    </row>
    <row r="418" spans="1:19">
      <c r="A418" s="7" t="s">
        <v>29</v>
      </c>
      <c r="B418" s="8">
        <v>20784</v>
      </c>
      <c r="C418" s="9">
        <v>46010.338903935182</v>
      </c>
      <c r="D418" s="9">
        <v>46052</v>
      </c>
      <c r="E418" s="9">
        <v>46052</v>
      </c>
      <c r="F418" s="7" t="s">
        <v>1570</v>
      </c>
      <c r="G418" s="7" t="s">
        <v>1571</v>
      </c>
      <c r="H418" s="7" t="s">
        <v>1572</v>
      </c>
      <c r="I418" s="7" t="s">
        <v>1038</v>
      </c>
      <c r="J418" s="7" t="s">
        <v>25</v>
      </c>
      <c r="K418" s="7" t="s">
        <v>55</v>
      </c>
      <c r="L418" s="10">
        <v>4460</v>
      </c>
      <c r="M418" s="10">
        <v>0</v>
      </c>
      <c r="N418" s="10">
        <f>+L418-M418</f>
        <v>4460</v>
      </c>
      <c r="O418" s="10">
        <v>4460</v>
      </c>
      <c r="P418" s="10">
        <f>+L418-O418</f>
        <v>0</v>
      </c>
      <c r="Q418" s="10">
        <v>0</v>
      </c>
      <c r="R418" s="7" t="s">
        <v>27</v>
      </c>
    </row>
    <row r="419" spans="1:19">
      <c r="A419" s="7" t="s">
        <v>29</v>
      </c>
      <c r="B419" s="8">
        <v>20607</v>
      </c>
      <c r="C419" s="9">
        <v>45951.711577395828</v>
      </c>
      <c r="D419" s="9">
        <v>45961</v>
      </c>
      <c r="E419" s="9">
        <v>45975</v>
      </c>
      <c r="F419" s="7" t="s">
        <v>1573</v>
      </c>
      <c r="G419" s="7" t="s">
        <v>1574</v>
      </c>
      <c r="H419" s="7" t="s">
        <v>1575</v>
      </c>
      <c r="I419" s="7" t="s">
        <v>1162</v>
      </c>
      <c r="J419" s="7" t="s">
        <v>25</v>
      </c>
      <c r="K419" s="7" t="s">
        <v>55</v>
      </c>
      <c r="L419" s="10">
        <v>4676.7299999999996</v>
      </c>
      <c r="M419" s="10">
        <v>377.88</v>
      </c>
      <c r="N419" s="10">
        <f>+L419-M419</f>
        <v>4298.8499999999995</v>
      </c>
      <c r="O419" s="10">
        <v>4676.7299999999996</v>
      </c>
      <c r="P419" s="10">
        <f>+L419-O419</f>
        <v>0</v>
      </c>
      <c r="Q419" s="10">
        <v>0</v>
      </c>
      <c r="R419" s="7" t="s">
        <v>27</v>
      </c>
    </row>
    <row r="420" spans="1:19">
      <c r="A420" s="7" t="s">
        <v>29</v>
      </c>
      <c r="B420" s="8">
        <v>19376</v>
      </c>
      <c r="C420" s="9">
        <v>45693.403098460643</v>
      </c>
      <c r="D420" s="9">
        <v>45790</v>
      </c>
      <c r="E420" s="9">
        <v>45693</v>
      </c>
      <c r="F420" s="7" t="s">
        <v>1576</v>
      </c>
      <c r="G420" s="7" t="s">
        <v>1577</v>
      </c>
      <c r="H420" s="7" t="s">
        <v>1578</v>
      </c>
      <c r="I420" s="7" t="s">
        <v>1380</v>
      </c>
      <c r="J420" s="7" t="s">
        <v>25</v>
      </c>
      <c r="K420" s="7" t="s">
        <v>26</v>
      </c>
      <c r="L420" s="10">
        <v>96847.52</v>
      </c>
      <c r="M420" s="10">
        <v>92562.240000000005</v>
      </c>
      <c r="N420" s="10">
        <f>+L420-M420</f>
        <v>4285.2799999999988</v>
      </c>
      <c r="O420" s="10">
        <v>96847.52</v>
      </c>
      <c r="P420" s="10">
        <f>+L420-O420</f>
        <v>0</v>
      </c>
      <c r="Q420" s="10">
        <v>0</v>
      </c>
      <c r="R420" s="7" t="s">
        <v>27</v>
      </c>
      <c r="S420" t="s">
        <v>1579</v>
      </c>
    </row>
    <row r="421" spans="1:19" hidden="1">
      <c r="A421" s="7" t="s">
        <v>29</v>
      </c>
      <c r="B421" s="8">
        <v>4340</v>
      </c>
      <c r="C421" s="9">
        <v>46051.559280636575</v>
      </c>
      <c r="D421" s="9">
        <v>46059</v>
      </c>
      <c r="E421" s="9">
        <v>46059</v>
      </c>
      <c r="F421" s="7" t="s">
        <v>1580</v>
      </c>
      <c r="G421" s="7" t="s">
        <v>730</v>
      </c>
      <c r="H421" s="7" t="s">
        <v>1581</v>
      </c>
      <c r="I421" s="7" t="s">
        <v>1294</v>
      </c>
      <c r="J421" s="7" t="s">
        <v>25</v>
      </c>
      <c r="K421" s="7" t="s">
        <v>125</v>
      </c>
      <c r="L421" s="10">
        <v>4228.91</v>
      </c>
      <c r="M421" s="10">
        <v>0</v>
      </c>
      <c r="N421" s="15">
        <f>+L421-M421</f>
        <v>4228.91</v>
      </c>
      <c r="O421" s="15">
        <v>4228.91</v>
      </c>
      <c r="P421" s="15">
        <f>+L421-O421</f>
        <v>0</v>
      </c>
      <c r="Q421" s="10">
        <v>0</v>
      </c>
      <c r="R421" s="7" t="s">
        <v>87</v>
      </c>
      <c r="S421" t="s">
        <v>851</v>
      </c>
    </row>
    <row r="422" spans="1:19" hidden="1">
      <c r="A422" s="7" t="s">
        <v>29</v>
      </c>
      <c r="B422" s="8">
        <v>20823</v>
      </c>
      <c r="C422" s="9">
        <v>46021.382175925923</v>
      </c>
      <c r="D422" s="9">
        <v>45975</v>
      </c>
      <c r="E422" s="9">
        <v>46070</v>
      </c>
      <c r="F422" s="7" t="s">
        <v>1582</v>
      </c>
      <c r="G422" s="7" t="s">
        <v>1583</v>
      </c>
      <c r="H422" s="7" t="s">
        <v>1584</v>
      </c>
      <c r="I422" s="7" t="s">
        <v>1585</v>
      </c>
      <c r="J422" s="7" t="s">
        <v>40</v>
      </c>
      <c r="K422" s="7" t="s">
        <v>308</v>
      </c>
      <c r="L422" s="10">
        <v>7548.67</v>
      </c>
      <c r="M422" s="10">
        <v>3340.12</v>
      </c>
      <c r="N422" s="10">
        <f>+L422-M422</f>
        <v>4208.55</v>
      </c>
      <c r="O422" s="10">
        <v>7548.67</v>
      </c>
      <c r="P422" s="10">
        <f>+L422-O422</f>
        <v>0</v>
      </c>
      <c r="Q422" s="10">
        <v>0</v>
      </c>
      <c r="R422" s="7" t="s">
        <v>27</v>
      </c>
    </row>
    <row r="423" spans="1:19" hidden="1">
      <c r="A423" s="7" t="s">
        <v>29</v>
      </c>
      <c r="B423" s="8">
        <v>19344</v>
      </c>
      <c r="C423" s="9">
        <v>45679.53125</v>
      </c>
      <c r="D423" s="9">
        <v>45679</v>
      </c>
      <c r="E423" s="9">
        <v>45713</v>
      </c>
      <c r="F423" s="7" t="s">
        <v>1586</v>
      </c>
      <c r="G423" s="7" t="s">
        <v>1587</v>
      </c>
      <c r="H423" s="7" t="s">
        <v>276</v>
      </c>
      <c r="I423" s="7" t="s">
        <v>277</v>
      </c>
      <c r="J423" s="7" t="s">
        <v>34</v>
      </c>
      <c r="K423" s="7" t="s">
        <v>35</v>
      </c>
      <c r="L423" s="10">
        <v>4085.88</v>
      </c>
      <c r="M423" s="10">
        <v>0</v>
      </c>
      <c r="N423" s="10">
        <f>+L423-M423</f>
        <v>4085.88</v>
      </c>
      <c r="O423" s="10">
        <v>4085.88</v>
      </c>
      <c r="P423" s="10">
        <f>+L423-O423</f>
        <v>0</v>
      </c>
      <c r="Q423" s="10">
        <v>0</v>
      </c>
      <c r="R423" s="7" t="s">
        <v>27</v>
      </c>
    </row>
    <row r="424" spans="1:19">
      <c r="A424" s="7" t="s">
        <v>29</v>
      </c>
      <c r="B424" s="8">
        <v>20006</v>
      </c>
      <c r="C424" s="9">
        <v>45832.565451041664</v>
      </c>
      <c r="D424" s="9">
        <v>45929</v>
      </c>
      <c r="E424" s="9">
        <v>45873</v>
      </c>
      <c r="F424" s="7" t="s">
        <v>1588</v>
      </c>
      <c r="G424" s="7" t="s">
        <v>1589</v>
      </c>
      <c r="H424" s="7" t="s">
        <v>1590</v>
      </c>
      <c r="I424" s="7" t="s">
        <v>1591</v>
      </c>
      <c r="J424" s="7" t="s">
        <v>25</v>
      </c>
      <c r="K424" s="7" t="s">
        <v>55</v>
      </c>
      <c r="L424" s="10">
        <v>20412.32</v>
      </c>
      <c r="M424" s="10">
        <v>16329.83</v>
      </c>
      <c r="N424" s="10">
        <f>+L424-M424</f>
        <v>4082.49</v>
      </c>
      <c r="O424" s="10">
        <v>20412.32</v>
      </c>
      <c r="P424" s="10">
        <f>+L424-O424</f>
        <v>0</v>
      </c>
      <c r="Q424" s="10">
        <v>0</v>
      </c>
      <c r="R424" s="7" t="s">
        <v>27</v>
      </c>
    </row>
    <row r="425" spans="1:19" hidden="1">
      <c r="A425" s="7" t="s">
        <v>29</v>
      </c>
      <c r="B425" s="8">
        <v>20053</v>
      </c>
      <c r="C425" s="9">
        <v>45837.700300925921</v>
      </c>
      <c r="D425" s="9">
        <v>45945</v>
      </c>
      <c r="E425" s="9">
        <v>45819</v>
      </c>
      <c r="F425" s="7" t="s">
        <v>1592</v>
      </c>
      <c r="G425" s="7" t="s">
        <v>1593</v>
      </c>
      <c r="H425" s="7" t="s">
        <v>1594</v>
      </c>
      <c r="I425" s="7" t="s">
        <v>1595</v>
      </c>
      <c r="J425" s="7" t="s">
        <v>176</v>
      </c>
      <c r="K425" s="7" t="s">
        <v>177</v>
      </c>
      <c r="L425" s="10">
        <v>20580</v>
      </c>
      <c r="M425" s="10">
        <v>16500</v>
      </c>
      <c r="N425" s="10">
        <f>+L425-M425</f>
        <v>4080</v>
      </c>
      <c r="O425" s="10">
        <v>20580</v>
      </c>
      <c r="P425" s="10">
        <f>+L425-O425</f>
        <v>0</v>
      </c>
      <c r="Q425" s="10">
        <v>0</v>
      </c>
      <c r="R425" s="7" t="s">
        <v>27</v>
      </c>
    </row>
    <row r="426" spans="1:19" hidden="1">
      <c r="A426" s="7" t="s">
        <v>29</v>
      </c>
      <c r="B426" s="8">
        <v>20749</v>
      </c>
      <c r="C426" s="9">
        <v>45994.544016203705</v>
      </c>
      <c r="D426" s="9">
        <v>45994</v>
      </c>
      <c r="E426" s="9">
        <v>45994</v>
      </c>
      <c r="F426" s="7" t="s">
        <v>1596</v>
      </c>
      <c r="G426" s="7" t="s">
        <v>1597</v>
      </c>
      <c r="H426" s="7" t="s">
        <v>1598</v>
      </c>
      <c r="I426" s="7" t="s">
        <v>1599</v>
      </c>
      <c r="J426" s="7" t="s">
        <v>34</v>
      </c>
      <c r="K426" s="7" t="s">
        <v>118</v>
      </c>
      <c r="L426" s="10">
        <v>4018.59</v>
      </c>
      <c r="M426" s="10">
        <v>0</v>
      </c>
      <c r="N426" s="10">
        <f>+L426-M426</f>
        <v>4018.59</v>
      </c>
      <c r="O426" s="10">
        <v>4018.59</v>
      </c>
      <c r="P426" s="10">
        <f>+L426-O426</f>
        <v>0</v>
      </c>
      <c r="Q426" s="10">
        <v>0</v>
      </c>
      <c r="R426" s="7" t="s">
        <v>27</v>
      </c>
    </row>
    <row r="427" spans="1:19">
      <c r="A427" s="7" t="s">
        <v>29</v>
      </c>
      <c r="B427" s="8">
        <v>20522</v>
      </c>
      <c r="C427" s="9">
        <v>45929.561238425922</v>
      </c>
      <c r="D427" s="9">
        <v>45974</v>
      </c>
      <c r="E427" s="9">
        <v>45929</v>
      </c>
      <c r="F427" s="7" t="s">
        <v>1600</v>
      </c>
      <c r="G427" s="7" t="s">
        <v>1601</v>
      </c>
      <c r="H427" s="7" t="s">
        <v>1602</v>
      </c>
      <c r="I427" s="7" t="s">
        <v>1603</v>
      </c>
      <c r="J427" s="7" t="s">
        <v>25</v>
      </c>
      <c r="K427" s="7" t="s">
        <v>407</v>
      </c>
      <c r="L427" s="10">
        <v>9962.49</v>
      </c>
      <c r="M427" s="10">
        <v>5977.49</v>
      </c>
      <c r="N427" s="10">
        <f>+L427-M427</f>
        <v>3985</v>
      </c>
      <c r="O427" s="10">
        <v>9962.49</v>
      </c>
      <c r="P427" s="10">
        <f>+L427-O427</f>
        <v>0</v>
      </c>
      <c r="Q427" s="10">
        <v>0</v>
      </c>
      <c r="R427" s="7" t="s">
        <v>27</v>
      </c>
      <c r="S427" t="s">
        <v>1604</v>
      </c>
    </row>
    <row r="428" spans="1:19" hidden="1">
      <c r="A428" s="7" t="s">
        <v>29</v>
      </c>
      <c r="B428" s="8">
        <v>4312</v>
      </c>
      <c r="C428" s="9">
        <v>45988.39891802083</v>
      </c>
      <c r="D428" s="9">
        <v>46037</v>
      </c>
      <c r="E428" s="9">
        <v>46037</v>
      </c>
      <c r="F428" s="7" t="s">
        <v>1605</v>
      </c>
      <c r="G428" s="7" t="s">
        <v>1606</v>
      </c>
      <c r="H428" s="7" t="s">
        <v>909</v>
      </c>
      <c r="I428" s="7" t="s">
        <v>910</v>
      </c>
      <c r="J428" s="7" t="s">
        <v>25</v>
      </c>
      <c r="K428" s="7" t="s">
        <v>260</v>
      </c>
      <c r="L428" s="10">
        <v>3876.79</v>
      </c>
      <c r="M428" s="10">
        <v>0</v>
      </c>
      <c r="N428" s="15">
        <f>+L428-M428</f>
        <v>3876.79</v>
      </c>
      <c r="O428" s="15">
        <v>3876.79</v>
      </c>
      <c r="P428" s="15">
        <f>+L428-O428</f>
        <v>0</v>
      </c>
      <c r="Q428" s="10">
        <v>0</v>
      </c>
      <c r="R428" s="7" t="s">
        <v>87</v>
      </c>
      <c r="S428" t="s">
        <v>851</v>
      </c>
    </row>
    <row r="429" spans="1:19" hidden="1">
      <c r="A429" s="7" t="s">
        <v>29</v>
      </c>
      <c r="B429" s="8">
        <v>20748</v>
      </c>
      <c r="C429" s="9">
        <v>45994.53875</v>
      </c>
      <c r="D429" s="9">
        <v>45994</v>
      </c>
      <c r="E429" s="9">
        <v>46052</v>
      </c>
      <c r="F429" s="7" t="s">
        <v>1607</v>
      </c>
      <c r="G429" s="7" t="s">
        <v>1608</v>
      </c>
      <c r="H429" s="7" t="s">
        <v>1609</v>
      </c>
      <c r="I429" s="7" t="s">
        <v>1610</v>
      </c>
      <c r="J429" s="7" t="s">
        <v>34</v>
      </c>
      <c r="K429" s="7" t="s">
        <v>118</v>
      </c>
      <c r="L429" s="10">
        <v>3480.45</v>
      </c>
      <c r="M429" s="10">
        <v>0</v>
      </c>
      <c r="N429" s="10">
        <f>+L429-M429</f>
        <v>3480.45</v>
      </c>
      <c r="O429" s="10">
        <v>3480.45</v>
      </c>
      <c r="P429" s="10">
        <f>+L429-O429</f>
        <v>0</v>
      </c>
      <c r="Q429" s="10">
        <v>0</v>
      </c>
      <c r="R429" s="7" t="s">
        <v>27</v>
      </c>
    </row>
    <row r="430" spans="1:19" hidden="1">
      <c r="A430" s="7" t="s">
        <v>29</v>
      </c>
      <c r="B430" s="8">
        <v>20790</v>
      </c>
      <c r="C430" s="9">
        <v>46010.549467592587</v>
      </c>
      <c r="D430" s="9">
        <v>45994</v>
      </c>
      <c r="E430" s="9">
        <v>45994</v>
      </c>
      <c r="F430" s="7" t="s">
        <v>1611</v>
      </c>
      <c r="G430" s="7" t="s">
        <v>1612</v>
      </c>
      <c r="H430" s="7" t="s">
        <v>184</v>
      </c>
      <c r="I430" s="7" t="s">
        <v>185</v>
      </c>
      <c r="J430" s="7" t="s">
        <v>40</v>
      </c>
      <c r="K430" s="7" t="s">
        <v>46</v>
      </c>
      <c r="L430" s="10">
        <v>3478.81</v>
      </c>
      <c r="M430" s="10">
        <v>0</v>
      </c>
      <c r="N430" s="10">
        <f>+L430-M430</f>
        <v>3478.81</v>
      </c>
      <c r="O430" s="10">
        <v>3478.81</v>
      </c>
      <c r="P430" s="10">
        <f>+L430-O430</f>
        <v>0</v>
      </c>
      <c r="Q430" s="10">
        <v>0</v>
      </c>
      <c r="R430" s="7" t="s">
        <v>27</v>
      </c>
    </row>
    <row r="431" spans="1:19" hidden="1">
      <c r="A431" s="7" t="s">
        <v>29</v>
      </c>
      <c r="B431" s="8">
        <v>20357</v>
      </c>
      <c r="C431" s="9">
        <v>45898.736529131944</v>
      </c>
      <c r="D431" s="9">
        <v>45958</v>
      </c>
      <c r="E431" s="9">
        <v>45862</v>
      </c>
      <c r="F431" s="7" t="s">
        <v>1613</v>
      </c>
      <c r="G431" s="7" t="s">
        <v>1614</v>
      </c>
      <c r="H431" s="7" t="s">
        <v>697</v>
      </c>
      <c r="I431" s="7" t="s">
        <v>698</v>
      </c>
      <c r="J431" s="7" t="s">
        <v>176</v>
      </c>
      <c r="K431" s="7" t="s">
        <v>584</v>
      </c>
      <c r="L431" s="10">
        <v>8600</v>
      </c>
      <c r="M431" s="10">
        <v>5200</v>
      </c>
      <c r="N431" s="10">
        <f>+L431-M431</f>
        <v>3400</v>
      </c>
      <c r="O431" s="10">
        <v>8600</v>
      </c>
      <c r="P431" s="10">
        <f>+L431-O431</f>
        <v>0</v>
      </c>
      <c r="Q431" s="10">
        <v>800</v>
      </c>
      <c r="R431" s="7" t="s">
        <v>27</v>
      </c>
    </row>
    <row r="432" spans="1:19" hidden="1">
      <c r="A432" s="7" t="s">
        <v>29</v>
      </c>
      <c r="B432" s="8">
        <v>20601</v>
      </c>
      <c r="C432" s="9">
        <v>45950.639363425922</v>
      </c>
      <c r="D432" s="9">
        <v>46016</v>
      </c>
      <c r="E432" s="9">
        <v>45918</v>
      </c>
      <c r="F432" s="7" t="s">
        <v>1615</v>
      </c>
      <c r="G432" s="7" t="s">
        <v>1616</v>
      </c>
      <c r="H432" s="7" t="s">
        <v>1617</v>
      </c>
      <c r="I432" s="7" t="s">
        <v>1618</v>
      </c>
      <c r="J432" s="7" t="s">
        <v>176</v>
      </c>
      <c r="K432" s="7" t="s">
        <v>374</v>
      </c>
      <c r="L432" s="10">
        <v>8500</v>
      </c>
      <c r="M432" s="10">
        <v>5100</v>
      </c>
      <c r="N432" s="10">
        <f>+L432-M432</f>
        <v>3400</v>
      </c>
      <c r="O432" s="10">
        <v>8500</v>
      </c>
      <c r="P432" s="10">
        <f>+L432-O432</f>
        <v>0</v>
      </c>
      <c r="Q432" s="10">
        <v>0</v>
      </c>
      <c r="R432" s="7" t="s">
        <v>27</v>
      </c>
    </row>
    <row r="433" spans="1:19">
      <c r="A433" s="7" t="s">
        <v>29</v>
      </c>
      <c r="B433" s="8">
        <v>20775</v>
      </c>
      <c r="C433" s="9">
        <v>46001.986366631943</v>
      </c>
      <c r="D433" s="9">
        <v>46001</v>
      </c>
      <c r="E433" s="9">
        <v>46010</v>
      </c>
      <c r="F433" s="7" t="s">
        <v>1619</v>
      </c>
      <c r="G433" s="7" t="s">
        <v>1620</v>
      </c>
      <c r="H433" s="7" t="s">
        <v>1621</v>
      </c>
      <c r="I433" s="7" t="s">
        <v>1622</v>
      </c>
      <c r="J433" s="7" t="s">
        <v>25</v>
      </c>
      <c r="K433" s="7" t="s">
        <v>55</v>
      </c>
      <c r="L433" s="10">
        <v>3353.7</v>
      </c>
      <c r="M433" s="10">
        <v>0</v>
      </c>
      <c r="N433" s="10">
        <f>+L433-M433</f>
        <v>3353.7</v>
      </c>
      <c r="O433" s="10">
        <v>3353.7</v>
      </c>
      <c r="P433" s="10">
        <f>+L433-O433</f>
        <v>0</v>
      </c>
      <c r="Q433" s="10">
        <v>0</v>
      </c>
      <c r="R433" s="7" t="s">
        <v>27</v>
      </c>
    </row>
    <row r="434" spans="1:19" hidden="1">
      <c r="A434" s="7" t="s">
        <v>29</v>
      </c>
      <c r="B434" s="8">
        <v>20599</v>
      </c>
      <c r="C434" s="9">
        <v>45950.572384259256</v>
      </c>
      <c r="D434" s="9">
        <v>46070</v>
      </c>
      <c r="E434" s="9">
        <v>46022</v>
      </c>
      <c r="F434" s="7" t="s">
        <v>1623</v>
      </c>
      <c r="G434" s="7" t="s">
        <v>1624</v>
      </c>
      <c r="H434" s="7" t="s">
        <v>1625</v>
      </c>
      <c r="I434" s="7" t="s">
        <v>1626</v>
      </c>
      <c r="J434" s="7" t="s">
        <v>176</v>
      </c>
      <c r="K434" s="7" t="s">
        <v>584</v>
      </c>
      <c r="L434" s="10">
        <v>8000</v>
      </c>
      <c r="M434" s="10">
        <v>4800</v>
      </c>
      <c r="N434" s="10">
        <f>+L434-M434</f>
        <v>3200</v>
      </c>
      <c r="O434" s="10">
        <v>8000</v>
      </c>
      <c r="P434" s="10">
        <f>+L434-O434</f>
        <v>0</v>
      </c>
      <c r="Q434" s="10">
        <v>0</v>
      </c>
      <c r="R434" s="7" t="s">
        <v>27</v>
      </c>
    </row>
    <row r="435" spans="1:19">
      <c r="A435" s="7" t="s">
        <v>29</v>
      </c>
      <c r="B435" s="8">
        <v>20674</v>
      </c>
      <c r="C435" s="9">
        <v>45965.739117013887</v>
      </c>
      <c r="D435" s="9">
        <v>46015</v>
      </c>
      <c r="E435" s="9">
        <v>45650</v>
      </c>
      <c r="F435" s="7" t="s">
        <v>1627</v>
      </c>
      <c r="G435" s="7" t="s">
        <v>1628</v>
      </c>
      <c r="H435" s="7" t="s">
        <v>1629</v>
      </c>
      <c r="I435" s="7" t="s">
        <v>1630</v>
      </c>
      <c r="J435" s="7" t="s">
        <v>25</v>
      </c>
      <c r="K435" s="7" t="s">
        <v>55</v>
      </c>
      <c r="L435" s="10">
        <v>3140.63</v>
      </c>
      <c r="M435" s="10">
        <v>0</v>
      </c>
      <c r="N435" s="10">
        <f>+L435-M435</f>
        <v>3140.63</v>
      </c>
      <c r="O435" s="10">
        <v>3140.63</v>
      </c>
      <c r="P435" s="10">
        <f>+L435-O435</f>
        <v>0</v>
      </c>
      <c r="Q435" s="10">
        <v>0</v>
      </c>
      <c r="R435" s="7" t="s">
        <v>27</v>
      </c>
    </row>
    <row r="436" spans="1:19" hidden="1">
      <c r="A436" s="7" t="s">
        <v>29</v>
      </c>
      <c r="B436" s="8">
        <v>20809</v>
      </c>
      <c r="C436" s="9">
        <v>46019.975219907406</v>
      </c>
      <c r="D436" s="9">
        <v>46088</v>
      </c>
      <c r="E436" s="9">
        <v>45990</v>
      </c>
      <c r="F436" s="7" t="s">
        <v>1631</v>
      </c>
      <c r="G436" s="7" t="s">
        <v>1632</v>
      </c>
      <c r="H436" s="7" t="s">
        <v>1633</v>
      </c>
      <c r="I436" s="7" t="s">
        <v>1634</v>
      </c>
      <c r="J436" s="7" t="s">
        <v>176</v>
      </c>
      <c r="K436" s="7" t="s">
        <v>728</v>
      </c>
      <c r="L436" s="10">
        <v>8291</v>
      </c>
      <c r="M436" s="10">
        <v>5216.6099999999997</v>
      </c>
      <c r="N436" s="10">
        <f>+L436-M436</f>
        <v>3074.3900000000003</v>
      </c>
      <c r="O436" s="10">
        <v>8291</v>
      </c>
      <c r="P436" s="10">
        <f>+L436-O436</f>
        <v>0</v>
      </c>
      <c r="Q436" s="10">
        <v>0</v>
      </c>
      <c r="R436" s="7" t="s">
        <v>27</v>
      </c>
    </row>
    <row r="437" spans="1:19" hidden="1">
      <c r="A437" s="7" t="s">
        <v>29</v>
      </c>
      <c r="B437" s="8">
        <v>20017</v>
      </c>
      <c r="C437" s="9">
        <v>45833.558087152778</v>
      </c>
      <c r="D437" s="9">
        <v>45569</v>
      </c>
      <c r="E437" s="9">
        <v>45485</v>
      </c>
      <c r="F437" s="7" t="s">
        <v>1635</v>
      </c>
      <c r="G437" s="7" t="s">
        <v>1636</v>
      </c>
      <c r="H437" s="7" t="s">
        <v>1637</v>
      </c>
      <c r="I437" s="7" t="s">
        <v>1638</v>
      </c>
      <c r="J437" s="7" t="s">
        <v>176</v>
      </c>
      <c r="K437" s="7" t="s">
        <v>317</v>
      </c>
      <c r="L437" s="10">
        <v>21760</v>
      </c>
      <c r="M437" s="10">
        <v>18760</v>
      </c>
      <c r="N437" s="10">
        <f>+L437-M437</f>
        <v>3000</v>
      </c>
      <c r="O437" s="10">
        <v>21760</v>
      </c>
      <c r="P437" s="10">
        <f>+L437-O437</f>
        <v>0</v>
      </c>
      <c r="Q437" s="10">
        <v>0</v>
      </c>
      <c r="R437" s="7" t="s">
        <v>27</v>
      </c>
    </row>
    <row r="438" spans="1:19" hidden="1">
      <c r="A438" s="7" t="s">
        <v>29</v>
      </c>
      <c r="B438" s="8">
        <v>20811</v>
      </c>
      <c r="C438" s="9">
        <v>46020.004052546297</v>
      </c>
      <c r="D438" s="9">
        <v>46060</v>
      </c>
      <c r="E438" s="9">
        <v>46020</v>
      </c>
      <c r="F438" s="7" t="s">
        <v>1639</v>
      </c>
      <c r="G438" s="7" t="s">
        <v>1640</v>
      </c>
      <c r="H438" s="7" t="s">
        <v>1641</v>
      </c>
      <c r="I438" s="7" t="s">
        <v>1642</v>
      </c>
      <c r="J438" s="7" t="s">
        <v>176</v>
      </c>
      <c r="K438" s="7" t="s">
        <v>584</v>
      </c>
      <c r="L438" s="10">
        <v>10000</v>
      </c>
      <c r="M438" s="10">
        <v>7000</v>
      </c>
      <c r="N438" s="10">
        <f>+L438-M438</f>
        <v>3000</v>
      </c>
      <c r="O438" s="10">
        <v>10000</v>
      </c>
      <c r="P438" s="10">
        <f>+L438-O438</f>
        <v>0</v>
      </c>
      <c r="Q438" s="10">
        <v>0</v>
      </c>
      <c r="R438" s="7" t="s">
        <v>27</v>
      </c>
    </row>
    <row r="439" spans="1:19" hidden="1">
      <c r="A439" s="7" t="s">
        <v>29</v>
      </c>
      <c r="B439" s="8">
        <v>20313</v>
      </c>
      <c r="C439" s="9">
        <v>45891.520891203705</v>
      </c>
      <c r="D439" s="9">
        <v>45958</v>
      </c>
      <c r="E439" s="9">
        <v>45983</v>
      </c>
      <c r="F439" s="7" t="s">
        <v>1643</v>
      </c>
      <c r="G439" s="7" t="s">
        <v>1644</v>
      </c>
      <c r="H439" s="7" t="s">
        <v>1645</v>
      </c>
      <c r="I439" s="7" t="s">
        <v>1646</v>
      </c>
      <c r="J439" s="7" t="s">
        <v>176</v>
      </c>
      <c r="K439" s="7" t="s">
        <v>317</v>
      </c>
      <c r="L439" s="10">
        <v>58898</v>
      </c>
      <c r="M439" s="10">
        <v>55953.1</v>
      </c>
      <c r="N439" s="10">
        <f>+L439-M439</f>
        <v>2944.9000000000015</v>
      </c>
      <c r="O439" s="10">
        <v>58898</v>
      </c>
      <c r="P439" s="10">
        <f>+L439-O439</f>
        <v>0</v>
      </c>
      <c r="Q439" s="10">
        <v>0</v>
      </c>
      <c r="R439" s="7" t="s">
        <v>27</v>
      </c>
    </row>
    <row r="440" spans="1:19" hidden="1">
      <c r="A440" s="7" t="s">
        <v>29</v>
      </c>
      <c r="B440" s="8">
        <v>20475</v>
      </c>
      <c r="C440" s="9">
        <v>45919.445567129631</v>
      </c>
      <c r="D440" s="9">
        <v>45286</v>
      </c>
      <c r="E440" s="9">
        <v>45258</v>
      </c>
      <c r="F440" s="7" t="s">
        <v>1647</v>
      </c>
      <c r="G440" s="7" t="s">
        <v>1648</v>
      </c>
      <c r="H440" s="7" t="s">
        <v>1649</v>
      </c>
      <c r="I440" s="7" t="s">
        <v>1650</v>
      </c>
      <c r="J440" s="7" t="s">
        <v>176</v>
      </c>
      <c r="K440" s="7" t="s">
        <v>317</v>
      </c>
      <c r="L440" s="10">
        <v>4392</v>
      </c>
      <c r="M440" s="10">
        <v>1456.6</v>
      </c>
      <c r="N440" s="10">
        <f>+L440-M440</f>
        <v>2935.4</v>
      </c>
      <c r="O440" s="10">
        <v>4392</v>
      </c>
      <c r="P440" s="10">
        <f>+L440-O440</f>
        <v>0</v>
      </c>
      <c r="Q440" s="10">
        <v>0</v>
      </c>
      <c r="R440" s="7" t="s">
        <v>27</v>
      </c>
    </row>
    <row r="441" spans="1:19" hidden="1">
      <c r="A441" s="7" t="s">
        <v>29</v>
      </c>
      <c r="B441" s="8">
        <v>20687</v>
      </c>
      <c r="C441" s="9">
        <v>45972.354120370372</v>
      </c>
      <c r="D441" s="9">
        <v>45972</v>
      </c>
      <c r="E441" s="9">
        <v>46069</v>
      </c>
      <c r="F441" s="7" t="s">
        <v>1651</v>
      </c>
      <c r="G441" s="7" t="s">
        <v>1652</v>
      </c>
      <c r="H441" s="7" t="s">
        <v>1653</v>
      </c>
      <c r="I441" s="7" t="s">
        <v>1654</v>
      </c>
      <c r="J441" s="7" t="s">
        <v>34</v>
      </c>
      <c r="K441" s="7" t="s">
        <v>392</v>
      </c>
      <c r="L441" s="10">
        <v>2931.32</v>
      </c>
      <c r="M441" s="10">
        <v>0</v>
      </c>
      <c r="N441" s="10">
        <f>+L441-M441</f>
        <v>2931.32</v>
      </c>
      <c r="O441" s="10">
        <v>2931.32</v>
      </c>
      <c r="P441" s="10">
        <f>+L441-O441</f>
        <v>0</v>
      </c>
      <c r="Q441" s="10">
        <v>0</v>
      </c>
      <c r="R441" s="7" t="s">
        <v>27</v>
      </c>
    </row>
    <row r="442" spans="1:19" hidden="1">
      <c r="A442" s="7" t="s">
        <v>29</v>
      </c>
      <c r="B442" s="8">
        <v>20350</v>
      </c>
      <c r="C442" s="9">
        <v>45898.675904664349</v>
      </c>
      <c r="D442" s="9">
        <v>45717</v>
      </c>
      <c r="E442" s="9">
        <v>45612</v>
      </c>
      <c r="F442" s="7" t="s">
        <v>1655</v>
      </c>
      <c r="G442" s="7" t="s">
        <v>1656</v>
      </c>
      <c r="H442" s="7" t="s">
        <v>331</v>
      </c>
      <c r="I442" s="7" t="s">
        <v>332</v>
      </c>
      <c r="J442" s="7" t="s">
        <v>176</v>
      </c>
      <c r="K442" s="7" t="s">
        <v>945</v>
      </c>
      <c r="L442" s="10">
        <v>26647.21</v>
      </c>
      <c r="M442" s="10">
        <v>23853.27</v>
      </c>
      <c r="N442" s="10">
        <f>+L442-M442</f>
        <v>2793.9399999999987</v>
      </c>
      <c r="O442" s="10">
        <v>26647.21</v>
      </c>
      <c r="P442" s="10">
        <f>+L442-O442</f>
        <v>0</v>
      </c>
      <c r="Q442" s="10">
        <v>0</v>
      </c>
      <c r="R442" s="7" t="s">
        <v>27</v>
      </c>
    </row>
    <row r="443" spans="1:19" hidden="1">
      <c r="A443" s="7" t="s">
        <v>29</v>
      </c>
      <c r="B443" s="8">
        <v>20514</v>
      </c>
      <c r="C443" s="9">
        <v>45926.603576388887</v>
      </c>
      <c r="D443" s="9">
        <v>45926</v>
      </c>
      <c r="E443" s="9">
        <v>45975</v>
      </c>
      <c r="F443" s="7" t="s">
        <v>1657</v>
      </c>
      <c r="G443" s="7" t="s">
        <v>1658</v>
      </c>
      <c r="H443" s="7" t="s">
        <v>226</v>
      </c>
      <c r="I443" s="7" t="s">
        <v>227</v>
      </c>
      <c r="J443" s="7" t="s">
        <v>34</v>
      </c>
      <c r="K443" s="7" t="s">
        <v>118</v>
      </c>
      <c r="L443" s="10">
        <v>2746.96</v>
      </c>
      <c r="M443" s="10">
        <v>0</v>
      </c>
      <c r="N443" s="10">
        <f>+L443-M443</f>
        <v>2746.96</v>
      </c>
      <c r="O443" s="10">
        <v>2746.96</v>
      </c>
      <c r="P443" s="10">
        <f>+L443-O443</f>
        <v>0</v>
      </c>
      <c r="Q443" s="10">
        <v>0</v>
      </c>
      <c r="R443" s="7" t="s">
        <v>27</v>
      </c>
    </row>
    <row r="444" spans="1:19" hidden="1">
      <c r="A444" s="7" t="s">
        <v>29</v>
      </c>
      <c r="B444" s="8">
        <v>20616</v>
      </c>
      <c r="C444" s="9">
        <v>45954.498900462961</v>
      </c>
      <c r="D444" s="9">
        <v>45954</v>
      </c>
      <c r="E444" s="9">
        <v>45989</v>
      </c>
      <c r="F444" s="7" t="s">
        <v>1659</v>
      </c>
      <c r="G444" s="7" t="s">
        <v>1660</v>
      </c>
      <c r="H444" s="7" t="s">
        <v>470</v>
      </c>
      <c r="I444" s="7" t="s">
        <v>471</v>
      </c>
      <c r="J444" s="7" t="s">
        <v>34</v>
      </c>
      <c r="K444" s="7" t="s">
        <v>35</v>
      </c>
      <c r="L444" s="10">
        <v>2576.06</v>
      </c>
      <c r="M444" s="10">
        <v>0</v>
      </c>
      <c r="N444" s="10">
        <f>+L444-M444</f>
        <v>2576.06</v>
      </c>
      <c r="O444" s="10">
        <v>2576.06</v>
      </c>
      <c r="P444" s="10">
        <f>+L444-O444</f>
        <v>0</v>
      </c>
      <c r="Q444" s="10">
        <v>0</v>
      </c>
      <c r="R444" s="7" t="s">
        <v>27</v>
      </c>
    </row>
    <row r="445" spans="1:19" hidden="1">
      <c r="A445" s="7" t="s">
        <v>29</v>
      </c>
      <c r="B445" s="8">
        <v>20600</v>
      </c>
      <c r="C445" s="9">
        <v>45950.632731481477</v>
      </c>
      <c r="D445" s="9">
        <v>46018</v>
      </c>
      <c r="E445" s="9">
        <v>45920</v>
      </c>
      <c r="F445" s="7" t="s">
        <v>1661</v>
      </c>
      <c r="G445" s="7" t="s">
        <v>1662</v>
      </c>
      <c r="H445" s="7" t="s">
        <v>1663</v>
      </c>
      <c r="I445" s="7" t="s">
        <v>1664</v>
      </c>
      <c r="J445" s="7" t="s">
        <v>176</v>
      </c>
      <c r="K445" s="7" t="s">
        <v>374</v>
      </c>
      <c r="L445" s="10">
        <v>10000</v>
      </c>
      <c r="M445" s="10">
        <v>7500</v>
      </c>
      <c r="N445" s="10">
        <f>+L445-M445</f>
        <v>2500</v>
      </c>
      <c r="O445" s="10">
        <v>10000</v>
      </c>
      <c r="P445" s="10">
        <f>+L445-O445</f>
        <v>0</v>
      </c>
      <c r="Q445" s="10">
        <v>0</v>
      </c>
      <c r="R445" s="7" t="s">
        <v>27</v>
      </c>
    </row>
    <row r="446" spans="1:19" hidden="1">
      <c r="A446" s="7" t="s">
        <v>29</v>
      </c>
      <c r="B446" s="8">
        <v>20726</v>
      </c>
      <c r="C446" s="9">
        <v>45986.673159722217</v>
      </c>
      <c r="D446" s="9">
        <v>46017</v>
      </c>
      <c r="E446" s="9">
        <v>46003</v>
      </c>
      <c r="F446" s="7" t="s">
        <v>1665</v>
      </c>
      <c r="G446" s="7" t="s">
        <v>1666</v>
      </c>
      <c r="H446" s="7" t="s">
        <v>1667</v>
      </c>
      <c r="I446" s="7" t="s">
        <v>1668</v>
      </c>
      <c r="J446" s="7" t="s">
        <v>176</v>
      </c>
      <c r="K446" s="7" t="s">
        <v>177</v>
      </c>
      <c r="L446" s="10">
        <v>6000</v>
      </c>
      <c r="M446" s="10">
        <v>3600</v>
      </c>
      <c r="N446" s="10">
        <f>+L446-M446</f>
        <v>2400</v>
      </c>
      <c r="O446" s="10">
        <v>6000</v>
      </c>
      <c r="P446" s="10">
        <f>+L446-O446</f>
        <v>0</v>
      </c>
      <c r="Q446" s="10">
        <v>0</v>
      </c>
      <c r="R446" s="7" t="s">
        <v>27</v>
      </c>
    </row>
    <row r="447" spans="1:19" hidden="1">
      <c r="A447" s="7" t="s">
        <v>29</v>
      </c>
      <c r="B447" s="8">
        <v>4262</v>
      </c>
      <c r="C447" s="9">
        <v>45930.633935185186</v>
      </c>
      <c r="D447" s="9">
        <v>45868</v>
      </c>
      <c r="E447" s="9">
        <v>45899</v>
      </c>
      <c r="F447" s="7" t="s">
        <v>1669</v>
      </c>
      <c r="G447" s="7" t="s">
        <v>1670</v>
      </c>
      <c r="H447" s="7" t="s">
        <v>280</v>
      </c>
      <c r="I447" s="7" t="s">
        <v>205</v>
      </c>
      <c r="J447" s="7" t="s">
        <v>25</v>
      </c>
      <c r="K447" s="7" t="s">
        <v>206</v>
      </c>
      <c r="L447" s="10">
        <v>47416.56</v>
      </c>
      <c r="M447" s="10">
        <v>45045.74</v>
      </c>
      <c r="N447" s="15">
        <f>+L447-M447</f>
        <v>2370.8199999999997</v>
      </c>
      <c r="O447" s="15">
        <v>47416.56</v>
      </c>
      <c r="P447" s="15">
        <f>+L447-O447</f>
        <v>0</v>
      </c>
      <c r="Q447" s="10">
        <v>0</v>
      </c>
      <c r="R447" s="7" t="s">
        <v>87</v>
      </c>
      <c r="S447" t="s">
        <v>851</v>
      </c>
    </row>
    <row r="448" spans="1:19" hidden="1">
      <c r="A448" s="7" t="s">
        <v>29</v>
      </c>
      <c r="B448" s="8">
        <v>20865</v>
      </c>
      <c r="C448" s="9">
        <v>46036.439236111109</v>
      </c>
      <c r="D448" s="9">
        <v>46036</v>
      </c>
      <c r="E448" s="9">
        <v>46069</v>
      </c>
      <c r="F448" s="7" t="s">
        <v>1671</v>
      </c>
      <c r="G448" s="7" t="s">
        <v>1672</v>
      </c>
      <c r="H448" s="7" t="s">
        <v>1673</v>
      </c>
      <c r="I448" s="7" t="s">
        <v>1674</v>
      </c>
      <c r="J448" s="7" t="s">
        <v>34</v>
      </c>
      <c r="K448" s="7" t="s">
        <v>118</v>
      </c>
      <c r="L448" s="10">
        <v>2358.65</v>
      </c>
      <c r="M448" s="10">
        <v>0</v>
      </c>
      <c r="N448" s="10">
        <f>+L448-M448</f>
        <v>2358.65</v>
      </c>
      <c r="O448" s="10">
        <v>2358.65</v>
      </c>
      <c r="P448" s="10">
        <f>+L448-O448</f>
        <v>0</v>
      </c>
      <c r="Q448" s="10">
        <v>0</v>
      </c>
      <c r="R448" s="7" t="s">
        <v>27</v>
      </c>
    </row>
    <row r="449" spans="1:19" hidden="1">
      <c r="A449" s="7" t="s">
        <v>29</v>
      </c>
      <c r="B449" s="8">
        <v>4163</v>
      </c>
      <c r="C449" s="9">
        <v>45698.734991238423</v>
      </c>
      <c r="D449" s="9">
        <v>45692</v>
      </c>
      <c r="E449" s="9">
        <v>45692</v>
      </c>
      <c r="F449" s="7" t="s">
        <v>1675</v>
      </c>
      <c r="G449" s="7" t="s">
        <v>1676</v>
      </c>
      <c r="H449" s="7" t="s">
        <v>1677</v>
      </c>
      <c r="I449" s="7" t="s">
        <v>1678</v>
      </c>
      <c r="J449" s="7" t="s">
        <v>25</v>
      </c>
      <c r="K449" s="7" t="s">
        <v>86</v>
      </c>
      <c r="L449" s="10">
        <v>22299.42</v>
      </c>
      <c r="M449" s="10">
        <v>20000</v>
      </c>
      <c r="N449" s="15">
        <f>+L449-M449</f>
        <v>2299.4199999999983</v>
      </c>
      <c r="O449" s="15">
        <v>22299.42</v>
      </c>
      <c r="P449" s="15">
        <f>+L449-O449</f>
        <v>0</v>
      </c>
      <c r="Q449" s="10">
        <v>0</v>
      </c>
      <c r="R449" s="7" t="s">
        <v>87</v>
      </c>
      <c r="S449" t="s">
        <v>1679</v>
      </c>
    </row>
    <row r="450" spans="1:19" hidden="1">
      <c r="A450" s="7" t="s">
        <v>29</v>
      </c>
      <c r="B450" s="8">
        <v>20084</v>
      </c>
      <c r="C450" s="9">
        <v>45840.671342592592</v>
      </c>
      <c r="D450" s="9">
        <v>45698</v>
      </c>
      <c r="E450" s="9">
        <v>45668</v>
      </c>
      <c r="F450" s="7" t="s">
        <v>1680</v>
      </c>
      <c r="G450" s="7" t="s">
        <v>1681</v>
      </c>
      <c r="H450" s="7" t="s">
        <v>1682</v>
      </c>
      <c r="I450" s="7" t="s">
        <v>1683</v>
      </c>
      <c r="J450" s="7" t="s">
        <v>176</v>
      </c>
      <c r="K450" s="7" t="s">
        <v>945</v>
      </c>
      <c r="L450" s="10">
        <v>5700</v>
      </c>
      <c r="M450" s="10">
        <v>3500</v>
      </c>
      <c r="N450" s="10">
        <f>+L450-M450</f>
        <v>2200</v>
      </c>
      <c r="O450" s="10">
        <v>5700</v>
      </c>
      <c r="P450" s="10">
        <f>+L450-O450</f>
        <v>0</v>
      </c>
      <c r="Q450" s="10">
        <v>0</v>
      </c>
      <c r="R450" s="7" t="s">
        <v>27</v>
      </c>
    </row>
    <row r="451" spans="1:19" hidden="1">
      <c r="A451" s="7" t="s">
        <v>29</v>
      </c>
      <c r="B451" s="8">
        <v>20939</v>
      </c>
      <c r="C451" s="9">
        <v>46057.674039351848</v>
      </c>
      <c r="D451" s="9">
        <v>46057</v>
      </c>
      <c r="E451" s="9">
        <v>46056</v>
      </c>
      <c r="F451" s="7" t="s">
        <v>1684</v>
      </c>
      <c r="G451" s="7" t="s">
        <v>1685</v>
      </c>
      <c r="H451" s="7" t="s">
        <v>1686</v>
      </c>
      <c r="I451" s="7" t="s">
        <v>1687</v>
      </c>
      <c r="J451" s="7" t="s">
        <v>34</v>
      </c>
      <c r="K451" s="7" t="s">
        <v>1688</v>
      </c>
      <c r="L451" s="10">
        <v>5374.66</v>
      </c>
      <c r="M451" s="10">
        <v>3225</v>
      </c>
      <c r="N451" s="10">
        <f>+L451-M451</f>
        <v>2149.66</v>
      </c>
      <c r="O451" s="10">
        <v>5374.66</v>
      </c>
      <c r="P451" s="10">
        <f>+L451-O451</f>
        <v>0</v>
      </c>
      <c r="Q451" s="10">
        <v>0</v>
      </c>
      <c r="R451" s="7" t="s">
        <v>27</v>
      </c>
    </row>
    <row r="452" spans="1:19">
      <c r="A452" s="7" t="s">
        <v>29</v>
      </c>
      <c r="B452" s="8">
        <v>20399</v>
      </c>
      <c r="C452" s="9">
        <v>45904.48098688657</v>
      </c>
      <c r="D452" s="9">
        <v>45930</v>
      </c>
      <c r="E452" s="9">
        <v>45902</v>
      </c>
      <c r="F452" s="7" t="s">
        <v>1689</v>
      </c>
      <c r="G452" s="7" t="s">
        <v>1690</v>
      </c>
      <c r="H452" s="7" t="s">
        <v>1578</v>
      </c>
      <c r="I452" s="7" t="s">
        <v>1380</v>
      </c>
      <c r="J452" s="7" t="s">
        <v>25</v>
      </c>
      <c r="K452" s="7" t="s">
        <v>26</v>
      </c>
      <c r="L452" s="10">
        <v>2094.62</v>
      </c>
      <c r="M452" s="10">
        <v>0</v>
      </c>
      <c r="N452" s="10">
        <f>+L452-M452</f>
        <v>2094.62</v>
      </c>
      <c r="O452" s="10">
        <v>2094.62</v>
      </c>
      <c r="P452" s="10">
        <f>+L452-O452</f>
        <v>0</v>
      </c>
      <c r="Q452" s="10">
        <v>0</v>
      </c>
      <c r="R452" s="7" t="s">
        <v>27</v>
      </c>
      <c r="S452" t="s">
        <v>1691</v>
      </c>
    </row>
    <row r="453" spans="1:19" hidden="1">
      <c r="A453" s="7" t="s">
        <v>29</v>
      </c>
      <c r="B453" s="8">
        <v>4339</v>
      </c>
      <c r="C453" s="9">
        <v>46051.384760613422</v>
      </c>
      <c r="D453" s="9">
        <v>46059</v>
      </c>
      <c r="E453" s="9">
        <v>46073</v>
      </c>
      <c r="F453" s="7" t="s">
        <v>1692</v>
      </c>
      <c r="G453" s="7" t="s">
        <v>877</v>
      </c>
      <c r="H453" s="7" t="s">
        <v>1693</v>
      </c>
      <c r="I453" s="7" t="s">
        <v>1694</v>
      </c>
      <c r="J453" s="7" t="s">
        <v>25</v>
      </c>
      <c r="K453" s="7" t="s">
        <v>86</v>
      </c>
      <c r="L453" s="10">
        <v>2056</v>
      </c>
      <c r="M453" s="10">
        <v>0</v>
      </c>
      <c r="N453" s="15">
        <f>+L453-M453</f>
        <v>2056</v>
      </c>
      <c r="O453" s="15">
        <v>2056</v>
      </c>
      <c r="P453" s="15">
        <f>+L453-O453</f>
        <v>0</v>
      </c>
      <c r="Q453" s="10">
        <v>0</v>
      </c>
      <c r="R453" s="7" t="s">
        <v>87</v>
      </c>
      <c r="S453" t="s">
        <v>851</v>
      </c>
    </row>
    <row r="454" spans="1:19" hidden="1">
      <c r="A454" s="7" t="s">
        <v>29</v>
      </c>
      <c r="B454" s="8">
        <v>20590</v>
      </c>
      <c r="C454" s="9">
        <v>45946.732855289352</v>
      </c>
      <c r="D454" s="9">
        <v>46029</v>
      </c>
      <c r="E454" s="9">
        <v>45945</v>
      </c>
      <c r="F454" s="7" t="s">
        <v>1695</v>
      </c>
      <c r="G454" s="7" t="s">
        <v>1696</v>
      </c>
      <c r="H454" s="7" t="s">
        <v>1697</v>
      </c>
      <c r="I454" s="7" t="s">
        <v>1698</v>
      </c>
      <c r="J454" s="7" t="s">
        <v>176</v>
      </c>
      <c r="K454" s="7" t="s">
        <v>374</v>
      </c>
      <c r="L454" s="10">
        <v>2000</v>
      </c>
      <c r="M454" s="10">
        <v>0</v>
      </c>
      <c r="N454" s="10">
        <f>+L454-M454</f>
        <v>2000</v>
      </c>
      <c r="O454" s="10">
        <v>2000</v>
      </c>
      <c r="P454" s="10">
        <f>+L454-O454</f>
        <v>0</v>
      </c>
      <c r="Q454" s="10">
        <v>0</v>
      </c>
      <c r="R454" s="7" t="s">
        <v>27</v>
      </c>
    </row>
    <row r="455" spans="1:19" hidden="1">
      <c r="A455" s="7" t="s">
        <v>29</v>
      </c>
      <c r="B455" s="8">
        <v>4160</v>
      </c>
      <c r="C455" s="9">
        <v>45691.652152546296</v>
      </c>
      <c r="D455" s="9">
        <v>45664</v>
      </c>
      <c r="E455" s="9">
        <v>45664</v>
      </c>
      <c r="F455" s="7" t="s">
        <v>1699</v>
      </c>
      <c r="G455" s="7" t="s">
        <v>1700</v>
      </c>
      <c r="H455" s="7" t="s">
        <v>1701</v>
      </c>
      <c r="I455" s="7" t="s">
        <v>1468</v>
      </c>
      <c r="J455" s="7" t="s">
        <v>25</v>
      </c>
      <c r="K455" s="7" t="s">
        <v>86</v>
      </c>
      <c r="L455" s="10">
        <v>79040.240000000005</v>
      </c>
      <c r="M455" s="10">
        <v>77074.19</v>
      </c>
      <c r="N455" s="15">
        <f>+L455-M455</f>
        <v>1966.0500000000029</v>
      </c>
      <c r="O455" s="15">
        <v>79040.240000000005</v>
      </c>
      <c r="P455" s="15">
        <f>+L455-O455</f>
        <v>0</v>
      </c>
      <c r="Q455" s="10">
        <v>0</v>
      </c>
      <c r="R455" s="7" t="s">
        <v>87</v>
      </c>
    </row>
    <row r="456" spans="1:19" hidden="1">
      <c r="A456" s="7" t="s">
        <v>29</v>
      </c>
      <c r="B456" s="8">
        <v>19919</v>
      </c>
      <c r="C456" s="9">
        <v>45811.678576388884</v>
      </c>
      <c r="D456" s="9">
        <v>45857</v>
      </c>
      <c r="E456" s="9">
        <v>45775</v>
      </c>
      <c r="F456" s="7" t="s">
        <v>1702</v>
      </c>
      <c r="G456" s="7" t="s">
        <v>1703</v>
      </c>
      <c r="H456" s="7" t="s">
        <v>1348</v>
      </c>
      <c r="I456" s="7" t="s">
        <v>1349</v>
      </c>
      <c r="J456" s="7" t="s">
        <v>176</v>
      </c>
      <c r="K456" s="7" t="s">
        <v>584</v>
      </c>
      <c r="L456" s="10">
        <v>1932</v>
      </c>
      <c r="M456" s="10">
        <v>0</v>
      </c>
      <c r="N456" s="10">
        <f>+L456-M456</f>
        <v>1932</v>
      </c>
      <c r="O456" s="10">
        <v>1932</v>
      </c>
      <c r="P456" s="10">
        <f>+L456-O456</f>
        <v>0</v>
      </c>
      <c r="Q456" s="10">
        <v>0</v>
      </c>
      <c r="R456" s="7" t="s">
        <v>27</v>
      </c>
    </row>
    <row r="457" spans="1:19">
      <c r="A457" s="7" t="s">
        <v>29</v>
      </c>
      <c r="B457" s="8">
        <v>20122</v>
      </c>
      <c r="C457" s="9">
        <v>45847.727986111109</v>
      </c>
      <c r="D457" s="9">
        <v>45933</v>
      </c>
      <c r="E457" s="9">
        <v>45825</v>
      </c>
      <c r="F457" s="7" t="s">
        <v>1704</v>
      </c>
      <c r="G457" s="7" t="s">
        <v>1705</v>
      </c>
      <c r="H457" s="7" t="s">
        <v>1706</v>
      </c>
      <c r="I457" s="7" t="s">
        <v>1707</v>
      </c>
      <c r="J457" s="7" t="s">
        <v>25</v>
      </c>
      <c r="K457" s="7" t="s">
        <v>170</v>
      </c>
      <c r="L457" s="10">
        <v>4828.17</v>
      </c>
      <c r="M457" s="10">
        <v>2897</v>
      </c>
      <c r="N457" s="10">
        <f>+L457-M457</f>
        <v>1931.17</v>
      </c>
      <c r="O457" s="10">
        <v>4828.17</v>
      </c>
      <c r="P457" s="10">
        <f>+L457-O457</f>
        <v>0</v>
      </c>
      <c r="Q457" s="10">
        <v>0</v>
      </c>
      <c r="R457" s="7" t="s">
        <v>27</v>
      </c>
      <c r="S457" t="s">
        <v>1544</v>
      </c>
    </row>
    <row r="458" spans="1:19" hidden="1">
      <c r="A458" s="7" t="s">
        <v>29</v>
      </c>
      <c r="B458" s="8">
        <v>20706</v>
      </c>
      <c r="C458" s="9">
        <v>45979.670949074069</v>
      </c>
      <c r="D458" s="9">
        <v>45979</v>
      </c>
      <c r="E458" s="9">
        <v>46067</v>
      </c>
      <c r="F458" s="7" t="s">
        <v>1708</v>
      </c>
      <c r="G458" s="7" t="s">
        <v>1709</v>
      </c>
      <c r="H458" s="7" t="s">
        <v>1037</v>
      </c>
      <c r="I458" s="7" t="s">
        <v>1038</v>
      </c>
      <c r="J458" s="7" t="s">
        <v>34</v>
      </c>
      <c r="K458" s="7" t="s">
        <v>118</v>
      </c>
      <c r="L458" s="10">
        <v>1869.61</v>
      </c>
      <c r="M458" s="10">
        <v>0</v>
      </c>
      <c r="N458" s="10">
        <f>+L458-M458</f>
        <v>1869.61</v>
      </c>
      <c r="O458" s="10">
        <v>1869.61</v>
      </c>
      <c r="P458" s="10">
        <f>+L458-O458</f>
        <v>0</v>
      </c>
      <c r="Q458" s="10">
        <v>0</v>
      </c>
      <c r="R458" s="7" t="s">
        <v>27</v>
      </c>
    </row>
    <row r="459" spans="1:19">
      <c r="A459" s="7" t="s">
        <v>29</v>
      </c>
      <c r="B459" s="8">
        <v>20443</v>
      </c>
      <c r="C459" s="9">
        <v>45912.412593749999</v>
      </c>
      <c r="D459" s="9">
        <v>45901</v>
      </c>
      <c r="E459" s="9">
        <v>45947</v>
      </c>
      <c r="F459" s="7" t="s">
        <v>1710</v>
      </c>
      <c r="G459" s="7" t="s">
        <v>1711</v>
      </c>
      <c r="H459" s="7" t="s">
        <v>1629</v>
      </c>
      <c r="I459" s="7" t="s">
        <v>1630</v>
      </c>
      <c r="J459" s="7" t="s">
        <v>25</v>
      </c>
      <c r="K459" s="7" t="s">
        <v>55</v>
      </c>
      <c r="L459" s="10">
        <v>1832.04</v>
      </c>
      <c r="M459" s="10">
        <v>0</v>
      </c>
      <c r="N459" s="10">
        <f>+L459-M459</f>
        <v>1832.04</v>
      </c>
      <c r="O459" s="10">
        <v>1832.04</v>
      </c>
      <c r="P459" s="10">
        <f>+L459-O459</f>
        <v>0</v>
      </c>
      <c r="Q459" s="10">
        <v>0</v>
      </c>
      <c r="R459" s="7" t="s">
        <v>27</v>
      </c>
    </row>
    <row r="460" spans="1:19" hidden="1">
      <c r="A460" s="7" t="s">
        <v>29</v>
      </c>
      <c r="B460" s="8">
        <v>4322</v>
      </c>
      <c r="C460" s="9">
        <v>46009.704016203701</v>
      </c>
      <c r="D460" s="9">
        <v>46070</v>
      </c>
      <c r="E460" s="9">
        <v>46065</v>
      </c>
      <c r="F460" s="7" t="s">
        <v>1712</v>
      </c>
      <c r="G460" s="7" t="s">
        <v>1713</v>
      </c>
      <c r="H460" s="7" t="s">
        <v>1714</v>
      </c>
      <c r="I460" s="7" t="s">
        <v>910</v>
      </c>
      <c r="J460" s="7" t="s">
        <v>25</v>
      </c>
      <c r="K460" s="7" t="s">
        <v>260</v>
      </c>
      <c r="L460" s="10">
        <v>1734</v>
      </c>
      <c r="M460" s="10">
        <v>0</v>
      </c>
      <c r="N460" s="15">
        <f>+L460-M460</f>
        <v>1734</v>
      </c>
      <c r="O460" s="15">
        <v>1734</v>
      </c>
      <c r="P460" s="15">
        <f>+L460-O460</f>
        <v>0</v>
      </c>
      <c r="Q460" s="10">
        <v>0</v>
      </c>
      <c r="R460" s="7" t="s">
        <v>87</v>
      </c>
      <c r="S460" t="s">
        <v>851</v>
      </c>
    </row>
    <row r="461" spans="1:19" hidden="1">
      <c r="A461" s="7" t="s">
        <v>29</v>
      </c>
      <c r="B461" s="8">
        <v>19620</v>
      </c>
      <c r="C461" s="9">
        <v>45751.678900462961</v>
      </c>
      <c r="D461" s="9">
        <v>45780</v>
      </c>
      <c r="E461" s="9">
        <v>45738</v>
      </c>
      <c r="F461" s="7" t="s">
        <v>1715</v>
      </c>
      <c r="G461" s="7" t="s">
        <v>1716</v>
      </c>
      <c r="H461" s="7" t="s">
        <v>1717</v>
      </c>
      <c r="I461" s="7" t="s">
        <v>1718</v>
      </c>
      <c r="J461" s="7" t="s">
        <v>176</v>
      </c>
      <c r="K461" s="7" t="s">
        <v>569</v>
      </c>
      <c r="L461" s="10">
        <v>3300</v>
      </c>
      <c r="M461" s="10">
        <v>1587.99</v>
      </c>
      <c r="N461" s="10">
        <f>+L461-M461</f>
        <v>1712.01</v>
      </c>
      <c r="O461" s="10">
        <v>3300</v>
      </c>
      <c r="P461" s="10">
        <f>+L461-O461</f>
        <v>0</v>
      </c>
      <c r="Q461" s="10">
        <v>0</v>
      </c>
      <c r="R461" s="7" t="s">
        <v>27</v>
      </c>
    </row>
    <row r="462" spans="1:19" hidden="1">
      <c r="A462" s="7" t="s">
        <v>29</v>
      </c>
      <c r="B462" s="8">
        <v>20180</v>
      </c>
      <c r="C462" s="9">
        <v>45861.528692129628</v>
      </c>
      <c r="D462" s="9">
        <v>45861</v>
      </c>
      <c r="E462" s="9">
        <v>45861</v>
      </c>
      <c r="F462" s="7" t="s">
        <v>1719</v>
      </c>
      <c r="G462" s="7" t="s">
        <v>1720</v>
      </c>
      <c r="H462" s="7" t="s">
        <v>81</v>
      </c>
      <c r="I462" s="7" t="s">
        <v>82</v>
      </c>
      <c r="J462" s="7" t="s">
        <v>40</v>
      </c>
      <c r="K462" s="7" t="s">
        <v>355</v>
      </c>
      <c r="L462" s="10">
        <v>1639.22</v>
      </c>
      <c r="M462" s="10">
        <v>0</v>
      </c>
      <c r="N462" s="10">
        <f>+L462-M462</f>
        <v>1639.22</v>
      </c>
      <c r="O462" s="10">
        <v>1639.22</v>
      </c>
      <c r="P462" s="10">
        <f>+L462-O462</f>
        <v>0</v>
      </c>
      <c r="Q462" s="10">
        <v>0</v>
      </c>
      <c r="R462" s="7" t="s">
        <v>27</v>
      </c>
    </row>
    <row r="463" spans="1:19" hidden="1">
      <c r="A463" s="7" t="s">
        <v>29</v>
      </c>
      <c r="B463" s="8">
        <v>20892</v>
      </c>
      <c r="C463" s="9">
        <v>46043.473877314813</v>
      </c>
      <c r="D463" s="9">
        <v>46043</v>
      </c>
      <c r="E463" s="9">
        <v>46080</v>
      </c>
      <c r="F463" s="7" t="s">
        <v>1721</v>
      </c>
      <c r="G463" s="7" t="s">
        <v>1722</v>
      </c>
      <c r="H463" s="7" t="s">
        <v>811</v>
      </c>
      <c r="I463" s="7" t="s">
        <v>812</v>
      </c>
      <c r="J463" s="7" t="s">
        <v>34</v>
      </c>
      <c r="K463" s="7" t="s">
        <v>190</v>
      </c>
      <c r="L463" s="10">
        <v>1555.43</v>
      </c>
      <c r="M463" s="10">
        <v>0</v>
      </c>
      <c r="N463" s="10">
        <f>+L463-M463</f>
        <v>1555.43</v>
      </c>
      <c r="O463" s="10">
        <v>1555.43</v>
      </c>
      <c r="P463" s="10">
        <f>+L463-O463</f>
        <v>0</v>
      </c>
      <c r="Q463" s="10">
        <v>0</v>
      </c>
      <c r="R463" s="7" t="s">
        <v>27</v>
      </c>
    </row>
    <row r="464" spans="1:19">
      <c r="A464" s="7" t="s">
        <v>29</v>
      </c>
      <c r="B464" s="8">
        <v>20372</v>
      </c>
      <c r="C464" s="9">
        <v>45901.590100844907</v>
      </c>
      <c r="D464" s="9">
        <v>45869</v>
      </c>
      <c r="E464" s="9">
        <v>45908</v>
      </c>
      <c r="F464" s="7" t="s">
        <v>1723</v>
      </c>
      <c r="G464" s="7" t="s">
        <v>1724</v>
      </c>
      <c r="H464" s="7" t="s">
        <v>1725</v>
      </c>
      <c r="I464" s="7" t="s">
        <v>1726</v>
      </c>
      <c r="J464" s="7" t="s">
        <v>25</v>
      </c>
      <c r="K464" s="7" t="s">
        <v>170</v>
      </c>
      <c r="L464" s="10">
        <v>1500</v>
      </c>
      <c r="M464" s="10">
        <v>0</v>
      </c>
      <c r="N464" s="10">
        <f>+L464-M464</f>
        <v>1500</v>
      </c>
      <c r="O464" s="10">
        <v>1500</v>
      </c>
      <c r="P464" s="10">
        <f>+L464-O464</f>
        <v>0</v>
      </c>
      <c r="Q464" s="10">
        <v>0</v>
      </c>
      <c r="R464" s="7" t="s">
        <v>27</v>
      </c>
      <c r="S464" t="s">
        <v>1604</v>
      </c>
    </row>
    <row r="465" spans="1:19" hidden="1">
      <c r="A465" s="7" t="s">
        <v>29</v>
      </c>
      <c r="B465" s="8">
        <v>4216</v>
      </c>
      <c r="C465" s="9">
        <v>45806.910081018519</v>
      </c>
      <c r="D465" s="9">
        <v>45644</v>
      </c>
      <c r="E465" s="9">
        <v>45715</v>
      </c>
      <c r="F465" s="7" t="s">
        <v>1727</v>
      </c>
      <c r="G465" s="7" t="s">
        <v>1728</v>
      </c>
      <c r="H465" s="7" t="s">
        <v>1729</v>
      </c>
      <c r="I465" s="7" t="s">
        <v>1730</v>
      </c>
      <c r="J465" s="7" t="s">
        <v>25</v>
      </c>
      <c r="K465" s="7" t="s">
        <v>86</v>
      </c>
      <c r="L465" s="10">
        <v>27459.85</v>
      </c>
      <c r="M465" s="10">
        <v>26086.959999999999</v>
      </c>
      <c r="N465" s="15">
        <f>+L465-M465</f>
        <v>1372.8899999999994</v>
      </c>
      <c r="O465" s="15">
        <v>27459.85</v>
      </c>
      <c r="P465" s="15">
        <f>+L465-O465</f>
        <v>0</v>
      </c>
      <c r="Q465" s="10">
        <v>0</v>
      </c>
      <c r="R465" s="7" t="s">
        <v>87</v>
      </c>
    </row>
    <row r="466" spans="1:19" hidden="1">
      <c r="A466" s="7" t="s">
        <v>29</v>
      </c>
      <c r="B466" s="8">
        <v>4281</v>
      </c>
      <c r="C466" s="9">
        <v>45964.398928587958</v>
      </c>
      <c r="D466" s="9">
        <v>45957</v>
      </c>
      <c r="E466" s="9">
        <v>45957</v>
      </c>
      <c r="F466" s="7" t="s">
        <v>1731</v>
      </c>
      <c r="G466" s="7" t="s">
        <v>1732</v>
      </c>
      <c r="H466" s="7" t="s">
        <v>1733</v>
      </c>
      <c r="I466" s="7" t="s">
        <v>1734</v>
      </c>
      <c r="J466" s="7" t="s">
        <v>25</v>
      </c>
      <c r="K466" s="7" t="s">
        <v>125</v>
      </c>
      <c r="L466" s="10">
        <v>1120</v>
      </c>
      <c r="M466" s="10">
        <v>0</v>
      </c>
      <c r="N466" s="15">
        <f>+L466-M466</f>
        <v>1120</v>
      </c>
      <c r="O466" s="15">
        <v>1120</v>
      </c>
      <c r="P466" s="15">
        <f>+L466-O466</f>
        <v>0</v>
      </c>
      <c r="Q466" s="10">
        <v>0</v>
      </c>
      <c r="R466" s="7" t="s">
        <v>87</v>
      </c>
      <c r="S466" t="s">
        <v>851</v>
      </c>
    </row>
    <row r="467" spans="1:19">
      <c r="A467" s="7" t="s">
        <v>29</v>
      </c>
      <c r="B467" s="8">
        <v>19526</v>
      </c>
      <c r="C467" s="9">
        <v>45730.701469907406</v>
      </c>
      <c r="D467" s="9">
        <v>45729</v>
      </c>
      <c r="E467" s="9">
        <v>45729</v>
      </c>
      <c r="F467" s="7" t="s">
        <v>1735</v>
      </c>
      <c r="G467" s="7" t="s">
        <v>1736</v>
      </c>
      <c r="H467" s="7" t="s">
        <v>1737</v>
      </c>
      <c r="I467" s="7" t="s">
        <v>1738</v>
      </c>
      <c r="J467" s="7" t="s">
        <v>25</v>
      </c>
      <c r="K467" s="7" t="s">
        <v>26</v>
      </c>
      <c r="L467" s="10">
        <v>1098.71</v>
      </c>
      <c r="M467" s="10">
        <v>0</v>
      </c>
      <c r="N467" s="10">
        <f>+L467-M467</f>
        <v>1098.71</v>
      </c>
      <c r="O467" s="10">
        <v>1098.71</v>
      </c>
      <c r="P467" s="10">
        <f>+L467-O467</f>
        <v>0</v>
      </c>
      <c r="Q467" s="10">
        <v>0</v>
      </c>
      <c r="R467" s="7" t="s">
        <v>27</v>
      </c>
    </row>
    <row r="468" spans="1:19" hidden="1">
      <c r="A468" s="7" t="s">
        <v>29</v>
      </c>
      <c r="B468" s="8">
        <v>19370</v>
      </c>
      <c r="C468" s="9">
        <v>45691.43346064815</v>
      </c>
      <c r="D468" s="9">
        <v>45691</v>
      </c>
      <c r="E468" s="9">
        <v>45748</v>
      </c>
      <c r="F468" s="7" t="s">
        <v>1739</v>
      </c>
      <c r="G468" s="7" t="s">
        <v>1135</v>
      </c>
      <c r="H468" s="7" t="s">
        <v>1740</v>
      </c>
      <c r="I468" s="7" t="s">
        <v>1741</v>
      </c>
      <c r="J468" s="7" t="s">
        <v>34</v>
      </c>
      <c r="K468" s="7" t="s">
        <v>35</v>
      </c>
      <c r="L468" s="10">
        <v>5128.2</v>
      </c>
      <c r="M468" s="10">
        <v>4057.56</v>
      </c>
      <c r="N468" s="10">
        <f>+L468-M468</f>
        <v>1070.6399999999999</v>
      </c>
      <c r="O468" s="10">
        <v>5128.2</v>
      </c>
      <c r="P468" s="10">
        <f>+L468-O468</f>
        <v>0</v>
      </c>
      <c r="Q468" s="10">
        <v>0</v>
      </c>
      <c r="R468" s="7" t="s">
        <v>27</v>
      </c>
    </row>
    <row r="469" spans="1:19" hidden="1">
      <c r="A469" s="7" t="s">
        <v>29</v>
      </c>
      <c r="B469" s="8">
        <v>20077</v>
      </c>
      <c r="C469" s="9">
        <v>45840.462349537032</v>
      </c>
      <c r="D469" s="9">
        <v>45299</v>
      </c>
      <c r="E469" s="9">
        <v>45296</v>
      </c>
      <c r="F469" s="7" t="s">
        <v>1742</v>
      </c>
      <c r="G469" s="7" t="s">
        <v>1743</v>
      </c>
      <c r="H469" s="7" t="s">
        <v>1744</v>
      </c>
      <c r="I469" s="7" t="s">
        <v>1745</v>
      </c>
      <c r="J469" s="7" t="s">
        <v>176</v>
      </c>
      <c r="K469" s="7" t="s">
        <v>550</v>
      </c>
      <c r="L469" s="10">
        <v>15268</v>
      </c>
      <c r="M469" s="10">
        <v>14233.48</v>
      </c>
      <c r="N469" s="10">
        <f>+L469-M469</f>
        <v>1034.5200000000004</v>
      </c>
      <c r="O469" s="10">
        <v>15268</v>
      </c>
      <c r="P469" s="10">
        <f>+L469-O469</f>
        <v>0</v>
      </c>
      <c r="Q469" s="10">
        <v>0</v>
      </c>
      <c r="R469" s="7" t="s">
        <v>27</v>
      </c>
    </row>
    <row r="470" spans="1:19" hidden="1">
      <c r="A470" s="7" t="s">
        <v>29</v>
      </c>
      <c r="B470" s="8">
        <v>20593</v>
      </c>
      <c r="C470" s="9">
        <v>45950.397018287033</v>
      </c>
      <c r="D470" s="9">
        <v>45947</v>
      </c>
      <c r="E470" s="9">
        <v>45947</v>
      </c>
      <c r="F470" s="7" t="s">
        <v>1746</v>
      </c>
      <c r="G470" s="7" t="s">
        <v>1747</v>
      </c>
      <c r="H470" s="7" t="s">
        <v>1748</v>
      </c>
      <c r="I470" s="7" t="s">
        <v>1749</v>
      </c>
      <c r="J470" s="7" t="s">
        <v>176</v>
      </c>
      <c r="K470" s="7" t="s">
        <v>360</v>
      </c>
      <c r="L470" s="10">
        <v>990</v>
      </c>
      <c r="M470" s="10">
        <v>0</v>
      </c>
      <c r="N470" s="10">
        <f>+L470-M470</f>
        <v>990</v>
      </c>
      <c r="O470" s="10">
        <v>990</v>
      </c>
      <c r="P470" s="10">
        <f>+L470-O470</f>
        <v>0</v>
      </c>
      <c r="Q470" s="10">
        <v>0</v>
      </c>
      <c r="R470" s="7" t="s">
        <v>27</v>
      </c>
    </row>
    <row r="471" spans="1:19">
      <c r="A471" s="7" t="s">
        <v>29</v>
      </c>
      <c r="B471" s="8">
        <v>20499</v>
      </c>
      <c r="C471" s="9">
        <v>45923.682743055557</v>
      </c>
      <c r="D471" s="9">
        <v>45867</v>
      </c>
      <c r="E471" s="9">
        <v>45867</v>
      </c>
      <c r="F471" s="7" t="s">
        <v>1750</v>
      </c>
      <c r="G471" s="7" t="s">
        <v>1751</v>
      </c>
      <c r="H471" s="7" t="s">
        <v>770</v>
      </c>
      <c r="I471" s="7" t="s">
        <v>771</v>
      </c>
      <c r="J471" s="7" t="s">
        <v>25</v>
      </c>
      <c r="K471" s="7" t="s">
        <v>26</v>
      </c>
      <c r="L471" s="10">
        <v>2445.77</v>
      </c>
      <c r="M471" s="10">
        <v>1467.46</v>
      </c>
      <c r="N471" s="10">
        <f>+L471-M471</f>
        <v>978.31</v>
      </c>
      <c r="O471" s="10">
        <v>2445.77</v>
      </c>
      <c r="P471" s="10">
        <f>+L471-O471</f>
        <v>0</v>
      </c>
      <c r="Q471" s="10">
        <v>0</v>
      </c>
      <c r="R471" s="7" t="s">
        <v>27</v>
      </c>
      <c r="S471" t="s">
        <v>1245</v>
      </c>
    </row>
    <row r="472" spans="1:19" hidden="1">
      <c r="A472" s="7" t="s">
        <v>29</v>
      </c>
      <c r="B472" s="8">
        <v>20853</v>
      </c>
      <c r="C472" s="9">
        <v>46034.620254629626</v>
      </c>
      <c r="D472" s="9">
        <v>46034</v>
      </c>
      <c r="E472" s="9">
        <v>46080</v>
      </c>
      <c r="F472" s="7" t="s">
        <v>1752</v>
      </c>
      <c r="G472" s="7" t="s">
        <v>1753</v>
      </c>
      <c r="H472" s="7" t="s">
        <v>1754</v>
      </c>
      <c r="I472" s="7" t="s">
        <v>1755</v>
      </c>
      <c r="J472" s="7" t="s">
        <v>34</v>
      </c>
      <c r="K472" s="7" t="s">
        <v>733</v>
      </c>
      <c r="L472" s="10">
        <v>969.45</v>
      </c>
      <c r="M472" s="10">
        <v>0</v>
      </c>
      <c r="N472" s="10">
        <f>+L472-M472</f>
        <v>969.45</v>
      </c>
      <c r="O472" s="10">
        <v>969.45</v>
      </c>
      <c r="P472" s="10">
        <f>+L472-O472</f>
        <v>0</v>
      </c>
      <c r="Q472" s="10">
        <v>0</v>
      </c>
      <c r="R472" s="7" t="s">
        <v>27</v>
      </c>
    </row>
    <row r="473" spans="1:19" hidden="1">
      <c r="A473" s="7" t="s">
        <v>29</v>
      </c>
      <c r="B473" s="8">
        <v>19332</v>
      </c>
      <c r="C473" s="9">
        <v>45674.453692326388</v>
      </c>
      <c r="D473" s="9">
        <v>45623</v>
      </c>
      <c r="E473" s="9">
        <v>45623</v>
      </c>
      <c r="F473" s="7" t="s">
        <v>1756</v>
      </c>
      <c r="G473" s="7" t="s">
        <v>1757</v>
      </c>
      <c r="H473" s="7" t="s">
        <v>1758</v>
      </c>
      <c r="I473" s="7" t="s">
        <v>1759</v>
      </c>
      <c r="J473" s="7" t="s">
        <v>176</v>
      </c>
      <c r="K473" s="7" t="s">
        <v>494</v>
      </c>
      <c r="L473" s="10">
        <v>962</v>
      </c>
      <c r="M473" s="10">
        <v>0</v>
      </c>
      <c r="N473" s="10">
        <f>+L473-M473</f>
        <v>962</v>
      </c>
      <c r="O473" s="10">
        <v>962</v>
      </c>
      <c r="P473" s="10">
        <f>+L473-O473</f>
        <v>0</v>
      </c>
      <c r="Q473" s="10">
        <v>41.2</v>
      </c>
      <c r="R473" s="7" t="s">
        <v>27</v>
      </c>
    </row>
    <row r="474" spans="1:19">
      <c r="A474" s="7" t="s">
        <v>29</v>
      </c>
      <c r="B474" s="8">
        <v>20894</v>
      </c>
      <c r="C474" s="9">
        <v>46043.625083252315</v>
      </c>
      <c r="D474" s="9">
        <v>46048</v>
      </c>
      <c r="E474" s="9">
        <v>46079</v>
      </c>
      <c r="F474" s="7" t="s">
        <v>1760</v>
      </c>
      <c r="G474" s="7" t="s">
        <v>1761</v>
      </c>
      <c r="H474" s="7" t="s">
        <v>1762</v>
      </c>
      <c r="I474" s="7" t="s">
        <v>1763</v>
      </c>
      <c r="J474" s="7" t="s">
        <v>25</v>
      </c>
      <c r="K474" s="7" t="s">
        <v>55</v>
      </c>
      <c r="L474" s="10">
        <v>941.48</v>
      </c>
      <c r="M474" s="10">
        <v>0</v>
      </c>
      <c r="N474" s="10">
        <f>+L474-M474</f>
        <v>941.48</v>
      </c>
      <c r="O474" s="10">
        <v>941.48</v>
      </c>
      <c r="P474" s="10">
        <f>+L474-O474</f>
        <v>0</v>
      </c>
      <c r="Q474" s="10">
        <v>0</v>
      </c>
      <c r="R474" s="7" t="s">
        <v>27</v>
      </c>
    </row>
    <row r="475" spans="1:19" hidden="1">
      <c r="A475" s="7" t="s">
        <v>29</v>
      </c>
      <c r="B475" s="8">
        <v>4157</v>
      </c>
      <c r="C475" s="9">
        <v>45688.662515543976</v>
      </c>
      <c r="D475" s="9">
        <v>45666</v>
      </c>
      <c r="E475" s="9">
        <v>45666</v>
      </c>
      <c r="F475" s="7" t="s">
        <v>1764</v>
      </c>
      <c r="G475" s="7" t="s">
        <v>1765</v>
      </c>
      <c r="H475" s="7" t="s">
        <v>1766</v>
      </c>
      <c r="I475" s="7" t="s">
        <v>788</v>
      </c>
      <c r="J475" s="7" t="s">
        <v>25</v>
      </c>
      <c r="K475" s="7" t="s">
        <v>125</v>
      </c>
      <c r="L475" s="10">
        <v>18424</v>
      </c>
      <c r="M475" s="10">
        <v>17502.8</v>
      </c>
      <c r="N475" s="15">
        <f>+L475-M475</f>
        <v>921.20000000000073</v>
      </c>
      <c r="O475" s="15">
        <v>18424</v>
      </c>
      <c r="P475" s="15">
        <f>+L475-O475</f>
        <v>0</v>
      </c>
      <c r="Q475" s="10">
        <v>0</v>
      </c>
      <c r="R475" s="7" t="s">
        <v>87</v>
      </c>
      <c r="S475" t="s">
        <v>1767</v>
      </c>
    </row>
    <row r="476" spans="1:19" hidden="1">
      <c r="A476" s="7" t="s">
        <v>29</v>
      </c>
      <c r="B476" s="8">
        <v>4290</v>
      </c>
      <c r="C476" s="9">
        <v>45966.456763773145</v>
      </c>
      <c r="D476" s="9">
        <v>45964</v>
      </c>
      <c r="E476" s="9">
        <v>45964</v>
      </c>
      <c r="F476" s="7" t="s">
        <v>1768</v>
      </c>
      <c r="G476" s="7" t="s">
        <v>1179</v>
      </c>
      <c r="H476" s="7" t="s">
        <v>1769</v>
      </c>
      <c r="I476" s="7" t="s">
        <v>1770</v>
      </c>
      <c r="J476" s="7" t="s">
        <v>25</v>
      </c>
      <c r="K476" s="7" t="s">
        <v>260</v>
      </c>
      <c r="L476" s="10">
        <v>888.18</v>
      </c>
      <c r="M476" s="10">
        <v>0</v>
      </c>
      <c r="N476" s="15">
        <f>+L476-M476</f>
        <v>888.18</v>
      </c>
      <c r="O476" s="15">
        <v>888.18</v>
      </c>
      <c r="P476" s="15">
        <f>+L476-O476</f>
        <v>0</v>
      </c>
      <c r="Q476" s="10">
        <v>0</v>
      </c>
      <c r="R476" s="7" t="s">
        <v>87</v>
      </c>
      <c r="S476" t="s">
        <v>1771</v>
      </c>
    </row>
    <row r="477" spans="1:19" hidden="1">
      <c r="A477" s="7" t="s">
        <v>29</v>
      </c>
      <c r="B477" s="8">
        <v>20098</v>
      </c>
      <c r="C477" s="9">
        <v>45842.443870752315</v>
      </c>
      <c r="D477" s="9">
        <v>45848</v>
      </c>
      <c r="E477" s="9">
        <v>45840</v>
      </c>
      <c r="F477" s="7" t="s">
        <v>1772</v>
      </c>
      <c r="G477" s="7" t="s">
        <v>1773</v>
      </c>
      <c r="H477" s="7" t="s">
        <v>1774</v>
      </c>
      <c r="I477" s="7" t="s">
        <v>1775</v>
      </c>
      <c r="J477" s="7" t="s">
        <v>176</v>
      </c>
      <c r="K477" s="7" t="s">
        <v>550</v>
      </c>
      <c r="L477" s="10">
        <v>881</v>
      </c>
      <c r="M477" s="10">
        <v>0</v>
      </c>
      <c r="N477" s="10">
        <f>+L477-M477</f>
        <v>881</v>
      </c>
      <c r="O477" s="10">
        <v>881</v>
      </c>
      <c r="P477" s="10">
        <f>+L477-O477</f>
        <v>0</v>
      </c>
      <c r="Q477" s="10">
        <v>0</v>
      </c>
      <c r="R477" s="7" t="s">
        <v>27</v>
      </c>
    </row>
    <row r="478" spans="1:19" hidden="1">
      <c r="A478" s="7" t="s">
        <v>29</v>
      </c>
      <c r="B478" s="8">
        <v>20945</v>
      </c>
      <c r="C478" s="9">
        <v>46058.700567129628</v>
      </c>
      <c r="D478" s="9">
        <v>46058</v>
      </c>
      <c r="E478" s="9">
        <v>46058</v>
      </c>
      <c r="F478" s="7" t="s">
        <v>1776</v>
      </c>
      <c r="G478" s="7" t="s">
        <v>1777</v>
      </c>
      <c r="H478" s="7" t="s">
        <v>1103</v>
      </c>
      <c r="I478" s="7" t="s">
        <v>1104</v>
      </c>
      <c r="J478" s="7" t="s">
        <v>34</v>
      </c>
      <c r="K478" s="7" t="s">
        <v>105</v>
      </c>
      <c r="L478" s="10">
        <v>5820.19</v>
      </c>
      <c r="M478" s="10">
        <v>4947.16</v>
      </c>
      <c r="N478" s="10">
        <f>+L478-M478</f>
        <v>873.02999999999975</v>
      </c>
      <c r="O478" s="10">
        <v>5820.19</v>
      </c>
      <c r="P478" s="10">
        <f>+L478-O478</f>
        <v>0</v>
      </c>
      <c r="Q478" s="10">
        <v>0</v>
      </c>
      <c r="R478" s="7" t="s">
        <v>27</v>
      </c>
    </row>
    <row r="479" spans="1:19" hidden="1">
      <c r="A479" s="7" t="s">
        <v>29</v>
      </c>
      <c r="B479" s="8">
        <v>4250</v>
      </c>
      <c r="C479" s="9">
        <v>45889.720483761572</v>
      </c>
      <c r="D479" s="9">
        <v>45889</v>
      </c>
      <c r="E479" s="9">
        <v>45889</v>
      </c>
      <c r="F479" s="7" t="s">
        <v>1778</v>
      </c>
      <c r="G479" s="7" t="s">
        <v>1779</v>
      </c>
      <c r="H479" s="7" t="s">
        <v>350</v>
      </c>
      <c r="I479" s="7" t="s">
        <v>351</v>
      </c>
      <c r="J479" s="7" t="s">
        <v>25</v>
      </c>
      <c r="K479" s="7" t="s">
        <v>125</v>
      </c>
      <c r="L479" s="10">
        <v>17178.57</v>
      </c>
      <c r="M479" s="10">
        <v>16319.65</v>
      </c>
      <c r="N479" s="15">
        <f>+L479-M479</f>
        <v>858.92000000000007</v>
      </c>
      <c r="O479" s="15">
        <v>17178.57</v>
      </c>
      <c r="P479" s="15">
        <f>+L479-O479</f>
        <v>0</v>
      </c>
      <c r="Q479" s="10">
        <v>0</v>
      </c>
      <c r="R479" s="7" t="s">
        <v>87</v>
      </c>
      <c r="S479" t="s">
        <v>1780</v>
      </c>
    </row>
    <row r="480" spans="1:19">
      <c r="A480" s="7" t="s">
        <v>29</v>
      </c>
      <c r="B480" s="8">
        <v>19989</v>
      </c>
      <c r="C480" s="9">
        <v>45827.453148379631</v>
      </c>
      <c r="D480" s="9">
        <v>45869</v>
      </c>
      <c r="E480" s="9">
        <v>45860</v>
      </c>
      <c r="F480" s="7" t="s">
        <v>1781</v>
      </c>
      <c r="G480" s="7" t="s">
        <v>1782</v>
      </c>
      <c r="H480" s="7" t="s">
        <v>1762</v>
      </c>
      <c r="I480" s="7" t="s">
        <v>1763</v>
      </c>
      <c r="J480" s="7" t="s">
        <v>25</v>
      </c>
      <c r="K480" s="7" t="s">
        <v>537</v>
      </c>
      <c r="L480" s="10">
        <v>750</v>
      </c>
      <c r="M480" s="10">
        <v>0</v>
      </c>
      <c r="N480" s="10">
        <f>+L480-M480</f>
        <v>750</v>
      </c>
      <c r="O480" s="10">
        <v>750</v>
      </c>
      <c r="P480" s="10">
        <f>+L480-O480</f>
        <v>0</v>
      </c>
      <c r="Q480" s="10">
        <v>0</v>
      </c>
      <c r="R480" s="7" t="s">
        <v>27</v>
      </c>
    </row>
    <row r="481" spans="1:19" hidden="1">
      <c r="A481" s="7" t="s">
        <v>29</v>
      </c>
      <c r="B481" s="8">
        <v>19692</v>
      </c>
      <c r="C481" s="9">
        <v>45768.497453703705</v>
      </c>
      <c r="D481" s="9">
        <v>45838</v>
      </c>
      <c r="E481" s="9">
        <v>45768</v>
      </c>
      <c r="F481" s="7" t="s">
        <v>60</v>
      </c>
      <c r="G481" s="7" t="s">
        <v>1783</v>
      </c>
      <c r="H481" s="7" t="s">
        <v>160</v>
      </c>
      <c r="I481" s="7" t="s">
        <v>60</v>
      </c>
      <c r="J481" s="7" t="s">
        <v>40</v>
      </c>
      <c r="K481" s="7" t="s">
        <v>1784</v>
      </c>
      <c r="L481" s="10">
        <v>746.95</v>
      </c>
      <c r="M481" s="10">
        <v>0</v>
      </c>
      <c r="N481" s="10">
        <f>+L481-M481</f>
        <v>746.95</v>
      </c>
      <c r="O481" s="10">
        <v>746.95</v>
      </c>
      <c r="P481" s="10">
        <f>+L481-O481</f>
        <v>0</v>
      </c>
      <c r="Q481" s="10">
        <v>0</v>
      </c>
      <c r="R481" s="7" t="s">
        <v>27</v>
      </c>
    </row>
    <row r="482" spans="1:19">
      <c r="A482" s="7" t="s">
        <v>29</v>
      </c>
      <c r="B482" s="8">
        <v>20771</v>
      </c>
      <c r="C482" s="9">
        <v>46001.985110381946</v>
      </c>
      <c r="D482" s="9">
        <v>46009</v>
      </c>
      <c r="E482" s="9">
        <v>46009</v>
      </c>
      <c r="F482" s="7" t="s">
        <v>1785</v>
      </c>
      <c r="G482" s="7" t="s">
        <v>1786</v>
      </c>
      <c r="H482" s="7" t="s">
        <v>787</v>
      </c>
      <c r="I482" s="7" t="s">
        <v>788</v>
      </c>
      <c r="J482" s="7" t="s">
        <v>25</v>
      </c>
      <c r="K482" s="7" t="s">
        <v>55</v>
      </c>
      <c r="L482" s="10">
        <v>743.2</v>
      </c>
      <c r="M482" s="10">
        <v>0</v>
      </c>
      <c r="N482" s="10">
        <f>+L482-M482</f>
        <v>743.2</v>
      </c>
      <c r="O482" s="10">
        <v>743.2</v>
      </c>
      <c r="P482" s="10">
        <f>+L482-O482</f>
        <v>0</v>
      </c>
      <c r="Q482" s="10">
        <v>0</v>
      </c>
      <c r="R482" s="7" t="s">
        <v>27</v>
      </c>
    </row>
    <row r="483" spans="1:19" hidden="1">
      <c r="A483" s="7" t="s">
        <v>29</v>
      </c>
      <c r="B483" s="8">
        <v>4182</v>
      </c>
      <c r="C483" s="9">
        <v>45737.530787997683</v>
      </c>
      <c r="D483" s="9">
        <v>45699</v>
      </c>
      <c r="E483" s="9">
        <v>45806</v>
      </c>
      <c r="F483" s="7" t="s">
        <v>1787</v>
      </c>
      <c r="G483" s="7" t="s">
        <v>1788</v>
      </c>
      <c r="H483" s="7" t="s">
        <v>1789</v>
      </c>
      <c r="I483" s="7" t="s">
        <v>1730</v>
      </c>
      <c r="J483" s="7" t="s">
        <v>25</v>
      </c>
      <c r="K483" s="7" t="s">
        <v>86</v>
      </c>
      <c r="L483" s="10">
        <v>28416.99</v>
      </c>
      <c r="M483" s="10">
        <v>27706.57</v>
      </c>
      <c r="N483" s="15">
        <f>+L483-M483</f>
        <v>710.42000000000189</v>
      </c>
      <c r="O483" s="15">
        <v>28416.99</v>
      </c>
      <c r="P483" s="15">
        <f>+L483-O483</f>
        <v>0</v>
      </c>
      <c r="Q483" s="10">
        <v>0</v>
      </c>
      <c r="R483" s="7" t="s">
        <v>87</v>
      </c>
    </row>
    <row r="484" spans="1:19">
      <c r="A484" s="7" t="s">
        <v>29</v>
      </c>
      <c r="B484" s="8">
        <v>20915</v>
      </c>
      <c r="C484" s="9">
        <v>46050.48599228009</v>
      </c>
      <c r="D484" s="9">
        <v>46052</v>
      </c>
      <c r="E484" s="9">
        <v>46052</v>
      </c>
      <c r="F484" s="7" t="s">
        <v>1790</v>
      </c>
      <c r="G484" s="7" t="s">
        <v>1791</v>
      </c>
      <c r="H484" s="7" t="s">
        <v>1792</v>
      </c>
      <c r="I484" s="7" t="s">
        <v>1793</v>
      </c>
      <c r="J484" s="7" t="s">
        <v>25</v>
      </c>
      <c r="K484" s="7" t="s">
        <v>170</v>
      </c>
      <c r="L484" s="10">
        <v>691.06</v>
      </c>
      <c r="M484" s="10">
        <v>0</v>
      </c>
      <c r="N484" s="10">
        <f>+L484-M484</f>
        <v>691.06</v>
      </c>
      <c r="O484" s="10">
        <v>691.06</v>
      </c>
      <c r="P484" s="10">
        <f>+L484-O484</f>
        <v>0</v>
      </c>
      <c r="Q484" s="10">
        <v>0</v>
      </c>
      <c r="R484" s="7" t="s">
        <v>27</v>
      </c>
      <c r="S484" t="s">
        <v>1604</v>
      </c>
    </row>
    <row r="485" spans="1:19">
      <c r="A485" s="7" t="s">
        <v>29</v>
      </c>
      <c r="B485" s="8">
        <v>20645</v>
      </c>
      <c r="C485" s="9">
        <v>45960.718432754627</v>
      </c>
      <c r="D485" s="9">
        <v>45961</v>
      </c>
      <c r="E485" s="9">
        <v>45964</v>
      </c>
      <c r="F485" s="7" t="s">
        <v>1794</v>
      </c>
      <c r="G485" s="7" t="s">
        <v>1795</v>
      </c>
      <c r="H485" s="7" t="s">
        <v>1796</v>
      </c>
      <c r="I485" s="7" t="s">
        <v>1255</v>
      </c>
      <c r="J485" s="7" t="s">
        <v>25</v>
      </c>
      <c r="K485" s="7" t="s">
        <v>525</v>
      </c>
      <c r="L485" s="10">
        <v>621.5</v>
      </c>
      <c r="M485" s="10">
        <v>0</v>
      </c>
      <c r="N485" s="10">
        <f>+L485-M485</f>
        <v>621.5</v>
      </c>
      <c r="O485" s="10">
        <v>621.5</v>
      </c>
      <c r="P485" s="10">
        <f>+L485-O485</f>
        <v>0</v>
      </c>
      <c r="Q485" s="10">
        <v>0</v>
      </c>
      <c r="R485" s="7" t="s">
        <v>27</v>
      </c>
    </row>
    <row r="486" spans="1:19" hidden="1">
      <c r="A486" s="7" t="s">
        <v>29</v>
      </c>
      <c r="B486" s="8">
        <v>4337</v>
      </c>
      <c r="C486" s="9">
        <v>46044.370578703703</v>
      </c>
      <c r="D486" s="9">
        <v>46052</v>
      </c>
      <c r="E486" s="9">
        <v>46024</v>
      </c>
      <c r="F486" s="7" t="s">
        <v>1797</v>
      </c>
      <c r="G486" s="7" t="s">
        <v>853</v>
      </c>
      <c r="H486" s="7" t="s">
        <v>1798</v>
      </c>
      <c r="I486" s="7" t="s">
        <v>1799</v>
      </c>
      <c r="J486" s="7" t="s">
        <v>25</v>
      </c>
      <c r="K486" s="7" t="s">
        <v>125</v>
      </c>
      <c r="L486" s="10">
        <v>610.20000000000005</v>
      </c>
      <c r="M486" s="10">
        <v>0</v>
      </c>
      <c r="N486" s="15">
        <f>+L486-M486</f>
        <v>610.20000000000005</v>
      </c>
      <c r="O486" s="15">
        <v>610.20000000000005</v>
      </c>
      <c r="P486" s="15">
        <f>+L486-O486</f>
        <v>0</v>
      </c>
      <c r="Q486" s="10">
        <v>0</v>
      </c>
      <c r="R486" s="7" t="s">
        <v>87</v>
      </c>
      <c r="S486" t="s">
        <v>1800</v>
      </c>
    </row>
    <row r="487" spans="1:19" hidden="1">
      <c r="A487" s="7" t="s">
        <v>29</v>
      </c>
      <c r="B487" s="8">
        <v>20093</v>
      </c>
      <c r="C487" s="9">
        <v>45841.36106481481</v>
      </c>
      <c r="D487" s="9">
        <v>45841</v>
      </c>
      <c r="E487" s="9">
        <v>45873</v>
      </c>
      <c r="F487" s="7" t="s">
        <v>1801</v>
      </c>
      <c r="G487" s="7" t="s">
        <v>1802</v>
      </c>
      <c r="H487" s="7" t="s">
        <v>1803</v>
      </c>
      <c r="I487" s="7" t="s">
        <v>1804</v>
      </c>
      <c r="J487" s="7" t="s">
        <v>34</v>
      </c>
      <c r="K487" s="7" t="s">
        <v>451</v>
      </c>
      <c r="L487" s="10">
        <v>34244.379999999997</v>
      </c>
      <c r="M487" s="10">
        <v>33638.28</v>
      </c>
      <c r="N487" s="10">
        <f>+L487-M487</f>
        <v>606.09999999999854</v>
      </c>
      <c r="O487" s="10">
        <v>34244.379999999997</v>
      </c>
      <c r="P487" s="10">
        <f>+L487-O487</f>
        <v>0</v>
      </c>
      <c r="Q487" s="10">
        <v>0</v>
      </c>
      <c r="R487" s="7" t="s">
        <v>27</v>
      </c>
    </row>
    <row r="488" spans="1:19" hidden="1">
      <c r="A488" s="7" t="s">
        <v>29</v>
      </c>
      <c r="B488" s="8">
        <v>19337</v>
      </c>
      <c r="C488" s="9">
        <v>45674.675451388888</v>
      </c>
      <c r="D488" s="9">
        <v>45703</v>
      </c>
      <c r="E488" s="9">
        <v>45678</v>
      </c>
      <c r="F488" s="7" t="s">
        <v>1805</v>
      </c>
      <c r="G488" s="7" t="s">
        <v>1806</v>
      </c>
      <c r="H488" s="7" t="s">
        <v>1807</v>
      </c>
      <c r="I488" s="7" t="s">
        <v>1808</v>
      </c>
      <c r="J488" s="7" t="s">
        <v>176</v>
      </c>
      <c r="K488" s="7" t="s">
        <v>317</v>
      </c>
      <c r="L488" s="10">
        <v>7750</v>
      </c>
      <c r="M488" s="10">
        <v>7150</v>
      </c>
      <c r="N488" s="10">
        <f>+L488-M488</f>
        <v>600</v>
      </c>
      <c r="O488" s="10">
        <v>7750</v>
      </c>
      <c r="P488" s="10">
        <f>+L488-O488</f>
        <v>0</v>
      </c>
      <c r="Q488" s="10">
        <v>0</v>
      </c>
      <c r="R488" s="7" t="s">
        <v>27</v>
      </c>
    </row>
    <row r="489" spans="1:19">
      <c r="A489" s="7" t="s">
        <v>29</v>
      </c>
      <c r="B489" s="8">
        <v>20670</v>
      </c>
      <c r="C489" s="9">
        <v>45965.738359803239</v>
      </c>
      <c r="D489" s="9">
        <v>45974</v>
      </c>
      <c r="E489" s="9">
        <v>46006</v>
      </c>
      <c r="F489" s="7" t="s">
        <v>1809</v>
      </c>
      <c r="G489" s="7" t="s">
        <v>1810</v>
      </c>
      <c r="H489" s="7" t="s">
        <v>1811</v>
      </c>
      <c r="I489" s="7" t="s">
        <v>1812</v>
      </c>
      <c r="J489" s="7" t="s">
        <v>25</v>
      </c>
      <c r="K489" s="7" t="s">
        <v>170</v>
      </c>
      <c r="L489" s="10">
        <v>581</v>
      </c>
      <c r="M489" s="10">
        <v>0</v>
      </c>
      <c r="N489" s="10">
        <f>+L489-M489</f>
        <v>581</v>
      </c>
      <c r="O489" s="10">
        <v>581</v>
      </c>
      <c r="P489" s="10">
        <f>+L489-O489</f>
        <v>0</v>
      </c>
      <c r="Q489" s="10">
        <v>0</v>
      </c>
      <c r="R489" s="7" t="s">
        <v>27</v>
      </c>
      <c r="S489" t="s">
        <v>1604</v>
      </c>
    </row>
    <row r="490" spans="1:19" hidden="1">
      <c r="A490" s="7" t="s">
        <v>29</v>
      </c>
      <c r="B490" s="8">
        <v>20911</v>
      </c>
      <c r="C490" s="9">
        <v>46048.561874999999</v>
      </c>
      <c r="D490" s="9">
        <v>46048</v>
      </c>
      <c r="E490" s="9">
        <v>46108</v>
      </c>
      <c r="F490" s="7" t="s">
        <v>1813</v>
      </c>
      <c r="G490" s="7" t="s">
        <v>1814</v>
      </c>
      <c r="H490" s="7" t="s">
        <v>1815</v>
      </c>
      <c r="I490" s="7" t="s">
        <v>1816</v>
      </c>
      <c r="J490" s="7" t="s">
        <v>34</v>
      </c>
      <c r="K490" s="7" t="s">
        <v>733</v>
      </c>
      <c r="L490" s="10">
        <v>508.5</v>
      </c>
      <c r="M490" s="10">
        <v>0</v>
      </c>
      <c r="N490" s="10">
        <f>+L490-M490</f>
        <v>508.5</v>
      </c>
      <c r="O490" s="10">
        <v>508.5</v>
      </c>
      <c r="P490" s="10">
        <f>+L490-O490</f>
        <v>0</v>
      </c>
      <c r="Q490" s="10">
        <v>0</v>
      </c>
      <c r="R490" s="7" t="s">
        <v>27</v>
      </c>
    </row>
    <row r="491" spans="1:19" hidden="1">
      <c r="A491" s="7" t="s">
        <v>29</v>
      </c>
      <c r="B491" s="8">
        <v>20323</v>
      </c>
      <c r="C491" s="9">
        <v>45894.50818287037</v>
      </c>
      <c r="D491" s="9">
        <v>45894</v>
      </c>
      <c r="E491" s="9">
        <v>45960</v>
      </c>
      <c r="F491" s="7" t="s">
        <v>1817</v>
      </c>
      <c r="G491" s="7" t="s">
        <v>1818</v>
      </c>
      <c r="H491" s="7" t="s">
        <v>1819</v>
      </c>
      <c r="I491" s="7" t="s">
        <v>1820</v>
      </c>
      <c r="J491" s="7" t="s">
        <v>34</v>
      </c>
      <c r="K491" s="7" t="s">
        <v>392</v>
      </c>
      <c r="L491" s="10">
        <v>27600.66</v>
      </c>
      <c r="M491" s="10">
        <v>27112.15</v>
      </c>
      <c r="N491" s="10">
        <f>+L491-M491</f>
        <v>488.5099999999984</v>
      </c>
      <c r="O491" s="10">
        <v>27600.66</v>
      </c>
      <c r="P491" s="10">
        <f>+L491-O491</f>
        <v>0</v>
      </c>
      <c r="Q491" s="10">
        <v>0</v>
      </c>
      <c r="R491" s="7" t="s">
        <v>27</v>
      </c>
    </row>
    <row r="492" spans="1:19">
      <c r="A492" s="7" t="s">
        <v>29</v>
      </c>
      <c r="B492" s="8">
        <v>20503</v>
      </c>
      <c r="C492" s="9">
        <v>45924.438517476847</v>
      </c>
      <c r="D492" s="9">
        <v>45936</v>
      </c>
      <c r="E492" s="9">
        <v>45936</v>
      </c>
      <c r="F492" s="7" t="s">
        <v>1821</v>
      </c>
      <c r="G492" s="7" t="s">
        <v>1822</v>
      </c>
      <c r="H492" s="7" t="s">
        <v>1823</v>
      </c>
      <c r="I492" s="7" t="s">
        <v>1824</v>
      </c>
      <c r="J492" s="7" t="s">
        <v>25</v>
      </c>
      <c r="K492" s="7" t="s">
        <v>407</v>
      </c>
      <c r="L492" s="10">
        <v>444.09</v>
      </c>
      <c r="M492" s="10">
        <v>0</v>
      </c>
      <c r="N492" s="10">
        <f>+L492-M492</f>
        <v>444.09</v>
      </c>
      <c r="O492" s="10">
        <v>444.09</v>
      </c>
      <c r="P492" s="10">
        <f>+L492-O492</f>
        <v>0</v>
      </c>
      <c r="Q492" s="10">
        <v>0</v>
      </c>
      <c r="R492" s="7" t="s">
        <v>27</v>
      </c>
      <c r="S492" t="s">
        <v>1604</v>
      </c>
    </row>
    <row r="493" spans="1:19">
      <c r="A493" s="7" t="s">
        <v>29</v>
      </c>
      <c r="B493" s="8">
        <v>20505</v>
      </c>
      <c r="C493" s="9">
        <v>45924.439090127315</v>
      </c>
      <c r="D493" s="9">
        <v>45936</v>
      </c>
      <c r="E493" s="9">
        <v>45936</v>
      </c>
      <c r="F493" s="7" t="s">
        <v>1825</v>
      </c>
      <c r="G493" s="7" t="s">
        <v>1826</v>
      </c>
      <c r="H493" s="7" t="s">
        <v>1823</v>
      </c>
      <c r="I493" s="7" t="s">
        <v>1824</v>
      </c>
      <c r="J493" s="7" t="s">
        <v>25</v>
      </c>
      <c r="K493" s="7" t="s">
        <v>407</v>
      </c>
      <c r="L493" s="10">
        <v>444.09</v>
      </c>
      <c r="M493" s="10">
        <v>0</v>
      </c>
      <c r="N493" s="10">
        <f>+L493-M493</f>
        <v>444.09</v>
      </c>
      <c r="O493" s="10">
        <v>444.09</v>
      </c>
      <c r="P493" s="10">
        <f>+L493-O493</f>
        <v>0</v>
      </c>
      <c r="Q493" s="10">
        <v>0</v>
      </c>
      <c r="R493" s="7" t="s">
        <v>27</v>
      </c>
      <c r="S493" t="s">
        <v>1604</v>
      </c>
    </row>
    <row r="494" spans="1:19" hidden="1">
      <c r="A494" s="7" t="s">
        <v>29</v>
      </c>
      <c r="B494" s="8">
        <v>4344</v>
      </c>
      <c r="C494" s="9">
        <v>46056.608832986109</v>
      </c>
      <c r="D494" s="9">
        <v>46059</v>
      </c>
      <c r="E494" s="9">
        <v>46059</v>
      </c>
      <c r="F494" s="7" t="s">
        <v>1827</v>
      </c>
      <c r="G494" s="7" t="s">
        <v>1828</v>
      </c>
      <c r="H494" s="7" t="s">
        <v>204</v>
      </c>
      <c r="I494" s="7" t="s">
        <v>205</v>
      </c>
      <c r="J494" s="7" t="s">
        <v>25</v>
      </c>
      <c r="K494" s="7" t="s">
        <v>206</v>
      </c>
      <c r="L494" s="10">
        <v>440.7</v>
      </c>
      <c r="M494" s="10">
        <v>0</v>
      </c>
      <c r="N494" s="15">
        <f>+L494-M494</f>
        <v>440.7</v>
      </c>
      <c r="O494" s="15">
        <v>440.7</v>
      </c>
      <c r="P494" s="15">
        <f>+L494-O494</f>
        <v>0</v>
      </c>
      <c r="Q494" s="10">
        <v>0</v>
      </c>
      <c r="R494" s="7" t="s">
        <v>87</v>
      </c>
    </row>
    <row r="495" spans="1:19">
      <c r="A495" s="7" t="s">
        <v>29</v>
      </c>
      <c r="B495" s="8">
        <v>20745</v>
      </c>
      <c r="C495" s="9">
        <v>45994.342933182867</v>
      </c>
      <c r="D495" s="9">
        <v>45994</v>
      </c>
      <c r="E495" s="9">
        <v>45994</v>
      </c>
      <c r="F495" s="7" t="s">
        <v>1829</v>
      </c>
      <c r="G495" s="7" t="s">
        <v>1830</v>
      </c>
      <c r="H495" s="7" t="s">
        <v>1831</v>
      </c>
      <c r="I495" s="7" t="s">
        <v>1832</v>
      </c>
      <c r="J495" s="7" t="s">
        <v>25</v>
      </c>
      <c r="K495" s="7" t="s">
        <v>407</v>
      </c>
      <c r="L495" s="10">
        <v>405.96</v>
      </c>
      <c r="M495" s="10">
        <v>0</v>
      </c>
      <c r="N495" s="10">
        <f>+L495-M495</f>
        <v>405.96</v>
      </c>
      <c r="O495" s="10">
        <v>405.96</v>
      </c>
      <c r="P495" s="10">
        <f>+L495-O495</f>
        <v>0</v>
      </c>
      <c r="Q495" s="10">
        <v>0</v>
      </c>
      <c r="R495" s="7" t="s">
        <v>27</v>
      </c>
      <c r="S495" t="s">
        <v>1604</v>
      </c>
    </row>
    <row r="496" spans="1:19" hidden="1">
      <c r="A496" s="7" t="s">
        <v>29</v>
      </c>
      <c r="B496" s="8">
        <v>4261</v>
      </c>
      <c r="C496" s="9">
        <v>45930.633516400463</v>
      </c>
      <c r="D496" s="9">
        <v>45868</v>
      </c>
      <c r="E496" s="9">
        <v>45889</v>
      </c>
      <c r="F496" s="7" t="s">
        <v>1833</v>
      </c>
      <c r="G496" s="7" t="s">
        <v>1834</v>
      </c>
      <c r="H496" s="7" t="s">
        <v>204</v>
      </c>
      <c r="I496" s="7" t="s">
        <v>205</v>
      </c>
      <c r="J496" s="7" t="s">
        <v>25</v>
      </c>
      <c r="K496" s="7" t="s">
        <v>206</v>
      </c>
      <c r="L496" s="10">
        <v>7808.03</v>
      </c>
      <c r="M496" s="10">
        <v>7417.63</v>
      </c>
      <c r="N496" s="15">
        <f>+L496-M496</f>
        <v>390.39999999999964</v>
      </c>
      <c r="O496" s="15">
        <v>7808.03</v>
      </c>
      <c r="P496" s="15">
        <f>+L496-O496</f>
        <v>0</v>
      </c>
      <c r="Q496" s="10">
        <v>0</v>
      </c>
      <c r="R496" s="7" t="s">
        <v>87</v>
      </c>
    </row>
    <row r="497" spans="1:19" hidden="1">
      <c r="A497" s="7" t="s">
        <v>29</v>
      </c>
      <c r="B497" s="8">
        <v>20592</v>
      </c>
      <c r="C497" s="9">
        <v>45950.396817511573</v>
      </c>
      <c r="D497" s="9">
        <v>45947</v>
      </c>
      <c r="E497" s="9">
        <v>45947</v>
      </c>
      <c r="F497" s="7" t="s">
        <v>1746</v>
      </c>
      <c r="G497" s="7" t="s">
        <v>1835</v>
      </c>
      <c r="H497" s="7" t="s">
        <v>1748</v>
      </c>
      <c r="I497" s="7" t="s">
        <v>1749</v>
      </c>
      <c r="J497" s="7" t="s">
        <v>176</v>
      </c>
      <c r="K497" s="7" t="s">
        <v>360</v>
      </c>
      <c r="L497" s="10">
        <v>360</v>
      </c>
      <c r="M497" s="10">
        <v>0</v>
      </c>
      <c r="N497" s="10">
        <f>+L497-M497</f>
        <v>360</v>
      </c>
      <c r="O497" s="10">
        <v>360</v>
      </c>
      <c r="P497" s="10">
        <f>+L497-O497</f>
        <v>0</v>
      </c>
      <c r="Q497" s="10">
        <v>0</v>
      </c>
      <c r="R497" s="7" t="s">
        <v>27</v>
      </c>
    </row>
    <row r="498" spans="1:19" hidden="1">
      <c r="A498" s="7" t="s">
        <v>29</v>
      </c>
      <c r="B498" s="8">
        <v>20942</v>
      </c>
      <c r="C498" s="9">
        <v>46058.61050127315</v>
      </c>
      <c r="D498" s="9">
        <v>46056</v>
      </c>
      <c r="E498" s="9">
        <v>46057</v>
      </c>
      <c r="F498" s="7" t="s">
        <v>1836</v>
      </c>
      <c r="G498" s="7" t="s">
        <v>1837</v>
      </c>
      <c r="H498" s="7" t="s">
        <v>1838</v>
      </c>
      <c r="I498" s="7" t="s">
        <v>1839</v>
      </c>
      <c r="J498" s="7" t="s">
        <v>176</v>
      </c>
      <c r="K498" s="7" t="s">
        <v>360</v>
      </c>
      <c r="L498" s="10">
        <v>355.33</v>
      </c>
      <c r="M498" s="10">
        <v>0</v>
      </c>
      <c r="N498" s="10">
        <f>+L498-M498</f>
        <v>355.33</v>
      </c>
      <c r="O498" s="10">
        <v>355.33</v>
      </c>
      <c r="P498" s="10">
        <f>+L498-O498</f>
        <v>0</v>
      </c>
      <c r="Q498" s="10">
        <v>0</v>
      </c>
      <c r="R498" s="7" t="s">
        <v>27</v>
      </c>
    </row>
    <row r="499" spans="1:19" hidden="1">
      <c r="A499" s="7" t="s">
        <v>29</v>
      </c>
      <c r="B499" s="8">
        <v>19691</v>
      </c>
      <c r="C499" s="9">
        <v>45768.49690972222</v>
      </c>
      <c r="D499" s="9">
        <v>45838</v>
      </c>
      <c r="E499" s="9">
        <v>45768</v>
      </c>
      <c r="F499" s="7" t="s">
        <v>60</v>
      </c>
      <c r="G499" s="7" t="s">
        <v>1840</v>
      </c>
      <c r="H499" s="7" t="s">
        <v>160</v>
      </c>
      <c r="I499" s="7" t="s">
        <v>60</v>
      </c>
      <c r="J499" s="7" t="s">
        <v>40</v>
      </c>
      <c r="K499" s="7" t="s">
        <v>1784</v>
      </c>
      <c r="L499" s="10">
        <v>348.36</v>
      </c>
      <c r="M499" s="10">
        <v>0</v>
      </c>
      <c r="N499" s="10">
        <f>+L499-M499</f>
        <v>348.36</v>
      </c>
      <c r="O499" s="10">
        <v>348.36</v>
      </c>
      <c r="P499" s="10">
        <f>+L499-O499</f>
        <v>0</v>
      </c>
      <c r="Q499" s="10">
        <v>0</v>
      </c>
      <c r="R499" s="7" t="s">
        <v>27</v>
      </c>
    </row>
    <row r="500" spans="1:19">
      <c r="A500" s="7" t="s">
        <v>29</v>
      </c>
      <c r="B500" s="8">
        <v>20918</v>
      </c>
      <c r="C500" s="9">
        <v>46050.645756944439</v>
      </c>
      <c r="D500" s="9">
        <v>46083</v>
      </c>
      <c r="E500" s="9">
        <v>46055</v>
      </c>
      <c r="F500" s="7" t="s">
        <v>1841</v>
      </c>
      <c r="G500" s="7" t="s">
        <v>1842</v>
      </c>
      <c r="H500" s="7" t="s">
        <v>1792</v>
      </c>
      <c r="I500" s="7" t="s">
        <v>1793</v>
      </c>
      <c r="J500" s="7" t="s">
        <v>25</v>
      </c>
      <c r="K500" s="7" t="s">
        <v>170</v>
      </c>
      <c r="L500" s="10">
        <v>345.53</v>
      </c>
      <c r="M500" s="10">
        <v>0</v>
      </c>
      <c r="N500" s="10">
        <f>+L500-M500</f>
        <v>345.53</v>
      </c>
      <c r="O500" s="10">
        <v>345.53</v>
      </c>
      <c r="P500" s="10">
        <f>+L500-O500</f>
        <v>0</v>
      </c>
      <c r="Q500" s="10">
        <v>0</v>
      </c>
      <c r="R500" s="7" t="s">
        <v>27</v>
      </c>
    </row>
    <row r="501" spans="1:19">
      <c r="A501" s="7" t="s">
        <v>29</v>
      </c>
      <c r="B501" s="8">
        <v>20858</v>
      </c>
      <c r="C501" s="9">
        <v>46035.603408831019</v>
      </c>
      <c r="D501" s="9">
        <v>46069</v>
      </c>
      <c r="E501" s="9">
        <v>46069</v>
      </c>
      <c r="F501" s="7" t="s">
        <v>1843</v>
      </c>
      <c r="G501" s="7" t="s">
        <v>1844</v>
      </c>
      <c r="H501" s="7" t="s">
        <v>1845</v>
      </c>
      <c r="I501" s="7" t="s">
        <v>952</v>
      </c>
      <c r="J501" s="7" t="s">
        <v>25</v>
      </c>
      <c r="K501" s="7" t="s">
        <v>525</v>
      </c>
      <c r="L501" s="10">
        <v>339</v>
      </c>
      <c r="M501" s="10">
        <v>0</v>
      </c>
      <c r="N501" s="10">
        <f>+L501-M501</f>
        <v>339</v>
      </c>
      <c r="O501" s="10">
        <v>339</v>
      </c>
      <c r="P501" s="10">
        <f>+L501-O501</f>
        <v>0</v>
      </c>
      <c r="Q501" s="10">
        <v>0</v>
      </c>
      <c r="R501" s="7" t="s">
        <v>27</v>
      </c>
    </row>
    <row r="502" spans="1:19" hidden="1">
      <c r="A502" s="7" t="s">
        <v>29</v>
      </c>
      <c r="B502" s="8">
        <v>4335</v>
      </c>
      <c r="C502" s="9">
        <v>46043.421165312495</v>
      </c>
      <c r="D502" s="9">
        <v>46058</v>
      </c>
      <c r="E502" s="9">
        <v>46042</v>
      </c>
      <c r="F502" s="7" t="s">
        <v>1846</v>
      </c>
      <c r="G502" s="7" t="s">
        <v>406</v>
      </c>
      <c r="H502" s="7" t="s">
        <v>1847</v>
      </c>
      <c r="I502" s="7" t="s">
        <v>1848</v>
      </c>
      <c r="J502" s="7" t="s">
        <v>25</v>
      </c>
      <c r="K502" s="7" t="s">
        <v>260</v>
      </c>
      <c r="L502" s="10">
        <v>433.19</v>
      </c>
      <c r="M502" s="10">
        <v>216.6</v>
      </c>
      <c r="N502" s="15">
        <f>+L502-M502</f>
        <v>216.59</v>
      </c>
      <c r="O502" s="15">
        <v>433.19</v>
      </c>
      <c r="P502" s="15">
        <f>+L502-O502</f>
        <v>0</v>
      </c>
      <c r="Q502" s="10">
        <v>0</v>
      </c>
      <c r="R502" s="7" t="s">
        <v>87</v>
      </c>
      <c r="S502" t="s">
        <v>1691</v>
      </c>
    </row>
    <row r="503" spans="1:19" hidden="1">
      <c r="A503" s="7" t="s">
        <v>29</v>
      </c>
      <c r="B503" s="8">
        <v>20580</v>
      </c>
      <c r="C503" s="9">
        <v>45944.362581168978</v>
      </c>
      <c r="D503" s="9">
        <v>45989</v>
      </c>
      <c r="E503" s="9">
        <v>45943</v>
      </c>
      <c r="F503" s="7" t="s">
        <v>1849</v>
      </c>
      <c r="G503" s="7" t="s">
        <v>1850</v>
      </c>
      <c r="H503" s="7" t="s">
        <v>1851</v>
      </c>
      <c r="I503" s="7" t="s">
        <v>1852</v>
      </c>
      <c r="J503" s="7" t="s">
        <v>40</v>
      </c>
      <c r="K503" s="7" t="s">
        <v>26</v>
      </c>
      <c r="L503" s="10">
        <v>25405.200000000001</v>
      </c>
      <c r="M503" s="10">
        <v>25300.2</v>
      </c>
      <c r="N503" s="10">
        <f>+L503-M503</f>
        <v>105</v>
      </c>
      <c r="O503" s="10">
        <v>25405.200000000001</v>
      </c>
      <c r="P503" s="10">
        <f>+L503-O503</f>
        <v>0</v>
      </c>
      <c r="Q503" s="10">
        <v>0</v>
      </c>
      <c r="R503" s="7" t="s">
        <v>27</v>
      </c>
    </row>
    <row r="504" spans="1:19">
      <c r="A504" s="7" t="s">
        <v>29</v>
      </c>
      <c r="B504" s="8">
        <v>20584</v>
      </c>
      <c r="C504" s="9">
        <v>45944.363460960645</v>
      </c>
      <c r="D504" s="9">
        <v>45908</v>
      </c>
      <c r="E504" s="9">
        <v>45908</v>
      </c>
      <c r="F504" s="7" t="s">
        <v>1853</v>
      </c>
      <c r="G504" s="7" t="s">
        <v>1854</v>
      </c>
      <c r="H504" s="7" t="s">
        <v>1855</v>
      </c>
      <c r="I504" s="7" t="s">
        <v>1856</v>
      </c>
      <c r="J504" s="7" t="s">
        <v>25</v>
      </c>
      <c r="K504" s="7" t="s">
        <v>55</v>
      </c>
      <c r="L504" s="10">
        <v>5757.82</v>
      </c>
      <c r="M504" s="10">
        <v>5655.91</v>
      </c>
      <c r="N504" s="10">
        <f>+L504-M504</f>
        <v>101.90999999999985</v>
      </c>
      <c r="O504" s="10">
        <v>5757.82</v>
      </c>
      <c r="P504" s="10">
        <f>+L504-O504</f>
        <v>0</v>
      </c>
      <c r="Q504" s="10">
        <v>0</v>
      </c>
      <c r="R504" s="7" t="s">
        <v>27</v>
      </c>
    </row>
    <row r="505" spans="1:19" hidden="1">
      <c r="A505" s="7" t="s">
        <v>29</v>
      </c>
      <c r="B505" s="8">
        <v>19628</v>
      </c>
      <c r="C505" s="9">
        <v>45751.706365740742</v>
      </c>
      <c r="D505" s="9">
        <v>45789</v>
      </c>
      <c r="E505" s="9">
        <v>45762</v>
      </c>
      <c r="F505" s="7" t="s">
        <v>1857</v>
      </c>
      <c r="G505" s="7" t="s">
        <v>1858</v>
      </c>
      <c r="H505" s="7" t="s">
        <v>1859</v>
      </c>
      <c r="I505" s="7" t="s">
        <v>1860</v>
      </c>
      <c r="J505" s="7" t="s">
        <v>176</v>
      </c>
      <c r="K505" s="7" t="s">
        <v>374</v>
      </c>
      <c r="L505" s="10">
        <v>8086</v>
      </c>
      <c r="M505" s="10">
        <v>7986</v>
      </c>
      <c r="N505" s="10">
        <f>+L505-M505</f>
        <v>100</v>
      </c>
      <c r="O505" s="10">
        <v>8086</v>
      </c>
      <c r="P505" s="10">
        <f>+L505-O505</f>
        <v>0</v>
      </c>
      <c r="Q505" s="10">
        <v>0</v>
      </c>
      <c r="R505" s="7" t="s">
        <v>27</v>
      </c>
    </row>
    <row r="506" spans="1:19" hidden="1">
      <c r="A506" s="7" t="s">
        <v>29</v>
      </c>
      <c r="B506" s="8">
        <v>19724</v>
      </c>
      <c r="C506" s="9">
        <v>45772.616215277776</v>
      </c>
      <c r="D506" s="9">
        <v>45772</v>
      </c>
      <c r="E506" s="9">
        <v>45763</v>
      </c>
      <c r="F506" s="7" t="s">
        <v>1861</v>
      </c>
      <c r="G506" s="7" t="s">
        <v>1862</v>
      </c>
      <c r="H506" s="7" t="s">
        <v>1863</v>
      </c>
      <c r="I506" s="7" t="s">
        <v>1864</v>
      </c>
      <c r="J506" s="7" t="s">
        <v>34</v>
      </c>
      <c r="K506" s="7" t="s">
        <v>369</v>
      </c>
      <c r="L506" s="10">
        <v>5958.12</v>
      </c>
      <c r="M506" s="10">
        <v>5862.12</v>
      </c>
      <c r="N506" s="10">
        <f>+L506-M506</f>
        <v>96</v>
      </c>
      <c r="O506" s="10">
        <v>5958.12</v>
      </c>
      <c r="P506" s="10">
        <f>+L506-O506</f>
        <v>0</v>
      </c>
      <c r="Q506" s="10">
        <v>0</v>
      </c>
      <c r="R506" s="7" t="s">
        <v>27</v>
      </c>
    </row>
    <row r="507" spans="1:19" hidden="1">
      <c r="A507" s="7" t="s">
        <v>29</v>
      </c>
      <c r="B507" s="8">
        <v>19839</v>
      </c>
      <c r="C507" s="9">
        <v>45797.54483796296</v>
      </c>
      <c r="D507" s="9">
        <v>45797</v>
      </c>
      <c r="E507" s="9">
        <v>45796</v>
      </c>
      <c r="F507" s="7" t="s">
        <v>1865</v>
      </c>
      <c r="G507" s="7" t="s">
        <v>1866</v>
      </c>
      <c r="H507" s="7" t="s">
        <v>1867</v>
      </c>
      <c r="I507" s="7" t="s">
        <v>1868</v>
      </c>
      <c r="J507" s="7" t="s">
        <v>34</v>
      </c>
      <c r="K507" s="7" t="s">
        <v>190</v>
      </c>
      <c r="L507" s="10">
        <v>191223.22</v>
      </c>
      <c r="M507" s="10">
        <v>191153.22</v>
      </c>
      <c r="N507" s="10">
        <f>+L507-M507</f>
        <v>70</v>
      </c>
      <c r="O507" s="10">
        <v>191223.22</v>
      </c>
      <c r="P507" s="10">
        <f>+L507-O507</f>
        <v>0</v>
      </c>
      <c r="Q507" s="10">
        <v>0</v>
      </c>
      <c r="R507" s="7" t="s">
        <v>27</v>
      </c>
    </row>
    <row r="508" spans="1:19" hidden="1">
      <c r="A508" s="7" t="s">
        <v>29</v>
      </c>
      <c r="B508" s="8">
        <v>19585</v>
      </c>
      <c r="C508" s="9">
        <v>45744.603414351848</v>
      </c>
      <c r="D508" s="9">
        <v>45765</v>
      </c>
      <c r="E508" s="9">
        <v>45653</v>
      </c>
      <c r="F508" s="7" t="s">
        <v>1869</v>
      </c>
      <c r="G508" s="7" t="s">
        <v>1870</v>
      </c>
      <c r="H508" s="7" t="s">
        <v>1871</v>
      </c>
      <c r="I508" s="7" t="s">
        <v>1872</v>
      </c>
      <c r="J508" s="7" t="s">
        <v>176</v>
      </c>
      <c r="K508" s="7" t="s">
        <v>374</v>
      </c>
      <c r="L508" s="10">
        <v>30000</v>
      </c>
      <c r="M508" s="10">
        <v>29940</v>
      </c>
      <c r="N508" s="10">
        <f>+L508-M508</f>
        <v>60</v>
      </c>
      <c r="O508" s="10">
        <v>30000</v>
      </c>
      <c r="P508" s="10">
        <f>+L508-O508</f>
        <v>0</v>
      </c>
      <c r="Q508" s="10">
        <v>0</v>
      </c>
      <c r="R508" s="7" t="s">
        <v>27</v>
      </c>
    </row>
    <row r="509" spans="1:19" hidden="1">
      <c r="A509" s="7" t="s">
        <v>29</v>
      </c>
      <c r="B509" s="8">
        <v>20587</v>
      </c>
      <c r="C509" s="9">
        <v>45945.540254629625</v>
      </c>
      <c r="D509" s="9">
        <v>45945</v>
      </c>
      <c r="E509" s="9">
        <v>45989</v>
      </c>
      <c r="F509" s="7" t="s">
        <v>1873</v>
      </c>
      <c r="G509" s="7" t="s">
        <v>1874</v>
      </c>
      <c r="H509" s="7" t="s">
        <v>1875</v>
      </c>
      <c r="I509" s="7" t="s">
        <v>1876</v>
      </c>
      <c r="J509" s="7" t="s">
        <v>34</v>
      </c>
      <c r="K509" s="7" t="s">
        <v>105</v>
      </c>
      <c r="L509" s="10">
        <v>2382.9899999999998</v>
      </c>
      <c r="M509" s="10">
        <v>2340.81</v>
      </c>
      <c r="N509" s="10">
        <f>+L509-M509</f>
        <v>42.179999999999836</v>
      </c>
      <c r="O509" s="10">
        <v>2382.9899999999998</v>
      </c>
      <c r="P509" s="10">
        <f>+L509-O509</f>
        <v>0</v>
      </c>
      <c r="Q509" s="10">
        <v>0</v>
      </c>
      <c r="R509" s="7" t="s">
        <v>27</v>
      </c>
    </row>
    <row r="510" spans="1:19">
      <c r="A510" s="7" t="s">
        <v>29</v>
      </c>
      <c r="B510" s="8">
        <v>19853</v>
      </c>
      <c r="C510" s="9">
        <v>45799.601966631941</v>
      </c>
      <c r="D510" s="9">
        <v>45783</v>
      </c>
      <c r="E510" s="9">
        <v>45859</v>
      </c>
      <c r="F510" s="7" t="s">
        <v>1877</v>
      </c>
      <c r="G510" s="7" t="s">
        <v>1878</v>
      </c>
      <c r="H510" s="7" t="s">
        <v>1811</v>
      </c>
      <c r="I510" s="7" t="s">
        <v>1812</v>
      </c>
      <c r="J510" s="7" t="s">
        <v>25</v>
      </c>
      <c r="K510" s="7" t="s">
        <v>170</v>
      </c>
      <c r="L510" s="10">
        <v>3548.06</v>
      </c>
      <c r="M510" s="10">
        <v>3513.06</v>
      </c>
      <c r="N510" s="10">
        <f>+L510-M510</f>
        <v>35</v>
      </c>
      <c r="O510" s="10">
        <v>3548.06</v>
      </c>
      <c r="P510" s="10">
        <f>+L510-O510</f>
        <v>0</v>
      </c>
      <c r="Q510" s="10">
        <v>0</v>
      </c>
      <c r="R510" s="7" t="s">
        <v>27</v>
      </c>
    </row>
    <row r="511" spans="1:19" hidden="1">
      <c r="A511" s="7" t="s">
        <v>29</v>
      </c>
      <c r="B511" s="8">
        <v>20723</v>
      </c>
      <c r="C511" s="9">
        <v>45986.604525462964</v>
      </c>
      <c r="D511" s="9">
        <v>45986</v>
      </c>
      <c r="E511" s="9">
        <v>46006</v>
      </c>
      <c r="F511" s="7" t="s">
        <v>1879</v>
      </c>
      <c r="G511" s="7" t="s">
        <v>1880</v>
      </c>
      <c r="H511" s="7" t="s">
        <v>1881</v>
      </c>
      <c r="I511" s="7" t="s">
        <v>1882</v>
      </c>
      <c r="J511" s="7" t="s">
        <v>34</v>
      </c>
      <c r="K511" s="7" t="s">
        <v>35</v>
      </c>
      <c r="L511" s="10">
        <v>1702.83</v>
      </c>
      <c r="M511" s="10">
        <v>1669.72</v>
      </c>
      <c r="N511" s="10">
        <f>+L511-M511</f>
        <v>33.1099999999999</v>
      </c>
      <c r="O511" s="10">
        <v>1702.83</v>
      </c>
      <c r="P511" s="10">
        <f>+L511-O511</f>
        <v>0</v>
      </c>
      <c r="Q511" s="10">
        <v>0</v>
      </c>
      <c r="R511" s="7" t="s">
        <v>27</v>
      </c>
    </row>
    <row r="512" spans="1:19" hidden="1">
      <c r="A512" s="7" t="s">
        <v>29</v>
      </c>
      <c r="B512" s="8">
        <v>19983</v>
      </c>
      <c r="C512" s="9">
        <v>45826.375243055554</v>
      </c>
      <c r="D512" s="9">
        <v>45826</v>
      </c>
      <c r="E512" s="9">
        <v>45838</v>
      </c>
      <c r="F512" s="7" t="s">
        <v>1883</v>
      </c>
      <c r="G512" s="7" t="s">
        <v>1884</v>
      </c>
      <c r="H512" s="7" t="s">
        <v>880</v>
      </c>
      <c r="I512" s="7" t="s">
        <v>881</v>
      </c>
      <c r="J512" s="7" t="s">
        <v>34</v>
      </c>
      <c r="K512" s="7" t="s">
        <v>35</v>
      </c>
      <c r="L512" s="10">
        <v>31.12</v>
      </c>
      <c r="M512" s="10">
        <v>0</v>
      </c>
      <c r="N512" s="10">
        <f>+L512-M512</f>
        <v>31.12</v>
      </c>
      <c r="O512" s="10">
        <v>31.12</v>
      </c>
      <c r="P512" s="10">
        <f>+L512-O512</f>
        <v>0</v>
      </c>
      <c r="Q512" s="10">
        <v>0</v>
      </c>
      <c r="R512" s="7" t="s">
        <v>27</v>
      </c>
    </row>
    <row r="513" spans="1:18">
      <c r="A513" s="7" t="s">
        <v>29</v>
      </c>
      <c r="B513" s="8">
        <v>20555</v>
      </c>
      <c r="C513" s="9">
        <v>45938.445659722223</v>
      </c>
      <c r="D513" s="9">
        <v>45873</v>
      </c>
      <c r="E513" s="9">
        <v>45946</v>
      </c>
      <c r="F513" s="7" t="s">
        <v>1885</v>
      </c>
      <c r="G513" s="7" t="s">
        <v>1886</v>
      </c>
      <c r="H513" s="7" t="s">
        <v>1887</v>
      </c>
      <c r="I513" s="7" t="s">
        <v>1888</v>
      </c>
      <c r="J513" s="7" t="s">
        <v>25</v>
      </c>
      <c r="K513" s="7" t="s">
        <v>55</v>
      </c>
      <c r="L513" s="10">
        <v>6254.31</v>
      </c>
      <c r="M513" s="10">
        <v>6224.31</v>
      </c>
      <c r="N513" s="10">
        <f>+L513-M513</f>
        <v>30</v>
      </c>
      <c r="O513" s="10">
        <v>6254.31</v>
      </c>
      <c r="P513" s="10">
        <f>+L513-O513</f>
        <v>0</v>
      </c>
      <c r="Q513" s="10">
        <v>0</v>
      </c>
      <c r="R513" s="7" t="s">
        <v>27</v>
      </c>
    </row>
    <row r="514" spans="1:18">
      <c r="A514" s="7" t="s">
        <v>29</v>
      </c>
      <c r="B514" s="8">
        <v>20559</v>
      </c>
      <c r="C514" s="9">
        <v>45939.395483449072</v>
      </c>
      <c r="D514" s="9">
        <v>45961</v>
      </c>
      <c r="E514" s="9">
        <v>45936</v>
      </c>
      <c r="F514" s="7" t="s">
        <v>1889</v>
      </c>
      <c r="G514" s="7" t="s">
        <v>1890</v>
      </c>
      <c r="H514" s="7" t="s">
        <v>1461</v>
      </c>
      <c r="I514" s="7" t="s">
        <v>1462</v>
      </c>
      <c r="J514" s="7" t="s">
        <v>25</v>
      </c>
      <c r="K514" s="7" t="s">
        <v>26</v>
      </c>
      <c r="L514" s="10">
        <v>570.66999999999996</v>
      </c>
      <c r="M514" s="10">
        <v>542.14</v>
      </c>
      <c r="N514" s="10">
        <f>+L514-M514</f>
        <v>28.529999999999973</v>
      </c>
      <c r="O514" s="10">
        <v>570.66999999999996</v>
      </c>
      <c r="P514" s="10">
        <f>+L514-O514</f>
        <v>0</v>
      </c>
      <c r="Q514" s="10">
        <v>0</v>
      </c>
      <c r="R514" s="7" t="s">
        <v>27</v>
      </c>
    </row>
    <row r="515" spans="1:18" hidden="1">
      <c r="A515" s="7" t="s">
        <v>29</v>
      </c>
      <c r="B515" s="8">
        <v>20213</v>
      </c>
      <c r="C515" s="9">
        <v>45870.349432870367</v>
      </c>
      <c r="D515" s="9">
        <v>45870</v>
      </c>
      <c r="E515" s="9">
        <v>45855</v>
      </c>
      <c r="F515" s="7" t="s">
        <v>1891</v>
      </c>
      <c r="G515" s="7" t="s">
        <v>1892</v>
      </c>
      <c r="H515" s="7" t="s">
        <v>1893</v>
      </c>
      <c r="I515" s="7" t="s">
        <v>1894</v>
      </c>
      <c r="J515" s="7" t="s">
        <v>34</v>
      </c>
      <c r="K515" s="7" t="s">
        <v>118</v>
      </c>
      <c r="L515" s="10">
        <v>5292.13</v>
      </c>
      <c r="M515" s="10">
        <v>5270.2</v>
      </c>
      <c r="N515" s="10">
        <f>+L515-M515</f>
        <v>21.930000000000291</v>
      </c>
      <c r="O515" s="10">
        <v>5292.13</v>
      </c>
      <c r="P515" s="10">
        <f>+L515-O515</f>
        <v>0</v>
      </c>
      <c r="Q515" s="10">
        <v>0</v>
      </c>
      <c r="R515" s="7" t="s">
        <v>27</v>
      </c>
    </row>
    <row r="516" spans="1:18" hidden="1">
      <c r="A516" s="7" t="s">
        <v>29</v>
      </c>
      <c r="B516" s="8">
        <v>20889</v>
      </c>
      <c r="C516" s="9">
        <v>46043.407291666663</v>
      </c>
      <c r="D516" s="9">
        <v>46030</v>
      </c>
      <c r="E516" s="9">
        <v>45981</v>
      </c>
      <c r="F516" s="7" t="s">
        <v>1895</v>
      </c>
      <c r="G516" s="7" t="s">
        <v>1896</v>
      </c>
      <c r="H516" s="7" t="s">
        <v>1897</v>
      </c>
      <c r="I516" s="7" t="s">
        <v>1898</v>
      </c>
      <c r="J516" s="7" t="s">
        <v>176</v>
      </c>
      <c r="K516" s="7" t="s">
        <v>584</v>
      </c>
      <c r="L516" s="10">
        <v>17500</v>
      </c>
      <c r="M516" s="10">
        <v>17499.07</v>
      </c>
      <c r="N516" s="10">
        <f>+L516-M516</f>
        <v>0.93000000000029104</v>
      </c>
      <c r="O516" s="10">
        <v>17500</v>
      </c>
      <c r="P516" s="10">
        <f>+L516-O516</f>
        <v>0</v>
      </c>
      <c r="Q516" s="10">
        <v>0</v>
      </c>
      <c r="R516" s="7" t="s">
        <v>27</v>
      </c>
    </row>
    <row r="517" spans="1:18" hidden="1">
      <c r="A517" s="7" t="s">
        <v>29</v>
      </c>
      <c r="B517" s="8">
        <v>20752</v>
      </c>
      <c r="C517" s="9">
        <v>45994.626655092594</v>
      </c>
      <c r="D517" s="9">
        <v>45994</v>
      </c>
      <c r="E517" s="9">
        <v>46006</v>
      </c>
      <c r="F517" s="7" t="s">
        <v>1899</v>
      </c>
      <c r="G517" s="7" t="s">
        <v>1900</v>
      </c>
      <c r="H517" s="7" t="s">
        <v>1289</v>
      </c>
      <c r="I517" s="7" t="s">
        <v>1290</v>
      </c>
      <c r="J517" s="7" t="s">
        <v>34</v>
      </c>
      <c r="K517" s="7" t="s">
        <v>412</v>
      </c>
      <c r="L517" s="10">
        <v>11352.41</v>
      </c>
      <c r="M517" s="10">
        <v>11352.4</v>
      </c>
      <c r="N517" s="10">
        <f>+L517-M517</f>
        <v>1.0000000000218279E-2</v>
      </c>
      <c r="O517" s="10">
        <v>11352.41</v>
      </c>
      <c r="P517" s="10">
        <f>+L517-O517</f>
        <v>0</v>
      </c>
      <c r="Q517" s="10">
        <v>0</v>
      </c>
      <c r="R517" s="7" t="s">
        <v>27</v>
      </c>
    </row>
    <row r="518" spans="1:18" hidden="1">
      <c r="A518" s="7" t="s">
        <v>29</v>
      </c>
      <c r="B518" s="8">
        <v>20193</v>
      </c>
      <c r="C518" s="9">
        <v>45867.489178240736</v>
      </c>
      <c r="D518" s="9">
        <v>45940</v>
      </c>
      <c r="E518" s="9">
        <v>45843</v>
      </c>
      <c r="F518" s="7" t="s">
        <v>1901</v>
      </c>
      <c r="G518" s="7" t="s">
        <v>1902</v>
      </c>
      <c r="H518" s="7" t="s">
        <v>1903</v>
      </c>
      <c r="I518" s="7" t="s">
        <v>1904</v>
      </c>
      <c r="J518" s="7" t="s">
        <v>176</v>
      </c>
      <c r="K518" s="7" t="s">
        <v>177</v>
      </c>
      <c r="L518" s="10">
        <v>4076.45</v>
      </c>
      <c r="M518" s="10">
        <v>4076.44</v>
      </c>
      <c r="N518" s="10">
        <f>+L518-M518</f>
        <v>9.9999999997635314E-3</v>
      </c>
      <c r="O518" s="10">
        <v>4076.45</v>
      </c>
      <c r="P518" s="10">
        <f>+L518-O518</f>
        <v>0</v>
      </c>
      <c r="Q518" s="10">
        <v>0</v>
      </c>
      <c r="R518" s="7" t="s">
        <v>27</v>
      </c>
    </row>
    <row r="519" spans="1:18" hidden="1">
      <c r="A519" s="7" t="s">
        <v>29</v>
      </c>
      <c r="B519" s="8">
        <v>20845</v>
      </c>
      <c r="C519" s="9">
        <v>46030.727291666662</v>
      </c>
      <c r="D519" s="9">
        <v>46030</v>
      </c>
      <c r="E519" s="9">
        <v>46030</v>
      </c>
      <c r="F519" s="7" t="s">
        <v>1905</v>
      </c>
      <c r="G519" s="7" t="s">
        <v>777</v>
      </c>
      <c r="H519" s="7" t="s">
        <v>1906</v>
      </c>
      <c r="I519" s="7" t="s">
        <v>1907</v>
      </c>
      <c r="J519" s="7" t="s">
        <v>34</v>
      </c>
      <c r="K519" s="7" t="s">
        <v>733</v>
      </c>
      <c r="L519" s="10">
        <v>2954.93</v>
      </c>
      <c r="M519" s="10">
        <v>2954.92</v>
      </c>
      <c r="N519" s="10">
        <f>+L519-M519</f>
        <v>9.9999999997635314E-3</v>
      </c>
      <c r="O519" s="10">
        <v>2954.93</v>
      </c>
      <c r="P519" s="10">
        <f>+L519-O519</f>
        <v>0</v>
      </c>
      <c r="Q519" s="10">
        <v>0</v>
      </c>
      <c r="R519" s="7" t="s">
        <v>27</v>
      </c>
    </row>
    <row r="520" spans="1:18" hidden="1">
      <c r="A520" s="7" t="s">
        <v>29</v>
      </c>
      <c r="B520" s="8">
        <v>19695</v>
      </c>
      <c r="C520" s="9">
        <v>45769.641666666663</v>
      </c>
      <c r="D520" s="9">
        <v>45769</v>
      </c>
      <c r="E520" s="9">
        <v>45769</v>
      </c>
      <c r="F520" s="7" t="s">
        <v>1908</v>
      </c>
      <c r="G520" s="7" t="s">
        <v>1909</v>
      </c>
      <c r="H520" s="7" t="s">
        <v>1910</v>
      </c>
      <c r="I520" s="7" t="s">
        <v>1911</v>
      </c>
      <c r="J520" s="7" t="s">
        <v>34</v>
      </c>
      <c r="K520" s="7" t="s">
        <v>35</v>
      </c>
      <c r="L520" s="10">
        <v>155221.82</v>
      </c>
      <c r="M520" s="10">
        <v>155221.82</v>
      </c>
      <c r="N520" s="10">
        <f>+L520-M520</f>
        <v>0</v>
      </c>
      <c r="O520" s="10">
        <v>155221.82</v>
      </c>
      <c r="P520" s="10">
        <f>+L520-O520</f>
        <v>0</v>
      </c>
      <c r="Q520" s="10">
        <v>0</v>
      </c>
      <c r="R520" s="7" t="s">
        <v>27</v>
      </c>
    </row>
    <row r="521" spans="1:18" hidden="1">
      <c r="A521" s="7" t="s">
        <v>29</v>
      </c>
      <c r="B521" s="8">
        <v>20249</v>
      </c>
      <c r="C521" s="9">
        <v>45875.526782407404</v>
      </c>
      <c r="D521" s="9">
        <v>45875</v>
      </c>
      <c r="E521" s="9">
        <v>45874</v>
      </c>
      <c r="F521" s="7" t="s">
        <v>1912</v>
      </c>
      <c r="G521" s="7" t="s">
        <v>1913</v>
      </c>
      <c r="H521" s="7" t="s">
        <v>1914</v>
      </c>
      <c r="I521" s="7" t="s">
        <v>1915</v>
      </c>
      <c r="J521" s="7" t="s">
        <v>34</v>
      </c>
      <c r="K521" s="7" t="s">
        <v>269</v>
      </c>
      <c r="L521" s="10">
        <v>146818.69</v>
      </c>
      <c r="M521" s="10">
        <v>146818.69</v>
      </c>
      <c r="N521" s="10">
        <f>+L521-M521</f>
        <v>0</v>
      </c>
      <c r="O521" s="10">
        <v>146818.69</v>
      </c>
      <c r="P521" s="10">
        <f>+L521-O521</f>
        <v>0</v>
      </c>
      <c r="Q521" s="10">
        <v>0</v>
      </c>
      <c r="R521" s="7" t="s">
        <v>27</v>
      </c>
    </row>
    <row r="522" spans="1:18" hidden="1">
      <c r="A522" s="7" t="s">
        <v>29</v>
      </c>
      <c r="B522" s="8">
        <v>19416</v>
      </c>
      <c r="C522" s="9">
        <v>45702.527696759258</v>
      </c>
      <c r="D522" s="9">
        <v>45702</v>
      </c>
      <c r="E522" s="9">
        <v>45735</v>
      </c>
      <c r="F522" s="7" t="s">
        <v>1916</v>
      </c>
      <c r="G522" s="7" t="s">
        <v>1917</v>
      </c>
      <c r="H522" s="7" t="s">
        <v>980</v>
      </c>
      <c r="I522" s="7" t="s">
        <v>981</v>
      </c>
      <c r="J522" s="7" t="s">
        <v>34</v>
      </c>
      <c r="K522" s="7" t="s">
        <v>35</v>
      </c>
      <c r="L522" s="10">
        <v>121840.14</v>
      </c>
      <c r="M522" s="10">
        <v>121840.14</v>
      </c>
      <c r="N522" s="10">
        <f>+L522-M522</f>
        <v>0</v>
      </c>
      <c r="O522" s="10">
        <v>121840.14</v>
      </c>
      <c r="P522" s="10">
        <f>+L522-O522</f>
        <v>0</v>
      </c>
      <c r="Q522" s="10">
        <v>0</v>
      </c>
      <c r="R522" s="7" t="s">
        <v>27</v>
      </c>
    </row>
    <row r="523" spans="1:18" hidden="1">
      <c r="A523" s="7" t="s">
        <v>29</v>
      </c>
      <c r="B523" s="8">
        <v>20799</v>
      </c>
      <c r="C523" s="9">
        <v>46013.581111111111</v>
      </c>
      <c r="D523" s="9">
        <v>46013</v>
      </c>
      <c r="E523" s="9">
        <v>46013</v>
      </c>
      <c r="F523" s="7" t="s">
        <v>1918</v>
      </c>
      <c r="G523" s="7" t="s">
        <v>1919</v>
      </c>
      <c r="H523" s="7" t="s">
        <v>1920</v>
      </c>
      <c r="I523" s="7" t="s">
        <v>1921</v>
      </c>
      <c r="J523" s="7" t="s">
        <v>34</v>
      </c>
      <c r="K523" s="7" t="s">
        <v>392</v>
      </c>
      <c r="L523" s="10">
        <v>112879.11</v>
      </c>
      <c r="M523" s="10">
        <v>112879.11</v>
      </c>
      <c r="N523" s="10">
        <f>+L523-M523</f>
        <v>0</v>
      </c>
      <c r="O523" s="10">
        <v>112879.11</v>
      </c>
      <c r="P523" s="10">
        <f>+L523-O523</f>
        <v>0</v>
      </c>
      <c r="Q523" s="10">
        <v>0</v>
      </c>
      <c r="R523" s="7" t="s">
        <v>27</v>
      </c>
    </row>
    <row r="524" spans="1:18" hidden="1">
      <c r="A524" s="7" t="s">
        <v>29</v>
      </c>
      <c r="B524" s="8">
        <v>20102</v>
      </c>
      <c r="C524" s="9">
        <v>45845.369733796295</v>
      </c>
      <c r="D524" s="9">
        <v>45845</v>
      </c>
      <c r="E524" s="9">
        <v>45840</v>
      </c>
      <c r="F524" s="7" t="s">
        <v>1922</v>
      </c>
      <c r="G524" s="7" t="s">
        <v>1923</v>
      </c>
      <c r="H524" s="7" t="s">
        <v>1924</v>
      </c>
      <c r="I524" s="7" t="s">
        <v>1925</v>
      </c>
      <c r="J524" s="7" t="s">
        <v>34</v>
      </c>
      <c r="K524" s="7" t="s">
        <v>35</v>
      </c>
      <c r="L524" s="10">
        <v>110334.28</v>
      </c>
      <c r="M524" s="10">
        <v>110334.28</v>
      </c>
      <c r="N524" s="10">
        <f>+L524-M524</f>
        <v>0</v>
      </c>
      <c r="O524" s="10">
        <v>110334.28</v>
      </c>
      <c r="P524" s="10">
        <f>+L524-O524</f>
        <v>0</v>
      </c>
      <c r="Q524" s="10">
        <v>0</v>
      </c>
      <c r="R524" s="7" t="s">
        <v>27</v>
      </c>
    </row>
    <row r="525" spans="1:18" hidden="1">
      <c r="A525" s="7" t="s">
        <v>29</v>
      </c>
      <c r="B525" s="8">
        <v>19837</v>
      </c>
      <c r="C525" s="9">
        <v>45797.435497685183</v>
      </c>
      <c r="D525" s="9">
        <v>45797</v>
      </c>
      <c r="E525" s="9">
        <v>45797</v>
      </c>
      <c r="F525" s="7" t="s">
        <v>1926</v>
      </c>
      <c r="G525" s="7" t="s">
        <v>1927</v>
      </c>
      <c r="H525" s="7" t="s">
        <v>1924</v>
      </c>
      <c r="I525" s="7" t="s">
        <v>1925</v>
      </c>
      <c r="J525" s="7" t="s">
        <v>34</v>
      </c>
      <c r="K525" s="7" t="s">
        <v>35</v>
      </c>
      <c r="L525" s="10">
        <v>107631.24</v>
      </c>
      <c r="M525" s="10">
        <v>107631.24</v>
      </c>
      <c r="N525" s="10">
        <f>+L525-M525</f>
        <v>0</v>
      </c>
      <c r="O525" s="10">
        <v>107631.24</v>
      </c>
      <c r="P525" s="10">
        <f>+L525-O525</f>
        <v>0</v>
      </c>
      <c r="Q525" s="10">
        <v>0</v>
      </c>
      <c r="R525" s="7" t="s">
        <v>27</v>
      </c>
    </row>
    <row r="526" spans="1:18" hidden="1">
      <c r="A526" s="7" t="s">
        <v>29</v>
      </c>
      <c r="B526" s="8">
        <v>20119</v>
      </c>
      <c r="C526" s="9">
        <v>45847.708483796298</v>
      </c>
      <c r="D526" s="9">
        <v>45847</v>
      </c>
      <c r="E526" s="9">
        <v>45847</v>
      </c>
      <c r="F526" s="7" t="s">
        <v>1928</v>
      </c>
      <c r="G526" s="7" t="s">
        <v>1929</v>
      </c>
      <c r="H526" s="7" t="s">
        <v>1930</v>
      </c>
      <c r="I526" s="7" t="s">
        <v>1931</v>
      </c>
      <c r="J526" s="7" t="s">
        <v>34</v>
      </c>
      <c r="K526" s="7" t="s">
        <v>35</v>
      </c>
      <c r="L526" s="10">
        <v>102512.74</v>
      </c>
      <c r="M526" s="10">
        <v>102512.74</v>
      </c>
      <c r="N526" s="10">
        <f>+L526-M526</f>
        <v>0</v>
      </c>
      <c r="O526" s="10">
        <v>102512.74</v>
      </c>
      <c r="P526" s="10">
        <f>+L526-O526</f>
        <v>0</v>
      </c>
      <c r="Q526" s="10">
        <v>0</v>
      </c>
      <c r="R526" s="7" t="s">
        <v>27</v>
      </c>
    </row>
    <row r="527" spans="1:18" hidden="1">
      <c r="A527" s="7" t="s">
        <v>29</v>
      </c>
      <c r="B527" s="8">
        <v>20085</v>
      </c>
      <c r="C527" s="9">
        <v>45840.674907407403</v>
      </c>
      <c r="D527" s="9">
        <v>45840</v>
      </c>
      <c r="E527" s="9">
        <v>45840</v>
      </c>
      <c r="F527" s="7" t="s">
        <v>1932</v>
      </c>
      <c r="G527" s="7" t="s">
        <v>1933</v>
      </c>
      <c r="H527" s="7" t="s">
        <v>1934</v>
      </c>
      <c r="I527" s="7" t="s">
        <v>1694</v>
      </c>
      <c r="J527" s="7" t="s">
        <v>34</v>
      </c>
      <c r="K527" s="7" t="s">
        <v>35</v>
      </c>
      <c r="L527" s="10">
        <v>88551.97</v>
      </c>
      <c r="M527" s="10">
        <v>88551.97</v>
      </c>
      <c r="N527" s="10">
        <f>+L527-M527</f>
        <v>0</v>
      </c>
      <c r="O527" s="10">
        <v>88551.97</v>
      </c>
      <c r="P527" s="10">
        <f>+L527-O527</f>
        <v>0</v>
      </c>
      <c r="Q527" s="10">
        <v>0</v>
      </c>
      <c r="R527" s="7" t="s">
        <v>27</v>
      </c>
    </row>
    <row r="528" spans="1:18" hidden="1">
      <c r="A528" s="7" t="s">
        <v>29</v>
      </c>
      <c r="B528" s="8">
        <v>19757</v>
      </c>
      <c r="C528" s="9">
        <v>45777.651631944442</v>
      </c>
      <c r="D528" s="9">
        <v>45981</v>
      </c>
      <c r="E528" s="9">
        <v>45964</v>
      </c>
      <c r="F528" s="7" t="s">
        <v>1935</v>
      </c>
      <c r="G528" s="7" t="s">
        <v>1936</v>
      </c>
      <c r="H528" s="7" t="s">
        <v>1937</v>
      </c>
      <c r="I528" s="7" t="s">
        <v>1938</v>
      </c>
      <c r="J528" s="7" t="s">
        <v>176</v>
      </c>
      <c r="K528" s="7" t="s">
        <v>550</v>
      </c>
      <c r="L528" s="10">
        <v>80150.78</v>
      </c>
      <c r="M528" s="10">
        <v>80150.78</v>
      </c>
      <c r="N528" s="10">
        <f>+L528-M528</f>
        <v>0</v>
      </c>
      <c r="O528" s="10">
        <v>80150.78</v>
      </c>
      <c r="P528" s="10">
        <f>+L528-O528</f>
        <v>0</v>
      </c>
      <c r="Q528" s="10">
        <v>0</v>
      </c>
      <c r="R528" s="7" t="s">
        <v>27</v>
      </c>
    </row>
    <row r="529" spans="1:18" hidden="1">
      <c r="A529" s="7" t="s">
        <v>29</v>
      </c>
      <c r="B529" s="8">
        <v>19368</v>
      </c>
      <c r="C529" s="9">
        <v>45687.477222222224</v>
      </c>
      <c r="D529" s="9">
        <v>45687</v>
      </c>
      <c r="E529" s="9">
        <v>45716</v>
      </c>
      <c r="F529" s="7" t="s">
        <v>1939</v>
      </c>
      <c r="G529" s="7" t="s">
        <v>1940</v>
      </c>
      <c r="H529" s="7" t="s">
        <v>839</v>
      </c>
      <c r="I529" s="7" t="s">
        <v>840</v>
      </c>
      <c r="J529" s="7" t="s">
        <v>34</v>
      </c>
      <c r="K529" s="7" t="s">
        <v>1941</v>
      </c>
      <c r="L529" s="10">
        <v>78599.210000000006</v>
      </c>
      <c r="M529" s="10">
        <v>78599.210000000006</v>
      </c>
      <c r="N529" s="10">
        <f>+L529-M529</f>
        <v>0</v>
      </c>
      <c r="O529" s="10">
        <v>78599.210000000006</v>
      </c>
      <c r="P529" s="10">
        <f>+L529-O529</f>
        <v>0</v>
      </c>
      <c r="Q529" s="10">
        <v>0</v>
      </c>
      <c r="R529" s="7" t="s">
        <v>27</v>
      </c>
    </row>
    <row r="530" spans="1:18" hidden="1">
      <c r="A530" s="7" t="s">
        <v>29</v>
      </c>
      <c r="B530" s="8">
        <v>19641</v>
      </c>
      <c r="C530" s="9">
        <v>45756.42763888889</v>
      </c>
      <c r="D530" s="9">
        <v>45756</v>
      </c>
      <c r="E530" s="9">
        <v>45838</v>
      </c>
      <c r="F530" s="7" t="s">
        <v>1942</v>
      </c>
      <c r="G530" s="7" t="s">
        <v>1943</v>
      </c>
      <c r="H530" s="7" t="s">
        <v>1944</v>
      </c>
      <c r="I530" s="7" t="s">
        <v>1945</v>
      </c>
      <c r="J530" s="7" t="s">
        <v>40</v>
      </c>
      <c r="K530" s="7" t="s">
        <v>41</v>
      </c>
      <c r="L530" s="10">
        <v>1741971.64</v>
      </c>
      <c r="M530" s="10">
        <v>1741971.64</v>
      </c>
      <c r="N530" s="10">
        <f>+L530-M530</f>
        <v>0</v>
      </c>
      <c r="O530" s="10">
        <v>1741971.64</v>
      </c>
      <c r="P530" s="10">
        <f>+L530-O530</f>
        <v>0</v>
      </c>
      <c r="Q530" s="10">
        <v>0</v>
      </c>
      <c r="R530" s="7" t="s">
        <v>27</v>
      </c>
    </row>
    <row r="531" spans="1:18" hidden="1">
      <c r="A531" s="7" t="s">
        <v>29</v>
      </c>
      <c r="B531" s="8">
        <v>20557</v>
      </c>
      <c r="C531" s="9">
        <v>45938.724131944444</v>
      </c>
      <c r="D531" s="9">
        <v>45498</v>
      </c>
      <c r="E531" s="9">
        <v>45918</v>
      </c>
      <c r="F531" s="7" t="s">
        <v>1946</v>
      </c>
      <c r="G531" s="7" t="s">
        <v>1947</v>
      </c>
      <c r="H531" s="7" t="s">
        <v>1948</v>
      </c>
      <c r="I531" s="7" t="s">
        <v>1949</v>
      </c>
      <c r="J531" s="7" t="s">
        <v>176</v>
      </c>
      <c r="K531" s="7" t="s">
        <v>317</v>
      </c>
      <c r="L531" s="10">
        <v>63615</v>
      </c>
      <c r="M531" s="10">
        <v>63615</v>
      </c>
      <c r="N531" s="10">
        <f>+L531-M531</f>
        <v>0</v>
      </c>
      <c r="O531" s="10">
        <v>63615</v>
      </c>
      <c r="P531" s="10">
        <f>+L531-O531</f>
        <v>0</v>
      </c>
      <c r="Q531" s="10">
        <v>0</v>
      </c>
      <c r="R531" s="7" t="s">
        <v>27</v>
      </c>
    </row>
    <row r="532" spans="1:18" hidden="1">
      <c r="A532" s="7" t="s">
        <v>29</v>
      </c>
      <c r="B532" s="8">
        <v>20841</v>
      </c>
      <c r="C532" s="9">
        <v>46029.695868055554</v>
      </c>
      <c r="D532" s="9">
        <v>45724</v>
      </c>
      <c r="E532" s="9">
        <v>45560</v>
      </c>
      <c r="F532" s="7" t="s">
        <v>1950</v>
      </c>
      <c r="G532" s="7" t="s">
        <v>571</v>
      </c>
      <c r="H532" s="7" t="s">
        <v>1951</v>
      </c>
      <c r="I532" s="7" t="s">
        <v>1952</v>
      </c>
      <c r="J532" s="7" t="s">
        <v>176</v>
      </c>
      <c r="K532" s="7" t="s">
        <v>317</v>
      </c>
      <c r="L532" s="10">
        <v>53110.43</v>
      </c>
      <c r="M532" s="10">
        <v>53110.43</v>
      </c>
      <c r="N532" s="10">
        <f>+L532-M532</f>
        <v>0</v>
      </c>
      <c r="O532" s="10">
        <v>53110.43</v>
      </c>
      <c r="P532" s="10">
        <f>+L532-O532</f>
        <v>0</v>
      </c>
      <c r="Q532" s="10">
        <v>0</v>
      </c>
      <c r="R532" s="7" t="s">
        <v>27</v>
      </c>
    </row>
    <row r="533" spans="1:18" hidden="1">
      <c r="A533" s="7" t="s">
        <v>29</v>
      </c>
      <c r="B533" s="8">
        <v>20266</v>
      </c>
      <c r="C533" s="9">
        <v>45880.452476851853</v>
      </c>
      <c r="D533" s="9">
        <v>45880</v>
      </c>
      <c r="E533" s="9">
        <v>45930</v>
      </c>
      <c r="F533" s="7" t="s">
        <v>1953</v>
      </c>
      <c r="G533" s="7" t="s">
        <v>1954</v>
      </c>
      <c r="H533" s="7" t="s">
        <v>1955</v>
      </c>
      <c r="I533" s="7" t="s">
        <v>1956</v>
      </c>
      <c r="J533" s="7" t="s">
        <v>34</v>
      </c>
      <c r="K533" s="7" t="s">
        <v>35</v>
      </c>
      <c r="L533" s="10">
        <v>41731.97</v>
      </c>
      <c r="M533" s="10">
        <v>41731.97</v>
      </c>
      <c r="N533" s="10">
        <f>+L533-M533</f>
        <v>0</v>
      </c>
      <c r="O533" s="10">
        <v>41731.97</v>
      </c>
      <c r="P533" s="10">
        <f>+L533-O533</f>
        <v>0</v>
      </c>
      <c r="Q533" s="10">
        <v>0</v>
      </c>
      <c r="R533" s="7" t="s">
        <v>27</v>
      </c>
    </row>
    <row r="534" spans="1:18" hidden="1">
      <c r="A534" s="7" t="s">
        <v>29</v>
      </c>
      <c r="B534" s="8">
        <v>19927</v>
      </c>
      <c r="C534" s="9">
        <v>45813.429548611108</v>
      </c>
      <c r="D534" s="9">
        <v>45864</v>
      </c>
      <c r="E534" s="9">
        <v>45795</v>
      </c>
      <c r="F534" s="7" t="s">
        <v>1957</v>
      </c>
      <c r="G534" s="7" t="s">
        <v>1958</v>
      </c>
      <c r="H534" s="7" t="s">
        <v>1959</v>
      </c>
      <c r="I534" s="7" t="s">
        <v>1960</v>
      </c>
      <c r="J534" s="7" t="s">
        <v>176</v>
      </c>
      <c r="K534" s="7" t="s">
        <v>177</v>
      </c>
      <c r="L534" s="10">
        <v>40000</v>
      </c>
      <c r="M534" s="10">
        <v>40000</v>
      </c>
      <c r="N534" s="10">
        <f>+L534-M534</f>
        <v>0</v>
      </c>
      <c r="O534" s="10">
        <v>40000</v>
      </c>
      <c r="P534" s="10">
        <f>+L534-O534</f>
        <v>0</v>
      </c>
      <c r="Q534" s="10">
        <v>0</v>
      </c>
      <c r="R534" s="7" t="s">
        <v>27</v>
      </c>
    </row>
    <row r="535" spans="1:18" hidden="1">
      <c r="A535" s="7" t="s">
        <v>29</v>
      </c>
      <c r="B535" s="8">
        <v>20338</v>
      </c>
      <c r="C535" s="9">
        <v>45896.579467592594</v>
      </c>
      <c r="D535" s="9">
        <v>45896</v>
      </c>
      <c r="E535" s="9">
        <v>46006</v>
      </c>
      <c r="F535" s="7" t="s">
        <v>1961</v>
      </c>
      <c r="G535" s="7" t="s">
        <v>1962</v>
      </c>
      <c r="H535" s="7" t="s">
        <v>1037</v>
      </c>
      <c r="I535" s="7" t="s">
        <v>1038</v>
      </c>
      <c r="J535" s="7" t="s">
        <v>34</v>
      </c>
      <c r="K535" s="7" t="s">
        <v>118</v>
      </c>
      <c r="L535" s="10">
        <v>39995.160000000003</v>
      </c>
      <c r="M535" s="10">
        <v>39995.160000000003</v>
      </c>
      <c r="N535" s="10">
        <f>+L535-M535</f>
        <v>0</v>
      </c>
      <c r="O535" s="10">
        <v>39995.160000000003</v>
      </c>
      <c r="P535" s="10">
        <f>+L535-O535</f>
        <v>0</v>
      </c>
      <c r="Q535" s="10">
        <v>0</v>
      </c>
      <c r="R535" s="7" t="s">
        <v>27</v>
      </c>
    </row>
    <row r="536" spans="1:18" hidden="1">
      <c r="A536" s="7" t="s">
        <v>29</v>
      </c>
      <c r="B536" s="8">
        <v>20251</v>
      </c>
      <c r="C536" s="9">
        <v>45875.671354166661</v>
      </c>
      <c r="D536" s="9">
        <v>45671</v>
      </c>
      <c r="E536" s="9">
        <v>45705</v>
      </c>
      <c r="F536" s="7" t="s">
        <v>1963</v>
      </c>
      <c r="G536" s="7" t="s">
        <v>1964</v>
      </c>
      <c r="H536" s="7" t="s">
        <v>1965</v>
      </c>
      <c r="I536" s="7" t="s">
        <v>1966</v>
      </c>
      <c r="J536" s="7" t="s">
        <v>176</v>
      </c>
      <c r="K536" s="7" t="s">
        <v>1967</v>
      </c>
      <c r="L536" s="10">
        <v>38300</v>
      </c>
      <c r="M536" s="10">
        <v>38300</v>
      </c>
      <c r="N536" s="10">
        <f>+L536-M536</f>
        <v>0</v>
      </c>
      <c r="O536" s="10">
        <v>38300</v>
      </c>
      <c r="P536" s="10">
        <f>+L536-O536</f>
        <v>0</v>
      </c>
      <c r="Q536" s="10">
        <v>0</v>
      </c>
      <c r="R536" s="7" t="s">
        <v>27</v>
      </c>
    </row>
    <row r="537" spans="1:18" hidden="1">
      <c r="A537" s="7" t="s">
        <v>29</v>
      </c>
      <c r="B537" s="8">
        <v>20037</v>
      </c>
      <c r="C537" s="9">
        <v>45835.58315972222</v>
      </c>
      <c r="D537" s="9">
        <v>45835</v>
      </c>
      <c r="E537" s="9">
        <v>45975</v>
      </c>
      <c r="F537" s="7" t="s">
        <v>1968</v>
      </c>
      <c r="G537" s="7" t="s">
        <v>1969</v>
      </c>
      <c r="H537" s="7" t="s">
        <v>1970</v>
      </c>
      <c r="I537" s="7" t="s">
        <v>1971</v>
      </c>
      <c r="J537" s="7" t="s">
        <v>34</v>
      </c>
      <c r="K537" s="7" t="s">
        <v>118</v>
      </c>
      <c r="L537" s="10">
        <v>38228.71</v>
      </c>
      <c r="M537" s="10">
        <v>38228.71</v>
      </c>
      <c r="N537" s="10">
        <f>+L537-M537</f>
        <v>0</v>
      </c>
      <c r="O537" s="10">
        <v>38228.71</v>
      </c>
      <c r="P537" s="10">
        <f>+L537-O537</f>
        <v>0</v>
      </c>
      <c r="Q537" s="10">
        <v>0</v>
      </c>
      <c r="R537" s="7" t="s">
        <v>27</v>
      </c>
    </row>
    <row r="538" spans="1:18" hidden="1">
      <c r="A538" s="7" t="s">
        <v>29</v>
      </c>
      <c r="B538" s="8">
        <v>20117</v>
      </c>
      <c r="C538" s="9">
        <v>45846.665925925925</v>
      </c>
      <c r="D538" s="9">
        <v>45846</v>
      </c>
      <c r="E538" s="9">
        <v>45846</v>
      </c>
      <c r="F538" s="7" t="s">
        <v>1972</v>
      </c>
      <c r="G538" s="7" t="s">
        <v>1973</v>
      </c>
      <c r="H538" s="7" t="s">
        <v>1974</v>
      </c>
      <c r="I538" s="7" t="s">
        <v>1975</v>
      </c>
      <c r="J538" s="7" t="s">
        <v>34</v>
      </c>
      <c r="K538" s="7" t="s">
        <v>902</v>
      </c>
      <c r="L538" s="10">
        <v>37492.370000000003</v>
      </c>
      <c r="M538" s="10">
        <v>37492.370000000003</v>
      </c>
      <c r="N538" s="10">
        <f>+L538-M538</f>
        <v>0</v>
      </c>
      <c r="O538" s="10">
        <v>37492.370000000003</v>
      </c>
      <c r="P538" s="10">
        <f>+L538-O538</f>
        <v>0</v>
      </c>
      <c r="Q538" s="10">
        <v>0</v>
      </c>
      <c r="R538" s="7" t="s">
        <v>27</v>
      </c>
    </row>
    <row r="539" spans="1:18" hidden="1">
      <c r="A539" s="7" t="s">
        <v>29</v>
      </c>
      <c r="B539" s="8">
        <v>19586</v>
      </c>
      <c r="C539" s="9">
        <v>45744.621030092589</v>
      </c>
      <c r="D539" s="9">
        <v>45432</v>
      </c>
      <c r="E539" s="9">
        <v>45728</v>
      </c>
      <c r="F539" s="7" t="s">
        <v>1976</v>
      </c>
      <c r="G539" s="7" t="s">
        <v>1977</v>
      </c>
      <c r="H539" s="7" t="s">
        <v>1978</v>
      </c>
      <c r="I539" s="7" t="s">
        <v>1979</v>
      </c>
      <c r="J539" s="7" t="s">
        <v>176</v>
      </c>
      <c r="K539" s="7" t="s">
        <v>317</v>
      </c>
      <c r="L539" s="10">
        <v>37054</v>
      </c>
      <c r="M539" s="10">
        <v>37054</v>
      </c>
      <c r="N539" s="10">
        <f>+L539-M539</f>
        <v>0</v>
      </c>
      <c r="O539" s="10">
        <v>37054</v>
      </c>
      <c r="P539" s="10">
        <f>+L539-O539</f>
        <v>0</v>
      </c>
      <c r="Q539" s="10">
        <v>0</v>
      </c>
      <c r="R539" s="7" t="s">
        <v>27</v>
      </c>
    </row>
    <row r="540" spans="1:18" hidden="1">
      <c r="A540" s="7" t="s">
        <v>29</v>
      </c>
      <c r="B540" s="8">
        <v>19542</v>
      </c>
      <c r="C540" s="9">
        <v>45735.675462962958</v>
      </c>
      <c r="D540" s="9">
        <v>45777</v>
      </c>
      <c r="E540" s="9">
        <v>45719</v>
      </c>
      <c r="F540" s="7" t="s">
        <v>1980</v>
      </c>
      <c r="G540" s="7" t="s">
        <v>1981</v>
      </c>
      <c r="H540" s="7" t="s">
        <v>1982</v>
      </c>
      <c r="I540" s="7" t="s">
        <v>1983</v>
      </c>
      <c r="J540" s="7" t="s">
        <v>176</v>
      </c>
      <c r="K540" s="7" t="s">
        <v>550</v>
      </c>
      <c r="L540" s="10">
        <v>34838</v>
      </c>
      <c r="M540" s="10">
        <v>34838</v>
      </c>
      <c r="N540" s="10">
        <f>+L540-M540</f>
        <v>0</v>
      </c>
      <c r="O540" s="10">
        <v>34838</v>
      </c>
      <c r="P540" s="10">
        <f>+L540-O540</f>
        <v>0</v>
      </c>
      <c r="Q540" s="10">
        <v>0</v>
      </c>
      <c r="R540" s="7" t="s">
        <v>27</v>
      </c>
    </row>
    <row r="541" spans="1:18" hidden="1">
      <c r="A541" s="7" t="s">
        <v>29</v>
      </c>
      <c r="B541" s="8">
        <v>20312</v>
      </c>
      <c r="C541" s="9">
        <v>45891.494479166664</v>
      </c>
      <c r="D541" s="9">
        <v>45957</v>
      </c>
      <c r="E541" s="9">
        <v>45859</v>
      </c>
      <c r="F541" s="7" t="s">
        <v>1984</v>
      </c>
      <c r="G541" s="7" t="s">
        <v>1985</v>
      </c>
      <c r="H541" s="7" t="s">
        <v>1986</v>
      </c>
      <c r="I541" s="7" t="s">
        <v>1987</v>
      </c>
      <c r="J541" s="7" t="s">
        <v>176</v>
      </c>
      <c r="K541" s="7" t="s">
        <v>584</v>
      </c>
      <c r="L541" s="10">
        <v>34500</v>
      </c>
      <c r="M541" s="10">
        <v>34500</v>
      </c>
      <c r="N541" s="10">
        <f>+L541-M541</f>
        <v>0</v>
      </c>
      <c r="O541" s="10">
        <v>34500</v>
      </c>
      <c r="P541" s="10">
        <f>+L541-O541</f>
        <v>0</v>
      </c>
      <c r="Q541" s="10">
        <v>0</v>
      </c>
      <c r="R541" s="7" t="s">
        <v>27</v>
      </c>
    </row>
    <row r="542" spans="1:18" hidden="1">
      <c r="A542" s="7" t="s">
        <v>29</v>
      </c>
      <c r="B542" s="8">
        <v>20076</v>
      </c>
      <c r="C542" s="9">
        <v>45840.440833333334</v>
      </c>
      <c r="D542" s="9">
        <v>45596</v>
      </c>
      <c r="E542" s="9">
        <v>45596</v>
      </c>
      <c r="F542" s="7" t="s">
        <v>1988</v>
      </c>
      <c r="G542" s="7" t="s">
        <v>1989</v>
      </c>
      <c r="H542" s="7" t="s">
        <v>1990</v>
      </c>
      <c r="I542" s="7" t="s">
        <v>1991</v>
      </c>
      <c r="J542" s="7" t="s">
        <v>40</v>
      </c>
      <c r="K542" s="7" t="s">
        <v>1322</v>
      </c>
      <c r="L542" s="10">
        <v>33303.160000000003</v>
      </c>
      <c r="M542" s="10">
        <v>33303.160000000003</v>
      </c>
      <c r="N542" s="10">
        <f>+L542-M542</f>
        <v>0</v>
      </c>
      <c r="O542" s="10">
        <v>33303.160000000003</v>
      </c>
      <c r="P542" s="10">
        <f>+L542-O542</f>
        <v>0</v>
      </c>
      <c r="Q542" s="10">
        <v>0</v>
      </c>
      <c r="R542" s="7" t="s">
        <v>27</v>
      </c>
    </row>
    <row r="543" spans="1:18" hidden="1">
      <c r="A543" s="7" t="s">
        <v>29</v>
      </c>
      <c r="B543" s="8">
        <v>20042</v>
      </c>
      <c r="C543" s="9">
        <v>45836.710381944446</v>
      </c>
      <c r="D543" s="9">
        <v>45906</v>
      </c>
      <c r="E543" s="9">
        <v>45801</v>
      </c>
      <c r="F543" s="7" t="s">
        <v>1992</v>
      </c>
      <c r="G543" s="7" t="s">
        <v>1993</v>
      </c>
      <c r="H543" s="7" t="s">
        <v>1994</v>
      </c>
      <c r="I543" s="7" t="s">
        <v>1995</v>
      </c>
      <c r="J543" s="7" t="s">
        <v>176</v>
      </c>
      <c r="K543" s="7" t="s">
        <v>550</v>
      </c>
      <c r="L543" s="10">
        <v>32000</v>
      </c>
      <c r="M543" s="10">
        <v>32000</v>
      </c>
      <c r="N543" s="10">
        <f>+L543-M543</f>
        <v>0</v>
      </c>
      <c r="O543" s="10">
        <v>32000</v>
      </c>
      <c r="P543" s="10">
        <f>+L543-O543</f>
        <v>0</v>
      </c>
      <c r="Q543" s="10">
        <v>0</v>
      </c>
      <c r="R543" s="7" t="s">
        <v>27</v>
      </c>
    </row>
    <row r="544" spans="1:18" hidden="1">
      <c r="A544" s="7" t="s">
        <v>29</v>
      </c>
      <c r="B544" s="8">
        <v>20045</v>
      </c>
      <c r="C544" s="9">
        <v>45836.828148148146</v>
      </c>
      <c r="D544" s="9">
        <v>45881</v>
      </c>
      <c r="E544" s="9">
        <v>45836</v>
      </c>
      <c r="F544" s="7" t="s">
        <v>1996</v>
      </c>
      <c r="G544" s="7" t="s">
        <v>1997</v>
      </c>
      <c r="H544" s="7" t="s">
        <v>1998</v>
      </c>
      <c r="I544" s="7" t="s">
        <v>1999</v>
      </c>
      <c r="J544" s="7" t="s">
        <v>176</v>
      </c>
      <c r="K544" s="7" t="s">
        <v>374</v>
      </c>
      <c r="L544" s="10">
        <v>31924</v>
      </c>
      <c r="M544" s="10">
        <v>31924</v>
      </c>
      <c r="N544" s="10">
        <f>+L544-M544</f>
        <v>0</v>
      </c>
      <c r="O544" s="10">
        <v>31924</v>
      </c>
      <c r="P544" s="10">
        <f>+L544-O544</f>
        <v>0</v>
      </c>
      <c r="Q544" s="10">
        <v>0</v>
      </c>
      <c r="R544" s="7" t="s">
        <v>27</v>
      </c>
    </row>
    <row r="545" spans="1:18" hidden="1">
      <c r="A545" s="7" t="s">
        <v>29</v>
      </c>
      <c r="B545" s="8">
        <v>20321</v>
      </c>
      <c r="C545" s="9">
        <v>45894.455370370371</v>
      </c>
      <c r="D545" s="9">
        <v>45894</v>
      </c>
      <c r="E545" s="9">
        <v>45929</v>
      </c>
      <c r="F545" s="7" t="s">
        <v>2000</v>
      </c>
      <c r="G545" s="7" t="s">
        <v>2001</v>
      </c>
      <c r="H545" s="7" t="s">
        <v>2002</v>
      </c>
      <c r="I545" s="7" t="s">
        <v>1793</v>
      </c>
      <c r="J545" s="7" t="s">
        <v>34</v>
      </c>
      <c r="K545" s="7" t="s">
        <v>118</v>
      </c>
      <c r="L545" s="10">
        <v>31569.32</v>
      </c>
      <c r="M545" s="10">
        <v>31569.32</v>
      </c>
      <c r="N545" s="10">
        <f>+L545-M545</f>
        <v>0</v>
      </c>
      <c r="O545" s="10">
        <v>31569.32</v>
      </c>
      <c r="P545" s="10">
        <f>+L545-O545</f>
        <v>0</v>
      </c>
      <c r="Q545" s="10">
        <v>0</v>
      </c>
      <c r="R545" s="7" t="s">
        <v>27</v>
      </c>
    </row>
    <row r="546" spans="1:18" hidden="1">
      <c r="A546" s="7" t="s">
        <v>29</v>
      </c>
      <c r="B546" s="8">
        <v>19425</v>
      </c>
      <c r="C546" s="9">
        <v>45707.720300925925</v>
      </c>
      <c r="D546" s="9">
        <v>45721</v>
      </c>
      <c r="E546" s="9">
        <v>45707</v>
      </c>
      <c r="F546" s="7" t="s">
        <v>2003</v>
      </c>
      <c r="G546" s="7" t="s">
        <v>2004</v>
      </c>
      <c r="H546" s="7" t="s">
        <v>2005</v>
      </c>
      <c r="I546" s="7" t="s">
        <v>2006</v>
      </c>
      <c r="J546" s="7" t="s">
        <v>176</v>
      </c>
      <c r="K546" s="7" t="s">
        <v>550</v>
      </c>
      <c r="L546" s="10">
        <v>31500</v>
      </c>
      <c r="M546" s="10">
        <v>31500</v>
      </c>
      <c r="N546" s="10">
        <f>+L546-M546</f>
        <v>0</v>
      </c>
      <c r="O546" s="10">
        <v>31500</v>
      </c>
      <c r="P546" s="10">
        <f>+L546-O546</f>
        <v>0</v>
      </c>
      <c r="Q546" s="10">
        <v>0</v>
      </c>
      <c r="R546" s="7" t="s">
        <v>27</v>
      </c>
    </row>
    <row r="547" spans="1:18" hidden="1">
      <c r="A547" s="7" t="s">
        <v>29</v>
      </c>
      <c r="B547" s="8">
        <v>19890</v>
      </c>
      <c r="C547" s="9">
        <v>45807.484479166662</v>
      </c>
      <c r="D547" s="9">
        <v>45716</v>
      </c>
      <c r="E547" s="9">
        <v>45716</v>
      </c>
      <c r="F547" s="7" t="s">
        <v>2007</v>
      </c>
      <c r="G547" s="7" t="s">
        <v>2008</v>
      </c>
      <c r="H547" s="7" t="s">
        <v>1944</v>
      </c>
      <c r="I547" s="7" t="s">
        <v>1945</v>
      </c>
      <c r="J547" s="7" t="s">
        <v>40</v>
      </c>
      <c r="K547" s="7" t="s">
        <v>41</v>
      </c>
      <c r="L547" s="10">
        <v>32806.019999999997</v>
      </c>
      <c r="M547" s="10">
        <v>32806.019999999997</v>
      </c>
      <c r="N547" s="10">
        <f>+L547-M547</f>
        <v>0</v>
      </c>
      <c r="O547" s="10">
        <v>32806.019999999997</v>
      </c>
      <c r="P547" s="10">
        <f>+L547-O547</f>
        <v>0</v>
      </c>
      <c r="Q547" s="10">
        <v>0</v>
      </c>
      <c r="R547" s="7" t="s">
        <v>27</v>
      </c>
    </row>
    <row r="548" spans="1:18" hidden="1">
      <c r="A548" s="7" t="s">
        <v>29</v>
      </c>
      <c r="B548" s="8">
        <v>19581</v>
      </c>
      <c r="C548" s="9">
        <v>45744.41982638889</v>
      </c>
      <c r="D548" s="9">
        <v>45806</v>
      </c>
      <c r="E548" s="9">
        <v>45638</v>
      </c>
      <c r="F548" s="7" t="s">
        <v>2009</v>
      </c>
      <c r="G548" s="7" t="s">
        <v>2010</v>
      </c>
      <c r="H548" s="7" t="s">
        <v>1944</v>
      </c>
      <c r="I548" s="7" t="s">
        <v>1945</v>
      </c>
      <c r="J548" s="7" t="s">
        <v>176</v>
      </c>
      <c r="K548" s="7" t="s">
        <v>550</v>
      </c>
      <c r="L548" s="10">
        <v>29076.9</v>
      </c>
      <c r="M548" s="10">
        <v>29076.9</v>
      </c>
      <c r="N548" s="10">
        <f>+L548-M548</f>
        <v>0</v>
      </c>
      <c r="O548" s="10">
        <v>29076.9</v>
      </c>
      <c r="P548" s="10">
        <f>+L548-O548</f>
        <v>0</v>
      </c>
      <c r="Q548" s="10">
        <v>0</v>
      </c>
      <c r="R548" s="7" t="s">
        <v>27</v>
      </c>
    </row>
    <row r="549" spans="1:18" hidden="1">
      <c r="A549" s="7" t="s">
        <v>29</v>
      </c>
      <c r="B549" s="8">
        <v>20905</v>
      </c>
      <c r="C549" s="9">
        <v>46045.561990740738</v>
      </c>
      <c r="D549" s="9">
        <v>46031</v>
      </c>
      <c r="E549" s="9">
        <v>46020</v>
      </c>
      <c r="F549" s="7" t="s">
        <v>2011</v>
      </c>
      <c r="G549" s="7" t="s">
        <v>2012</v>
      </c>
      <c r="H549" s="7" t="s">
        <v>2013</v>
      </c>
      <c r="I549" s="7" t="s">
        <v>2014</v>
      </c>
      <c r="J549" s="7" t="s">
        <v>176</v>
      </c>
      <c r="K549" s="7" t="s">
        <v>728</v>
      </c>
      <c r="L549" s="10">
        <v>29060</v>
      </c>
      <c r="M549" s="10">
        <v>29060</v>
      </c>
      <c r="N549" s="10">
        <f>+L549-M549</f>
        <v>0</v>
      </c>
      <c r="O549" s="10">
        <v>29060</v>
      </c>
      <c r="P549" s="10">
        <f>+L549-O549</f>
        <v>0</v>
      </c>
      <c r="Q549" s="10">
        <v>0</v>
      </c>
      <c r="R549" s="7" t="s">
        <v>27</v>
      </c>
    </row>
    <row r="550" spans="1:18" hidden="1">
      <c r="A550" s="7" t="s">
        <v>29</v>
      </c>
      <c r="B550" s="8">
        <v>19390</v>
      </c>
      <c r="C550" s="9">
        <v>45694.696030092593</v>
      </c>
      <c r="D550" s="9">
        <v>45720</v>
      </c>
      <c r="E550" s="9">
        <v>45677</v>
      </c>
      <c r="F550" s="7" t="s">
        <v>2015</v>
      </c>
      <c r="G550" s="7" t="s">
        <v>2016</v>
      </c>
      <c r="H550" s="7" t="s">
        <v>2017</v>
      </c>
      <c r="I550" s="7" t="s">
        <v>2018</v>
      </c>
      <c r="J550" s="7" t="s">
        <v>176</v>
      </c>
      <c r="K550" s="7" t="s">
        <v>550</v>
      </c>
      <c r="L550" s="10">
        <v>28916</v>
      </c>
      <c r="M550" s="10">
        <v>28916</v>
      </c>
      <c r="N550" s="10">
        <f>+L550-M550</f>
        <v>0</v>
      </c>
      <c r="O550" s="10">
        <v>28916</v>
      </c>
      <c r="P550" s="10">
        <f>+L550-O550</f>
        <v>0</v>
      </c>
      <c r="Q550" s="10">
        <v>0</v>
      </c>
      <c r="R550" s="7" t="s">
        <v>27</v>
      </c>
    </row>
    <row r="551" spans="1:18" hidden="1">
      <c r="A551" s="7" t="s">
        <v>29</v>
      </c>
      <c r="B551" s="8">
        <v>20537</v>
      </c>
      <c r="C551" s="9">
        <v>45932.365243055552</v>
      </c>
      <c r="D551" s="9">
        <v>45932</v>
      </c>
      <c r="E551" s="9">
        <v>46052</v>
      </c>
      <c r="F551" s="7" t="s">
        <v>2019</v>
      </c>
      <c r="G551" s="7" t="s">
        <v>2020</v>
      </c>
      <c r="H551" s="7" t="s">
        <v>1037</v>
      </c>
      <c r="I551" s="7" t="s">
        <v>1038</v>
      </c>
      <c r="J551" s="7" t="s">
        <v>34</v>
      </c>
      <c r="K551" s="7" t="s">
        <v>118</v>
      </c>
      <c r="L551" s="10">
        <v>28680.39</v>
      </c>
      <c r="M551" s="10">
        <v>28680.39</v>
      </c>
      <c r="N551" s="10">
        <f>+L551-M551</f>
        <v>0</v>
      </c>
      <c r="O551" s="10">
        <v>28680.39</v>
      </c>
      <c r="P551" s="10">
        <f>+L551-O551</f>
        <v>0</v>
      </c>
      <c r="Q551" s="10">
        <v>0</v>
      </c>
      <c r="R551" s="7" t="s">
        <v>27</v>
      </c>
    </row>
    <row r="552" spans="1:18" hidden="1">
      <c r="A552" s="7" t="s">
        <v>29</v>
      </c>
      <c r="B552" s="8">
        <v>20490</v>
      </c>
      <c r="C552" s="9">
        <v>45923.461226851847</v>
      </c>
      <c r="D552" s="9">
        <v>46000</v>
      </c>
      <c r="E552" s="9">
        <v>45895</v>
      </c>
      <c r="F552" s="7" t="s">
        <v>2021</v>
      </c>
      <c r="G552" s="7" t="s">
        <v>2022</v>
      </c>
      <c r="H552" s="7" t="s">
        <v>2023</v>
      </c>
      <c r="I552" s="7" t="s">
        <v>2024</v>
      </c>
      <c r="J552" s="7" t="s">
        <v>176</v>
      </c>
      <c r="K552" s="7" t="s">
        <v>177</v>
      </c>
      <c r="L552" s="10">
        <v>28529.439999999999</v>
      </c>
      <c r="M552" s="10">
        <v>28529.439999999999</v>
      </c>
      <c r="N552" s="10">
        <f>+L552-M552</f>
        <v>0</v>
      </c>
      <c r="O552" s="10">
        <v>28529.439999999999</v>
      </c>
      <c r="P552" s="10">
        <f>+L552-O552</f>
        <v>0</v>
      </c>
      <c r="Q552" s="10">
        <v>0</v>
      </c>
      <c r="R552" s="7" t="s">
        <v>27</v>
      </c>
    </row>
    <row r="553" spans="1:18" hidden="1">
      <c r="A553" s="7" t="s">
        <v>29</v>
      </c>
      <c r="B553" s="8">
        <v>19455</v>
      </c>
      <c r="C553" s="9">
        <v>45713.45689814815</v>
      </c>
      <c r="D553" s="9">
        <v>45776</v>
      </c>
      <c r="E553" s="9">
        <v>45702</v>
      </c>
      <c r="F553" s="7" t="s">
        <v>2025</v>
      </c>
      <c r="G553" s="7" t="s">
        <v>2026</v>
      </c>
      <c r="H553" s="7" t="s">
        <v>2027</v>
      </c>
      <c r="I553" s="7" t="s">
        <v>2028</v>
      </c>
      <c r="J553" s="7" t="s">
        <v>176</v>
      </c>
      <c r="K553" s="7" t="s">
        <v>550</v>
      </c>
      <c r="L553" s="10">
        <v>28433</v>
      </c>
      <c r="M553" s="10">
        <v>28433</v>
      </c>
      <c r="N553" s="10">
        <f>+L553-M553</f>
        <v>0</v>
      </c>
      <c r="O553" s="10">
        <v>28433</v>
      </c>
      <c r="P553" s="10">
        <f>+L553-O553</f>
        <v>0</v>
      </c>
      <c r="Q553" s="10">
        <v>0</v>
      </c>
      <c r="R553" s="7" t="s">
        <v>27</v>
      </c>
    </row>
    <row r="554" spans="1:18" hidden="1">
      <c r="A554" s="7" t="s">
        <v>29</v>
      </c>
      <c r="B554" s="8">
        <v>19504</v>
      </c>
      <c r="C554" s="9">
        <v>45726.608101851853</v>
      </c>
      <c r="D554" s="9">
        <v>45853</v>
      </c>
      <c r="E554" s="9">
        <v>45737</v>
      </c>
      <c r="F554" s="7" t="s">
        <v>2029</v>
      </c>
      <c r="G554" s="7" t="s">
        <v>2030</v>
      </c>
      <c r="H554" s="7" t="s">
        <v>1138</v>
      </c>
      <c r="I554" s="7" t="s">
        <v>1139</v>
      </c>
      <c r="J554" s="7" t="s">
        <v>34</v>
      </c>
      <c r="K554" s="7" t="s">
        <v>35</v>
      </c>
      <c r="L554" s="10">
        <v>28213.07</v>
      </c>
      <c r="M554" s="10">
        <v>28213.07</v>
      </c>
      <c r="N554" s="10">
        <f>+L554-M554</f>
        <v>0</v>
      </c>
      <c r="O554" s="10">
        <v>28213.07</v>
      </c>
      <c r="P554" s="10">
        <f>+L554-O554</f>
        <v>0</v>
      </c>
      <c r="Q554" s="10">
        <v>0</v>
      </c>
      <c r="R554" s="7" t="s">
        <v>27</v>
      </c>
    </row>
    <row r="555" spans="1:18" hidden="1">
      <c r="A555" s="7" t="s">
        <v>29</v>
      </c>
      <c r="B555" s="8">
        <v>20314</v>
      </c>
      <c r="C555" s="9">
        <v>45891.55086805555</v>
      </c>
      <c r="D555" s="9">
        <v>45947</v>
      </c>
      <c r="E555" s="9">
        <v>45849</v>
      </c>
      <c r="F555" s="7" t="s">
        <v>2031</v>
      </c>
      <c r="G555" s="7" t="s">
        <v>2032</v>
      </c>
      <c r="H555" s="7" t="s">
        <v>2033</v>
      </c>
      <c r="I555" s="7" t="s">
        <v>2034</v>
      </c>
      <c r="J555" s="7" t="s">
        <v>176</v>
      </c>
      <c r="K555" s="7" t="s">
        <v>317</v>
      </c>
      <c r="L555" s="10">
        <v>28000</v>
      </c>
      <c r="M555" s="10">
        <v>28000</v>
      </c>
      <c r="N555" s="10">
        <f>+L555-M555</f>
        <v>0</v>
      </c>
      <c r="O555" s="10">
        <v>28000</v>
      </c>
      <c r="P555" s="10">
        <f>+L555-O555</f>
        <v>0</v>
      </c>
      <c r="Q555" s="10">
        <v>0</v>
      </c>
      <c r="R555" s="7" t="s">
        <v>27</v>
      </c>
    </row>
    <row r="556" spans="1:18" hidden="1">
      <c r="A556" s="7" t="s">
        <v>29</v>
      </c>
      <c r="B556" s="8">
        <v>19787</v>
      </c>
      <c r="C556" s="9">
        <v>45786.435011574074</v>
      </c>
      <c r="D556" s="9">
        <v>45700</v>
      </c>
      <c r="E556" s="9">
        <v>45595</v>
      </c>
      <c r="F556" s="7" t="s">
        <v>2035</v>
      </c>
      <c r="G556" s="7" t="s">
        <v>2036</v>
      </c>
      <c r="H556" s="7" t="s">
        <v>2037</v>
      </c>
      <c r="I556" s="7" t="s">
        <v>2038</v>
      </c>
      <c r="J556" s="7" t="s">
        <v>176</v>
      </c>
      <c r="K556" s="7" t="s">
        <v>945</v>
      </c>
      <c r="L556" s="10">
        <v>27443.22</v>
      </c>
      <c r="M556" s="10">
        <v>27443.22</v>
      </c>
      <c r="N556" s="10">
        <f>+L556-M556</f>
        <v>0</v>
      </c>
      <c r="O556" s="10">
        <v>27443.22</v>
      </c>
      <c r="P556" s="10">
        <f>+L556-O556</f>
        <v>0</v>
      </c>
      <c r="Q556" s="10">
        <v>0</v>
      </c>
      <c r="R556" s="7" t="s">
        <v>27</v>
      </c>
    </row>
    <row r="557" spans="1:18" hidden="1">
      <c r="A557" s="7" t="s">
        <v>29</v>
      </c>
      <c r="B557" s="8">
        <v>19819</v>
      </c>
      <c r="C557" s="9">
        <v>45792.479513888888</v>
      </c>
      <c r="D557" s="9">
        <v>45591</v>
      </c>
      <c r="E557" s="9">
        <v>45717</v>
      </c>
      <c r="F557" s="7" t="s">
        <v>2039</v>
      </c>
      <c r="G557" s="7" t="s">
        <v>2040</v>
      </c>
      <c r="H557" s="7" t="s">
        <v>2041</v>
      </c>
      <c r="I557" s="7" t="s">
        <v>2042</v>
      </c>
      <c r="J557" s="7" t="s">
        <v>176</v>
      </c>
      <c r="K557" s="7" t="s">
        <v>317</v>
      </c>
      <c r="L557" s="10">
        <v>27000</v>
      </c>
      <c r="M557" s="10">
        <v>27000</v>
      </c>
      <c r="N557" s="10">
        <f>+L557-M557</f>
        <v>0</v>
      </c>
      <c r="O557" s="10">
        <v>27000</v>
      </c>
      <c r="P557" s="10">
        <f>+L557-O557</f>
        <v>0</v>
      </c>
      <c r="Q557" s="10">
        <v>0</v>
      </c>
      <c r="R557" s="7" t="s">
        <v>27</v>
      </c>
    </row>
    <row r="558" spans="1:18" hidden="1">
      <c r="A558" s="7" t="s">
        <v>29</v>
      </c>
      <c r="B558" s="8">
        <v>19440</v>
      </c>
      <c r="C558" s="9">
        <v>45712.627175925925</v>
      </c>
      <c r="D558" s="9">
        <v>45678</v>
      </c>
      <c r="E558" s="9">
        <v>45672</v>
      </c>
      <c r="F558" s="7" t="s">
        <v>2043</v>
      </c>
      <c r="G558" s="7" t="s">
        <v>2044</v>
      </c>
      <c r="H558" s="7" t="s">
        <v>2045</v>
      </c>
      <c r="I558" s="7" t="s">
        <v>2046</v>
      </c>
      <c r="J558" s="7" t="s">
        <v>176</v>
      </c>
      <c r="K558" s="7" t="s">
        <v>374</v>
      </c>
      <c r="L558" s="10">
        <v>26854</v>
      </c>
      <c r="M558" s="10">
        <v>26854</v>
      </c>
      <c r="N558" s="10">
        <f>+L558-M558</f>
        <v>0</v>
      </c>
      <c r="O558" s="10">
        <v>26854</v>
      </c>
      <c r="P558" s="10">
        <f>+L558-O558</f>
        <v>0</v>
      </c>
      <c r="Q558" s="10">
        <v>0</v>
      </c>
      <c r="R558" s="7" t="s">
        <v>27</v>
      </c>
    </row>
    <row r="559" spans="1:18" hidden="1">
      <c r="A559" s="7" t="s">
        <v>29</v>
      </c>
      <c r="B559" s="8">
        <v>19456</v>
      </c>
      <c r="C559" s="9">
        <v>45713.464780092589</v>
      </c>
      <c r="D559" s="9">
        <v>45731</v>
      </c>
      <c r="E559" s="9">
        <v>45677</v>
      </c>
      <c r="F559" s="7" t="s">
        <v>2047</v>
      </c>
      <c r="G559" s="7" t="s">
        <v>2048</v>
      </c>
      <c r="H559" s="7" t="s">
        <v>2049</v>
      </c>
      <c r="I559" s="7" t="s">
        <v>2050</v>
      </c>
      <c r="J559" s="7" t="s">
        <v>176</v>
      </c>
      <c r="K559" s="7" t="s">
        <v>550</v>
      </c>
      <c r="L559" s="10">
        <v>26599</v>
      </c>
      <c r="M559" s="10">
        <v>26599</v>
      </c>
      <c r="N559" s="10">
        <f>+L559-M559</f>
        <v>0</v>
      </c>
      <c r="O559" s="10">
        <v>26599</v>
      </c>
      <c r="P559" s="10">
        <f>+L559-O559</f>
        <v>0</v>
      </c>
      <c r="Q559" s="10">
        <v>0</v>
      </c>
      <c r="R559" s="7" t="s">
        <v>27</v>
      </c>
    </row>
    <row r="560" spans="1:18" hidden="1">
      <c r="A560" s="7" t="s">
        <v>29</v>
      </c>
      <c r="B560" s="8">
        <v>20099</v>
      </c>
      <c r="C560" s="9">
        <v>45842.485439814816</v>
      </c>
      <c r="D560" s="9">
        <v>45745</v>
      </c>
      <c r="E560" s="9">
        <v>45632</v>
      </c>
      <c r="F560" s="7" t="s">
        <v>2051</v>
      </c>
      <c r="G560" s="7" t="s">
        <v>2052</v>
      </c>
      <c r="H560" s="7" t="s">
        <v>2053</v>
      </c>
      <c r="I560" s="7" t="s">
        <v>2054</v>
      </c>
      <c r="J560" s="7" t="s">
        <v>176</v>
      </c>
      <c r="K560" s="7" t="s">
        <v>317</v>
      </c>
      <c r="L560" s="10">
        <v>25478</v>
      </c>
      <c r="M560" s="10">
        <v>25478</v>
      </c>
      <c r="N560" s="10">
        <f>+L560-M560</f>
        <v>0</v>
      </c>
      <c r="O560" s="10">
        <v>25478</v>
      </c>
      <c r="P560" s="10">
        <f>+L560-O560</f>
        <v>0</v>
      </c>
      <c r="Q560" s="10">
        <v>0</v>
      </c>
      <c r="R560" s="7" t="s">
        <v>27</v>
      </c>
    </row>
    <row r="561" spans="1:18" hidden="1">
      <c r="A561" s="7" t="s">
        <v>29</v>
      </c>
      <c r="B561" s="8">
        <v>19665</v>
      </c>
      <c r="C561" s="9">
        <v>45758.567384259259</v>
      </c>
      <c r="D561" s="9">
        <v>45828</v>
      </c>
      <c r="E561" s="9">
        <v>45761</v>
      </c>
      <c r="F561" s="7" t="s">
        <v>2055</v>
      </c>
      <c r="G561" s="7" t="s">
        <v>2056</v>
      </c>
      <c r="H561" s="7" t="s">
        <v>2057</v>
      </c>
      <c r="I561" s="7" t="s">
        <v>2058</v>
      </c>
      <c r="J561" s="7" t="s">
        <v>176</v>
      </c>
      <c r="K561" s="7" t="s">
        <v>317</v>
      </c>
      <c r="L561" s="10">
        <v>24976</v>
      </c>
      <c r="M561" s="10">
        <v>24976</v>
      </c>
      <c r="N561" s="10">
        <f>+L561-M561</f>
        <v>0</v>
      </c>
      <c r="O561" s="10">
        <v>24976</v>
      </c>
      <c r="P561" s="10">
        <f>+L561-O561</f>
        <v>0</v>
      </c>
      <c r="Q561" s="10">
        <v>0</v>
      </c>
      <c r="R561" s="7" t="s">
        <v>27</v>
      </c>
    </row>
    <row r="562" spans="1:18" hidden="1">
      <c r="A562" s="7" t="s">
        <v>29</v>
      </c>
      <c r="B562" s="8">
        <v>20349</v>
      </c>
      <c r="C562" s="9">
        <v>45898.530335648145</v>
      </c>
      <c r="D562" s="9">
        <v>45959</v>
      </c>
      <c r="E562" s="9">
        <v>45985</v>
      </c>
      <c r="F562" s="7" t="s">
        <v>2059</v>
      </c>
      <c r="G562" s="7" t="s">
        <v>2060</v>
      </c>
      <c r="H562" s="7" t="s">
        <v>2061</v>
      </c>
      <c r="I562" s="7" t="s">
        <v>2062</v>
      </c>
      <c r="J562" s="7" t="s">
        <v>176</v>
      </c>
      <c r="K562" s="7" t="s">
        <v>317</v>
      </c>
      <c r="L562" s="10">
        <v>24380</v>
      </c>
      <c r="M562" s="10">
        <v>24380</v>
      </c>
      <c r="N562" s="10">
        <f>+L562-M562</f>
        <v>0</v>
      </c>
      <c r="O562" s="10">
        <v>24380</v>
      </c>
      <c r="P562" s="10">
        <f>+L562-O562</f>
        <v>0</v>
      </c>
      <c r="Q562" s="10">
        <v>0</v>
      </c>
      <c r="R562" s="7" t="s">
        <v>27</v>
      </c>
    </row>
    <row r="563" spans="1:18" hidden="1">
      <c r="A563" s="7" t="s">
        <v>29</v>
      </c>
      <c r="B563" s="8">
        <v>20051</v>
      </c>
      <c r="C563" s="9">
        <v>45837.677048611113</v>
      </c>
      <c r="D563" s="9">
        <v>45817</v>
      </c>
      <c r="E563" s="9">
        <v>45782</v>
      </c>
      <c r="F563" s="7" t="s">
        <v>2063</v>
      </c>
      <c r="G563" s="7" t="s">
        <v>2064</v>
      </c>
      <c r="H563" s="7" t="s">
        <v>2065</v>
      </c>
      <c r="I563" s="7" t="s">
        <v>2066</v>
      </c>
      <c r="J563" s="7" t="s">
        <v>176</v>
      </c>
      <c r="K563" s="7" t="s">
        <v>584</v>
      </c>
      <c r="L563" s="10">
        <v>24300</v>
      </c>
      <c r="M563" s="10">
        <v>24300</v>
      </c>
      <c r="N563" s="10">
        <f>+L563-M563</f>
        <v>0</v>
      </c>
      <c r="O563" s="10">
        <v>24300</v>
      </c>
      <c r="P563" s="10">
        <f>+L563-O563</f>
        <v>0</v>
      </c>
      <c r="Q563" s="10">
        <v>0</v>
      </c>
      <c r="R563" s="7" t="s">
        <v>27</v>
      </c>
    </row>
    <row r="564" spans="1:18" hidden="1">
      <c r="A564" s="7" t="s">
        <v>29</v>
      </c>
      <c r="B564" s="8">
        <v>19737</v>
      </c>
      <c r="C564" s="9">
        <v>45776.626400462963</v>
      </c>
      <c r="D564" s="9">
        <v>45776</v>
      </c>
      <c r="E564" s="9">
        <v>45776</v>
      </c>
      <c r="F564" s="7" t="s">
        <v>2067</v>
      </c>
      <c r="G564" s="7" t="s">
        <v>2068</v>
      </c>
      <c r="H564" s="7" t="s">
        <v>2069</v>
      </c>
      <c r="I564" s="7" t="s">
        <v>2070</v>
      </c>
      <c r="J564" s="7" t="s">
        <v>34</v>
      </c>
      <c r="K564" s="7" t="s">
        <v>966</v>
      </c>
      <c r="L564" s="10">
        <v>24273.41</v>
      </c>
      <c r="M564" s="10">
        <v>24273.41</v>
      </c>
      <c r="N564" s="10">
        <f>+L564-M564</f>
        <v>0</v>
      </c>
      <c r="O564" s="10">
        <v>24273.41</v>
      </c>
      <c r="P564" s="10">
        <f>+L564-O564</f>
        <v>0</v>
      </c>
      <c r="Q564" s="10">
        <v>0</v>
      </c>
      <c r="R564" s="7" t="s">
        <v>27</v>
      </c>
    </row>
    <row r="565" spans="1:18" hidden="1">
      <c r="A565" s="7" t="s">
        <v>29</v>
      </c>
      <c r="B565" s="8">
        <v>19506</v>
      </c>
      <c r="C565" s="9">
        <v>45726.689432870371</v>
      </c>
      <c r="D565" s="9">
        <v>45833</v>
      </c>
      <c r="E565" s="9">
        <v>45860</v>
      </c>
      <c r="F565" s="7" t="s">
        <v>2071</v>
      </c>
      <c r="G565" s="7" t="s">
        <v>2072</v>
      </c>
      <c r="H565" s="7" t="s">
        <v>2073</v>
      </c>
      <c r="I565" s="7" t="s">
        <v>2074</v>
      </c>
      <c r="J565" s="7" t="s">
        <v>34</v>
      </c>
      <c r="K565" s="7" t="s">
        <v>118</v>
      </c>
      <c r="L565" s="10">
        <v>24255.56</v>
      </c>
      <c r="M565" s="10">
        <v>24255.56</v>
      </c>
      <c r="N565" s="10">
        <f>+L565-M565</f>
        <v>0</v>
      </c>
      <c r="O565" s="10">
        <v>24255.56</v>
      </c>
      <c r="P565" s="10">
        <f>+L565-O565</f>
        <v>0</v>
      </c>
      <c r="Q565" s="10">
        <v>0</v>
      </c>
      <c r="R565" s="7" t="s">
        <v>27</v>
      </c>
    </row>
    <row r="566" spans="1:18" hidden="1">
      <c r="A566" s="7" t="s">
        <v>29</v>
      </c>
      <c r="B566" s="8">
        <v>20220</v>
      </c>
      <c r="C566" s="9">
        <v>45870.466041666667</v>
      </c>
      <c r="D566" s="9">
        <v>45895</v>
      </c>
      <c r="E566" s="9">
        <v>45860</v>
      </c>
      <c r="F566" s="7" t="s">
        <v>2075</v>
      </c>
      <c r="G566" s="7" t="s">
        <v>2076</v>
      </c>
      <c r="H566" s="7" t="s">
        <v>2077</v>
      </c>
      <c r="I566" s="7" t="s">
        <v>2078</v>
      </c>
      <c r="J566" s="7" t="s">
        <v>176</v>
      </c>
      <c r="K566" s="7" t="s">
        <v>177</v>
      </c>
      <c r="L566" s="10">
        <v>24000</v>
      </c>
      <c r="M566" s="10">
        <v>24000</v>
      </c>
      <c r="N566" s="10">
        <f>+L566-M566</f>
        <v>0</v>
      </c>
      <c r="O566" s="10">
        <v>24000</v>
      </c>
      <c r="P566" s="10">
        <f>+L566-O566</f>
        <v>0</v>
      </c>
      <c r="Q566" s="10">
        <v>0</v>
      </c>
      <c r="R566" s="7" t="s">
        <v>27</v>
      </c>
    </row>
    <row r="567" spans="1:18" hidden="1">
      <c r="A567" s="7" t="s">
        <v>29</v>
      </c>
      <c r="B567" s="8">
        <v>19664</v>
      </c>
      <c r="C567" s="9">
        <v>45758.497708333329</v>
      </c>
      <c r="D567" s="9">
        <v>46028</v>
      </c>
      <c r="E567" s="9">
        <v>45809</v>
      </c>
      <c r="F567" s="7" t="s">
        <v>2079</v>
      </c>
      <c r="G567" s="7" t="s">
        <v>2080</v>
      </c>
      <c r="H567" s="7" t="s">
        <v>2081</v>
      </c>
      <c r="I567" s="7" t="s">
        <v>2082</v>
      </c>
      <c r="J567" s="7" t="s">
        <v>176</v>
      </c>
      <c r="K567" s="7" t="s">
        <v>584</v>
      </c>
      <c r="L567" s="10">
        <v>23600</v>
      </c>
      <c r="M567" s="10">
        <v>23600</v>
      </c>
      <c r="N567" s="10">
        <f>+L567-M567</f>
        <v>0</v>
      </c>
      <c r="O567" s="10">
        <v>23600</v>
      </c>
      <c r="P567" s="10">
        <f>+L567-O567</f>
        <v>0</v>
      </c>
      <c r="Q567" s="10">
        <v>0</v>
      </c>
      <c r="R567" s="7" t="s">
        <v>27</v>
      </c>
    </row>
    <row r="568" spans="1:18" hidden="1">
      <c r="A568" s="7" t="s">
        <v>29</v>
      </c>
      <c r="B568" s="8">
        <v>20049</v>
      </c>
      <c r="C568" s="9">
        <v>45837.643182870372</v>
      </c>
      <c r="D568" s="9">
        <v>45920</v>
      </c>
      <c r="E568" s="9">
        <v>45887</v>
      </c>
      <c r="F568" s="7" t="s">
        <v>2083</v>
      </c>
      <c r="G568" s="7" t="s">
        <v>2084</v>
      </c>
      <c r="H568" s="7" t="s">
        <v>2085</v>
      </c>
      <c r="I568" s="7" t="s">
        <v>2086</v>
      </c>
      <c r="J568" s="7" t="s">
        <v>176</v>
      </c>
      <c r="K568" s="7" t="s">
        <v>374</v>
      </c>
      <c r="L568" s="10">
        <v>23000</v>
      </c>
      <c r="M568" s="10">
        <v>23000</v>
      </c>
      <c r="N568" s="10">
        <f>+L568-M568</f>
        <v>0</v>
      </c>
      <c r="O568" s="10">
        <v>23000</v>
      </c>
      <c r="P568" s="10">
        <f>+L568-O568</f>
        <v>0</v>
      </c>
      <c r="Q568" s="10">
        <v>0</v>
      </c>
      <c r="R568" s="7" t="s">
        <v>27</v>
      </c>
    </row>
    <row r="569" spans="1:18" hidden="1">
      <c r="A569" s="7" t="s">
        <v>29</v>
      </c>
      <c r="B569" s="8">
        <v>19429</v>
      </c>
      <c r="C569" s="9">
        <v>45707.739791666667</v>
      </c>
      <c r="D569" s="9">
        <v>45408</v>
      </c>
      <c r="E569" s="9">
        <v>45359</v>
      </c>
      <c r="F569" s="7" t="s">
        <v>2087</v>
      </c>
      <c r="G569" s="7" t="s">
        <v>2088</v>
      </c>
      <c r="H569" s="7" t="s">
        <v>2089</v>
      </c>
      <c r="I569" s="7" t="s">
        <v>2090</v>
      </c>
      <c r="J569" s="7" t="s">
        <v>176</v>
      </c>
      <c r="K569" s="7" t="s">
        <v>374</v>
      </c>
      <c r="L569" s="10">
        <v>22997</v>
      </c>
      <c r="M569" s="10">
        <v>22997</v>
      </c>
      <c r="N569" s="10">
        <f>+L569-M569</f>
        <v>0</v>
      </c>
      <c r="O569" s="10">
        <v>22997</v>
      </c>
      <c r="P569" s="10">
        <f>+L569-O569</f>
        <v>0</v>
      </c>
      <c r="Q569" s="10">
        <v>0</v>
      </c>
      <c r="R569" s="7" t="s">
        <v>27</v>
      </c>
    </row>
    <row r="570" spans="1:18" hidden="1">
      <c r="A570" s="7" t="s">
        <v>29</v>
      </c>
      <c r="B570" s="8">
        <v>20391</v>
      </c>
      <c r="C570" s="9">
        <v>45902.621296296296</v>
      </c>
      <c r="D570" s="9">
        <v>45902</v>
      </c>
      <c r="E570" s="9">
        <v>45959</v>
      </c>
      <c r="F570" s="7" t="s">
        <v>2091</v>
      </c>
      <c r="G570" s="7" t="s">
        <v>2092</v>
      </c>
      <c r="H570" s="7" t="s">
        <v>2093</v>
      </c>
      <c r="I570" s="7" t="s">
        <v>2094</v>
      </c>
      <c r="J570" s="7" t="s">
        <v>34</v>
      </c>
      <c r="K570" s="7" t="s">
        <v>118</v>
      </c>
      <c r="L570" s="10">
        <v>22580.560000000001</v>
      </c>
      <c r="M570" s="10">
        <v>22580.560000000001</v>
      </c>
      <c r="N570" s="10">
        <f>+L570-M570</f>
        <v>0</v>
      </c>
      <c r="O570" s="10">
        <v>22580.560000000001</v>
      </c>
      <c r="P570" s="10">
        <f>+L570-O570</f>
        <v>0</v>
      </c>
      <c r="Q570" s="10">
        <v>0</v>
      </c>
      <c r="R570" s="7" t="s">
        <v>27</v>
      </c>
    </row>
    <row r="571" spans="1:18" hidden="1">
      <c r="A571" s="7" t="s">
        <v>29</v>
      </c>
      <c r="B571" s="8">
        <v>19858</v>
      </c>
      <c r="C571" s="9">
        <v>45803.431863425925</v>
      </c>
      <c r="D571" s="9">
        <v>45803</v>
      </c>
      <c r="E571" s="9">
        <v>45853</v>
      </c>
      <c r="F571" s="7" t="s">
        <v>2095</v>
      </c>
      <c r="G571" s="7" t="s">
        <v>2096</v>
      </c>
      <c r="H571" s="7" t="s">
        <v>2002</v>
      </c>
      <c r="I571" s="7" t="s">
        <v>1793</v>
      </c>
      <c r="J571" s="7" t="s">
        <v>34</v>
      </c>
      <c r="K571" s="7" t="s">
        <v>118</v>
      </c>
      <c r="L571" s="10">
        <v>22415.69</v>
      </c>
      <c r="M571" s="10">
        <v>22415.69</v>
      </c>
      <c r="N571" s="10">
        <f>+L571-M571</f>
        <v>0</v>
      </c>
      <c r="O571" s="10">
        <v>22415.69</v>
      </c>
      <c r="P571" s="10">
        <f>+L571-O571</f>
        <v>0</v>
      </c>
      <c r="Q571" s="10">
        <v>0</v>
      </c>
      <c r="R571" s="7" t="s">
        <v>27</v>
      </c>
    </row>
    <row r="572" spans="1:18" hidden="1">
      <c r="A572" s="7" t="s">
        <v>29</v>
      </c>
      <c r="B572" s="8">
        <v>19681</v>
      </c>
      <c r="C572" s="9">
        <v>45761.410856481481</v>
      </c>
      <c r="D572" s="9">
        <v>45880</v>
      </c>
      <c r="E572" s="9">
        <v>45954</v>
      </c>
      <c r="F572" s="7" t="s">
        <v>2097</v>
      </c>
      <c r="G572" s="7" t="s">
        <v>2098</v>
      </c>
      <c r="H572" s="7" t="s">
        <v>2099</v>
      </c>
      <c r="I572" s="7" t="s">
        <v>2100</v>
      </c>
      <c r="J572" s="7" t="s">
        <v>176</v>
      </c>
      <c r="K572" s="7" t="s">
        <v>945</v>
      </c>
      <c r="L572" s="10">
        <v>22105</v>
      </c>
      <c r="M572" s="10">
        <v>22105</v>
      </c>
      <c r="N572" s="10">
        <f>+L572-M572</f>
        <v>0</v>
      </c>
      <c r="O572" s="10">
        <v>22105</v>
      </c>
      <c r="P572" s="10">
        <f>+L572-O572</f>
        <v>0</v>
      </c>
      <c r="Q572" s="10">
        <v>0</v>
      </c>
      <c r="R572" s="7" t="s">
        <v>27</v>
      </c>
    </row>
    <row r="573" spans="1:18" hidden="1">
      <c r="A573" s="7" t="s">
        <v>29</v>
      </c>
      <c r="B573" s="8">
        <v>20540</v>
      </c>
      <c r="C573" s="9">
        <v>45932.708796296298</v>
      </c>
      <c r="D573" s="9">
        <v>45932</v>
      </c>
      <c r="E573" s="9">
        <v>46017</v>
      </c>
      <c r="F573" s="7" t="s">
        <v>2101</v>
      </c>
      <c r="G573" s="7" t="s">
        <v>2102</v>
      </c>
      <c r="H573" s="7" t="s">
        <v>1673</v>
      </c>
      <c r="I573" s="7" t="s">
        <v>1674</v>
      </c>
      <c r="J573" s="7" t="s">
        <v>34</v>
      </c>
      <c r="K573" s="7" t="s">
        <v>118</v>
      </c>
      <c r="L573" s="10">
        <v>21895.07</v>
      </c>
      <c r="M573" s="10">
        <v>21895.07</v>
      </c>
      <c r="N573" s="10">
        <f>+L573-M573</f>
        <v>0</v>
      </c>
      <c r="O573" s="10">
        <v>21895.07</v>
      </c>
      <c r="P573" s="10">
        <f>+L573-O573</f>
        <v>0</v>
      </c>
      <c r="Q573" s="10">
        <v>0</v>
      </c>
      <c r="R573" s="7" t="s">
        <v>27</v>
      </c>
    </row>
    <row r="574" spans="1:18" hidden="1">
      <c r="A574" s="7" t="s">
        <v>29</v>
      </c>
      <c r="B574" s="8">
        <v>20457</v>
      </c>
      <c r="C574" s="9">
        <v>45917.431203703702</v>
      </c>
      <c r="D574" s="9">
        <v>45948</v>
      </c>
      <c r="E574" s="9">
        <v>45916</v>
      </c>
      <c r="F574" s="7" t="s">
        <v>2103</v>
      </c>
      <c r="G574" s="7" t="s">
        <v>2104</v>
      </c>
      <c r="H574" s="7" t="s">
        <v>2105</v>
      </c>
      <c r="I574" s="7" t="s">
        <v>2106</v>
      </c>
      <c r="J574" s="7" t="s">
        <v>176</v>
      </c>
      <c r="K574" s="7" t="s">
        <v>317</v>
      </c>
      <c r="L574" s="10">
        <v>21785.82</v>
      </c>
      <c r="M574" s="10">
        <v>21785.82</v>
      </c>
      <c r="N574" s="10">
        <f>+L574-M574</f>
        <v>0</v>
      </c>
      <c r="O574" s="10">
        <v>21785.82</v>
      </c>
      <c r="P574" s="10">
        <f>+L574-O574</f>
        <v>0</v>
      </c>
      <c r="Q574" s="10">
        <v>0</v>
      </c>
      <c r="R574" s="7" t="s">
        <v>27</v>
      </c>
    </row>
    <row r="575" spans="1:18" hidden="1">
      <c r="A575" s="7" t="s">
        <v>29</v>
      </c>
      <c r="B575" s="8">
        <v>20306</v>
      </c>
      <c r="C575" s="9">
        <v>45889.725162037037</v>
      </c>
      <c r="D575" s="9">
        <v>45797</v>
      </c>
      <c r="E575" s="9">
        <v>45745</v>
      </c>
      <c r="F575" s="7" t="s">
        <v>2107</v>
      </c>
      <c r="G575" s="7" t="s">
        <v>2108</v>
      </c>
      <c r="H575" s="7" t="s">
        <v>2109</v>
      </c>
      <c r="I575" s="7" t="s">
        <v>2110</v>
      </c>
      <c r="J575" s="7" t="s">
        <v>176</v>
      </c>
      <c r="K575" s="7" t="s">
        <v>550</v>
      </c>
      <c r="L575" s="10">
        <v>21478</v>
      </c>
      <c r="M575" s="10">
        <v>21478</v>
      </c>
      <c r="N575" s="10">
        <f>+L575-M575</f>
        <v>0</v>
      </c>
      <c r="O575" s="10">
        <v>21478</v>
      </c>
      <c r="P575" s="10">
        <f>+L575-O575</f>
        <v>0</v>
      </c>
      <c r="Q575" s="10">
        <v>0</v>
      </c>
      <c r="R575" s="7" t="s">
        <v>27</v>
      </c>
    </row>
    <row r="576" spans="1:18" hidden="1">
      <c r="A576" s="7" t="s">
        <v>29</v>
      </c>
      <c r="B576" s="8">
        <v>20951</v>
      </c>
      <c r="C576" s="9">
        <v>46064.41333333333</v>
      </c>
      <c r="D576" s="9">
        <v>46060</v>
      </c>
      <c r="E576" s="9">
        <v>46049</v>
      </c>
      <c r="F576" s="7" t="s">
        <v>2111</v>
      </c>
      <c r="G576" s="7" t="s">
        <v>2112</v>
      </c>
      <c r="H576" s="7" t="s">
        <v>531</v>
      </c>
      <c r="I576" s="7" t="s">
        <v>532</v>
      </c>
      <c r="J576" s="7" t="s">
        <v>176</v>
      </c>
      <c r="K576" s="7" t="s">
        <v>177</v>
      </c>
      <c r="L576" s="10">
        <v>21000</v>
      </c>
      <c r="M576" s="10">
        <v>21000</v>
      </c>
      <c r="N576" s="10">
        <f>+L576-M576</f>
        <v>0</v>
      </c>
      <c r="O576" s="10">
        <v>21000</v>
      </c>
      <c r="P576" s="10">
        <f>+L576-O576</f>
        <v>0</v>
      </c>
      <c r="Q576" s="10">
        <v>0</v>
      </c>
      <c r="R576" s="7" t="s">
        <v>27</v>
      </c>
    </row>
    <row r="577" spans="1:18" hidden="1">
      <c r="A577" s="7" t="s">
        <v>29</v>
      </c>
      <c r="B577" s="8">
        <v>20021</v>
      </c>
      <c r="C577" s="9">
        <v>45833.627071759256</v>
      </c>
      <c r="D577" s="9">
        <v>45712</v>
      </c>
      <c r="E577" s="9">
        <v>45731</v>
      </c>
      <c r="F577" s="7" t="s">
        <v>2113</v>
      </c>
      <c r="G577" s="7" t="s">
        <v>2114</v>
      </c>
      <c r="H577" s="7" t="s">
        <v>2115</v>
      </c>
      <c r="I577" s="7" t="s">
        <v>2116</v>
      </c>
      <c r="J577" s="7" t="s">
        <v>176</v>
      </c>
      <c r="K577" s="7" t="s">
        <v>550</v>
      </c>
      <c r="L577" s="10">
        <v>20961</v>
      </c>
      <c r="M577" s="10">
        <v>20961</v>
      </c>
      <c r="N577" s="10">
        <f>+L577-M577</f>
        <v>0</v>
      </c>
      <c r="O577" s="10">
        <v>20961</v>
      </c>
      <c r="P577" s="10">
        <f>+L577-O577</f>
        <v>0</v>
      </c>
      <c r="Q577" s="10">
        <v>0</v>
      </c>
      <c r="R577" s="7" t="s">
        <v>27</v>
      </c>
    </row>
    <row r="578" spans="1:18" hidden="1">
      <c r="A578" s="7" t="s">
        <v>29</v>
      </c>
      <c r="B578" s="8">
        <v>20602</v>
      </c>
      <c r="C578" s="9">
        <v>45950.645196759258</v>
      </c>
      <c r="D578" s="9">
        <v>46032</v>
      </c>
      <c r="E578" s="9">
        <v>45986</v>
      </c>
      <c r="F578" s="7" t="s">
        <v>2117</v>
      </c>
      <c r="G578" s="7" t="s">
        <v>2118</v>
      </c>
      <c r="H578" s="7" t="s">
        <v>2119</v>
      </c>
      <c r="I578" s="7" t="s">
        <v>2120</v>
      </c>
      <c r="J578" s="7" t="s">
        <v>176</v>
      </c>
      <c r="K578" s="7" t="s">
        <v>177</v>
      </c>
      <c r="L578" s="10">
        <v>20959.400000000001</v>
      </c>
      <c r="M578" s="10">
        <v>20959.400000000001</v>
      </c>
      <c r="N578" s="10">
        <f>+L578-M578</f>
        <v>0</v>
      </c>
      <c r="O578" s="10">
        <v>20959.400000000001</v>
      </c>
      <c r="P578" s="10">
        <f>+L578-O578</f>
        <v>0</v>
      </c>
      <c r="Q578" s="10">
        <v>0</v>
      </c>
      <c r="R578" s="7" t="s">
        <v>27</v>
      </c>
    </row>
    <row r="579" spans="1:18" hidden="1">
      <c r="A579" s="7" t="s">
        <v>29</v>
      </c>
      <c r="B579" s="8">
        <v>19519</v>
      </c>
      <c r="C579" s="9">
        <v>45729.374895833331</v>
      </c>
      <c r="D579" s="9">
        <v>45729</v>
      </c>
      <c r="E579" s="9">
        <v>45757</v>
      </c>
      <c r="F579" s="7" t="s">
        <v>2121</v>
      </c>
      <c r="G579" s="7" t="s">
        <v>2122</v>
      </c>
      <c r="H579" s="7" t="s">
        <v>470</v>
      </c>
      <c r="I579" s="7" t="s">
        <v>471</v>
      </c>
      <c r="J579" s="7" t="s">
        <v>34</v>
      </c>
      <c r="K579" s="7" t="s">
        <v>35</v>
      </c>
      <c r="L579" s="10">
        <v>20814.689999999999</v>
      </c>
      <c r="M579" s="10">
        <v>20814.689999999999</v>
      </c>
      <c r="N579" s="10">
        <f>+L579-M579</f>
        <v>0</v>
      </c>
      <c r="O579" s="10">
        <v>20814.689999999999</v>
      </c>
      <c r="P579" s="10">
        <f>+L579-O579</f>
        <v>0</v>
      </c>
      <c r="Q579" s="10">
        <v>0</v>
      </c>
      <c r="R579" s="7" t="s">
        <v>27</v>
      </c>
    </row>
    <row r="580" spans="1:18" hidden="1">
      <c r="A580" s="7" t="s">
        <v>29</v>
      </c>
      <c r="B580" s="8">
        <v>20642</v>
      </c>
      <c r="C580" s="9">
        <v>45960.489988425921</v>
      </c>
      <c r="D580" s="9">
        <v>45923</v>
      </c>
      <c r="E580" s="9">
        <v>45929</v>
      </c>
      <c r="F580" s="7" t="s">
        <v>2123</v>
      </c>
      <c r="G580" s="7" t="s">
        <v>2124</v>
      </c>
      <c r="H580" s="7" t="s">
        <v>2125</v>
      </c>
      <c r="I580" s="7" t="s">
        <v>2126</v>
      </c>
      <c r="J580" s="7" t="s">
        <v>176</v>
      </c>
      <c r="K580" s="7" t="s">
        <v>317</v>
      </c>
      <c r="L580" s="10">
        <v>20800</v>
      </c>
      <c r="M580" s="10">
        <v>20800</v>
      </c>
      <c r="N580" s="10">
        <f>+L580-M580</f>
        <v>0</v>
      </c>
      <c r="O580" s="10">
        <v>20800</v>
      </c>
      <c r="P580" s="10">
        <f>+L580-O580</f>
        <v>0</v>
      </c>
      <c r="Q580" s="10">
        <v>0</v>
      </c>
      <c r="R580" s="7" t="s">
        <v>27</v>
      </c>
    </row>
    <row r="581" spans="1:18" hidden="1">
      <c r="A581" s="7" t="s">
        <v>29</v>
      </c>
      <c r="B581" s="8">
        <v>19387</v>
      </c>
      <c r="C581" s="9">
        <v>45694.663425925923</v>
      </c>
      <c r="D581" s="9">
        <v>45706</v>
      </c>
      <c r="E581" s="9">
        <v>45636</v>
      </c>
      <c r="F581" s="7" t="s">
        <v>2127</v>
      </c>
      <c r="G581" s="7" t="s">
        <v>2128</v>
      </c>
      <c r="H581" s="7" t="s">
        <v>2129</v>
      </c>
      <c r="I581" s="7" t="s">
        <v>2130</v>
      </c>
      <c r="J581" s="7" t="s">
        <v>176</v>
      </c>
      <c r="K581" s="7" t="s">
        <v>550</v>
      </c>
      <c r="L581" s="10">
        <v>20728</v>
      </c>
      <c r="M581" s="10">
        <v>20728</v>
      </c>
      <c r="N581" s="10">
        <f>+L581-M581</f>
        <v>0</v>
      </c>
      <c r="O581" s="10">
        <v>20728</v>
      </c>
      <c r="P581" s="10">
        <f>+L581-O581</f>
        <v>0</v>
      </c>
      <c r="Q581" s="10">
        <v>0</v>
      </c>
      <c r="R581" s="7" t="s">
        <v>27</v>
      </c>
    </row>
    <row r="582" spans="1:18" hidden="1">
      <c r="A582" s="7" t="s">
        <v>29</v>
      </c>
      <c r="B582" s="8">
        <v>19984</v>
      </c>
      <c r="C582" s="9">
        <v>45826.407766203702</v>
      </c>
      <c r="D582" s="9">
        <v>45710</v>
      </c>
      <c r="E582" s="9">
        <v>45712</v>
      </c>
      <c r="F582" s="7" t="s">
        <v>2131</v>
      </c>
      <c r="G582" s="7" t="s">
        <v>2132</v>
      </c>
      <c r="H582" s="7" t="s">
        <v>2133</v>
      </c>
      <c r="I582" s="7" t="s">
        <v>2134</v>
      </c>
      <c r="J582" s="7" t="s">
        <v>176</v>
      </c>
      <c r="K582" s="7" t="s">
        <v>550</v>
      </c>
      <c r="L582" s="10">
        <v>20700</v>
      </c>
      <c r="M582" s="10">
        <v>20700</v>
      </c>
      <c r="N582" s="10">
        <f>+L582-M582</f>
        <v>0</v>
      </c>
      <c r="O582" s="10">
        <v>20700</v>
      </c>
      <c r="P582" s="10">
        <f>+L582-O582</f>
        <v>0</v>
      </c>
      <c r="Q582" s="10">
        <v>0</v>
      </c>
      <c r="R582" s="7" t="s">
        <v>27</v>
      </c>
    </row>
    <row r="583" spans="1:18" hidden="1">
      <c r="A583" s="7" t="s">
        <v>29</v>
      </c>
      <c r="B583" s="8">
        <v>19740</v>
      </c>
      <c r="C583" s="9">
        <v>45776.634652777779</v>
      </c>
      <c r="D583" s="9">
        <v>45825</v>
      </c>
      <c r="E583" s="9">
        <v>45770</v>
      </c>
      <c r="F583" s="7" t="s">
        <v>2135</v>
      </c>
      <c r="G583" s="7" t="s">
        <v>2136</v>
      </c>
      <c r="H583" s="7" t="s">
        <v>2137</v>
      </c>
      <c r="I583" s="7" t="s">
        <v>2138</v>
      </c>
      <c r="J583" s="7" t="s">
        <v>176</v>
      </c>
      <c r="K583" s="7" t="s">
        <v>317</v>
      </c>
      <c r="L583" s="10">
        <v>20537</v>
      </c>
      <c r="M583" s="10">
        <v>20537</v>
      </c>
      <c r="N583" s="10">
        <f>+L583-M583</f>
        <v>0</v>
      </c>
      <c r="O583" s="10">
        <v>20537</v>
      </c>
      <c r="P583" s="10">
        <f>+L583-O583</f>
        <v>0</v>
      </c>
      <c r="Q583" s="10">
        <v>0</v>
      </c>
      <c r="R583" s="7" t="s">
        <v>27</v>
      </c>
    </row>
    <row r="584" spans="1:18" hidden="1">
      <c r="A584" s="7" t="s">
        <v>29</v>
      </c>
      <c r="B584" s="8">
        <v>20235</v>
      </c>
      <c r="C584" s="9">
        <v>45874.721469907403</v>
      </c>
      <c r="D584" s="9">
        <v>44940</v>
      </c>
      <c r="E584" s="9">
        <v>44891</v>
      </c>
      <c r="F584" s="7" t="s">
        <v>2139</v>
      </c>
      <c r="G584" s="7" t="s">
        <v>2140</v>
      </c>
      <c r="H584" s="7" t="s">
        <v>2141</v>
      </c>
      <c r="I584" s="7" t="s">
        <v>2142</v>
      </c>
      <c r="J584" s="7" t="s">
        <v>176</v>
      </c>
      <c r="K584" s="7" t="s">
        <v>317</v>
      </c>
      <c r="L584" s="10">
        <v>20073</v>
      </c>
      <c r="M584" s="10">
        <v>20073</v>
      </c>
      <c r="N584" s="10">
        <f>+L584-M584</f>
        <v>0</v>
      </c>
      <c r="O584" s="10">
        <v>20073</v>
      </c>
      <c r="P584" s="10">
        <f>+L584-O584</f>
        <v>0</v>
      </c>
      <c r="Q584" s="10">
        <v>0</v>
      </c>
      <c r="R584" s="7" t="s">
        <v>27</v>
      </c>
    </row>
    <row r="585" spans="1:18" hidden="1">
      <c r="A585" s="7" t="s">
        <v>29</v>
      </c>
      <c r="B585" s="8">
        <v>20782</v>
      </c>
      <c r="C585" s="9">
        <v>46008.391527777778</v>
      </c>
      <c r="D585" s="9">
        <v>46008</v>
      </c>
      <c r="E585" s="9">
        <v>46022</v>
      </c>
      <c r="F585" s="7" t="s">
        <v>2143</v>
      </c>
      <c r="G585" s="7" t="s">
        <v>2144</v>
      </c>
      <c r="H585" s="7" t="s">
        <v>108</v>
      </c>
      <c r="I585" s="7" t="s">
        <v>24</v>
      </c>
      <c r="J585" s="7" t="s">
        <v>34</v>
      </c>
      <c r="K585" s="7" t="s">
        <v>35</v>
      </c>
      <c r="L585" s="10">
        <v>19875.95</v>
      </c>
      <c r="M585" s="10">
        <v>19875.95</v>
      </c>
      <c r="N585" s="10">
        <f>+L585-M585</f>
        <v>0</v>
      </c>
      <c r="O585" s="10">
        <v>19875.95</v>
      </c>
      <c r="P585" s="10">
        <f>+L585-O585</f>
        <v>0</v>
      </c>
      <c r="Q585" s="10">
        <v>0</v>
      </c>
      <c r="R585" s="7" t="s">
        <v>27</v>
      </c>
    </row>
    <row r="586" spans="1:18" hidden="1">
      <c r="A586" s="7" t="s">
        <v>29</v>
      </c>
      <c r="B586" s="8">
        <v>19394</v>
      </c>
      <c r="C586" s="9">
        <v>45695.45716435185</v>
      </c>
      <c r="D586" s="9">
        <v>45695</v>
      </c>
      <c r="E586" s="9">
        <v>45705</v>
      </c>
      <c r="F586" s="7" t="s">
        <v>2145</v>
      </c>
      <c r="G586" s="7" t="s">
        <v>2146</v>
      </c>
      <c r="H586" s="7" t="s">
        <v>2147</v>
      </c>
      <c r="I586" s="7" t="s">
        <v>2148</v>
      </c>
      <c r="J586" s="7" t="s">
        <v>34</v>
      </c>
      <c r="K586" s="7" t="s">
        <v>269</v>
      </c>
      <c r="L586" s="10">
        <v>19651.38</v>
      </c>
      <c r="M586" s="10">
        <v>19651.38</v>
      </c>
      <c r="N586" s="10">
        <f>+L586-M586</f>
        <v>0</v>
      </c>
      <c r="O586" s="10">
        <v>19651.38</v>
      </c>
      <c r="P586" s="10">
        <f>+L586-O586</f>
        <v>0</v>
      </c>
      <c r="Q586" s="10">
        <v>0</v>
      </c>
      <c r="R586" s="7" t="s">
        <v>27</v>
      </c>
    </row>
    <row r="587" spans="1:18" hidden="1">
      <c r="A587" s="7" t="s">
        <v>29</v>
      </c>
      <c r="B587" s="8">
        <v>19562</v>
      </c>
      <c r="C587" s="9">
        <v>45742.482499999998</v>
      </c>
      <c r="D587" s="9">
        <v>45421</v>
      </c>
      <c r="E587" s="9">
        <v>45421</v>
      </c>
      <c r="F587" s="7" t="s">
        <v>2149</v>
      </c>
      <c r="G587" s="7" t="s">
        <v>2150</v>
      </c>
      <c r="H587" s="7" t="s">
        <v>2151</v>
      </c>
      <c r="I587" s="7" t="s">
        <v>2152</v>
      </c>
      <c r="J587" s="7" t="s">
        <v>176</v>
      </c>
      <c r="K587" s="7" t="s">
        <v>317</v>
      </c>
      <c r="L587" s="10">
        <v>19481.330000000002</v>
      </c>
      <c r="M587" s="10">
        <v>19481.330000000002</v>
      </c>
      <c r="N587" s="10">
        <f>+L587-M587</f>
        <v>0</v>
      </c>
      <c r="O587" s="10">
        <v>19481.330000000002</v>
      </c>
      <c r="P587" s="10">
        <f>+L587-O587</f>
        <v>0</v>
      </c>
      <c r="Q587" s="10">
        <v>0</v>
      </c>
      <c r="R587" s="7" t="s">
        <v>27</v>
      </c>
    </row>
    <row r="588" spans="1:18" hidden="1">
      <c r="A588" s="7" t="s">
        <v>29</v>
      </c>
      <c r="B588" s="8">
        <v>20446</v>
      </c>
      <c r="C588" s="9">
        <v>45912.469548611109</v>
      </c>
      <c r="D588" s="9">
        <v>45926</v>
      </c>
      <c r="E588" s="9">
        <v>45910</v>
      </c>
      <c r="F588" s="7" t="s">
        <v>2153</v>
      </c>
      <c r="G588" s="7" t="s">
        <v>2154</v>
      </c>
      <c r="H588" s="7" t="s">
        <v>2155</v>
      </c>
      <c r="I588" s="7" t="s">
        <v>2156</v>
      </c>
      <c r="J588" s="7" t="s">
        <v>176</v>
      </c>
      <c r="K588" s="7" t="s">
        <v>177</v>
      </c>
      <c r="L588" s="10">
        <v>19350</v>
      </c>
      <c r="M588" s="10">
        <v>19350</v>
      </c>
      <c r="N588" s="10">
        <f>+L588-M588</f>
        <v>0</v>
      </c>
      <c r="O588" s="10">
        <v>19350</v>
      </c>
      <c r="P588" s="10">
        <f>+L588-O588</f>
        <v>0</v>
      </c>
      <c r="Q588" s="10">
        <v>0</v>
      </c>
      <c r="R588" s="7" t="s">
        <v>27</v>
      </c>
    </row>
    <row r="589" spans="1:18" hidden="1">
      <c r="A589" s="7" t="s">
        <v>29</v>
      </c>
      <c r="B589" s="8">
        <v>20595</v>
      </c>
      <c r="C589" s="9">
        <v>45950.463564814811</v>
      </c>
      <c r="D589" s="9">
        <v>45976</v>
      </c>
      <c r="E589" s="9">
        <v>45966</v>
      </c>
      <c r="F589" s="7" t="s">
        <v>2157</v>
      </c>
      <c r="G589" s="7" t="s">
        <v>2158</v>
      </c>
      <c r="H589" s="7" t="s">
        <v>2159</v>
      </c>
      <c r="I589" s="7" t="s">
        <v>2160</v>
      </c>
      <c r="J589" s="7" t="s">
        <v>176</v>
      </c>
      <c r="K589" s="7" t="s">
        <v>177</v>
      </c>
      <c r="L589" s="10">
        <v>19222.150000000001</v>
      </c>
      <c r="M589" s="10">
        <v>19222.150000000001</v>
      </c>
      <c r="N589" s="10">
        <f>+L589-M589</f>
        <v>0</v>
      </c>
      <c r="O589" s="10">
        <v>19222.150000000001</v>
      </c>
      <c r="P589" s="10">
        <f>+L589-O589</f>
        <v>0</v>
      </c>
      <c r="Q589" s="10">
        <v>0</v>
      </c>
      <c r="R589" s="7" t="s">
        <v>27</v>
      </c>
    </row>
    <row r="590" spans="1:18" hidden="1">
      <c r="A590" s="7" t="s">
        <v>29</v>
      </c>
      <c r="B590" s="8">
        <v>19583</v>
      </c>
      <c r="C590" s="9">
        <v>45744.484212962961</v>
      </c>
      <c r="D590" s="9">
        <v>45742</v>
      </c>
      <c r="E590" s="9">
        <v>45700</v>
      </c>
      <c r="F590" s="7" t="s">
        <v>2161</v>
      </c>
      <c r="G590" s="7" t="s">
        <v>2162</v>
      </c>
      <c r="H590" s="7" t="s">
        <v>2163</v>
      </c>
      <c r="I590" s="7" t="s">
        <v>2164</v>
      </c>
      <c r="J590" s="7" t="s">
        <v>176</v>
      </c>
      <c r="K590" s="7" t="s">
        <v>374</v>
      </c>
      <c r="L590" s="10">
        <v>19200</v>
      </c>
      <c r="M590" s="10">
        <v>19200</v>
      </c>
      <c r="N590" s="10">
        <f>+L590-M590</f>
        <v>0</v>
      </c>
      <c r="O590" s="10">
        <v>19200</v>
      </c>
      <c r="P590" s="10">
        <f>+L590-O590</f>
        <v>0</v>
      </c>
      <c r="Q590" s="10">
        <v>0</v>
      </c>
      <c r="R590" s="7" t="s">
        <v>27</v>
      </c>
    </row>
    <row r="591" spans="1:18" hidden="1">
      <c r="A591" s="7" t="s">
        <v>29</v>
      </c>
      <c r="B591" s="8">
        <v>19451</v>
      </c>
      <c r="C591" s="9">
        <v>45713.375833333332</v>
      </c>
      <c r="D591" s="9">
        <v>45713</v>
      </c>
      <c r="E591" s="9">
        <v>45712</v>
      </c>
      <c r="F591" s="7" t="s">
        <v>2165</v>
      </c>
      <c r="G591" s="7" t="s">
        <v>2166</v>
      </c>
      <c r="H591" s="7" t="s">
        <v>1924</v>
      </c>
      <c r="I591" s="7" t="s">
        <v>1925</v>
      </c>
      <c r="J591" s="7" t="s">
        <v>34</v>
      </c>
      <c r="K591" s="7" t="s">
        <v>35</v>
      </c>
      <c r="L591" s="10">
        <v>19058.14</v>
      </c>
      <c r="M591" s="10">
        <v>19058.14</v>
      </c>
      <c r="N591" s="10">
        <f>+L591-M591</f>
        <v>0</v>
      </c>
      <c r="O591" s="10">
        <v>19058.14</v>
      </c>
      <c r="P591" s="10">
        <f>+L591-O591</f>
        <v>0</v>
      </c>
      <c r="Q591" s="10">
        <v>0</v>
      </c>
      <c r="R591" s="7" t="s">
        <v>27</v>
      </c>
    </row>
    <row r="592" spans="1:18" hidden="1">
      <c r="A592" s="7" t="s">
        <v>29</v>
      </c>
      <c r="B592" s="8">
        <v>19821</v>
      </c>
      <c r="C592" s="9">
        <v>45792.486435185187</v>
      </c>
      <c r="D592" s="9">
        <v>46025</v>
      </c>
      <c r="E592" s="9">
        <v>45901</v>
      </c>
      <c r="F592" s="7" t="s">
        <v>2167</v>
      </c>
      <c r="G592" s="7" t="s">
        <v>2168</v>
      </c>
      <c r="H592" s="7" t="s">
        <v>2169</v>
      </c>
      <c r="I592" s="7" t="s">
        <v>2170</v>
      </c>
      <c r="J592" s="7" t="s">
        <v>176</v>
      </c>
      <c r="K592" s="7" t="s">
        <v>177</v>
      </c>
      <c r="L592" s="10">
        <v>19053.099999999999</v>
      </c>
      <c r="M592" s="10">
        <v>19053.099999999999</v>
      </c>
      <c r="N592" s="10">
        <f>+L592-M592</f>
        <v>0</v>
      </c>
      <c r="O592" s="10">
        <v>19053.099999999999</v>
      </c>
      <c r="P592" s="10">
        <f>+L592-O592</f>
        <v>0</v>
      </c>
      <c r="Q592" s="10">
        <v>0</v>
      </c>
      <c r="R592" s="7" t="s">
        <v>27</v>
      </c>
    </row>
    <row r="593" spans="1:18" hidden="1">
      <c r="A593" s="7" t="s">
        <v>29</v>
      </c>
      <c r="B593" s="8">
        <v>20291</v>
      </c>
      <c r="C593" s="9">
        <v>45887.537083333329</v>
      </c>
      <c r="D593" s="9">
        <v>45831</v>
      </c>
      <c r="E593" s="9">
        <v>45887</v>
      </c>
      <c r="F593" s="7" t="s">
        <v>2171</v>
      </c>
      <c r="G593" s="7" t="s">
        <v>2172</v>
      </c>
      <c r="H593" s="7" t="s">
        <v>2173</v>
      </c>
      <c r="I593" s="7" t="s">
        <v>2174</v>
      </c>
      <c r="J593" s="7" t="s">
        <v>176</v>
      </c>
      <c r="K593" s="7" t="s">
        <v>374</v>
      </c>
      <c r="L593" s="10">
        <v>18806</v>
      </c>
      <c r="M593" s="10">
        <v>18806</v>
      </c>
      <c r="N593" s="10">
        <f>+L593-M593</f>
        <v>0</v>
      </c>
      <c r="O593" s="10">
        <v>18806</v>
      </c>
      <c r="P593" s="10">
        <f>+L593-O593</f>
        <v>0</v>
      </c>
      <c r="Q593" s="10">
        <v>0</v>
      </c>
      <c r="R593" s="7" t="s">
        <v>27</v>
      </c>
    </row>
    <row r="594" spans="1:18" hidden="1">
      <c r="A594" s="7" t="s">
        <v>29</v>
      </c>
      <c r="B594" s="8">
        <v>20466</v>
      </c>
      <c r="C594" s="9">
        <v>45918.476400462961</v>
      </c>
      <c r="D594" s="9">
        <v>45409</v>
      </c>
      <c r="E594" s="9">
        <v>45859</v>
      </c>
      <c r="F594" s="7" t="s">
        <v>2175</v>
      </c>
      <c r="G594" s="7" t="s">
        <v>2176</v>
      </c>
      <c r="H594" s="7" t="s">
        <v>2177</v>
      </c>
      <c r="I594" s="7" t="s">
        <v>2178</v>
      </c>
      <c r="J594" s="7" t="s">
        <v>176</v>
      </c>
      <c r="K594" s="7" t="s">
        <v>317</v>
      </c>
      <c r="L594" s="10">
        <v>18332</v>
      </c>
      <c r="M594" s="10">
        <v>18332</v>
      </c>
      <c r="N594" s="10">
        <f>+L594-M594</f>
        <v>0</v>
      </c>
      <c r="O594" s="10">
        <v>18332</v>
      </c>
      <c r="P594" s="10">
        <f>+L594-O594</f>
        <v>0</v>
      </c>
      <c r="Q594" s="10">
        <v>0</v>
      </c>
      <c r="R594" s="7" t="s">
        <v>27</v>
      </c>
    </row>
    <row r="595" spans="1:18" hidden="1">
      <c r="A595" s="7" t="s">
        <v>29</v>
      </c>
      <c r="B595" s="8">
        <v>19893</v>
      </c>
      <c r="C595" s="9">
        <v>45807.684502314813</v>
      </c>
      <c r="D595" s="9">
        <v>45825</v>
      </c>
      <c r="E595" s="9">
        <v>45741</v>
      </c>
      <c r="F595" s="7" t="s">
        <v>2179</v>
      </c>
      <c r="G595" s="7" t="s">
        <v>2180</v>
      </c>
      <c r="H595" s="7" t="s">
        <v>2181</v>
      </c>
      <c r="I595" s="7" t="s">
        <v>2182</v>
      </c>
      <c r="J595" s="7" t="s">
        <v>176</v>
      </c>
      <c r="K595" s="7" t="s">
        <v>2183</v>
      </c>
      <c r="L595" s="10">
        <v>18250</v>
      </c>
      <c r="M595" s="10">
        <v>18250</v>
      </c>
      <c r="N595" s="10">
        <f>+L595-M595</f>
        <v>0</v>
      </c>
      <c r="O595" s="10">
        <v>18250</v>
      </c>
      <c r="P595" s="10">
        <f>+L595-O595</f>
        <v>0</v>
      </c>
      <c r="Q595" s="10">
        <v>0</v>
      </c>
      <c r="R595" s="7" t="s">
        <v>27</v>
      </c>
    </row>
    <row r="596" spans="1:18" hidden="1">
      <c r="A596" s="7" t="s">
        <v>29</v>
      </c>
      <c r="B596" s="8">
        <v>20862</v>
      </c>
      <c r="C596" s="9">
        <v>46035.648657407408</v>
      </c>
      <c r="D596" s="9">
        <v>46000</v>
      </c>
      <c r="E596" s="9">
        <v>45972</v>
      </c>
      <c r="F596" s="7" t="s">
        <v>2184</v>
      </c>
      <c r="G596" s="7" t="s">
        <v>62</v>
      </c>
      <c r="H596" s="7" t="s">
        <v>2185</v>
      </c>
      <c r="I596" s="7" t="s">
        <v>2186</v>
      </c>
      <c r="J596" s="7" t="s">
        <v>176</v>
      </c>
      <c r="K596" s="7" t="s">
        <v>569</v>
      </c>
      <c r="L596" s="10">
        <v>18000</v>
      </c>
      <c r="M596" s="10">
        <v>18000</v>
      </c>
      <c r="N596" s="10">
        <f>+L596-M596</f>
        <v>0</v>
      </c>
      <c r="O596" s="10">
        <v>18000</v>
      </c>
      <c r="P596" s="10">
        <f>+L596-O596</f>
        <v>0</v>
      </c>
      <c r="Q596" s="10">
        <v>0</v>
      </c>
      <c r="R596" s="7" t="s">
        <v>27</v>
      </c>
    </row>
    <row r="597" spans="1:18" hidden="1">
      <c r="A597" s="7" t="s">
        <v>29</v>
      </c>
      <c r="B597" s="8">
        <v>19561</v>
      </c>
      <c r="C597" s="9">
        <v>45741.649131944439</v>
      </c>
      <c r="D597" s="9">
        <v>45855</v>
      </c>
      <c r="E597" s="9">
        <v>45729</v>
      </c>
      <c r="F597" s="7" t="s">
        <v>2187</v>
      </c>
      <c r="G597" s="7" t="s">
        <v>2188</v>
      </c>
      <c r="H597" s="7" t="s">
        <v>2189</v>
      </c>
      <c r="I597" s="7" t="s">
        <v>2190</v>
      </c>
      <c r="J597" s="7" t="s">
        <v>176</v>
      </c>
      <c r="K597" s="7" t="s">
        <v>317</v>
      </c>
      <c r="L597" s="10">
        <v>18000</v>
      </c>
      <c r="M597" s="10">
        <v>18000</v>
      </c>
      <c r="N597" s="10">
        <f>+L597-M597</f>
        <v>0</v>
      </c>
      <c r="O597" s="10">
        <v>18000</v>
      </c>
      <c r="P597" s="10">
        <f>+L597-O597</f>
        <v>0</v>
      </c>
      <c r="Q597" s="10">
        <v>0</v>
      </c>
      <c r="R597" s="7" t="s">
        <v>27</v>
      </c>
    </row>
    <row r="598" spans="1:18" hidden="1">
      <c r="A598" s="7" t="s">
        <v>29</v>
      </c>
      <c r="B598" s="8">
        <v>20637</v>
      </c>
      <c r="C598" s="9">
        <v>45959.722627314812</v>
      </c>
      <c r="D598" s="9">
        <v>45959</v>
      </c>
      <c r="E598" s="9">
        <v>45959</v>
      </c>
      <c r="F598" s="7" t="s">
        <v>2191</v>
      </c>
      <c r="G598" s="7" t="s">
        <v>2192</v>
      </c>
      <c r="H598" s="7" t="s">
        <v>2193</v>
      </c>
      <c r="I598" s="7" t="s">
        <v>2194</v>
      </c>
      <c r="J598" s="7" t="s">
        <v>34</v>
      </c>
      <c r="K598" s="7" t="s">
        <v>412</v>
      </c>
      <c r="L598" s="10">
        <v>17960.8</v>
      </c>
      <c r="M598" s="10">
        <v>17960.8</v>
      </c>
      <c r="N598" s="10">
        <f>+L598-M598</f>
        <v>0</v>
      </c>
      <c r="O598" s="10">
        <v>17960.8</v>
      </c>
      <c r="P598" s="10">
        <f>+L598-O598</f>
        <v>0</v>
      </c>
      <c r="Q598" s="10">
        <v>0</v>
      </c>
      <c r="R598" s="7" t="s">
        <v>27</v>
      </c>
    </row>
    <row r="599" spans="1:18" hidden="1">
      <c r="A599" s="7" t="s">
        <v>29</v>
      </c>
      <c r="B599" s="8">
        <v>19820</v>
      </c>
      <c r="C599" s="9">
        <v>45792.484629629631</v>
      </c>
      <c r="D599" s="9">
        <v>45831</v>
      </c>
      <c r="E599" s="9">
        <v>45775</v>
      </c>
      <c r="F599" s="7" t="s">
        <v>2195</v>
      </c>
      <c r="G599" s="7" t="s">
        <v>2196</v>
      </c>
      <c r="H599" s="7" t="s">
        <v>2197</v>
      </c>
      <c r="I599" s="7" t="s">
        <v>2198</v>
      </c>
      <c r="J599" s="7" t="s">
        <v>176</v>
      </c>
      <c r="K599" s="7" t="s">
        <v>550</v>
      </c>
      <c r="L599" s="10">
        <v>17937.47</v>
      </c>
      <c r="M599" s="10">
        <v>17937.47</v>
      </c>
      <c r="N599" s="10">
        <f>+L599-M599</f>
        <v>0</v>
      </c>
      <c r="O599" s="10">
        <v>17937.47</v>
      </c>
      <c r="P599" s="10">
        <f>+L599-O599</f>
        <v>0</v>
      </c>
      <c r="Q599" s="10">
        <v>0</v>
      </c>
      <c r="R599" s="7" t="s">
        <v>27</v>
      </c>
    </row>
    <row r="600" spans="1:18" hidden="1">
      <c r="A600" s="7" t="s">
        <v>29</v>
      </c>
      <c r="B600" s="8">
        <v>20209</v>
      </c>
      <c r="C600" s="9">
        <v>45869.609189814815</v>
      </c>
      <c r="D600" s="9">
        <v>45870</v>
      </c>
      <c r="E600" s="9">
        <v>45863</v>
      </c>
      <c r="F600" s="7" t="s">
        <v>2199</v>
      </c>
      <c r="G600" s="7" t="s">
        <v>2200</v>
      </c>
      <c r="H600" s="7" t="s">
        <v>2201</v>
      </c>
      <c r="I600" s="7" t="s">
        <v>2202</v>
      </c>
      <c r="J600" s="7" t="s">
        <v>176</v>
      </c>
      <c r="K600" s="7" t="s">
        <v>177</v>
      </c>
      <c r="L600" s="10">
        <v>17882</v>
      </c>
      <c r="M600" s="10">
        <v>17882</v>
      </c>
      <c r="N600" s="10">
        <f>+L600-M600</f>
        <v>0</v>
      </c>
      <c r="O600" s="10">
        <v>17882</v>
      </c>
      <c r="P600" s="10">
        <f>+L600-O600</f>
        <v>0</v>
      </c>
      <c r="Q600" s="10">
        <v>0</v>
      </c>
      <c r="R600" s="7" t="s">
        <v>27</v>
      </c>
    </row>
    <row r="601" spans="1:18" hidden="1">
      <c r="A601" s="7" t="s">
        <v>29</v>
      </c>
      <c r="B601" s="8">
        <v>20713</v>
      </c>
      <c r="C601" s="9">
        <v>45981.565775462965</v>
      </c>
      <c r="D601" s="9">
        <v>45981</v>
      </c>
      <c r="E601" s="9">
        <v>46021</v>
      </c>
      <c r="F601" s="7" t="s">
        <v>2203</v>
      </c>
      <c r="G601" s="7" t="s">
        <v>2204</v>
      </c>
      <c r="H601" s="7" t="s">
        <v>2205</v>
      </c>
      <c r="I601" s="7" t="s">
        <v>2206</v>
      </c>
      <c r="J601" s="7" t="s">
        <v>34</v>
      </c>
      <c r="K601" s="7" t="s">
        <v>118</v>
      </c>
      <c r="L601" s="10">
        <v>17881.57</v>
      </c>
      <c r="M601" s="10">
        <v>17881.57</v>
      </c>
      <c r="N601" s="10">
        <f>+L601-M601</f>
        <v>0</v>
      </c>
      <c r="O601" s="10">
        <v>17881.57</v>
      </c>
      <c r="P601" s="10">
        <f>+L601-O601</f>
        <v>0</v>
      </c>
      <c r="Q601" s="10">
        <v>0</v>
      </c>
      <c r="R601" s="7" t="s">
        <v>27</v>
      </c>
    </row>
    <row r="602" spans="1:18" hidden="1">
      <c r="A602" s="7" t="s">
        <v>29</v>
      </c>
      <c r="B602" s="8">
        <v>19611</v>
      </c>
      <c r="C602" s="9">
        <v>45751.623553240737</v>
      </c>
      <c r="D602" s="9">
        <v>45765</v>
      </c>
      <c r="E602" s="9">
        <v>45744</v>
      </c>
      <c r="F602" s="7" t="s">
        <v>2207</v>
      </c>
      <c r="G602" s="7" t="s">
        <v>2208</v>
      </c>
      <c r="H602" s="7" t="s">
        <v>2209</v>
      </c>
      <c r="I602" s="7" t="s">
        <v>2210</v>
      </c>
      <c r="J602" s="7" t="s">
        <v>176</v>
      </c>
      <c r="K602" s="7" t="s">
        <v>584</v>
      </c>
      <c r="L602" s="10">
        <v>17755</v>
      </c>
      <c r="M602" s="10">
        <v>17755</v>
      </c>
      <c r="N602" s="10">
        <f>+L602-M602</f>
        <v>0</v>
      </c>
      <c r="O602" s="10">
        <v>17755</v>
      </c>
      <c r="P602" s="10">
        <f>+L602-O602</f>
        <v>0</v>
      </c>
      <c r="Q602" s="10">
        <v>0</v>
      </c>
      <c r="R602" s="7" t="s">
        <v>27</v>
      </c>
    </row>
    <row r="603" spans="1:18" hidden="1">
      <c r="A603" s="7" t="s">
        <v>29</v>
      </c>
      <c r="B603" s="8">
        <v>19438</v>
      </c>
      <c r="C603" s="9">
        <v>45710.394374999996</v>
      </c>
      <c r="D603" s="9">
        <v>45587</v>
      </c>
      <c r="E603" s="9">
        <v>45503</v>
      </c>
      <c r="F603" s="7" t="s">
        <v>2211</v>
      </c>
      <c r="G603" s="7" t="s">
        <v>2212</v>
      </c>
      <c r="H603" s="7" t="s">
        <v>2213</v>
      </c>
      <c r="I603" s="7" t="s">
        <v>2214</v>
      </c>
      <c r="J603" s="7" t="s">
        <v>176</v>
      </c>
      <c r="K603" s="7" t="s">
        <v>317</v>
      </c>
      <c r="L603" s="10">
        <v>17513</v>
      </c>
      <c r="M603" s="10">
        <v>17513</v>
      </c>
      <c r="N603" s="10">
        <f>+L603-M603</f>
        <v>0</v>
      </c>
      <c r="O603" s="10">
        <v>17513</v>
      </c>
      <c r="P603" s="10">
        <f>+L603-O603</f>
        <v>0</v>
      </c>
      <c r="Q603" s="10">
        <v>0</v>
      </c>
      <c r="R603" s="7" t="s">
        <v>27</v>
      </c>
    </row>
    <row r="604" spans="1:18" hidden="1">
      <c r="A604" s="7" t="s">
        <v>29</v>
      </c>
      <c r="B604" s="8">
        <v>19529</v>
      </c>
      <c r="C604" s="9">
        <v>45733.492280092592</v>
      </c>
      <c r="D604" s="9">
        <v>45831</v>
      </c>
      <c r="E604" s="9">
        <v>45700</v>
      </c>
      <c r="F604" s="7" t="s">
        <v>2215</v>
      </c>
      <c r="G604" s="7" t="s">
        <v>2216</v>
      </c>
      <c r="H604" s="7" t="s">
        <v>2217</v>
      </c>
      <c r="I604" s="7" t="s">
        <v>2218</v>
      </c>
      <c r="J604" s="7" t="s">
        <v>176</v>
      </c>
      <c r="K604" s="7" t="s">
        <v>584</v>
      </c>
      <c r="L604" s="10">
        <v>17500</v>
      </c>
      <c r="M604" s="10">
        <v>17500</v>
      </c>
      <c r="N604" s="10">
        <f>+L604-M604</f>
        <v>0</v>
      </c>
      <c r="O604" s="10">
        <v>17500</v>
      </c>
      <c r="P604" s="10">
        <f>+L604-O604</f>
        <v>0</v>
      </c>
      <c r="Q604" s="10">
        <v>0</v>
      </c>
      <c r="R604" s="7" t="s">
        <v>27</v>
      </c>
    </row>
    <row r="605" spans="1:18" hidden="1">
      <c r="A605" s="7" t="s">
        <v>29</v>
      </c>
      <c r="B605" s="8">
        <v>19523</v>
      </c>
      <c r="C605" s="9">
        <v>45730.411168981482</v>
      </c>
      <c r="D605" s="9">
        <v>45241</v>
      </c>
      <c r="E605" s="9">
        <v>45730</v>
      </c>
      <c r="F605" s="7" t="s">
        <v>2219</v>
      </c>
      <c r="G605" s="7" t="s">
        <v>2220</v>
      </c>
      <c r="H605" s="7" t="s">
        <v>2221</v>
      </c>
      <c r="I605" s="7" t="s">
        <v>2222</v>
      </c>
      <c r="J605" s="7" t="s">
        <v>176</v>
      </c>
      <c r="K605" s="7" t="s">
        <v>317</v>
      </c>
      <c r="L605" s="10">
        <v>17300</v>
      </c>
      <c r="M605" s="10">
        <v>17300</v>
      </c>
      <c r="N605" s="10">
        <f>+L605-M605</f>
        <v>0</v>
      </c>
      <c r="O605" s="10">
        <v>17300</v>
      </c>
      <c r="P605" s="10">
        <f>+L605-O605</f>
        <v>0</v>
      </c>
      <c r="Q605" s="10">
        <v>0</v>
      </c>
      <c r="R605" s="7" t="s">
        <v>27</v>
      </c>
    </row>
    <row r="606" spans="1:18" hidden="1">
      <c r="A606" s="7" t="s">
        <v>29</v>
      </c>
      <c r="B606" s="8">
        <v>19359</v>
      </c>
      <c r="C606" s="9">
        <v>45685.590868055551</v>
      </c>
      <c r="D606" s="9">
        <v>45685</v>
      </c>
      <c r="E606" s="9">
        <v>45678</v>
      </c>
      <c r="F606" s="7" t="s">
        <v>2223</v>
      </c>
      <c r="G606" s="7" t="s">
        <v>2224</v>
      </c>
      <c r="H606" s="7" t="s">
        <v>1924</v>
      </c>
      <c r="I606" s="7" t="s">
        <v>1925</v>
      </c>
      <c r="J606" s="7" t="s">
        <v>34</v>
      </c>
      <c r="K606" s="7" t="s">
        <v>35</v>
      </c>
      <c r="L606" s="10">
        <v>17043.21</v>
      </c>
      <c r="M606" s="10">
        <v>17043.21</v>
      </c>
      <c r="N606" s="10">
        <f>+L606-M606</f>
        <v>0</v>
      </c>
      <c r="O606" s="10">
        <v>17043.21</v>
      </c>
      <c r="P606" s="10">
        <f>+L606-O606</f>
        <v>0</v>
      </c>
      <c r="Q606" s="10">
        <v>0</v>
      </c>
      <c r="R606" s="7" t="s">
        <v>27</v>
      </c>
    </row>
    <row r="607" spans="1:18" hidden="1">
      <c r="A607" s="7" t="s">
        <v>29</v>
      </c>
      <c r="B607" s="8">
        <v>19555</v>
      </c>
      <c r="C607" s="9">
        <v>45741.529907407406</v>
      </c>
      <c r="D607" s="9">
        <v>45778</v>
      </c>
      <c r="E607" s="9">
        <v>45743</v>
      </c>
      <c r="F607" s="7" t="s">
        <v>2225</v>
      </c>
      <c r="G607" s="7" t="s">
        <v>2226</v>
      </c>
      <c r="H607" s="7" t="s">
        <v>2227</v>
      </c>
      <c r="I607" s="7" t="s">
        <v>2228</v>
      </c>
      <c r="J607" s="7" t="s">
        <v>176</v>
      </c>
      <c r="K607" s="7" t="s">
        <v>374</v>
      </c>
      <c r="L607" s="10">
        <v>17000</v>
      </c>
      <c r="M607" s="10">
        <v>17000</v>
      </c>
      <c r="N607" s="10">
        <f>+L607-M607</f>
        <v>0</v>
      </c>
      <c r="O607" s="10">
        <v>17000</v>
      </c>
      <c r="P607" s="10">
        <f>+L607-O607</f>
        <v>0</v>
      </c>
      <c r="Q607" s="10">
        <v>0</v>
      </c>
      <c r="R607" s="7" t="s">
        <v>27</v>
      </c>
    </row>
    <row r="608" spans="1:18" hidden="1">
      <c r="A608" s="7" t="s">
        <v>29</v>
      </c>
      <c r="B608" s="8">
        <v>20817</v>
      </c>
      <c r="C608" s="9">
        <v>46020.043842592589</v>
      </c>
      <c r="D608" s="9">
        <v>45986</v>
      </c>
      <c r="E608" s="9">
        <v>45951</v>
      </c>
      <c r="F608" s="7" t="s">
        <v>2229</v>
      </c>
      <c r="G608" s="7" t="s">
        <v>2230</v>
      </c>
      <c r="H608" s="7" t="s">
        <v>726</v>
      </c>
      <c r="I608" s="7" t="s">
        <v>727</v>
      </c>
      <c r="J608" s="7" t="s">
        <v>176</v>
      </c>
      <c r="K608" s="7" t="s">
        <v>728</v>
      </c>
      <c r="L608" s="10">
        <v>16674</v>
      </c>
      <c r="M608" s="10">
        <v>16674</v>
      </c>
      <c r="N608" s="10">
        <f>+L608-M608</f>
        <v>0</v>
      </c>
      <c r="O608" s="10">
        <v>16674</v>
      </c>
      <c r="P608" s="10">
        <f>+L608-O608</f>
        <v>0</v>
      </c>
      <c r="Q608" s="10">
        <v>0</v>
      </c>
      <c r="R608" s="7" t="s">
        <v>27</v>
      </c>
    </row>
    <row r="609" spans="1:18" hidden="1">
      <c r="A609" s="7" t="s">
        <v>29</v>
      </c>
      <c r="B609" s="8">
        <v>20662</v>
      </c>
      <c r="C609" s="9">
        <v>45965.623854166668</v>
      </c>
      <c r="D609" s="9">
        <v>45909</v>
      </c>
      <c r="E609" s="9">
        <v>45825</v>
      </c>
      <c r="F609" s="7" t="s">
        <v>2231</v>
      </c>
      <c r="G609" s="7" t="s">
        <v>2232</v>
      </c>
      <c r="H609" s="7" t="s">
        <v>2233</v>
      </c>
      <c r="I609" s="7" t="s">
        <v>2234</v>
      </c>
      <c r="J609" s="7" t="s">
        <v>176</v>
      </c>
      <c r="K609" s="7" t="s">
        <v>550</v>
      </c>
      <c r="L609" s="10">
        <v>16500</v>
      </c>
      <c r="M609" s="10">
        <v>16500</v>
      </c>
      <c r="N609" s="10">
        <f>+L609-M609</f>
        <v>0</v>
      </c>
      <c r="O609" s="10">
        <v>16500</v>
      </c>
      <c r="P609" s="10">
        <f>+L609-O609</f>
        <v>0</v>
      </c>
      <c r="Q609" s="10">
        <v>0</v>
      </c>
      <c r="R609" s="7" t="s">
        <v>27</v>
      </c>
    </row>
    <row r="610" spans="1:18" hidden="1">
      <c r="A610" s="7" t="s">
        <v>29</v>
      </c>
      <c r="B610" s="8">
        <v>19501</v>
      </c>
      <c r="C610" s="9">
        <v>45726.471168981479</v>
      </c>
      <c r="D610" s="9">
        <v>45736</v>
      </c>
      <c r="E610" s="9">
        <v>45720</v>
      </c>
      <c r="F610" s="7" t="s">
        <v>2235</v>
      </c>
      <c r="G610" s="7" t="s">
        <v>2236</v>
      </c>
      <c r="H610" s="7" t="s">
        <v>2237</v>
      </c>
      <c r="I610" s="7" t="s">
        <v>2238</v>
      </c>
      <c r="J610" s="7" t="s">
        <v>176</v>
      </c>
      <c r="K610" s="7" t="s">
        <v>374</v>
      </c>
      <c r="L610" s="10">
        <v>16323</v>
      </c>
      <c r="M610" s="10">
        <v>16323</v>
      </c>
      <c r="N610" s="10">
        <f>+L610-M610</f>
        <v>0</v>
      </c>
      <c r="O610" s="10">
        <v>16323</v>
      </c>
      <c r="P610" s="10">
        <f>+L610-O610</f>
        <v>0</v>
      </c>
      <c r="Q610" s="10">
        <v>0</v>
      </c>
      <c r="R610" s="7" t="s">
        <v>27</v>
      </c>
    </row>
    <row r="611" spans="1:18" hidden="1">
      <c r="A611" s="7" t="s">
        <v>29</v>
      </c>
      <c r="B611" s="8">
        <v>20676</v>
      </c>
      <c r="C611" s="9">
        <v>45966.675347222219</v>
      </c>
      <c r="D611" s="9">
        <v>45930</v>
      </c>
      <c r="E611" s="9">
        <v>45935</v>
      </c>
      <c r="F611" s="7" t="s">
        <v>2239</v>
      </c>
      <c r="G611" s="7" t="s">
        <v>2240</v>
      </c>
      <c r="H611" s="7" t="s">
        <v>2241</v>
      </c>
      <c r="I611" s="7" t="s">
        <v>2242</v>
      </c>
      <c r="J611" s="7" t="s">
        <v>176</v>
      </c>
      <c r="K611" s="7" t="s">
        <v>374</v>
      </c>
      <c r="L611" s="10">
        <v>16189</v>
      </c>
      <c r="M611" s="10">
        <v>16189</v>
      </c>
      <c r="N611" s="10">
        <f>+L611-M611</f>
        <v>0</v>
      </c>
      <c r="O611" s="10">
        <v>16189</v>
      </c>
      <c r="P611" s="10">
        <f>+L611-O611</f>
        <v>0</v>
      </c>
      <c r="Q611" s="10">
        <v>0</v>
      </c>
      <c r="R611" s="7" t="s">
        <v>27</v>
      </c>
    </row>
    <row r="612" spans="1:18" hidden="1">
      <c r="A612" s="7" t="s">
        <v>29</v>
      </c>
      <c r="B612" s="8">
        <v>19892</v>
      </c>
      <c r="C612" s="9">
        <v>45807.66706018518</v>
      </c>
      <c r="D612" s="9">
        <v>45918</v>
      </c>
      <c r="E612" s="9">
        <v>45909</v>
      </c>
      <c r="F612" s="7" t="s">
        <v>2243</v>
      </c>
      <c r="G612" s="7" t="s">
        <v>2244</v>
      </c>
      <c r="H612" s="7" t="s">
        <v>2245</v>
      </c>
      <c r="I612" s="7" t="s">
        <v>2246</v>
      </c>
      <c r="J612" s="7" t="s">
        <v>176</v>
      </c>
      <c r="K612" s="7" t="s">
        <v>177</v>
      </c>
      <c r="L612" s="10">
        <v>16115</v>
      </c>
      <c r="M612" s="10">
        <v>16115</v>
      </c>
      <c r="N612" s="10">
        <f>+L612-M612</f>
        <v>0</v>
      </c>
      <c r="O612" s="10">
        <v>16115</v>
      </c>
      <c r="P612" s="10">
        <f>+L612-O612</f>
        <v>0</v>
      </c>
      <c r="Q612" s="10">
        <v>0</v>
      </c>
      <c r="R612" s="7" t="s">
        <v>27</v>
      </c>
    </row>
    <row r="613" spans="1:18" hidden="1">
      <c r="A613" s="7" t="s">
        <v>29</v>
      </c>
      <c r="B613" s="8">
        <v>20641</v>
      </c>
      <c r="C613" s="9">
        <v>45960.451365740737</v>
      </c>
      <c r="D613" s="9">
        <v>46954</v>
      </c>
      <c r="E613" s="9">
        <v>45909</v>
      </c>
      <c r="F613" s="7" t="s">
        <v>2247</v>
      </c>
      <c r="G613" s="7" t="s">
        <v>2248</v>
      </c>
      <c r="H613" s="7" t="s">
        <v>2249</v>
      </c>
      <c r="I613" s="7" t="s">
        <v>2250</v>
      </c>
      <c r="J613" s="7" t="s">
        <v>176</v>
      </c>
      <c r="K613" s="7" t="s">
        <v>374</v>
      </c>
      <c r="L613" s="10">
        <v>16000</v>
      </c>
      <c r="M613" s="10">
        <v>16000</v>
      </c>
      <c r="N613" s="10">
        <f>+L613-M613</f>
        <v>0</v>
      </c>
      <c r="O613" s="10">
        <v>16000</v>
      </c>
      <c r="P613" s="10">
        <f>+L613-O613</f>
        <v>0</v>
      </c>
      <c r="Q613" s="10">
        <v>0</v>
      </c>
      <c r="R613" s="7" t="s">
        <v>27</v>
      </c>
    </row>
    <row r="614" spans="1:18" hidden="1">
      <c r="A614" s="7" t="s">
        <v>29</v>
      </c>
      <c r="B614" s="8">
        <v>19557</v>
      </c>
      <c r="C614" s="9">
        <v>45741.606342592589</v>
      </c>
      <c r="D614" s="9">
        <v>45807</v>
      </c>
      <c r="E614" s="9">
        <v>45730</v>
      </c>
      <c r="F614" s="7" t="s">
        <v>2251</v>
      </c>
      <c r="G614" s="7" t="s">
        <v>2252</v>
      </c>
      <c r="H614" s="7" t="s">
        <v>2253</v>
      </c>
      <c r="I614" s="7" t="s">
        <v>2254</v>
      </c>
      <c r="J614" s="7" t="s">
        <v>176</v>
      </c>
      <c r="K614" s="7" t="s">
        <v>374</v>
      </c>
      <c r="L614" s="10">
        <v>16000</v>
      </c>
      <c r="M614" s="10">
        <v>16000</v>
      </c>
      <c r="N614" s="10">
        <f>+L614-M614</f>
        <v>0</v>
      </c>
      <c r="O614" s="10">
        <v>16000</v>
      </c>
      <c r="P614" s="10">
        <f>+L614-O614</f>
        <v>0</v>
      </c>
      <c r="Q614" s="10">
        <v>0</v>
      </c>
      <c r="R614" s="7" t="s">
        <v>27</v>
      </c>
    </row>
    <row r="615" spans="1:18" hidden="1">
      <c r="A615" s="7" t="s">
        <v>29</v>
      </c>
      <c r="B615" s="8">
        <v>4198</v>
      </c>
      <c r="C615" s="9">
        <v>45770.420752314814</v>
      </c>
      <c r="D615" s="9">
        <v>45677</v>
      </c>
      <c r="E615" s="9">
        <v>45677</v>
      </c>
      <c r="F615" s="7" t="s">
        <v>2255</v>
      </c>
      <c r="G615" s="7" t="s">
        <v>2256</v>
      </c>
      <c r="H615" s="7" t="s">
        <v>2257</v>
      </c>
      <c r="I615" s="7" t="s">
        <v>1694</v>
      </c>
      <c r="J615" s="7" t="s">
        <v>25</v>
      </c>
      <c r="K615" s="7" t="s">
        <v>86</v>
      </c>
      <c r="L615" s="10">
        <v>221531.81</v>
      </c>
      <c r="M615" s="10">
        <v>221531.81</v>
      </c>
      <c r="N615" s="15">
        <f>+L615-M615</f>
        <v>0</v>
      </c>
      <c r="O615" s="15">
        <v>221531.81</v>
      </c>
      <c r="P615" s="15">
        <f>+L615-O615</f>
        <v>0</v>
      </c>
      <c r="Q615" s="10">
        <v>0</v>
      </c>
      <c r="R615" s="7" t="s">
        <v>87</v>
      </c>
    </row>
    <row r="616" spans="1:18" hidden="1">
      <c r="A616" s="7" t="s">
        <v>29</v>
      </c>
      <c r="B616" s="8">
        <v>19630</v>
      </c>
      <c r="C616" s="9">
        <v>45751.716249999998</v>
      </c>
      <c r="D616" s="9">
        <v>45751</v>
      </c>
      <c r="E616" s="9">
        <v>45777</v>
      </c>
      <c r="F616" s="7" t="s">
        <v>2258</v>
      </c>
      <c r="G616" s="7" t="s">
        <v>2259</v>
      </c>
      <c r="H616" s="7" t="s">
        <v>2260</v>
      </c>
      <c r="I616" s="7" t="s">
        <v>2261</v>
      </c>
      <c r="J616" s="7" t="s">
        <v>40</v>
      </c>
      <c r="K616" s="7" t="s">
        <v>2262</v>
      </c>
      <c r="L616" s="10">
        <v>23959.39</v>
      </c>
      <c r="M616" s="10">
        <v>23959.39</v>
      </c>
      <c r="N616" s="10">
        <f>+L616-M616</f>
        <v>0</v>
      </c>
      <c r="O616" s="10">
        <v>23959.39</v>
      </c>
      <c r="P616" s="10">
        <f>+L616-O616</f>
        <v>0</v>
      </c>
      <c r="Q616" s="10">
        <v>0</v>
      </c>
      <c r="R616" s="7" t="s">
        <v>27</v>
      </c>
    </row>
    <row r="617" spans="1:18" hidden="1">
      <c r="A617" s="7" t="s">
        <v>29</v>
      </c>
      <c r="B617" s="8">
        <v>20104</v>
      </c>
      <c r="C617" s="9">
        <v>45845.474386574075</v>
      </c>
      <c r="D617" s="9">
        <v>45845</v>
      </c>
      <c r="E617" s="9">
        <v>45860</v>
      </c>
      <c r="F617" s="7" t="s">
        <v>2263</v>
      </c>
      <c r="G617" s="7" t="s">
        <v>2264</v>
      </c>
      <c r="H617" s="7" t="s">
        <v>2265</v>
      </c>
      <c r="I617" s="7" t="s">
        <v>2266</v>
      </c>
      <c r="J617" s="7" t="s">
        <v>34</v>
      </c>
      <c r="K617" s="7" t="s">
        <v>118</v>
      </c>
      <c r="L617" s="10">
        <v>15777.5</v>
      </c>
      <c r="M617" s="10">
        <v>15777.5</v>
      </c>
      <c r="N617" s="10">
        <f>+L617-M617</f>
        <v>0</v>
      </c>
      <c r="O617" s="10">
        <v>15777.5</v>
      </c>
      <c r="P617" s="10">
        <f>+L617-O617</f>
        <v>0</v>
      </c>
      <c r="Q617" s="10">
        <v>0</v>
      </c>
      <c r="R617" s="7" t="s">
        <v>27</v>
      </c>
    </row>
    <row r="618" spans="1:18" hidden="1">
      <c r="A618" s="7" t="s">
        <v>29</v>
      </c>
      <c r="B618" s="8">
        <v>19588</v>
      </c>
      <c r="C618" s="9">
        <v>45744.770590277774</v>
      </c>
      <c r="D618" s="9">
        <v>45838</v>
      </c>
      <c r="E618" s="9">
        <v>45379</v>
      </c>
      <c r="F618" s="7" t="s">
        <v>2267</v>
      </c>
      <c r="G618" s="7" t="s">
        <v>2268</v>
      </c>
      <c r="H618" s="7" t="s">
        <v>2269</v>
      </c>
      <c r="I618" s="7" t="s">
        <v>2270</v>
      </c>
      <c r="J618" s="7" t="s">
        <v>40</v>
      </c>
      <c r="K618" s="7" t="s">
        <v>1326</v>
      </c>
      <c r="L618" s="10">
        <v>15916.07</v>
      </c>
      <c r="M618" s="10">
        <v>15916.07</v>
      </c>
      <c r="N618" s="10">
        <f>+L618-M618</f>
        <v>0</v>
      </c>
      <c r="O618" s="10">
        <v>15916.07</v>
      </c>
      <c r="P618" s="10">
        <f>+L618-O618</f>
        <v>0</v>
      </c>
      <c r="Q618" s="10">
        <v>0</v>
      </c>
      <c r="R618" s="7" t="s">
        <v>27</v>
      </c>
    </row>
    <row r="619" spans="1:18">
      <c r="A619" s="7" t="s">
        <v>29</v>
      </c>
      <c r="B619" s="8">
        <v>20284</v>
      </c>
      <c r="C619" s="9">
        <v>45883.621724537035</v>
      </c>
      <c r="D619" s="9">
        <v>45899</v>
      </c>
      <c r="E619" s="9">
        <v>45869</v>
      </c>
      <c r="F619" s="7" t="s">
        <v>2271</v>
      </c>
      <c r="G619" s="7" t="s">
        <v>2272</v>
      </c>
      <c r="H619" s="7" t="s">
        <v>2205</v>
      </c>
      <c r="I619" s="7" t="s">
        <v>2206</v>
      </c>
      <c r="J619" s="7" t="s">
        <v>25</v>
      </c>
      <c r="K619" s="7" t="s">
        <v>26</v>
      </c>
      <c r="L619" s="10">
        <v>141943.26</v>
      </c>
      <c r="M619" s="10">
        <v>141943.26</v>
      </c>
      <c r="N619" s="10">
        <f>+L619-M619</f>
        <v>0</v>
      </c>
      <c r="O619" s="10">
        <v>141943.26</v>
      </c>
      <c r="P619" s="10">
        <f>+L619-O619</f>
        <v>0</v>
      </c>
      <c r="Q619" s="10">
        <v>0</v>
      </c>
      <c r="R619" s="7" t="s">
        <v>27</v>
      </c>
    </row>
    <row r="620" spans="1:18" hidden="1">
      <c r="A620" s="7" t="s">
        <v>29</v>
      </c>
      <c r="B620" s="8">
        <v>19317</v>
      </c>
      <c r="C620" s="9">
        <v>45666.378055555557</v>
      </c>
      <c r="D620" s="9">
        <v>45554</v>
      </c>
      <c r="E620" s="9">
        <v>45500</v>
      </c>
      <c r="F620" s="7" t="s">
        <v>2273</v>
      </c>
      <c r="G620" s="7" t="s">
        <v>2274</v>
      </c>
      <c r="H620" s="7" t="s">
        <v>2275</v>
      </c>
      <c r="I620" s="7" t="s">
        <v>2276</v>
      </c>
      <c r="J620" s="7" t="s">
        <v>176</v>
      </c>
      <c r="K620" s="7" t="s">
        <v>494</v>
      </c>
      <c r="L620" s="10">
        <v>15729</v>
      </c>
      <c r="M620" s="10">
        <v>15729</v>
      </c>
      <c r="N620" s="10">
        <f>+L620-M620</f>
        <v>0</v>
      </c>
      <c r="O620" s="10">
        <v>15729</v>
      </c>
      <c r="P620" s="10">
        <f>+L620-O620</f>
        <v>0</v>
      </c>
      <c r="Q620" s="10">
        <v>0</v>
      </c>
      <c r="R620" s="7" t="s">
        <v>27</v>
      </c>
    </row>
    <row r="621" spans="1:18" hidden="1">
      <c r="A621" s="7" t="s">
        <v>29</v>
      </c>
      <c r="B621" s="8">
        <v>4173</v>
      </c>
      <c r="C621" s="9">
        <v>45721.383472222224</v>
      </c>
      <c r="D621" s="9">
        <v>45713</v>
      </c>
      <c r="E621" s="9">
        <v>45713</v>
      </c>
      <c r="F621" s="7" t="s">
        <v>2277</v>
      </c>
      <c r="G621" s="7" t="s">
        <v>2278</v>
      </c>
      <c r="H621" s="7" t="s">
        <v>2279</v>
      </c>
      <c r="I621" s="7" t="s">
        <v>2280</v>
      </c>
      <c r="J621" s="7" t="s">
        <v>25</v>
      </c>
      <c r="K621" s="7" t="s">
        <v>86</v>
      </c>
      <c r="L621" s="10">
        <v>134383.18</v>
      </c>
      <c r="M621" s="10">
        <v>134383.18</v>
      </c>
      <c r="N621" s="15">
        <f>+L621-M621</f>
        <v>0</v>
      </c>
      <c r="O621" s="15">
        <v>134383.18</v>
      </c>
      <c r="P621" s="15">
        <f>+L621-O621</f>
        <v>0</v>
      </c>
      <c r="Q621" s="10">
        <v>0</v>
      </c>
      <c r="R621" s="7" t="s">
        <v>87</v>
      </c>
    </row>
    <row r="622" spans="1:18" hidden="1">
      <c r="A622" s="7" t="s">
        <v>29</v>
      </c>
      <c r="B622" s="8">
        <v>20250</v>
      </c>
      <c r="C622" s="9">
        <v>45875.533530092587</v>
      </c>
      <c r="D622" s="9">
        <v>45940</v>
      </c>
      <c r="E622" s="9">
        <v>45893</v>
      </c>
      <c r="F622" s="7" t="s">
        <v>2281</v>
      </c>
      <c r="G622" s="7" t="s">
        <v>2282</v>
      </c>
      <c r="H622" s="7" t="s">
        <v>1903</v>
      </c>
      <c r="I622" s="7" t="s">
        <v>1904</v>
      </c>
      <c r="J622" s="7" t="s">
        <v>176</v>
      </c>
      <c r="K622" s="7" t="s">
        <v>177</v>
      </c>
      <c r="L622" s="10">
        <v>15352.78</v>
      </c>
      <c r="M622" s="10">
        <v>15352.78</v>
      </c>
      <c r="N622" s="10">
        <f>+L622-M622</f>
        <v>0</v>
      </c>
      <c r="O622" s="10">
        <v>15352.78</v>
      </c>
      <c r="P622" s="10">
        <f>+L622-O622</f>
        <v>0</v>
      </c>
      <c r="Q622" s="10">
        <v>0</v>
      </c>
      <c r="R622" s="7" t="s">
        <v>27</v>
      </c>
    </row>
    <row r="623" spans="1:18">
      <c r="A623" s="7" t="s">
        <v>29</v>
      </c>
      <c r="B623" s="8">
        <v>19458</v>
      </c>
      <c r="C623" s="9">
        <v>45713.605752314812</v>
      </c>
      <c r="D623" s="9">
        <v>45709</v>
      </c>
      <c r="E623" s="9">
        <v>45692</v>
      </c>
      <c r="F623" s="7" t="s">
        <v>2283</v>
      </c>
      <c r="G623" s="7" t="s">
        <v>1296</v>
      </c>
      <c r="H623" s="7" t="s">
        <v>2284</v>
      </c>
      <c r="I623" s="7" t="s">
        <v>1763</v>
      </c>
      <c r="J623" s="7" t="s">
        <v>25</v>
      </c>
      <c r="K623" s="7" t="s">
        <v>537</v>
      </c>
      <c r="L623" s="10">
        <v>116552.38</v>
      </c>
      <c r="M623" s="10">
        <v>116552.38</v>
      </c>
      <c r="N623" s="10">
        <f>+L623-M623</f>
        <v>0</v>
      </c>
      <c r="O623" s="10">
        <v>116552.38</v>
      </c>
      <c r="P623" s="10">
        <f>+L623-O623</f>
        <v>0</v>
      </c>
      <c r="Q623" s="10">
        <v>0</v>
      </c>
      <c r="R623" s="7" t="s">
        <v>27</v>
      </c>
    </row>
    <row r="624" spans="1:18">
      <c r="A624" s="7" t="s">
        <v>29</v>
      </c>
      <c r="B624" s="8">
        <v>19635</v>
      </c>
      <c r="C624" s="9">
        <v>45755.556134259255</v>
      </c>
      <c r="D624" s="9">
        <v>45771</v>
      </c>
      <c r="E624" s="9">
        <v>45805</v>
      </c>
      <c r="F624" s="7" t="s">
        <v>2285</v>
      </c>
      <c r="G624" s="7" t="s">
        <v>2286</v>
      </c>
      <c r="H624" s="7" t="s">
        <v>2287</v>
      </c>
      <c r="I624" s="7" t="s">
        <v>2288</v>
      </c>
      <c r="J624" s="7" t="s">
        <v>25</v>
      </c>
      <c r="K624" s="7" t="s">
        <v>26</v>
      </c>
      <c r="L624" s="10">
        <v>113679.67</v>
      </c>
      <c r="M624" s="10">
        <v>113679.67</v>
      </c>
      <c r="N624" s="10">
        <f>+L624-M624</f>
        <v>0</v>
      </c>
      <c r="O624" s="10">
        <v>113679.67</v>
      </c>
      <c r="P624" s="10">
        <f>+L624-O624</f>
        <v>0</v>
      </c>
      <c r="Q624" s="10">
        <v>0</v>
      </c>
      <c r="R624" s="7" t="s">
        <v>27</v>
      </c>
    </row>
    <row r="625" spans="1:18" hidden="1">
      <c r="A625" s="7" t="s">
        <v>29</v>
      </c>
      <c r="B625" s="8">
        <v>20604</v>
      </c>
      <c r="C625" s="9">
        <v>45950.651354166665</v>
      </c>
      <c r="D625" s="9">
        <v>45952</v>
      </c>
      <c r="E625" s="9">
        <v>45895</v>
      </c>
      <c r="F625" s="7" t="s">
        <v>2289</v>
      </c>
      <c r="G625" s="7" t="s">
        <v>2290</v>
      </c>
      <c r="H625" s="7" t="s">
        <v>2291</v>
      </c>
      <c r="I625" s="7" t="s">
        <v>2292</v>
      </c>
      <c r="J625" s="7" t="s">
        <v>176</v>
      </c>
      <c r="K625" s="7" t="s">
        <v>374</v>
      </c>
      <c r="L625" s="10">
        <v>15000</v>
      </c>
      <c r="M625" s="10">
        <v>15000</v>
      </c>
      <c r="N625" s="10">
        <f>+L625-M625</f>
        <v>0</v>
      </c>
      <c r="O625" s="10">
        <v>15000</v>
      </c>
      <c r="P625" s="10">
        <f>+L625-O625</f>
        <v>0</v>
      </c>
      <c r="Q625" s="10">
        <v>0</v>
      </c>
      <c r="R625" s="7" t="s">
        <v>27</v>
      </c>
    </row>
    <row r="626" spans="1:18" hidden="1">
      <c r="A626" s="7" t="s">
        <v>29</v>
      </c>
      <c r="B626" s="8">
        <v>20564</v>
      </c>
      <c r="C626" s="9">
        <v>45940.413124999999</v>
      </c>
      <c r="D626" s="9">
        <v>45778</v>
      </c>
      <c r="E626" s="9">
        <v>45771</v>
      </c>
      <c r="F626" s="7" t="s">
        <v>2293</v>
      </c>
      <c r="G626" s="7" t="s">
        <v>2294</v>
      </c>
      <c r="H626" s="7" t="s">
        <v>1948</v>
      </c>
      <c r="I626" s="7" t="s">
        <v>1949</v>
      </c>
      <c r="J626" s="7" t="s">
        <v>176</v>
      </c>
      <c r="K626" s="7" t="s">
        <v>569</v>
      </c>
      <c r="L626" s="10">
        <v>14869</v>
      </c>
      <c r="M626" s="10">
        <v>14869</v>
      </c>
      <c r="N626" s="10">
        <f>+L626-M626</f>
        <v>0</v>
      </c>
      <c r="O626" s="10">
        <v>14869</v>
      </c>
      <c r="P626" s="10">
        <f>+L626-O626</f>
        <v>0</v>
      </c>
      <c r="Q626" s="10">
        <v>0</v>
      </c>
      <c r="R626" s="7" t="s">
        <v>27</v>
      </c>
    </row>
    <row r="627" spans="1:18">
      <c r="A627" s="7" t="s">
        <v>29</v>
      </c>
      <c r="B627" s="8">
        <v>20126</v>
      </c>
      <c r="C627" s="9">
        <v>45847.729432870372</v>
      </c>
      <c r="D627" s="9">
        <v>45838</v>
      </c>
      <c r="E627" s="9">
        <v>45831</v>
      </c>
      <c r="F627" s="7" t="s">
        <v>2295</v>
      </c>
      <c r="G627" s="7" t="s">
        <v>2296</v>
      </c>
      <c r="H627" s="7" t="s">
        <v>2205</v>
      </c>
      <c r="I627" s="7" t="s">
        <v>2206</v>
      </c>
      <c r="J627" s="7" t="s">
        <v>25</v>
      </c>
      <c r="K627" s="7" t="s">
        <v>26</v>
      </c>
      <c r="L627" s="10">
        <v>97251.19</v>
      </c>
      <c r="M627" s="10">
        <v>97251.19</v>
      </c>
      <c r="N627" s="10">
        <f>+L627-M627</f>
        <v>0</v>
      </c>
      <c r="O627" s="10">
        <v>97251.19</v>
      </c>
      <c r="P627" s="10">
        <f>+L627-O627</f>
        <v>0</v>
      </c>
      <c r="Q627" s="10">
        <v>0</v>
      </c>
      <c r="R627" s="7" t="s">
        <v>27</v>
      </c>
    </row>
    <row r="628" spans="1:18">
      <c r="A628" s="7" t="s">
        <v>29</v>
      </c>
      <c r="B628" s="8">
        <v>19607</v>
      </c>
      <c r="C628" s="9">
        <v>45750.705046296294</v>
      </c>
      <c r="D628" s="9">
        <v>45777</v>
      </c>
      <c r="E628" s="9">
        <v>45777</v>
      </c>
      <c r="F628" s="7" t="s">
        <v>2297</v>
      </c>
      <c r="G628" s="7" t="s">
        <v>2298</v>
      </c>
      <c r="H628" s="7" t="s">
        <v>311</v>
      </c>
      <c r="I628" s="7" t="s">
        <v>239</v>
      </c>
      <c r="J628" s="7" t="s">
        <v>25</v>
      </c>
      <c r="K628" s="7" t="s">
        <v>537</v>
      </c>
      <c r="L628" s="10">
        <v>95711</v>
      </c>
      <c r="M628" s="10">
        <v>95711</v>
      </c>
      <c r="N628" s="10">
        <f>+L628-M628</f>
        <v>0</v>
      </c>
      <c r="O628" s="10">
        <v>95711</v>
      </c>
      <c r="P628" s="10">
        <f>+L628-O628</f>
        <v>0</v>
      </c>
      <c r="Q628" s="10">
        <v>0</v>
      </c>
      <c r="R628" s="7" t="s">
        <v>27</v>
      </c>
    </row>
    <row r="629" spans="1:18" hidden="1">
      <c r="A629" s="7" t="s">
        <v>29</v>
      </c>
      <c r="B629" s="8">
        <v>4188</v>
      </c>
      <c r="C629" s="9">
        <v>45743.349317129629</v>
      </c>
      <c r="D629" s="9">
        <v>45693</v>
      </c>
      <c r="E629" s="9">
        <v>45693</v>
      </c>
      <c r="F629" s="7" t="s">
        <v>2299</v>
      </c>
      <c r="G629" s="7" t="s">
        <v>2300</v>
      </c>
      <c r="H629" s="7" t="s">
        <v>1729</v>
      </c>
      <c r="I629" s="7" t="s">
        <v>1730</v>
      </c>
      <c r="J629" s="7" t="s">
        <v>25</v>
      </c>
      <c r="K629" s="7" t="s">
        <v>86</v>
      </c>
      <c r="L629" s="10">
        <v>87716.95</v>
      </c>
      <c r="M629" s="10">
        <v>87716.95</v>
      </c>
      <c r="N629" s="15">
        <f>+L629-M629</f>
        <v>0</v>
      </c>
      <c r="O629" s="15">
        <v>87716.95</v>
      </c>
      <c r="P629" s="15">
        <f>+L629-O629</f>
        <v>0</v>
      </c>
      <c r="Q629" s="10">
        <v>0</v>
      </c>
      <c r="R629" s="7" t="s">
        <v>87</v>
      </c>
    </row>
    <row r="630" spans="1:18" hidden="1">
      <c r="A630" s="7" t="s">
        <v>29</v>
      </c>
      <c r="B630" s="8">
        <v>20648</v>
      </c>
      <c r="C630" s="9">
        <v>45961.634143518517</v>
      </c>
      <c r="D630" s="9">
        <v>45961</v>
      </c>
      <c r="E630" s="9">
        <v>45960</v>
      </c>
      <c r="F630" s="7" t="s">
        <v>2301</v>
      </c>
      <c r="G630" s="7" t="s">
        <v>2302</v>
      </c>
      <c r="H630" s="7" t="s">
        <v>2303</v>
      </c>
      <c r="I630" s="7" t="s">
        <v>2304</v>
      </c>
      <c r="J630" s="7" t="s">
        <v>34</v>
      </c>
      <c r="K630" s="7" t="s">
        <v>105</v>
      </c>
      <c r="L630" s="10">
        <v>14442.51</v>
      </c>
      <c r="M630" s="10">
        <v>14442.51</v>
      </c>
      <c r="N630" s="10">
        <f>+L630-M630</f>
        <v>0</v>
      </c>
      <c r="O630" s="10">
        <v>14442.51</v>
      </c>
      <c r="P630" s="10">
        <f>+L630-O630</f>
        <v>0</v>
      </c>
      <c r="Q630" s="10">
        <v>0</v>
      </c>
      <c r="R630" s="7" t="s">
        <v>27</v>
      </c>
    </row>
    <row r="631" spans="1:18">
      <c r="A631" s="7" t="s">
        <v>29</v>
      </c>
      <c r="B631" s="8">
        <v>19603</v>
      </c>
      <c r="C631" s="9">
        <v>45749.727754629625</v>
      </c>
      <c r="D631" s="9">
        <v>45777</v>
      </c>
      <c r="E631" s="9">
        <v>45700</v>
      </c>
      <c r="F631" s="7" t="s">
        <v>2305</v>
      </c>
      <c r="G631" s="7" t="s">
        <v>2306</v>
      </c>
      <c r="H631" s="7" t="s">
        <v>2307</v>
      </c>
      <c r="I631" s="7" t="s">
        <v>2308</v>
      </c>
      <c r="J631" s="7" t="s">
        <v>25</v>
      </c>
      <c r="K631" s="7" t="s">
        <v>55</v>
      </c>
      <c r="L631" s="10">
        <v>85657.12</v>
      </c>
      <c r="M631" s="10">
        <v>85657.12</v>
      </c>
      <c r="N631" s="10">
        <f>+L631-M631</f>
        <v>0</v>
      </c>
      <c r="O631" s="10">
        <v>85657.12</v>
      </c>
      <c r="P631" s="10">
        <f>+L631-O631</f>
        <v>0</v>
      </c>
      <c r="Q631" s="10">
        <v>0</v>
      </c>
      <c r="R631" s="7" t="s">
        <v>27</v>
      </c>
    </row>
    <row r="632" spans="1:18" hidden="1">
      <c r="A632" s="7" t="s">
        <v>29</v>
      </c>
      <c r="B632" s="8">
        <v>20393</v>
      </c>
      <c r="C632" s="9">
        <v>45902.697152777779</v>
      </c>
      <c r="D632" s="9">
        <v>45497</v>
      </c>
      <c r="E632" s="9">
        <v>45483</v>
      </c>
      <c r="F632" s="7" t="s">
        <v>2309</v>
      </c>
      <c r="G632" s="7" t="s">
        <v>2310</v>
      </c>
      <c r="H632" s="7" t="s">
        <v>2311</v>
      </c>
      <c r="I632" s="7" t="s">
        <v>2312</v>
      </c>
      <c r="J632" s="7" t="s">
        <v>176</v>
      </c>
      <c r="K632" s="7" t="s">
        <v>317</v>
      </c>
      <c r="L632" s="10">
        <v>14200</v>
      </c>
      <c r="M632" s="10">
        <v>14200</v>
      </c>
      <c r="N632" s="10">
        <f>+L632-M632</f>
        <v>0</v>
      </c>
      <c r="O632" s="10">
        <v>14200</v>
      </c>
      <c r="P632" s="10">
        <f>+L632-O632</f>
        <v>0</v>
      </c>
      <c r="Q632" s="10">
        <v>0</v>
      </c>
      <c r="R632" s="7" t="s">
        <v>27</v>
      </c>
    </row>
    <row r="633" spans="1:18" hidden="1">
      <c r="A633" s="7" t="s">
        <v>29</v>
      </c>
      <c r="B633" s="8">
        <v>19478</v>
      </c>
      <c r="C633" s="9">
        <v>45716.495173611111</v>
      </c>
      <c r="D633" s="9">
        <v>45749</v>
      </c>
      <c r="E633" s="9">
        <v>45744</v>
      </c>
      <c r="F633" s="7" t="s">
        <v>2313</v>
      </c>
      <c r="G633" s="7" t="s">
        <v>2314</v>
      </c>
      <c r="H633" s="7" t="s">
        <v>2315</v>
      </c>
      <c r="I633" s="7" t="s">
        <v>2316</v>
      </c>
      <c r="J633" s="7" t="s">
        <v>176</v>
      </c>
      <c r="K633" s="7" t="s">
        <v>584</v>
      </c>
      <c r="L633" s="10">
        <v>14100</v>
      </c>
      <c r="M633" s="10">
        <v>14100</v>
      </c>
      <c r="N633" s="10">
        <f>+L633-M633</f>
        <v>0</v>
      </c>
      <c r="O633" s="10">
        <v>14100</v>
      </c>
      <c r="P633" s="10">
        <f>+L633-O633</f>
        <v>0</v>
      </c>
      <c r="Q633" s="10">
        <v>0</v>
      </c>
      <c r="R633" s="7" t="s">
        <v>27</v>
      </c>
    </row>
    <row r="634" spans="1:18" hidden="1">
      <c r="A634" s="7" t="s">
        <v>29</v>
      </c>
      <c r="B634" s="8">
        <v>20265</v>
      </c>
      <c r="C634" s="9">
        <v>45879.891909722217</v>
      </c>
      <c r="D634" s="9">
        <v>45659</v>
      </c>
      <c r="E634" s="9">
        <v>45628</v>
      </c>
      <c r="F634" s="7" t="s">
        <v>2317</v>
      </c>
      <c r="G634" s="7" t="s">
        <v>2318</v>
      </c>
      <c r="H634" s="7" t="s">
        <v>896</v>
      </c>
      <c r="I634" s="7" t="s">
        <v>897</v>
      </c>
      <c r="J634" s="7" t="s">
        <v>176</v>
      </c>
      <c r="K634" s="7" t="s">
        <v>374</v>
      </c>
      <c r="L634" s="10">
        <v>14000</v>
      </c>
      <c r="M634" s="10">
        <v>14000</v>
      </c>
      <c r="N634" s="10">
        <f>+L634-M634</f>
        <v>0</v>
      </c>
      <c r="O634" s="10">
        <v>14000</v>
      </c>
      <c r="P634" s="10">
        <f>+L634-O634</f>
        <v>0</v>
      </c>
      <c r="Q634" s="10">
        <v>0</v>
      </c>
      <c r="R634" s="7" t="s">
        <v>27</v>
      </c>
    </row>
    <row r="635" spans="1:18" hidden="1">
      <c r="A635" s="7" t="s">
        <v>29</v>
      </c>
      <c r="B635" s="8">
        <v>19476</v>
      </c>
      <c r="C635" s="9">
        <v>45716.494710648149</v>
      </c>
      <c r="D635" s="9">
        <v>45751</v>
      </c>
      <c r="E635" s="9">
        <v>45729</v>
      </c>
      <c r="F635" s="7" t="s">
        <v>2319</v>
      </c>
      <c r="G635" s="7" t="s">
        <v>2320</v>
      </c>
      <c r="H635" s="7" t="s">
        <v>2321</v>
      </c>
      <c r="I635" s="7" t="s">
        <v>2322</v>
      </c>
      <c r="J635" s="7" t="s">
        <v>176</v>
      </c>
      <c r="K635" s="7" t="s">
        <v>945</v>
      </c>
      <c r="L635" s="10">
        <v>14000</v>
      </c>
      <c r="M635" s="10">
        <v>14000</v>
      </c>
      <c r="N635" s="10">
        <f>+L635-M635</f>
        <v>0</v>
      </c>
      <c r="O635" s="10">
        <v>14000</v>
      </c>
      <c r="P635" s="10">
        <f>+L635-O635</f>
        <v>0</v>
      </c>
      <c r="Q635" s="10">
        <v>0</v>
      </c>
      <c r="R635" s="7" t="s">
        <v>27</v>
      </c>
    </row>
    <row r="636" spans="1:18" hidden="1">
      <c r="A636" s="7" t="s">
        <v>29</v>
      </c>
      <c r="B636" s="8">
        <v>20938</v>
      </c>
      <c r="C636" s="9">
        <v>46057.458344907405</v>
      </c>
      <c r="D636" s="9">
        <v>46014</v>
      </c>
      <c r="E636" s="9">
        <v>45945</v>
      </c>
      <c r="F636" s="7" t="s">
        <v>2323</v>
      </c>
      <c r="G636" s="7" t="s">
        <v>2324</v>
      </c>
      <c r="H636" s="7" t="s">
        <v>2325</v>
      </c>
      <c r="I636" s="7" t="s">
        <v>2326</v>
      </c>
      <c r="J636" s="7" t="s">
        <v>176</v>
      </c>
      <c r="K636" s="7" t="s">
        <v>584</v>
      </c>
      <c r="L636" s="10">
        <v>14000</v>
      </c>
      <c r="M636" s="10">
        <v>14000</v>
      </c>
      <c r="N636" s="10">
        <f>+L636-M636</f>
        <v>0</v>
      </c>
      <c r="O636" s="10">
        <v>14000</v>
      </c>
      <c r="P636" s="10">
        <f>+L636-O636</f>
        <v>0</v>
      </c>
      <c r="Q636" s="10">
        <v>0</v>
      </c>
      <c r="R636" s="7" t="s">
        <v>27</v>
      </c>
    </row>
    <row r="637" spans="1:18" hidden="1">
      <c r="A637" s="7" t="s">
        <v>29</v>
      </c>
      <c r="B637" s="8">
        <v>19874</v>
      </c>
      <c r="C637" s="9">
        <v>45805.729421296295</v>
      </c>
      <c r="D637" s="9">
        <v>45815</v>
      </c>
      <c r="E637" s="9">
        <v>45786</v>
      </c>
      <c r="F637" s="7" t="s">
        <v>2327</v>
      </c>
      <c r="G637" s="7" t="s">
        <v>2328</v>
      </c>
      <c r="H637" s="7" t="s">
        <v>2329</v>
      </c>
      <c r="I637" s="7" t="s">
        <v>2330</v>
      </c>
      <c r="J637" s="7" t="s">
        <v>176</v>
      </c>
      <c r="K637" s="7" t="s">
        <v>374</v>
      </c>
      <c r="L637" s="10">
        <v>14000</v>
      </c>
      <c r="M637" s="10">
        <v>14000</v>
      </c>
      <c r="N637" s="10">
        <f>+L637-M637</f>
        <v>0</v>
      </c>
      <c r="O637" s="10">
        <v>14000</v>
      </c>
      <c r="P637" s="10">
        <f>+L637-O637</f>
        <v>0</v>
      </c>
      <c r="Q637" s="10">
        <v>0</v>
      </c>
      <c r="R637" s="7" t="s">
        <v>27</v>
      </c>
    </row>
    <row r="638" spans="1:18" hidden="1">
      <c r="A638" s="7" t="s">
        <v>29</v>
      </c>
      <c r="B638" s="8">
        <v>19875</v>
      </c>
      <c r="C638" s="9">
        <v>45805.732071759259</v>
      </c>
      <c r="D638" s="9">
        <v>45875</v>
      </c>
      <c r="E638" s="9">
        <v>45791</v>
      </c>
      <c r="F638" s="7" t="s">
        <v>2331</v>
      </c>
      <c r="G638" s="7" t="s">
        <v>2332</v>
      </c>
      <c r="H638" s="7" t="s">
        <v>2333</v>
      </c>
      <c r="I638" s="7" t="s">
        <v>2334</v>
      </c>
      <c r="J638" s="7" t="s">
        <v>176</v>
      </c>
      <c r="K638" s="7" t="s">
        <v>728</v>
      </c>
      <c r="L638" s="10">
        <v>13992</v>
      </c>
      <c r="M638" s="10">
        <v>13992</v>
      </c>
      <c r="N638" s="10">
        <f>+L638-M638</f>
        <v>0</v>
      </c>
      <c r="O638" s="10">
        <v>13992</v>
      </c>
      <c r="P638" s="10">
        <f>+L638-O638</f>
        <v>0</v>
      </c>
      <c r="Q638" s="10">
        <v>0</v>
      </c>
      <c r="R638" s="7" t="s">
        <v>27</v>
      </c>
    </row>
    <row r="639" spans="1:18" hidden="1">
      <c r="A639" s="7" t="s">
        <v>29</v>
      </c>
      <c r="B639" s="8">
        <v>20467</v>
      </c>
      <c r="C639" s="9">
        <v>45918.479074074072</v>
      </c>
      <c r="D639" s="9">
        <v>45404</v>
      </c>
      <c r="E639" s="9">
        <v>45859</v>
      </c>
      <c r="F639" s="7" t="s">
        <v>2335</v>
      </c>
      <c r="G639" s="7" t="s">
        <v>2336</v>
      </c>
      <c r="H639" s="7" t="s">
        <v>2177</v>
      </c>
      <c r="I639" s="7" t="s">
        <v>2178</v>
      </c>
      <c r="J639" s="7" t="s">
        <v>176</v>
      </c>
      <c r="K639" s="7" t="s">
        <v>317</v>
      </c>
      <c r="L639" s="10">
        <v>13851</v>
      </c>
      <c r="M639" s="10">
        <v>13851</v>
      </c>
      <c r="N639" s="10">
        <f>+L639-M639</f>
        <v>0</v>
      </c>
      <c r="O639" s="10">
        <v>13851</v>
      </c>
      <c r="P639" s="10">
        <f>+L639-O639</f>
        <v>0</v>
      </c>
      <c r="Q639" s="10">
        <v>0</v>
      </c>
      <c r="R639" s="7" t="s">
        <v>27</v>
      </c>
    </row>
    <row r="640" spans="1:18" hidden="1">
      <c r="A640" s="7" t="s">
        <v>29</v>
      </c>
      <c r="B640" s="8">
        <v>20594</v>
      </c>
      <c r="C640" s="9">
        <v>45950.463240740741</v>
      </c>
      <c r="D640" s="9">
        <v>45976</v>
      </c>
      <c r="E640" s="9">
        <v>45905</v>
      </c>
      <c r="F640" s="7" t="s">
        <v>2337</v>
      </c>
      <c r="G640" s="7" t="s">
        <v>2338</v>
      </c>
      <c r="H640" s="7" t="s">
        <v>2159</v>
      </c>
      <c r="I640" s="7" t="s">
        <v>2160</v>
      </c>
      <c r="J640" s="7" t="s">
        <v>176</v>
      </c>
      <c r="K640" s="7" t="s">
        <v>177</v>
      </c>
      <c r="L640" s="10">
        <v>13777.85</v>
      </c>
      <c r="M640" s="10">
        <v>13777.85</v>
      </c>
      <c r="N640" s="10">
        <f>+L640-M640</f>
        <v>0</v>
      </c>
      <c r="O640" s="10">
        <v>13777.85</v>
      </c>
      <c r="P640" s="10">
        <f>+L640-O640</f>
        <v>0</v>
      </c>
      <c r="Q640" s="10">
        <v>0</v>
      </c>
      <c r="R640" s="7" t="s">
        <v>27</v>
      </c>
    </row>
    <row r="641" spans="1:18" hidden="1">
      <c r="A641" s="7" t="s">
        <v>29</v>
      </c>
      <c r="B641" s="8">
        <v>19705</v>
      </c>
      <c r="C641" s="9">
        <v>45771.432546296295</v>
      </c>
      <c r="D641" s="9">
        <v>45687</v>
      </c>
      <c r="E641" s="9">
        <v>45636</v>
      </c>
      <c r="F641" s="7" t="s">
        <v>2339</v>
      </c>
      <c r="G641" s="7" t="s">
        <v>2340</v>
      </c>
      <c r="H641" s="7" t="s">
        <v>1978</v>
      </c>
      <c r="I641" s="7" t="s">
        <v>1979</v>
      </c>
      <c r="J641" s="7" t="s">
        <v>176</v>
      </c>
      <c r="K641" s="7" t="s">
        <v>317</v>
      </c>
      <c r="L641" s="10">
        <v>13637.4</v>
      </c>
      <c r="M641" s="10">
        <v>13637.4</v>
      </c>
      <c r="N641" s="10">
        <f>+L641-M641</f>
        <v>0</v>
      </c>
      <c r="O641" s="10">
        <v>13637.4</v>
      </c>
      <c r="P641" s="10">
        <f>+L641-O641</f>
        <v>0</v>
      </c>
      <c r="Q641" s="10">
        <v>0</v>
      </c>
      <c r="R641" s="7" t="s">
        <v>27</v>
      </c>
    </row>
    <row r="642" spans="1:18" hidden="1">
      <c r="A642" s="7" t="s">
        <v>29</v>
      </c>
      <c r="B642" s="8">
        <v>20634</v>
      </c>
      <c r="C642" s="9">
        <v>45958.690011574072</v>
      </c>
      <c r="D642" s="9">
        <v>45517</v>
      </c>
      <c r="E642" s="9">
        <v>45517</v>
      </c>
      <c r="F642" s="7" t="s">
        <v>2341</v>
      </c>
      <c r="G642" s="7" t="s">
        <v>2342</v>
      </c>
      <c r="H642" s="7" t="s">
        <v>2343</v>
      </c>
      <c r="I642" s="7" t="s">
        <v>2344</v>
      </c>
      <c r="J642" s="7" t="s">
        <v>176</v>
      </c>
      <c r="K642" s="7" t="s">
        <v>494</v>
      </c>
      <c r="L642" s="10">
        <v>13532</v>
      </c>
      <c r="M642" s="10">
        <v>13532</v>
      </c>
      <c r="N642" s="10">
        <f>+L642-M642</f>
        <v>0</v>
      </c>
      <c r="O642" s="10">
        <v>13532</v>
      </c>
      <c r="P642" s="10">
        <f>+L642-O642</f>
        <v>0</v>
      </c>
      <c r="Q642" s="10">
        <v>0</v>
      </c>
      <c r="R642" s="7" t="s">
        <v>27</v>
      </c>
    </row>
    <row r="643" spans="1:18" hidden="1">
      <c r="A643" s="7" t="s">
        <v>29</v>
      </c>
      <c r="B643" s="8">
        <v>20352</v>
      </c>
      <c r="C643" s="9">
        <v>45898.709594907406</v>
      </c>
      <c r="D643" s="9">
        <v>45922</v>
      </c>
      <c r="E643" s="9">
        <v>45912</v>
      </c>
      <c r="F643" s="7" t="s">
        <v>2345</v>
      </c>
      <c r="G643" s="7" t="s">
        <v>2346</v>
      </c>
      <c r="H643" s="7" t="s">
        <v>2347</v>
      </c>
      <c r="I643" s="7" t="s">
        <v>2348</v>
      </c>
      <c r="J643" s="7" t="s">
        <v>176</v>
      </c>
      <c r="K643" s="7" t="s">
        <v>177</v>
      </c>
      <c r="L643" s="10">
        <v>13467</v>
      </c>
      <c r="M643" s="10">
        <v>13467</v>
      </c>
      <c r="N643" s="10">
        <f>+L643-M643</f>
        <v>0</v>
      </c>
      <c r="O643" s="10">
        <v>13467</v>
      </c>
      <c r="P643" s="10">
        <f>+L643-O643</f>
        <v>0</v>
      </c>
      <c r="Q643" s="10">
        <v>0</v>
      </c>
      <c r="R643" s="7" t="s">
        <v>27</v>
      </c>
    </row>
    <row r="644" spans="1:18" hidden="1">
      <c r="A644" s="7" t="s">
        <v>29</v>
      </c>
      <c r="B644" s="8">
        <v>19617</v>
      </c>
      <c r="C644" s="9">
        <v>45751.675833333335</v>
      </c>
      <c r="D644" s="9">
        <v>45742</v>
      </c>
      <c r="E644" s="9">
        <v>45742</v>
      </c>
      <c r="F644" s="7" t="s">
        <v>2349</v>
      </c>
      <c r="G644" s="7" t="s">
        <v>2350</v>
      </c>
      <c r="H644" s="7" t="s">
        <v>2351</v>
      </c>
      <c r="I644" s="7" t="s">
        <v>2352</v>
      </c>
      <c r="J644" s="7" t="s">
        <v>176</v>
      </c>
      <c r="K644" s="7" t="s">
        <v>494</v>
      </c>
      <c r="L644" s="10">
        <v>13328.4</v>
      </c>
      <c r="M644" s="10">
        <v>13328.4</v>
      </c>
      <c r="N644" s="10">
        <f>+L644-M644</f>
        <v>0</v>
      </c>
      <c r="O644" s="10">
        <v>13328.4</v>
      </c>
      <c r="P644" s="10">
        <f>+L644-O644</f>
        <v>0</v>
      </c>
      <c r="Q644" s="10">
        <v>0</v>
      </c>
      <c r="R644" s="7" t="s">
        <v>27</v>
      </c>
    </row>
    <row r="645" spans="1:18" hidden="1">
      <c r="A645" s="7" t="s">
        <v>29</v>
      </c>
      <c r="B645" s="8">
        <v>20050</v>
      </c>
      <c r="C645" s="9">
        <v>45837.6565625</v>
      </c>
      <c r="D645" s="9">
        <v>45887</v>
      </c>
      <c r="E645" s="9">
        <v>45803</v>
      </c>
      <c r="F645" s="7" t="s">
        <v>2353</v>
      </c>
      <c r="G645" s="7" t="s">
        <v>2354</v>
      </c>
      <c r="H645" s="7" t="s">
        <v>2355</v>
      </c>
      <c r="I645" s="7" t="s">
        <v>2356</v>
      </c>
      <c r="J645" s="7" t="s">
        <v>176</v>
      </c>
      <c r="K645" s="7" t="s">
        <v>550</v>
      </c>
      <c r="L645" s="10">
        <v>13250</v>
      </c>
      <c r="M645" s="10">
        <v>13250</v>
      </c>
      <c r="N645" s="10">
        <f>+L645-M645</f>
        <v>0</v>
      </c>
      <c r="O645" s="10">
        <v>13250</v>
      </c>
      <c r="P645" s="10">
        <f>+L645-O645</f>
        <v>0</v>
      </c>
      <c r="Q645" s="10">
        <v>0</v>
      </c>
      <c r="R645" s="7" t="s">
        <v>27</v>
      </c>
    </row>
    <row r="646" spans="1:18" hidden="1">
      <c r="A646" s="7" t="s">
        <v>29</v>
      </c>
      <c r="B646" s="8">
        <v>4230</v>
      </c>
      <c r="C646" s="9">
        <v>45820.701400231483</v>
      </c>
      <c r="D646" s="9">
        <v>45729</v>
      </c>
      <c r="E646" s="9">
        <v>45856</v>
      </c>
      <c r="F646" s="7" t="s">
        <v>2357</v>
      </c>
      <c r="G646" s="7" t="s">
        <v>2358</v>
      </c>
      <c r="H646" s="7" t="s">
        <v>914</v>
      </c>
      <c r="I646" s="7" t="s">
        <v>915</v>
      </c>
      <c r="J646" s="7" t="s">
        <v>25</v>
      </c>
      <c r="K646" s="7" t="s">
        <v>86</v>
      </c>
      <c r="L646" s="10">
        <v>62962.07</v>
      </c>
      <c r="M646" s="10">
        <v>62962.07</v>
      </c>
      <c r="N646" s="15">
        <f>+L646-M646</f>
        <v>0</v>
      </c>
      <c r="O646" s="15">
        <v>62962.07</v>
      </c>
      <c r="P646" s="15">
        <f>+L646-O646</f>
        <v>0</v>
      </c>
      <c r="Q646" s="10">
        <v>0</v>
      </c>
      <c r="R646" s="7" t="s">
        <v>87</v>
      </c>
    </row>
    <row r="647" spans="1:18">
      <c r="A647" s="7" t="s">
        <v>29</v>
      </c>
      <c r="B647" s="8">
        <v>19371</v>
      </c>
      <c r="C647" s="9">
        <v>45691.464490740742</v>
      </c>
      <c r="D647" s="9">
        <v>45708</v>
      </c>
      <c r="E647" s="9">
        <v>45686</v>
      </c>
      <c r="F647" s="7" t="s">
        <v>2359</v>
      </c>
      <c r="G647" s="7" t="s">
        <v>2360</v>
      </c>
      <c r="H647" s="7" t="s">
        <v>2361</v>
      </c>
      <c r="I647" s="7" t="s">
        <v>2362</v>
      </c>
      <c r="J647" s="7" t="s">
        <v>25</v>
      </c>
      <c r="K647" s="7" t="s">
        <v>537</v>
      </c>
      <c r="L647" s="10">
        <v>54798.28</v>
      </c>
      <c r="M647" s="10">
        <v>54798.28</v>
      </c>
      <c r="N647" s="10">
        <f>+L647-M647</f>
        <v>0</v>
      </c>
      <c r="O647" s="10">
        <v>54798.28</v>
      </c>
      <c r="P647" s="10">
        <f>+L647-O647</f>
        <v>0</v>
      </c>
      <c r="Q647" s="10">
        <v>0</v>
      </c>
      <c r="R647" s="7" t="s">
        <v>27</v>
      </c>
    </row>
    <row r="648" spans="1:18" hidden="1">
      <c r="A648" s="7" t="s">
        <v>29</v>
      </c>
      <c r="B648" s="8">
        <v>4258</v>
      </c>
      <c r="C648" s="9">
        <v>45926.361585648148</v>
      </c>
      <c r="D648" s="9">
        <v>45902</v>
      </c>
      <c r="E648" s="9">
        <v>45902</v>
      </c>
      <c r="F648" s="7" t="s">
        <v>2363</v>
      </c>
      <c r="G648" s="7" t="s">
        <v>2364</v>
      </c>
      <c r="H648" s="7" t="s">
        <v>2365</v>
      </c>
      <c r="I648" s="7" t="s">
        <v>1486</v>
      </c>
      <c r="J648" s="7" t="s">
        <v>25</v>
      </c>
      <c r="K648" s="7" t="s">
        <v>86</v>
      </c>
      <c r="L648" s="10">
        <v>48025</v>
      </c>
      <c r="M648" s="10">
        <v>48025</v>
      </c>
      <c r="N648" s="15">
        <f>+L648-M648</f>
        <v>0</v>
      </c>
      <c r="O648" s="15">
        <v>48025</v>
      </c>
      <c r="P648" s="15">
        <f>+L648-O648</f>
        <v>0</v>
      </c>
      <c r="Q648" s="10">
        <v>0</v>
      </c>
      <c r="R648" s="7" t="s">
        <v>87</v>
      </c>
    </row>
    <row r="649" spans="1:18" hidden="1">
      <c r="A649" s="7" t="s">
        <v>29</v>
      </c>
      <c r="B649" s="8">
        <v>20064</v>
      </c>
      <c r="C649" s="9">
        <v>45838.516851851848</v>
      </c>
      <c r="D649" s="9">
        <v>45729</v>
      </c>
      <c r="E649" s="9">
        <v>45797</v>
      </c>
      <c r="F649" s="7" t="s">
        <v>2366</v>
      </c>
      <c r="G649" s="7" t="s">
        <v>2367</v>
      </c>
      <c r="H649" s="7" t="s">
        <v>2368</v>
      </c>
      <c r="I649" s="7" t="s">
        <v>2369</v>
      </c>
      <c r="J649" s="7" t="s">
        <v>176</v>
      </c>
      <c r="K649" s="7" t="s">
        <v>374</v>
      </c>
      <c r="L649" s="10">
        <v>13000</v>
      </c>
      <c r="M649" s="10">
        <v>13000</v>
      </c>
      <c r="N649" s="10">
        <f>+L649-M649</f>
        <v>0</v>
      </c>
      <c r="O649" s="10">
        <v>13000</v>
      </c>
      <c r="P649" s="10">
        <f>+L649-O649</f>
        <v>0</v>
      </c>
      <c r="Q649" s="10">
        <v>0</v>
      </c>
      <c r="R649" s="7" t="s">
        <v>27</v>
      </c>
    </row>
    <row r="650" spans="1:18" hidden="1">
      <c r="A650" s="7" t="s">
        <v>29</v>
      </c>
      <c r="B650" s="8">
        <v>20430</v>
      </c>
      <c r="C650" s="9">
        <v>45910.358587962961</v>
      </c>
      <c r="D650" s="9">
        <v>45976</v>
      </c>
      <c r="E650" s="9">
        <v>45878</v>
      </c>
      <c r="F650" s="7" t="s">
        <v>2370</v>
      </c>
      <c r="G650" s="7" t="s">
        <v>2371</v>
      </c>
      <c r="H650" s="7" t="s">
        <v>2372</v>
      </c>
      <c r="I650" s="7" t="s">
        <v>2373</v>
      </c>
      <c r="J650" s="7" t="s">
        <v>176</v>
      </c>
      <c r="K650" s="7" t="s">
        <v>584</v>
      </c>
      <c r="L650" s="10">
        <v>13000</v>
      </c>
      <c r="M650" s="10">
        <v>13000</v>
      </c>
      <c r="N650" s="10">
        <f>+L650-M650</f>
        <v>0</v>
      </c>
      <c r="O650" s="10">
        <v>13000</v>
      </c>
      <c r="P650" s="10">
        <f>+L650-O650</f>
        <v>0</v>
      </c>
      <c r="Q650" s="10">
        <v>0</v>
      </c>
      <c r="R650" s="7" t="s">
        <v>27</v>
      </c>
    </row>
    <row r="651" spans="1:18" hidden="1">
      <c r="A651" s="7" t="s">
        <v>29</v>
      </c>
      <c r="B651" s="8">
        <v>20333</v>
      </c>
      <c r="C651" s="9">
        <v>45895.624537037038</v>
      </c>
      <c r="D651" s="9">
        <v>45895</v>
      </c>
      <c r="E651" s="9">
        <v>45891</v>
      </c>
      <c r="F651" s="7" t="s">
        <v>2374</v>
      </c>
      <c r="G651" s="7" t="s">
        <v>2375</v>
      </c>
      <c r="H651" s="7" t="s">
        <v>2376</v>
      </c>
      <c r="I651" s="7" t="s">
        <v>2377</v>
      </c>
      <c r="J651" s="7" t="s">
        <v>34</v>
      </c>
      <c r="K651" s="7" t="s">
        <v>118</v>
      </c>
      <c r="L651" s="10">
        <v>12868.37</v>
      </c>
      <c r="M651" s="10">
        <v>12868.37</v>
      </c>
      <c r="N651" s="10">
        <f>+L651-M651</f>
        <v>0</v>
      </c>
      <c r="O651" s="10">
        <v>12868.37</v>
      </c>
      <c r="P651" s="10">
        <f>+L651-O651</f>
        <v>0</v>
      </c>
      <c r="Q651" s="10">
        <v>0</v>
      </c>
      <c r="R651" s="7" t="s">
        <v>27</v>
      </c>
    </row>
    <row r="652" spans="1:18" hidden="1">
      <c r="A652" s="7" t="s">
        <v>29</v>
      </c>
      <c r="B652" s="8">
        <v>19736</v>
      </c>
      <c r="C652" s="9">
        <v>45776.623518518514</v>
      </c>
      <c r="D652" s="9">
        <v>45773</v>
      </c>
      <c r="E652" s="9">
        <v>45738</v>
      </c>
      <c r="F652" s="7" t="s">
        <v>2378</v>
      </c>
      <c r="G652" s="7" t="s">
        <v>2379</v>
      </c>
      <c r="H652" s="7" t="s">
        <v>2380</v>
      </c>
      <c r="I652" s="7" t="s">
        <v>2381</v>
      </c>
      <c r="J652" s="7" t="s">
        <v>176</v>
      </c>
      <c r="K652" s="7" t="s">
        <v>550</v>
      </c>
      <c r="L652" s="10">
        <v>12858</v>
      </c>
      <c r="M652" s="10">
        <v>12858</v>
      </c>
      <c r="N652" s="10">
        <f>+L652-M652</f>
        <v>0</v>
      </c>
      <c r="O652" s="10">
        <v>12858</v>
      </c>
      <c r="P652" s="10">
        <f>+L652-O652</f>
        <v>0</v>
      </c>
      <c r="Q652" s="10">
        <v>0</v>
      </c>
      <c r="R652" s="7" t="s">
        <v>27</v>
      </c>
    </row>
    <row r="653" spans="1:18" hidden="1">
      <c r="A653" s="7" t="s">
        <v>29</v>
      </c>
      <c r="B653" s="8">
        <v>20814</v>
      </c>
      <c r="C653" s="9">
        <v>46020.020358796297</v>
      </c>
      <c r="D653" s="9">
        <v>45980</v>
      </c>
      <c r="E653" s="9">
        <v>46020</v>
      </c>
      <c r="F653" s="7" t="s">
        <v>2382</v>
      </c>
      <c r="G653" s="7" t="s">
        <v>2383</v>
      </c>
      <c r="H653" s="7" t="s">
        <v>2384</v>
      </c>
      <c r="I653" s="7" t="s">
        <v>2385</v>
      </c>
      <c r="J653" s="7" t="s">
        <v>176</v>
      </c>
      <c r="K653" s="7" t="s">
        <v>584</v>
      </c>
      <c r="L653" s="10">
        <v>12800</v>
      </c>
      <c r="M653" s="10">
        <v>12800</v>
      </c>
      <c r="N653" s="10">
        <f>+L653-M653</f>
        <v>0</v>
      </c>
      <c r="O653" s="10">
        <v>12800</v>
      </c>
      <c r="P653" s="10">
        <f>+L653-O653</f>
        <v>0</v>
      </c>
      <c r="Q653" s="10">
        <v>0</v>
      </c>
      <c r="R653" s="7" t="s">
        <v>27</v>
      </c>
    </row>
    <row r="654" spans="1:18" hidden="1">
      <c r="A654" s="7" t="s">
        <v>29</v>
      </c>
      <c r="B654" s="8">
        <v>19804</v>
      </c>
      <c r="C654" s="9">
        <v>45790.600266203699</v>
      </c>
      <c r="D654" s="9">
        <v>45716</v>
      </c>
      <c r="E654" s="9">
        <v>45745</v>
      </c>
      <c r="F654" s="7" t="s">
        <v>2386</v>
      </c>
      <c r="G654" s="7" t="s">
        <v>2387</v>
      </c>
      <c r="H654" s="7" t="s">
        <v>2361</v>
      </c>
      <c r="I654" s="7" t="s">
        <v>2362</v>
      </c>
      <c r="J654" s="7" t="s">
        <v>40</v>
      </c>
      <c r="K654" s="7" t="s">
        <v>41</v>
      </c>
      <c r="L654" s="10">
        <v>15630.07</v>
      </c>
      <c r="M654" s="10">
        <v>15630.07</v>
      </c>
      <c r="N654" s="10">
        <f>+L654-M654</f>
        <v>0</v>
      </c>
      <c r="O654" s="10">
        <v>15630.07</v>
      </c>
      <c r="P654" s="10">
        <f>+L654-O654</f>
        <v>0</v>
      </c>
      <c r="Q654" s="10">
        <v>0</v>
      </c>
      <c r="R654" s="7" t="s">
        <v>27</v>
      </c>
    </row>
    <row r="655" spans="1:18">
      <c r="A655" s="7" t="s">
        <v>29</v>
      </c>
      <c r="B655" s="8">
        <v>20127</v>
      </c>
      <c r="C655" s="9">
        <v>45847.729629629626</v>
      </c>
      <c r="D655" s="9">
        <v>45869</v>
      </c>
      <c r="E655" s="9">
        <v>45834</v>
      </c>
      <c r="F655" s="7" t="s">
        <v>2388</v>
      </c>
      <c r="G655" s="7" t="s">
        <v>2389</v>
      </c>
      <c r="H655" s="7" t="s">
        <v>2205</v>
      </c>
      <c r="I655" s="7" t="s">
        <v>2206</v>
      </c>
      <c r="J655" s="7" t="s">
        <v>25</v>
      </c>
      <c r="K655" s="7" t="s">
        <v>26</v>
      </c>
      <c r="L655" s="10">
        <v>44706.01</v>
      </c>
      <c r="M655" s="10">
        <v>44706.01</v>
      </c>
      <c r="N655" s="10">
        <f>+L655-M655</f>
        <v>0</v>
      </c>
      <c r="O655" s="10">
        <v>44706.01</v>
      </c>
      <c r="P655" s="10">
        <f>+L655-O655</f>
        <v>0</v>
      </c>
      <c r="Q655" s="10">
        <v>0</v>
      </c>
      <c r="R655" s="7" t="s">
        <v>27</v>
      </c>
    </row>
    <row r="656" spans="1:18">
      <c r="A656" s="7" t="s">
        <v>29</v>
      </c>
      <c r="B656" s="8">
        <v>19315</v>
      </c>
      <c r="C656" s="9">
        <v>45664.571585648147</v>
      </c>
      <c r="D656" s="9">
        <v>45561</v>
      </c>
      <c r="E656" s="9">
        <v>45561</v>
      </c>
      <c r="F656" s="7" t="s">
        <v>2390</v>
      </c>
      <c r="G656" s="7" t="s">
        <v>2391</v>
      </c>
      <c r="H656" s="7" t="s">
        <v>2392</v>
      </c>
      <c r="I656" s="7" t="s">
        <v>2393</v>
      </c>
      <c r="J656" s="7" t="s">
        <v>25</v>
      </c>
      <c r="K656" s="7" t="s">
        <v>26</v>
      </c>
      <c r="L656" s="10">
        <v>42314.58</v>
      </c>
      <c r="M656" s="10">
        <v>42314.58</v>
      </c>
      <c r="N656" s="10">
        <f>+L656-M656</f>
        <v>0</v>
      </c>
      <c r="O656" s="10">
        <v>42314.58</v>
      </c>
      <c r="P656" s="10">
        <f>+L656-O656</f>
        <v>0</v>
      </c>
      <c r="Q656" s="10">
        <v>0</v>
      </c>
      <c r="R656" s="7" t="s">
        <v>27</v>
      </c>
    </row>
    <row r="657" spans="1:18" hidden="1">
      <c r="A657" s="7" t="s">
        <v>29</v>
      </c>
      <c r="B657" s="8">
        <v>19496</v>
      </c>
      <c r="C657" s="9">
        <v>45722.613668981481</v>
      </c>
      <c r="D657" s="9">
        <v>45542</v>
      </c>
      <c r="E657" s="9">
        <v>45474</v>
      </c>
      <c r="F657" s="7" t="s">
        <v>2394</v>
      </c>
      <c r="G657" s="7" t="s">
        <v>2395</v>
      </c>
      <c r="H657" s="7" t="s">
        <v>2396</v>
      </c>
      <c r="I657" s="7" t="s">
        <v>2397</v>
      </c>
      <c r="J657" s="7" t="s">
        <v>176</v>
      </c>
      <c r="K657" s="7" t="s">
        <v>374</v>
      </c>
      <c r="L657" s="10">
        <v>12500</v>
      </c>
      <c r="M657" s="10">
        <v>12500</v>
      </c>
      <c r="N657" s="10">
        <f>+L657-M657</f>
        <v>0</v>
      </c>
      <c r="O657" s="10">
        <v>12500</v>
      </c>
      <c r="P657" s="10">
        <f>+L657-O657</f>
        <v>0</v>
      </c>
      <c r="Q657" s="10">
        <v>0</v>
      </c>
      <c r="R657" s="7" t="s">
        <v>27</v>
      </c>
    </row>
    <row r="658" spans="1:18" hidden="1">
      <c r="A658" s="7" t="s">
        <v>29</v>
      </c>
      <c r="B658" s="8">
        <v>4205</v>
      </c>
      <c r="C658" s="9">
        <v>45796.568993055553</v>
      </c>
      <c r="D658" s="9">
        <v>45790</v>
      </c>
      <c r="E658" s="9">
        <v>45818</v>
      </c>
      <c r="F658" s="7" t="s">
        <v>2398</v>
      </c>
      <c r="G658" s="7" t="s">
        <v>1126</v>
      </c>
      <c r="H658" s="7" t="s">
        <v>280</v>
      </c>
      <c r="I658" s="7" t="s">
        <v>205</v>
      </c>
      <c r="J658" s="7" t="s">
        <v>25</v>
      </c>
      <c r="K658" s="7" t="s">
        <v>206</v>
      </c>
      <c r="L658" s="10">
        <v>42004.61</v>
      </c>
      <c r="M658" s="10">
        <v>42004.61</v>
      </c>
      <c r="N658" s="15">
        <f>+L658-M658</f>
        <v>0</v>
      </c>
      <c r="O658" s="15">
        <v>42004.61</v>
      </c>
      <c r="P658" s="15">
        <f>+L658-O658</f>
        <v>0</v>
      </c>
      <c r="Q658" s="10">
        <v>0</v>
      </c>
      <c r="R658" s="7" t="s">
        <v>87</v>
      </c>
    </row>
    <row r="659" spans="1:18" hidden="1">
      <c r="A659" s="7" t="s">
        <v>29</v>
      </c>
      <c r="B659" s="8">
        <v>20198</v>
      </c>
      <c r="C659" s="9">
        <v>45868.409050925926</v>
      </c>
      <c r="D659" s="9">
        <v>45905</v>
      </c>
      <c r="E659" s="9">
        <v>45867</v>
      </c>
      <c r="F659" s="7" t="s">
        <v>2399</v>
      </c>
      <c r="G659" s="7" t="s">
        <v>2400</v>
      </c>
      <c r="H659" s="7" t="s">
        <v>2401</v>
      </c>
      <c r="I659" s="7" t="s">
        <v>2402</v>
      </c>
      <c r="J659" s="7" t="s">
        <v>40</v>
      </c>
      <c r="K659" s="7" t="s">
        <v>355</v>
      </c>
      <c r="L659" s="10">
        <v>9556.94</v>
      </c>
      <c r="M659" s="10">
        <v>9556.94</v>
      </c>
      <c r="N659" s="10">
        <f>+L659-M659</f>
        <v>0</v>
      </c>
      <c r="O659" s="10">
        <v>9556.94</v>
      </c>
      <c r="P659" s="10">
        <f>+L659-O659</f>
        <v>0</v>
      </c>
      <c r="Q659" s="10">
        <v>0</v>
      </c>
      <c r="R659" s="7" t="s">
        <v>27</v>
      </c>
    </row>
    <row r="660" spans="1:18" hidden="1">
      <c r="A660" s="7" t="s">
        <v>29</v>
      </c>
      <c r="B660" s="8">
        <v>20390</v>
      </c>
      <c r="C660" s="9">
        <v>45902.618935185186</v>
      </c>
      <c r="D660" s="9">
        <v>45945</v>
      </c>
      <c r="E660" s="9">
        <v>45887</v>
      </c>
      <c r="F660" s="7" t="s">
        <v>2403</v>
      </c>
      <c r="G660" s="7" t="s">
        <v>2404</v>
      </c>
      <c r="H660" s="7" t="s">
        <v>2405</v>
      </c>
      <c r="I660" s="7" t="s">
        <v>2406</v>
      </c>
      <c r="J660" s="7" t="s">
        <v>176</v>
      </c>
      <c r="K660" s="7" t="s">
        <v>374</v>
      </c>
      <c r="L660" s="10">
        <v>12300</v>
      </c>
      <c r="M660" s="10">
        <v>12300</v>
      </c>
      <c r="N660" s="10">
        <f>+L660-M660</f>
        <v>0</v>
      </c>
      <c r="O660" s="10">
        <v>12300</v>
      </c>
      <c r="P660" s="10">
        <f>+L660-O660</f>
        <v>0</v>
      </c>
      <c r="Q660" s="10">
        <v>0</v>
      </c>
      <c r="R660" s="7" t="s">
        <v>27</v>
      </c>
    </row>
    <row r="661" spans="1:18" hidden="1">
      <c r="A661" s="7" t="s">
        <v>29</v>
      </c>
      <c r="B661" s="8">
        <v>20793</v>
      </c>
      <c r="C661" s="9">
        <v>46010.692856562498</v>
      </c>
      <c r="D661" s="9">
        <v>45978</v>
      </c>
      <c r="E661" s="9">
        <v>46010</v>
      </c>
      <c r="F661" s="7" t="s">
        <v>2407</v>
      </c>
      <c r="G661" s="7" t="s">
        <v>2408</v>
      </c>
      <c r="H661" s="7" t="s">
        <v>2409</v>
      </c>
      <c r="I661" s="7" t="s">
        <v>2410</v>
      </c>
      <c r="J661" s="7" t="s">
        <v>176</v>
      </c>
      <c r="K661" s="7" t="s">
        <v>360</v>
      </c>
      <c r="L661" s="10">
        <v>12291</v>
      </c>
      <c r="M661" s="10">
        <v>12291</v>
      </c>
      <c r="N661" s="10">
        <f>+L661-M661</f>
        <v>0</v>
      </c>
      <c r="O661" s="10">
        <v>12291</v>
      </c>
      <c r="P661" s="10">
        <f>+L661-O661</f>
        <v>0</v>
      </c>
      <c r="Q661" s="10">
        <v>0</v>
      </c>
      <c r="R661" s="7" t="s">
        <v>27</v>
      </c>
    </row>
    <row r="662" spans="1:18">
      <c r="A662" s="7" t="s">
        <v>29</v>
      </c>
      <c r="B662" s="8">
        <v>19907</v>
      </c>
      <c r="C662" s="9">
        <v>45810.590046296296</v>
      </c>
      <c r="D662" s="9">
        <v>45866</v>
      </c>
      <c r="E662" s="9">
        <v>45866</v>
      </c>
      <c r="F662" s="7" t="s">
        <v>2411</v>
      </c>
      <c r="G662" s="7" t="s">
        <v>2412</v>
      </c>
      <c r="H662" s="7" t="s">
        <v>1803</v>
      </c>
      <c r="I662" s="7" t="s">
        <v>1804</v>
      </c>
      <c r="J662" s="7" t="s">
        <v>25</v>
      </c>
      <c r="K662" s="7" t="s">
        <v>55</v>
      </c>
      <c r="L662" s="10">
        <v>36717.360000000001</v>
      </c>
      <c r="M662" s="10">
        <v>36717.360000000001</v>
      </c>
      <c r="N662" s="10">
        <f>+L662-M662</f>
        <v>0</v>
      </c>
      <c r="O662" s="10">
        <v>36717.360000000001</v>
      </c>
      <c r="P662" s="10">
        <f>+L662-O662</f>
        <v>0</v>
      </c>
      <c r="Q662" s="10">
        <v>0</v>
      </c>
      <c r="R662" s="7" t="s">
        <v>27</v>
      </c>
    </row>
    <row r="663" spans="1:18">
      <c r="A663" s="7" t="s">
        <v>29</v>
      </c>
      <c r="B663" s="8">
        <v>19297</v>
      </c>
      <c r="C663" s="9">
        <v>45659.441666666666</v>
      </c>
      <c r="D663" s="9">
        <v>45688</v>
      </c>
      <c r="E663" s="9">
        <v>45656</v>
      </c>
      <c r="F663" s="7" t="s">
        <v>2413</v>
      </c>
      <c r="G663" s="7" t="s">
        <v>2414</v>
      </c>
      <c r="H663" s="7" t="s">
        <v>744</v>
      </c>
      <c r="I663" s="7" t="s">
        <v>745</v>
      </c>
      <c r="J663" s="7" t="s">
        <v>25</v>
      </c>
      <c r="K663" s="7" t="s">
        <v>55</v>
      </c>
      <c r="L663" s="10">
        <v>36618.980000000003</v>
      </c>
      <c r="M663" s="10">
        <v>36618.980000000003</v>
      </c>
      <c r="N663" s="10">
        <f>+L663-M663</f>
        <v>0</v>
      </c>
      <c r="O663" s="10">
        <v>36618.980000000003</v>
      </c>
      <c r="P663" s="10">
        <f>+L663-O663</f>
        <v>0</v>
      </c>
      <c r="Q663" s="10">
        <v>0</v>
      </c>
      <c r="R663" s="7" t="s">
        <v>27</v>
      </c>
    </row>
    <row r="664" spans="1:18" hidden="1">
      <c r="A664" s="7" t="s">
        <v>29</v>
      </c>
      <c r="B664" s="8">
        <v>4180</v>
      </c>
      <c r="C664" s="9">
        <v>45735.448657407404</v>
      </c>
      <c r="D664" s="9">
        <v>45537</v>
      </c>
      <c r="E664" s="9">
        <v>45621</v>
      </c>
      <c r="F664" s="7" t="s">
        <v>2415</v>
      </c>
      <c r="G664" s="7" t="s">
        <v>2416</v>
      </c>
      <c r="H664" s="7" t="s">
        <v>2365</v>
      </c>
      <c r="I664" s="7" t="s">
        <v>1486</v>
      </c>
      <c r="J664" s="7" t="s">
        <v>25</v>
      </c>
      <c r="K664" s="7" t="s">
        <v>686</v>
      </c>
      <c r="L664" s="10">
        <v>31500</v>
      </c>
      <c r="M664" s="10">
        <v>31500</v>
      </c>
      <c r="N664" s="15">
        <f>+L664-M664</f>
        <v>0</v>
      </c>
      <c r="O664" s="15">
        <v>31500</v>
      </c>
      <c r="P664" s="15">
        <f>+L664-O664</f>
        <v>0</v>
      </c>
      <c r="Q664" s="10">
        <v>0</v>
      </c>
      <c r="R664" s="7" t="s">
        <v>87</v>
      </c>
    </row>
    <row r="665" spans="1:18" hidden="1">
      <c r="A665" s="7" t="s">
        <v>29</v>
      </c>
      <c r="B665" s="8">
        <v>19342</v>
      </c>
      <c r="C665" s="9">
        <v>45678.497268518513</v>
      </c>
      <c r="D665" s="9">
        <v>45666</v>
      </c>
      <c r="E665" s="9">
        <v>45616</v>
      </c>
      <c r="F665" s="7" t="s">
        <v>2417</v>
      </c>
      <c r="G665" s="7" t="s">
        <v>2418</v>
      </c>
      <c r="H665" s="7" t="s">
        <v>2419</v>
      </c>
      <c r="I665" s="7" t="s">
        <v>2420</v>
      </c>
      <c r="J665" s="7" t="s">
        <v>176</v>
      </c>
      <c r="K665" s="7" t="s">
        <v>374</v>
      </c>
      <c r="L665" s="10">
        <v>12000</v>
      </c>
      <c r="M665" s="10">
        <v>12000</v>
      </c>
      <c r="N665" s="10">
        <f>+L665-M665</f>
        <v>0</v>
      </c>
      <c r="O665" s="10">
        <v>12000</v>
      </c>
      <c r="P665" s="10">
        <f>+L665-O665</f>
        <v>0</v>
      </c>
      <c r="Q665" s="10">
        <v>0</v>
      </c>
      <c r="R665" s="7" t="s">
        <v>27</v>
      </c>
    </row>
    <row r="666" spans="1:18" hidden="1">
      <c r="A666" s="7" t="s">
        <v>29</v>
      </c>
      <c r="B666" s="8">
        <v>19848</v>
      </c>
      <c r="C666" s="9">
        <v>45798.706770833334</v>
      </c>
      <c r="D666" s="9">
        <v>45668</v>
      </c>
      <c r="E666" s="9">
        <v>45712</v>
      </c>
      <c r="F666" s="7" t="s">
        <v>2421</v>
      </c>
      <c r="G666" s="7" t="s">
        <v>2422</v>
      </c>
      <c r="H666" s="7" t="s">
        <v>2423</v>
      </c>
      <c r="I666" s="7" t="s">
        <v>2424</v>
      </c>
      <c r="J666" s="7" t="s">
        <v>176</v>
      </c>
      <c r="K666" s="7" t="s">
        <v>374</v>
      </c>
      <c r="L666" s="10">
        <v>12000</v>
      </c>
      <c r="M666" s="10">
        <v>12000</v>
      </c>
      <c r="N666" s="10">
        <f>+L666-M666</f>
        <v>0</v>
      </c>
      <c r="O666" s="10">
        <v>12000</v>
      </c>
      <c r="P666" s="10">
        <f>+L666-O666</f>
        <v>0</v>
      </c>
      <c r="Q666" s="10">
        <v>0</v>
      </c>
      <c r="R666" s="7" t="s">
        <v>27</v>
      </c>
    </row>
    <row r="667" spans="1:18" hidden="1">
      <c r="A667" s="7" t="s">
        <v>29</v>
      </c>
      <c r="B667" s="8">
        <v>4171</v>
      </c>
      <c r="C667" s="9">
        <v>45709.41302083333</v>
      </c>
      <c r="D667" s="9">
        <v>45707</v>
      </c>
      <c r="E667" s="9">
        <v>45707</v>
      </c>
      <c r="F667" s="7" t="s">
        <v>2425</v>
      </c>
      <c r="G667" s="7" t="s">
        <v>2426</v>
      </c>
      <c r="H667" s="7" t="s">
        <v>1133</v>
      </c>
      <c r="I667" s="7" t="s">
        <v>1030</v>
      </c>
      <c r="J667" s="7" t="s">
        <v>25</v>
      </c>
      <c r="K667" s="7" t="s">
        <v>86</v>
      </c>
      <c r="L667" s="10">
        <v>30510</v>
      </c>
      <c r="M667" s="10">
        <v>30510</v>
      </c>
      <c r="N667" s="15">
        <f>+L667-M667</f>
        <v>0</v>
      </c>
      <c r="O667" s="15">
        <v>30510</v>
      </c>
      <c r="P667" s="15">
        <f>+L667-O667</f>
        <v>0</v>
      </c>
      <c r="Q667" s="10">
        <v>0</v>
      </c>
      <c r="R667" s="7" t="s">
        <v>87</v>
      </c>
    </row>
    <row r="668" spans="1:18" hidden="1">
      <c r="A668" s="7" t="s">
        <v>29</v>
      </c>
      <c r="B668" s="8">
        <v>20820</v>
      </c>
      <c r="C668" s="9">
        <v>46020.070300925923</v>
      </c>
      <c r="D668" s="9">
        <v>45975</v>
      </c>
      <c r="E668" s="9">
        <v>45891</v>
      </c>
      <c r="F668" s="7" t="s">
        <v>2427</v>
      </c>
      <c r="G668" s="7" t="s">
        <v>2428</v>
      </c>
      <c r="H668" s="7" t="s">
        <v>2429</v>
      </c>
      <c r="I668" s="7" t="s">
        <v>583</v>
      </c>
      <c r="J668" s="7" t="s">
        <v>176</v>
      </c>
      <c r="K668" s="7" t="s">
        <v>584</v>
      </c>
      <c r="L668" s="10">
        <v>11700</v>
      </c>
      <c r="M668" s="10">
        <v>11700</v>
      </c>
      <c r="N668" s="10">
        <f>+L668-M668</f>
        <v>0</v>
      </c>
      <c r="O668" s="10">
        <v>11700</v>
      </c>
      <c r="P668" s="10">
        <f>+L668-O668</f>
        <v>0</v>
      </c>
      <c r="Q668" s="10">
        <v>0</v>
      </c>
      <c r="R668" s="7" t="s">
        <v>27</v>
      </c>
    </row>
    <row r="669" spans="1:18" hidden="1">
      <c r="A669" s="7" t="s">
        <v>29</v>
      </c>
      <c r="B669" s="8">
        <v>19752</v>
      </c>
      <c r="C669" s="9">
        <v>45777.474502314813</v>
      </c>
      <c r="D669" s="9">
        <v>45790</v>
      </c>
      <c r="E669" s="9">
        <v>45777</v>
      </c>
      <c r="F669" s="7" t="s">
        <v>2430</v>
      </c>
      <c r="G669" s="7" t="s">
        <v>2431</v>
      </c>
      <c r="H669" s="7" t="s">
        <v>2432</v>
      </c>
      <c r="I669" s="7" t="s">
        <v>2433</v>
      </c>
      <c r="J669" s="7" t="s">
        <v>34</v>
      </c>
      <c r="K669" s="7" t="s">
        <v>990</v>
      </c>
      <c r="L669" s="10">
        <v>11686.24</v>
      </c>
      <c r="M669" s="10">
        <v>11686.24</v>
      </c>
      <c r="N669" s="10">
        <f>+L669-M669</f>
        <v>0</v>
      </c>
      <c r="O669" s="10">
        <v>11686.24</v>
      </c>
      <c r="P669" s="10">
        <f>+L669-O669</f>
        <v>0</v>
      </c>
      <c r="Q669" s="10">
        <v>0</v>
      </c>
      <c r="R669" s="7" t="s">
        <v>27</v>
      </c>
    </row>
    <row r="670" spans="1:18" hidden="1">
      <c r="A670" s="7" t="s">
        <v>29</v>
      </c>
      <c r="B670" s="8">
        <v>19682</v>
      </c>
      <c r="C670" s="9">
        <v>45761.416296296295</v>
      </c>
      <c r="D670" s="9">
        <v>45776</v>
      </c>
      <c r="E670" s="9">
        <v>45748</v>
      </c>
      <c r="F670" s="7" t="s">
        <v>2434</v>
      </c>
      <c r="G670" s="7" t="s">
        <v>2435</v>
      </c>
      <c r="H670" s="7" t="s">
        <v>2436</v>
      </c>
      <c r="I670" s="7" t="s">
        <v>2437</v>
      </c>
      <c r="J670" s="7" t="s">
        <v>176</v>
      </c>
      <c r="K670" s="7" t="s">
        <v>945</v>
      </c>
      <c r="L670" s="10">
        <v>11683.7</v>
      </c>
      <c r="M670" s="10">
        <v>11683.7</v>
      </c>
      <c r="N670" s="10">
        <f>+L670-M670</f>
        <v>0</v>
      </c>
      <c r="O670" s="10">
        <v>11683.7</v>
      </c>
      <c r="P670" s="10">
        <f>+L670-O670</f>
        <v>0</v>
      </c>
      <c r="Q670" s="10">
        <v>0</v>
      </c>
      <c r="R670" s="7" t="s">
        <v>27</v>
      </c>
    </row>
    <row r="671" spans="1:18">
      <c r="A671" s="7" t="s">
        <v>29</v>
      </c>
      <c r="B671" s="8">
        <v>19944</v>
      </c>
      <c r="C671" s="9">
        <v>45818.666307870371</v>
      </c>
      <c r="D671" s="9">
        <v>45868</v>
      </c>
      <c r="E671" s="9">
        <v>45786</v>
      </c>
      <c r="F671" s="7" t="s">
        <v>2438</v>
      </c>
      <c r="G671" s="7" t="s">
        <v>2439</v>
      </c>
      <c r="H671" s="7" t="s">
        <v>1154</v>
      </c>
      <c r="I671" s="7" t="s">
        <v>1155</v>
      </c>
      <c r="J671" s="7" t="s">
        <v>25</v>
      </c>
      <c r="K671" s="7" t="s">
        <v>537</v>
      </c>
      <c r="L671" s="10">
        <v>30229.53</v>
      </c>
      <c r="M671" s="10">
        <v>30229.53</v>
      </c>
      <c r="N671" s="10">
        <f>+L671-M671</f>
        <v>0</v>
      </c>
      <c r="O671" s="10">
        <v>30229.53</v>
      </c>
      <c r="P671" s="10">
        <f>+L671-O671</f>
        <v>0</v>
      </c>
      <c r="Q671" s="10">
        <v>0</v>
      </c>
      <c r="R671" s="7" t="s">
        <v>27</v>
      </c>
    </row>
    <row r="672" spans="1:18">
      <c r="A672" s="7" t="s">
        <v>29</v>
      </c>
      <c r="B672" s="8">
        <v>19312</v>
      </c>
      <c r="C672" s="9">
        <v>45664.569131944445</v>
      </c>
      <c r="D672" s="9">
        <v>45686</v>
      </c>
      <c r="E672" s="9">
        <v>45632</v>
      </c>
      <c r="F672" s="7" t="s">
        <v>2440</v>
      </c>
      <c r="G672" s="7" t="s">
        <v>2441</v>
      </c>
      <c r="H672" s="7" t="s">
        <v>1165</v>
      </c>
      <c r="I672" s="7" t="s">
        <v>1166</v>
      </c>
      <c r="J672" s="7" t="s">
        <v>25</v>
      </c>
      <c r="K672" s="7" t="s">
        <v>26</v>
      </c>
      <c r="L672" s="10">
        <v>29666.38</v>
      </c>
      <c r="M672" s="10">
        <v>29666.38</v>
      </c>
      <c r="N672" s="10">
        <f>+L672-M672</f>
        <v>0</v>
      </c>
      <c r="O672" s="10">
        <v>29666.38</v>
      </c>
      <c r="P672" s="10">
        <f>+L672-O672</f>
        <v>0</v>
      </c>
      <c r="Q672" s="10">
        <v>0</v>
      </c>
      <c r="R672" s="7" t="s">
        <v>27</v>
      </c>
    </row>
    <row r="673" spans="1:18" hidden="1">
      <c r="A673" s="7" t="s">
        <v>29</v>
      </c>
      <c r="B673" s="8">
        <v>20832</v>
      </c>
      <c r="C673" s="9">
        <v>46028.741527777776</v>
      </c>
      <c r="D673" s="9">
        <v>45934</v>
      </c>
      <c r="E673" s="9">
        <v>45880</v>
      </c>
      <c r="F673" s="7" t="s">
        <v>2442</v>
      </c>
      <c r="G673" s="7" t="s">
        <v>2443</v>
      </c>
      <c r="H673" s="7" t="s">
        <v>2444</v>
      </c>
      <c r="I673" s="7" t="s">
        <v>2445</v>
      </c>
      <c r="J673" s="7" t="s">
        <v>176</v>
      </c>
      <c r="K673" s="7" t="s">
        <v>374</v>
      </c>
      <c r="L673" s="10">
        <v>11500</v>
      </c>
      <c r="M673" s="10">
        <v>11500</v>
      </c>
      <c r="N673" s="10">
        <f>+L673-M673</f>
        <v>0</v>
      </c>
      <c r="O673" s="10">
        <v>11500</v>
      </c>
      <c r="P673" s="10">
        <f>+L673-O673</f>
        <v>0</v>
      </c>
      <c r="Q673" s="10">
        <v>0</v>
      </c>
      <c r="R673" s="7" t="s">
        <v>27</v>
      </c>
    </row>
    <row r="674" spans="1:18">
      <c r="A674" s="7" t="s">
        <v>29</v>
      </c>
      <c r="B674" s="8">
        <v>20779</v>
      </c>
      <c r="C674" s="9">
        <v>46006.342893518515</v>
      </c>
      <c r="D674" s="9">
        <v>46034</v>
      </c>
      <c r="E674" s="9">
        <v>46034</v>
      </c>
      <c r="F674" s="7" t="s">
        <v>2446</v>
      </c>
      <c r="G674" s="7" t="s">
        <v>2447</v>
      </c>
      <c r="H674" s="7" t="s">
        <v>1161</v>
      </c>
      <c r="I674" s="7" t="s">
        <v>1162</v>
      </c>
      <c r="J674" s="7" t="s">
        <v>25</v>
      </c>
      <c r="K674" s="7" t="s">
        <v>55</v>
      </c>
      <c r="L674" s="10">
        <v>29553.48</v>
      </c>
      <c r="M674" s="10">
        <v>29553.48</v>
      </c>
      <c r="N674" s="10">
        <f>+L674-M674</f>
        <v>0</v>
      </c>
      <c r="O674" s="10">
        <v>29553.48</v>
      </c>
      <c r="P674" s="10">
        <f>+L674-O674</f>
        <v>0</v>
      </c>
      <c r="Q674" s="10">
        <v>0</v>
      </c>
      <c r="R674" s="7" t="s">
        <v>27</v>
      </c>
    </row>
    <row r="675" spans="1:18">
      <c r="A675" s="7" t="s">
        <v>29</v>
      </c>
      <c r="B675" s="8">
        <v>20241</v>
      </c>
      <c r="C675" s="9">
        <v>45875.363217592589</v>
      </c>
      <c r="D675" s="9">
        <v>45873</v>
      </c>
      <c r="E675" s="9">
        <v>45873</v>
      </c>
      <c r="F675" s="7" t="s">
        <v>2448</v>
      </c>
      <c r="G675" s="7" t="s">
        <v>2449</v>
      </c>
      <c r="H675" s="7" t="s">
        <v>2450</v>
      </c>
      <c r="I675" s="7" t="s">
        <v>2451</v>
      </c>
      <c r="J675" s="7" t="s">
        <v>25</v>
      </c>
      <c r="K675" s="7" t="s">
        <v>26</v>
      </c>
      <c r="L675" s="10">
        <v>28592.89</v>
      </c>
      <c r="M675" s="10">
        <v>28592.89</v>
      </c>
      <c r="N675" s="10">
        <f>+L675-M675</f>
        <v>0</v>
      </c>
      <c r="O675" s="10">
        <v>28592.89</v>
      </c>
      <c r="P675" s="10">
        <f>+L675-O675</f>
        <v>0</v>
      </c>
      <c r="Q675" s="10">
        <v>0</v>
      </c>
      <c r="R675" s="7" t="s">
        <v>27</v>
      </c>
    </row>
    <row r="676" spans="1:18" hidden="1">
      <c r="A676" s="7" t="s">
        <v>29</v>
      </c>
      <c r="B676" s="8">
        <v>19891</v>
      </c>
      <c r="C676" s="9">
        <v>45807.496296296296</v>
      </c>
      <c r="D676" s="9">
        <v>45447</v>
      </c>
      <c r="E676" s="9">
        <v>45415</v>
      </c>
      <c r="F676" s="7" t="s">
        <v>2452</v>
      </c>
      <c r="G676" s="7" t="s">
        <v>2453</v>
      </c>
      <c r="H676" s="7" t="s">
        <v>2454</v>
      </c>
      <c r="I676" s="7" t="s">
        <v>2455</v>
      </c>
      <c r="J676" s="7" t="s">
        <v>176</v>
      </c>
      <c r="K676" s="7" t="s">
        <v>584</v>
      </c>
      <c r="L676" s="10">
        <v>11346</v>
      </c>
      <c r="M676" s="10">
        <v>11346</v>
      </c>
      <c r="N676" s="10">
        <f>+L676-M676</f>
        <v>0</v>
      </c>
      <c r="O676" s="10">
        <v>11346</v>
      </c>
      <c r="P676" s="10">
        <f>+L676-O676</f>
        <v>0</v>
      </c>
      <c r="Q676" s="10">
        <v>0</v>
      </c>
      <c r="R676" s="7" t="s">
        <v>27</v>
      </c>
    </row>
    <row r="677" spans="1:18" hidden="1">
      <c r="A677" s="7" t="s">
        <v>29</v>
      </c>
      <c r="B677" s="8">
        <v>20742</v>
      </c>
      <c r="C677" s="9">
        <v>45993.582615740735</v>
      </c>
      <c r="D677" s="9">
        <v>45993</v>
      </c>
      <c r="E677" s="9">
        <v>46050</v>
      </c>
      <c r="F677" s="7" t="s">
        <v>2456</v>
      </c>
      <c r="G677" s="7" t="s">
        <v>2457</v>
      </c>
      <c r="H677" s="7" t="s">
        <v>1037</v>
      </c>
      <c r="I677" s="7" t="s">
        <v>1038</v>
      </c>
      <c r="J677" s="7" t="s">
        <v>34</v>
      </c>
      <c r="K677" s="7" t="s">
        <v>118</v>
      </c>
      <c r="L677" s="10">
        <v>11288.5</v>
      </c>
      <c r="M677" s="10">
        <v>11288.5</v>
      </c>
      <c r="N677" s="10">
        <f>+L677-M677</f>
        <v>0</v>
      </c>
      <c r="O677" s="10">
        <v>11288.5</v>
      </c>
      <c r="P677" s="10">
        <f>+L677-O677</f>
        <v>0</v>
      </c>
      <c r="Q677" s="10">
        <v>0</v>
      </c>
      <c r="R677" s="7" t="s">
        <v>27</v>
      </c>
    </row>
    <row r="678" spans="1:18" hidden="1">
      <c r="A678" s="7" t="s">
        <v>29</v>
      </c>
      <c r="B678" s="8">
        <v>19426</v>
      </c>
      <c r="C678" s="9">
        <v>45707.722546296296</v>
      </c>
      <c r="D678" s="9">
        <v>45764</v>
      </c>
      <c r="E678" s="9">
        <v>45698</v>
      </c>
      <c r="F678" s="7" t="s">
        <v>2458</v>
      </c>
      <c r="G678" s="7" t="s">
        <v>2459</v>
      </c>
      <c r="H678" s="7" t="s">
        <v>2460</v>
      </c>
      <c r="I678" s="7" t="s">
        <v>2461</v>
      </c>
      <c r="J678" s="7" t="s">
        <v>176</v>
      </c>
      <c r="K678" s="7" t="s">
        <v>550</v>
      </c>
      <c r="L678" s="10">
        <v>11108</v>
      </c>
      <c r="M678" s="10">
        <v>11108</v>
      </c>
      <c r="N678" s="10">
        <f>+L678-M678</f>
        <v>0</v>
      </c>
      <c r="O678" s="10">
        <v>11108</v>
      </c>
      <c r="P678" s="10">
        <f>+L678-O678</f>
        <v>0</v>
      </c>
      <c r="Q678" s="10">
        <v>0</v>
      </c>
      <c r="R678" s="7" t="s">
        <v>27</v>
      </c>
    </row>
    <row r="679" spans="1:18" hidden="1">
      <c r="A679" s="7" t="s">
        <v>29</v>
      </c>
      <c r="B679" s="8">
        <v>19459</v>
      </c>
      <c r="C679" s="9">
        <v>45713.614930555552</v>
      </c>
      <c r="D679" s="9">
        <v>45720</v>
      </c>
      <c r="E679" s="9">
        <v>45713</v>
      </c>
      <c r="F679" s="7" t="s">
        <v>2462</v>
      </c>
      <c r="G679" s="7" t="s">
        <v>2463</v>
      </c>
      <c r="H679" s="7" t="s">
        <v>2017</v>
      </c>
      <c r="I679" s="7" t="s">
        <v>2018</v>
      </c>
      <c r="J679" s="7" t="s">
        <v>176</v>
      </c>
      <c r="K679" s="7" t="s">
        <v>550</v>
      </c>
      <c r="L679" s="10">
        <v>11084</v>
      </c>
      <c r="M679" s="10">
        <v>11084</v>
      </c>
      <c r="N679" s="10">
        <f>+L679-M679</f>
        <v>0</v>
      </c>
      <c r="O679" s="10">
        <v>11084</v>
      </c>
      <c r="P679" s="10">
        <f>+L679-O679</f>
        <v>0</v>
      </c>
      <c r="Q679" s="10">
        <v>0</v>
      </c>
      <c r="R679" s="7" t="s">
        <v>27</v>
      </c>
    </row>
    <row r="680" spans="1:18" hidden="1">
      <c r="A680" s="7" t="s">
        <v>29</v>
      </c>
      <c r="B680" s="8">
        <v>19663</v>
      </c>
      <c r="C680" s="9">
        <v>45758.487395833334</v>
      </c>
      <c r="D680" s="9">
        <v>45853</v>
      </c>
      <c r="E680" s="9">
        <v>45762</v>
      </c>
      <c r="F680" s="7" t="s">
        <v>2464</v>
      </c>
      <c r="G680" s="7" t="s">
        <v>2465</v>
      </c>
      <c r="H680" s="7" t="s">
        <v>2466</v>
      </c>
      <c r="I680" s="7" t="s">
        <v>2467</v>
      </c>
      <c r="J680" s="7" t="s">
        <v>176</v>
      </c>
      <c r="K680" s="7" t="s">
        <v>494</v>
      </c>
      <c r="L680" s="10">
        <v>11056</v>
      </c>
      <c r="M680" s="10">
        <v>11056</v>
      </c>
      <c r="N680" s="10">
        <f>+L680-M680</f>
        <v>0</v>
      </c>
      <c r="O680" s="10">
        <v>11056</v>
      </c>
      <c r="P680" s="10">
        <f>+L680-O680</f>
        <v>0</v>
      </c>
      <c r="Q680" s="10">
        <v>0</v>
      </c>
      <c r="R680" s="7" t="s">
        <v>27</v>
      </c>
    </row>
    <row r="681" spans="1:18" hidden="1">
      <c r="A681" s="7" t="s">
        <v>29</v>
      </c>
      <c r="B681" s="8">
        <v>20724</v>
      </c>
      <c r="C681" s="9">
        <v>45986.624247685184</v>
      </c>
      <c r="D681" s="9">
        <v>45986</v>
      </c>
      <c r="E681" s="9">
        <v>46037</v>
      </c>
      <c r="F681" s="7" t="s">
        <v>2468</v>
      </c>
      <c r="G681" s="7" t="s">
        <v>2469</v>
      </c>
      <c r="H681" s="7" t="s">
        <v>2470</v>
      </c>
      <c r="I681" s="7" t="s">
        <v>2471</v>
      </c>
      <c r="J681" s="7" t="s">
        <v>34</v>
      </c>
      <c r="K681" s="7" t="s">
        <v>118</v>
      </c>
      <c r="L681" s="10">
        <v>11018.5</v>
      </c>
      <c r="M681" s="10">
        <v>11018.5</v>
      </c>
      <c r="N681" s="10">
        <f>+L681-M681</f>
        <v>0</v>
      </c>
      <c r="O681" s="10">
        <v>11018.5</v>
      </c>
      <c r="P681" s="10">
        <f>+L681-O681</f>
        <v>0</v>
      </c>
      <c r="Q681" s="10">
        <v>0</v>
      </c>
      <c r="R681" s="7" t="s">
        <v>27</v>
      </c>
    </row>
    <row r="682" spans="1:18" hidden="1">
      <c r="A682" s="7" t="s">
        <v>29</v>
      </c>
      <c r="B682" s="8">
        <v>19608</v>
      </c>
      <c r="C682" s="9">
        <v>45750.735891203702</v>
      </c>
      <c r="D682" s="9">
        <v>45827</v>
      </c>
      <c r="E682" s="9">
        <v>45771</v>
      </c>
      <c r="F682" s="7" t="s">
        <v>2472</v>
      </c>
      <c r="G682" s="7" t="s">
        <v>2473</v>
      </c>
      <c r="H682" s="7" t="s">
        <v>2474</v>
      </c>
      <c r="I682" s="7" t="s">
        <v>2475</v>
      </c>
      <c r="J682" s="7" t="s">
        <v>176</v>
      </c>
      <c r="K682" s="7" t="s">
        <v>374</v>
      </c>
      <c r="L682" s="10">
        <v>11000</v>
      </c>
      <c r="M682" s="10">
        <v>11000</v>
      </c>
      <c r="N682" s="10">
        <f>+L682-M682</f>
        <v>0</v>
      </c>
      <c r="O682" s="10">
        <v>11000</v>
      </c>
      <c r="P682" s="10">
        <f>+L682-O682</f>
        <v>0</v>
      </c>
      <c r="Q682" s="10">
        <v>0</v>
      </c>
      <c r="R682" s="7" t="s">
        <v>27</v>
      </c>
    </row>
    <row r="683" spans="1:18" hidden="1">
      <c r="A683" s="7" t="s">
        <v>29</v>
      </c>
      <c r="B683" s="8">
        <v>19826</v>
      </c>
      <c r="C683" s="9">
        <v>45793.509953703702</v>
      </c>
      <c r="D683" s="9">
        <v>45793</v>
      </c>
      <c r="E683" s="9">
        <v>45868</v>
      </c>
      <c r="F683" s="7" t="s">
        <v>2476</v>
      </c>
      <c r="G683" s="7" t="s">
        <v>2477</v>
      </c>
      <c r="H683" s="7" t="s">
        <v>1037</v>
      </c>
      <c r="I683" s="7" t="s">
        <v>1038</v>
      </c>
      <c r="J683" s="7" t="s">
        <v>34</v>
      </c>
      <c r="K683" s="7" t="s">
        <v>118</v>
      </c>
      <c r="L683" s="10">
        <v>10959.1</v>
      </c>
      <c r="M683" s="10">
        <v>10959.1</v>
      </c>
      <c r="N683" s="10">
        <f>+L683-M683</f>
        <v>0</v>
      </c>
      <c r="O683" s="10">
        <v>10959.1</v>
      </c>
      <c r="P683" s="10">
        <f>+L683-O683</f>
        <v>0</v>
      </c>
      <c r="Q683" s="10">
        <v>0</v>
      </c>
      <c r="R683" s="7" t="s">
        <v>27</v>
      </c>
    </row>
    <row r="684" spans="1:18" hidden="1">
      <c r="A684" s="7" t="s">
        <v>29</v>
      </c>
      <c r="B684" s="8">
        <v>20821</v>
      </c>
      <c r="C684" s="9">
        <v>46020.097327280091</v>
      </c>
      <c r="D684" s="9">
        <v>45906</v>
      </c>
      <c r="E684" s="9">
        <v>45957</v>
      </c>
      <c r="F684" s="7" t="s">
        <v>2478</v>
      </c>
      <c r="G684" s="7" t="s">
        <v>2479</v>
      </c>
      <c r="H684" s="7" t="s">
        <v>582</v>
      </c>
      <c r="I684" s="7" t="s">
        <v>583</v>
      </c>
      <c r="J684" s="7" t="s">
        <v>176</v>
      </c>
      <c r="K684" s="7" t="s">
        <v>584</v>
      </c>
      <c r="L684" s="10">
        <v>10900</v>
      </c>
      <c r="M684" s="10">
        <v>10900</v>
      </c>
      <c r="N684" s="10">
        <f>+L684-M684</f>
        <v>0</v>
      </c>
      <c r="O684" s="10">
        <v>10900</v>
      </c>
      <c r="P684" s="10">
        <f>+L684-O684</f>
        <v>0</v>
      </c>
      <c r="Q684" s="10">
        <v>0</v>
      </c>
      <c r="R684" s="7" t="s">
        <v>27</v>
      </c>
    </row>
    <row r="685" spans="1:18">
      <c r="A685" s="7" t="s">
        <v>29</v>
      </c>
      <c r="B685" s="8">
        <v>20342</v>
      </c>
      <c r="C685" s="9">
        <v>45896.741678240738</v>
      </c>
      <c r="D685" s="9">
        <v>45895</v>
      </c>
      <c r="E685" s="9">
        <v>45895</v>
      </c>
      <c r="F685" s="7" t="s">
        <v>2480</v>
      </c>
      <c r="G685" s="7" t="s">
        <v>2481</v>
      </c>
      <c r="H685" s="7" t="s">
        <v>2450</v>
      </c>
      <c r="I685" s="7" t="s">
        <v>2451</v>
      </c>
      <c r="J685" s="7" t="s">
        <v>25</v>
      </c>
      <c r="K685" s="7" t="s">
        <v>26</v>
      </c>
      <c r="L685" s="10">
        <v>28363.52</v>
      </c>
      <c r="M685" s="10">
        <v>28363.52</v>
      </c>
      <c r="N685" s="10">
        <f>+L685-M685</f>
        <v>0</v>
      </c>
      <c r="O685" s="10">
        <v>28363.52</v>
      </c>
      <c r="P685" s="10">
        <f>+L685-O685</f>
        <v>0</v>
      </c>
      <c r="Q685" s="10">
        <v>0</v>
      </c>
      <c r="R685" s="7" t="s">
        <v>27</v>
      </c>
    </row>
    <row r="686" spans="1:18">
      <c r="A686" s="7" t="s">
        <v>29</v>
      </c>
      <c r="B686" s="8">
        <v>19904</v>
      </c>
      <c r="C686" s="9">
        <v>45810.587962962964</v>
      </c>
      <c r="D686" s="9">
        <v>45877</v>
      </c>
      <c r="E686" s="9">
        <v>45810</v>
      </c>
      <c r="F686" s="7" t="s">
        <v>2482</v>
      </c>
      <c r="G686" s="7" t="s">
        <v>2483</v>
      </c>
      <c r="H686" s="7" t="s">
        <v>2450</v>
      </c>
      <c r="I686" s="7" t="s">
        <v>2451</v>
      </c>
      <c r="J686" s="7" t="s">
        <v>25</v>
      </c>
      <c r="K686" s="7" t="s">
        <v>26</v>
      </c>
      <c r="L686" s="10">
        <v>28357.42</v>
      </c>
      <c r="M686" s="10">
        <v>28357.42</v>
      </c>
      <c r="N686" s="10">
        <f>+L686-M686</f>
        <v>0</v>
      </c>
      <c r="O686" s="10">
        <v>28357.42</v>
      </c>
      <c r="P686" s="10">
        <f>+L686-O686</f>
        <v>0</v>
      </c>
      <c r="Q686" s="10">
        <v>0</v>
      </c>
      <c r="R686" s="7" t="s">
        <v>27</v>
      </c>
    </row>
    <row r="687" spans="1:18" hidden="1">
      <c r="A687" s="7" t="s">
        <v>29</v>
      </c>
      <c r="B687" s="8">
        <v>20734</v>
      </c>
      <c r="C687" s="9">
        <v>45991.882719907408</v>
      </c>
      <c r="D687" s="9">
        <v>46007</v>
      </c>
      <c r="E687" s="9">
        <v>45986</v>
      </c>
      <c r="F687" s="7" t="s">
        <v>2484</v>
      </c>
      <c r="G687" s="7" t="s">
        <v>2485</v>
      </c>
      <c r="H687" s="7" t="s">
        <v>2033</v>
      </c>
      <c r="I687" s="7" t="s">
        <v>2034</v>
      </c>
      <c r="J687" s="7" t="s">
        <v>176</v>
      </c>
      <c r="K687" s="7" t="s">
        <v>317</v>
      </c>
      <c r="L687" s="10">
        <v>10834</v>
      </c>
      <c r="M687" s="10">
        <v>10834</v>
      </c>
      <c r="N687" s="10">
        <f>+L687-M687</f>
        <v>0</v>
      </c>
      <c r="O687" s="10">
        <v>10834</v>
      </c>
      <c r="P687" s="10">
        <f>+L687-O687</f>
        <v>0</v>
      </c>
      <c r="Q687" s="10">
        <v>0</v>
      </c>
      <c r="R687" s="7" t="s">
        <v>27</v>
      </c>
    </row>
    <row r="688" spans="1:18" hidden="1">
      <c r="A688" s="7" t="s">
        <v>29</v>
      </c>
      <c r="B688" s="8">
        <v>19323</v>
      </c>
      <c r="C688" s="9">
        <v>45670.656238425923</v>
      </c>
      <c r="D688" s="9">
        <v>45670</v>
      </c>
      <c r="E688" s="9">
        <v>45670</v>
      </c>
      <c r="F688" s="7" t="s">
        <v>2486</v>
      </c>
      <c r="G688" s="7" t="s">
        <v>2487</v>
      </c>
      <c r="H688" s="7" t="s">
        <v>2488</v>
      </c>
      <c r="I688" s="7" t="s">
        <v>2489</v>
      </c>
      <c r="J688" s="7" t="s">
        <v>34</v>
      </c>
      <c r="K688" s="7" t="s">
        <v>990</v>
      </c>
      <c r="L688" s="10">
        <v>10734</v>
      </c>
      <c r="M688" s="10">
        <v>10734</v>
      </c>
      <c r="N688" s="10">
        <f>+L688-M688</f>
        <v>0</v>
      </c>
      <c r="O688" s="10">
        <v>10734</v>
      </c>
      <c r="P688" s="10">
        <f>+L688-O688</f>
        <v>0</v>
      </c>
      <c r="Q688" s="10">
        <v>0</v>
      </c>
      <c r="R688" s="7" t="s">
        <v>27</v>
      </c>
    </row>
    <row r="689" spans="1:18" hidden="1">
      <c r="A689" s="7" t="s">
        <v>29</v>
      </c>
      <c r="B689" s="8">
        <v>20447</v>
      </c>
      <c r="C689" s="9">
        <v>45912.472395833334</v>
      </c>
      <c r="D689" s="9">
        <v>45927</v>
      </c>
      <c r="E689" s="9">
        <v>45878</v>
      </c>
      <c r="F689" s="7" t="s">
        <v>2490</v>
      </c>
      <c r="G689" s="7" t="s">
        <v>2491</v>
      </c>
      <c r="H689" s="7" t="s">
        <v>2155</v>
      </c>
      <c r="I689" s="7" t="s">
        <v>2156</v>
      </c>
      <c r="J689" s="7" t="s">
        <v>176</v>
      </c>
      <c r="K689" s="7" t="s">
        <v>177</v>
      </c>
      <c r="L689" s="10">
        <v>10650</v>
      </c>
      <c r="M689" s="10">
        <v>10650</v>
      </c>
      <c r="N689" s="10">
        <f>+L689-M689</f>
        <v>0</v>
      </c>
      <c r="O689" s="10">
        <v>10650</v>
      </c>
      <c r="P689" s="10">
        <f>+L689-O689</f>
        <v>0</v>
      </c>
      <c r="Q689" s="10">
        <v>0</v>
      </c>
      <c r="R689" s="7" t="s">
        <v>27</v>
      </c>
    </row>
    <row r="690" spans="1:18" hidden="1">
      <c r="A690" s="7" t="s">
        <v>29</v>
      </c>
      <c r="B690" s="8">
        <v>19479</v>
      </c>
      <c r="C690" s="9">
        <v>45716.495555555557</v>
      </c>
      <c r="D690" s="9">
        <v>45747</v>
      </c>
      <c r="E690" s="9">
        <v>45793</v>
      </c>
      <c r="F690" s="7" t="s">
        <v>2492</v>
      </c>
      <c r="G690" s="7" t="s">
        <v>2493</v>
      </c>
      <c r="H690" s="7" t="s">
        <v>2494</v>
      </c>
      <c r="I690" s="7" t="s">
        <v>2495</v>
      </c>
      <c r="J690" s="7" t="s">
        <v>176</v>
      </c>
      <c r="K690" s="7" t="s">
        <v>374</v>
      </c>
      <c r="L690" s="10">
        <v>10616</v>
      </c>
      <c r="M690" s="10">
        <v>10616</v>
      </c>
      <c r="N690" s="10">
        <f>+L690-M690</f>
        <v>0</v>
      </c>
      <c r="O690" s="10">
        <v>10616</v>
      </c>
      <c r="P690" s="10">
        <f>+L690-O690</f>
        <v>0</v>
      </c>
      <c r="Q690" s="10">
        <v>0</v>
      </c>
      <c r="R690" s="7" t="s">
        <v>27</v>
      </c>
    </row>
    <row r="691" spans="1:18" hidden="1">
      <c r="A691" s="7" t="s">
        <v>29</v>
      </c>
      <c r="B691" s="8">
        <v>19535</v>
      </c>
      <c r="C691" s="9">
        <v>45734.383923611109</v>
      </c>
      <c r="D691" s="9">
        <v>45735</v>
      </c>
      <c r="E691" s="9">
        <v>45692</v>
      </c>
      <c r="F691" s="7" t="s">
        <v>2496</v>
      </c>
      <c r="G691" s="7" t="s">
        <v>2497</v>
      </c>
      <c r="H691" s="7" t="s">
        <v>1219</v>
      </c>
      <c r="I691" s="7" t="s">
        <v>1220</v>
      </c>
      <c r="J691" s="7" t="s">
        <v>176</v>
      </c>
      <c r="K691" s="7" t="s">
        <v>317</v>
      </c>
      <c r="L691" s="10">
        <v>10606</v>
      </c>
      <c r="M691" s="10">
        <v>10606</v>
      </c>
      <c r="N691" s="10">
        <f>+L691-M691</f>
        <v>0</v>
      </c>
      <c r="O691" s="10">
        <v>10606</v>
      </c>
      <c r="P691" s="10">
        <f>+L691-O691</f>
        <v>0</v>
      </c>
      <c r="Q691" s="10">
        <v>0</v>
      </c>
      <c r="R691" s="7" t="s">
        <v>27</v>
      </c>
    </row>
    <row r="692" spans="1:18" hidden="1">
      <c r="A692" s="7" t="s">
        <v>29</v>
      </c>
      <c r="B692" s="8">
        <v>19918</v>
      </c>
      <c r="C692" s="9">
        <v>45811.677523148144</v>
      </c>
      <c r="D692" s="9">
        <v>45768</v>
      </c>
      <c r="E692" s="9">
        <v>45770</v>
      </c>
      <c r="F692" s="7" t="s">
        <v>2498</v>
      </c>
      <c r="G692" s="7" t="s">
        <v>2499</v>
      </c>
      <c r="H692" s="7" t="s">
        <v>2500</v>
      </c>
      <c r="I692" s="7" t="s">
        <v>2501</v>
      </c>
      <c r="J692" s="7" t="s">
        <v>176</v>
      </c>
      <c r="K692" s="7" t="s">
        <v>494</v>
      </c>
      <c r="L692" s="10">
        <v>10600</v>
      </c>
      <c r="M692" s="10">
        <v>10600</v>
      </c>
      <c r="N692" s="10">
        <f>+L692-M692</f>
        <v>0</v>
      </c>
      <c r="O692" s="10">
        <v>10600</v>
      </c>
      <c r="P692" s="10">
        <f>+L692-O692</f>
        <v>0</v>
      </c>
      <c r="Q692" s="10">
        <v>0</v>
      </c>
      <c r="R692" s="7" t="s">
        <v>27</v>
      </c>
    </row>
    <row r="693" spans="1:18" hidden="1">
      <c r="A693" s="7" t="s">
        <v>29</v>
      </c>
      <c r="B693" s="8">
        <v>19392</v>
      </c>
      <c r="C693" s="9">
        <v>45694.700856481482</v>
      </c>
      <c r="D693" s="9">
        <v>45717</v>
      </c>
      <c r="E693" s="9">
        <v>45680</v>
      </c>
      <c r="F693" s="7" t="s">
        <v>2502</v>
      </c>
      <c r="G693" s="7" t="s">
        <v>2503</v>
      </c>
      <c r="H693" s="7" t="s">
        <v>2504</v>
      </c>
      <c r="I693" s="7" t="s">
        <v>2505</v>
      </c>
      <c r="J693" s="7" t="s">
        <v>176</v>
      </c>
      <c r="K693" s="7" t="s">
        <v>374</v>
      </c>
      <c r="L693" s="10">
        <v>10570</v>
      </c>
      <c r="M693" s="10">
        <v>10570</v>
      </c>
      <c r="N693" s="10">
        <f>+L693-M693</f>
        <v>0</v>
      </c>
      <c r="O693" s="10">
        <v>10570</v>
      </c>
      <c r="P693" s="10">
        <f>+L693-O693</f>
        <v>0</v>
      </c>
      <c r="Q693" s="10">
        <v>0</v>
      </c>
      <c r="R693" s="7" t="s">
        <v>27</v>
      </c>
    </row>
    <row r="694" spans="1:18">
      <c r="A694" s="7" t="s">
        <v>29</v>
      </c>
      <c r="B694" s="8">
        <v>19594</v>
      </c>
      <c r="C694" s="9">
        <v>45747.514872685184</v>
      </c>
      <c r="D694" s="9">
        <v>45793</v>
      </c>
      <c r="E694" s="9">
        <v>45793</v>
      </c>
      <c r="F694" s="7" t="s">
        <v>2506</v>
      </c>
      <c r="G694" s="7" t="s">
        <v>2507</v>
      </c>
      <c r="H694" s="7" t="s">
        <v>2508</v>
      </c>
      <c r="I694" s="7" t="s">
        <v>2509</v>
      </c>
      <c r="J694" s="7" t="s">
        <v>25</v>
      </c>
      <c r="K694" s="7" t="s">
        <v>26</v>
      </c>
      <c r="L694" s="10">
        <v>27983.67</v>
      </c>
      <c r="M694" s="10">
        <v>27983.67</v>
      </c>
      <c r="N694" s="10">
        <f>+L694-M694</f>
        <v>0</v>
      </c>
      <c r="O694" s="10">
        <v>27983.67</v>
      </c>
      <c r="P694" s="10">
        <f>+L694-O694</f>
        <v>0</v>
      </c>
      <c r="Q694" s="10">
        <v>0</v>
      </c>
      <c r="R694" s="7" t="s">
        <v>27</v>
      </c>
    </row>
    <row r="695" spans="1:18" hidden="1">
      <c r="A695" s="7" t="s">
        <v>29</v>
      </c>
      <c r="B695" s="8">
        <v>19992</v>
      </c>
      <c r="C695" s="9">
        <v>45828.415150462963</v>
      </c>
      <c r="D695" s="9">
        <v>45786</v>
      </c>
      <c r="E695" s="9">
        <v>45791</v>
      </c>
      <c r="F695" s="7" t="s">
        <v>2510</v>
      </c>
      <c r="G695" s="7" t="s">
        <v>2511</v>
      </c>
      <c r="H695" s="7" t="s">
        <v>2512</v>
      </c>
      <c r="I695" s="7" t="s">
        <v>2513</v>
      </c>
      <c r="J695" s="7" t="s">
        <v>176</v>
      </c>
      <c r="K695" s="7" t="s">
        <v>374</v>
      </c>
      <c r="L695" s="10">
        <v>10500</v>
      </c>
      <c r="M695" s="10">
        <v>10500</v>
      </c>
      <c r="N695" s="10">
        <f>+L695-M695</f>
        <v>0</v>
      </c>
      <c r="O695" s="10">
        <v>10500</v>
      </c>
      <c r="P695" s="10">
        <f>+L695-O695</f>
        <v>0</v>
      </c>
      <c r="Q695" s="10">
        <v>0</v>
      </c>
      <c r="R695" s="7" t="s">
        <v>27</v>
      </c>
    </row>
    <row r="696" spans="1:18" hidden="1">
      <c r="A696" s="7" t="s">
        <v>29</v>
      </c>
      <c r="B696" s="8">
        <v>20733</v>
      </c>
      <c r="C696" s="9">
        <v>45991.879803240736</v>
      </c>
      <c r="D696" s="9">
        <v>46056</v>
      </c>
      <c r="E696" s="9">
        <v>45986</v>
      </c>
      <c r="F696" s="7" t="s">
        <v>2514</v>
      </c>
      <c r="G696" s="7" t="s">
        <v>2515</v>
      </c>
      <c r="H696" s="7" t="s">
        <v>2033</v>
      </c>
      <c r="I696" s="7" t="s">
        <v>2034</v>
      </c>
      <c r="J696" s="7" t="s">
        <v>176</v>
      </c>
      <c r="K696" s="7" t="s">
        <v>317</v>
      </c>
      <c r="L696" s="10">
        <v>10424</v>
      </c>
      <c r="M696" s="10">
        <v>10424</v>
      </c>
      <c r="N696" s="10">
        <f>+L696-M696</f>
        <v>0</v>
      </c>
      <c r="O696" s="10">
        <v>10424</v>
      </c>
      <c r="P696" s="10">
        <f>+L696-O696</f>
        <v>0</v>
      </c>
      <c r="Q696" s="10">
        <v>0</v>
      </c>
      <c r="R696" s="7" t="s">
        <v>27</v>
      </c>
    </row>
    <row r="697" spans="1:18" hidden="1">
      <c r="A697" s="7" t="s">
        <v>29</v>
      </c>
      <c r="B697" s="8">
        <v>20120</v>
      </c>
      <c r="C697" s="9">
        <v>45847.714363425926</v>
      </c>
      <c r="D697" s="9">
        <v>45847</v>
      </c>
      <c r="E697" s="9">
        <v>45847</v>
      </c>
      <c r="F697" s="7" t="s">
        <v>2516</v>
      </c>
      <c r="G697" s="7" t="s">
        <v>2517</v>
      </c>
      <c r="H697" s="7" t="s">
        <v>2518</v>
      </c>
      <c r="I697" s="7" t="s">
        <v>2519</v>
      </c>
      <c r="J697" s="7" t="s">
        <v>34</v>
      </c>
      <c r="K697" s="7" t="s">
        <v>990</v>
      </c>
      <c r="L697" s="10">
        <v>10123.85</v>
      </c>
      <c r="M697" s="10">
        <v>10123.85</v>
      </c>
      <c r="N697" s="10">
        <f>+L697-M697</f>
        <v>0</v>
      </c>
      <c r="O697" s="10">
        <v>10123.85</v>
      </c>
      <c r="P697" s="10">
        <f>+L697-O697</f>
        <v>0</v>
      </c>
      <c r="Q697" s="10">
        <v>0</v>
      </c>
      <c r="R697" s="7" t="s">
        <v>27</v>
      </c>
    </row>
    <row r="698" spans="1:18">
      <c r="A698" s="7" t="s">
        <v>29</v>
      </c>
      <c r="B698" s="8">
        <v>19714</v>
      </c>
      <c r="C698" s="9">
        <v>45771.646666666667</v>
      </c>
      <c r="D698" s="9">
        <v>45813</v>
      </c>
      <c r="E698" s="9">
        <v>45756</v>
      </c>
      <c r="F698" s="7" t="s">
        <v>2520</v>
      </c>
      <c r="G698" s="7" t="s">
        <v>2521</v>
      </c>
      <c r="H698" s="7" t="s">
        <v>2522</v>
      </c>
      <c r="I698" s="7" t="s">
        <v>2523</v>
      </c>
      <c r="J698" s="7" t="s">
        <v>25</v>
      </c>
      <c r="K698" s="7" t="s">
        <v>55</v>
      </c>
      <c r="L698" s="10">
        <v>25958.22</v>
      </c>
      <c r="M698" s="10">
        <v>25958.22</v>
      </c>
      <c r="N698" s="10">
        <f>+L698-M698</f>
        <v>0</v>
      </c>
      <c r="O698" s="10">
        <v>25958.22</v>
      </c>
      <c r="P698" s="10">
        <f>+L698-O698</f>
        <v>0</v>
      </c>
      <c r="Q698" s="10">
        <v>0</v>
      </c>
      <c r="R698" s="7" t="s">
        <v>27</v>
      </c>
    </row>
    <row r="699" spans="1:18">
      <c r="A699" s="7" t="s">
        <v>29</v>
      </c>
      <c r="B699" s="8">
        <v>20124</v>
      </c>
      <c r="C699" s="9">
        <v>45847.728715277779</v>
      </c>
      <c r="D699" s="9">
        <v>45875</v>
      </c>
      <c r="E699" s="9">
        <v>45847</v>
      </c>
      <c r="F699" s="7" t="s">
        <v>2524</v>
      </c>
      <c r="G699" s="7" t="s">
        <v>2525</v>
      </c>
      <c r="H699" s="7" t="s">
        <v>1150</v>
      </c>
      <c r="I699" s="7" t="s">
        <v>1151</v>
      </c>
      <c r="J699" s="7" t="s">
        <v>25</v>
      </c>
      <c r="K699" s="7" t="s">
        <v>170</v>
      </c>
      <c r="L699" s="10">
        <v>25431.22</v>
      </c>
      <c r="M699" s="10">
        <v>25431.22</v>
      </c>
      <c r="N699" s="10">
        <f>+L699-M699</f>
        <v>0</v>
      </c>
      <c r="O699" s="10">
        <v>25431.22</v>
      </c>
      <c r="P699" s="10">
        <f>+L699-O699</f>
        <v>0</v>
      </c>
      <c r="Q699" s="10">
        <v>0</v>
      </c>
      <c r="R699" s="7" t="s">
        <v>27</v>
      </c>
    </row>
    <row r="700" spans="1:18">
      <c r="A700" s="7" t="s">
        <v>29</v>
      </c>
      <c r="B700" s="8">
        <v>20671</v>
      </c>
      <c r="C700" s="9">
        <v>45965.738541666666</v>
      </c>
      <c r="D700" s="9">
        <v>46011</v>
      </c>
      <c r="E700" s="9">
        <v>46011</v>
      </c>
      <c r="F700" s="7" t="s">
        <v>2526</v>
      </c>
      <c r="G700" s="7" t="s">
        <v>2527</v>
      </c>
      <c r="H700" s="7" t="s">
        <v>1803</v>
      </c>
      <c r="I700" s="7" t="s">
        <v>1804</v>
      </c>
      <c r="J700" s="7" t="s">
        <v>25</v>
      </c>
      <c r="K700" s="7" t="s">
        <v>55</v>
      </c>
      <c r="L700" s="10">
        <v>25190.69</v>
      </c>
      <c r="M700" s="10">
        <v>25190.69</v>
      </c>
      <c r="N700" s="10">
        <f>+L700-M700</f>
        <v>0</v>
      </c>
      <c r="O700" s="10">
        <v>25190.69</v>
      </c>
      <c r="P700" s="10">
        <f>+L700-O700</f>
        <v>0</v>
      </c>
      <c r="Q700" s="10">
        <v>0</v>
      </c>
      <c r="R700" s="7" t="s">
        <v>27</v>
      </c>
    </row>
    <row r="701" spans="1:18" hidden="1">
      <c r="A701" s="7" t="s">
        <v>29</v>
      </c>
      <c r="B701" s="8">
        <v>20056</v>
      </c>
      <c r="C701" s="9">
        <v>45837.720763888887</v>
      </c>
      <c r="D701" s="9">
        <v>45866</v>
      </c>
      <c r="E701" s="9">
        <v>45825</v>
      </c>
      <c r="F701" s="7" t="s">
        <v>2528</v>
      </c>
      <c r="G701" s="7" t="s">
        <v>2529</v>
      </c>
      <c r="H701" s="7" t="s">
        <v>2530</v>
      </c>
      <c r="I701" s="7" t="s">
        <v>2531</v>
      </c>
      <c r="J701" s="7" t="s">
        <v>176</v>
      </c>
      <c r="K701" s="7" t="s">
        <v>584</v>
      </c>
      <c r="L701" s="10">
        <v>10050</v>
      </c>
      <c r="M701" s="10">
        <v>10050</v>
      </c>
      <c r="N701" s="10">
        <f>+L701-M701</f>
        <v>0</v>
      </c>
      <c r="O701" s="10">
        <v>10050</v>
      </c>
      <c r="P701" s="10">
        <f>+L701-O701</f>
        <v>0</v>
      </c>
      <c r="Q701" s="10">
        <v>0</v>
      </c>
      <c r="R701" s="7" t="s">
        <v>27</v>
      </c>
    </row>
    <row r="702" spans="1:18">
      <c r="A702" s="7" t="s">
        <v>29</v>
      </c>
      <c r="B702" s="8">
        <v>19399</v>
      </c>
      <c r="C702" s="9">
        <v>45695.654085648144</v>
      </c>
      <c r="D702" s="9">
        <v>45607</v>
      </c>
      <c r="E702" s="9">
        <v>45568</v>
      </c>
      <c r="F702" s="7" t="s">
        <v>2532</v>
      </c>
      <c r="G702" s="7" t="s">
        <v>2533</v>
      </c>
      <c r="H702" s="7" t="s">
        <v>2534</v>
      </c>
      <c r="I702" s="7" t="s">
        <v>2535</v>
      </c>
      <c r="J702" s="7" t="s">
        <v>25</v>
      </c>
      <c r="K702" s="7" t="s">
        <v>55</v>
      </c>
      <c r="L702" s="10">
        <v>24926.67</v>
      </c>
      <c r="M702" s="10">
        <v>24926.67</v>
      </c>
      <c r="N702" s="10">
        <f>+L702-M702</f>
        <v>0</v>
      </c>
      <c r="O702" s="10">
        <v>24926.67</v>
      </c>
      <c r="P702" s="10">
        <f>+L702-O702</f>
        <v>0</v>
      </c>
      <c r="Q702" s="10">
        <v>0</v>
      </c>
      <c r="R702" s="7" t="s">
        <v>27</v>
      </c>
    </row>
    <row r="703" spans="1:18">
      <c r="A703" s="7" t="s">
        <v>29</v>
      </c>
      <c r="B703" s="8">
        <v>20629</v>
      </c>
      <c r="C703" s="9">
        <v>45958.669745370367</v>
      </c>
      <c r="D703" s="9">
        <v>46002</v>
      </c>
      <c r="E703" s="9">
        <v>46002</v>
      </c>
      <c r="F703" s="7" t="s">
        <v>2536</v>
      </c>
      <c r="G703" s="7" t="s">
        <v>2537</v>
      </c>
      <c r="H703" s="7" t="s">
        <v>2538</v>
      </c>
      <c r="I703" s="7" t="s">
        <v>2539</v>
      </c>
      <c r="J703" s="7" t="s">
        <v>25</v>
      </c>
      <c r="K703" s="7" t="s">
        <v>55</v>
      </c>
      <c r="L703" s="10">
        <v>23218.22</v>
      </c>
      <c r="M703" s="10">
        <v>23218.22</v>
      </c>
      <c r="N703" s="10">
        <f>+L703-M703</f>
        <v>0</v>
      </c>
      <c r="O703" s="10">
        <v>23218.22</v>
      </c>
      <c r="P703" s="10">
        <f>+L703-O703</f>
        <v>0</v>
      </c>
      <c r="Q703" s="10">
        <v>0</v>
      </c>
      <c r="R703" s="7" t="s">
        <v>27</v>
      </c>
    </row>
    <row r="704" spans="1:18" hidden="1">
      <c r="A704" s="7" t="s">
        <v>29</v>
      </c>
      <c r="B704" s="8">
        <v>20194</v>
      </c>
      <c r="C704" s="9">
        <v>45867.619074074071</v>
      </c>
      <c r="D704" s="9">
        <v>45682</v>
      </c>
      <c r="E704" s="9">
        <v>45628</v>
      </c>
      <c r="F704" s="7" t="s">
        <v>2540</v>
      </c>
      <c r="G704" s="7" t="s">
        <v>2541</v>
      </c>
      <c r="H704" s="7" t="s">
        <v>2542</v>
      </c>
      <c r="I704" s="7" t="s">
        <v>2543</v>
      </c>
      <c r="J704" s="7" t="s">
        <v>176</v>
      </c>
      <c r="K704" s="7" t="s">
        <v>317</v>
      </c>
      <c r="L704" s="10">
        <v>10000</v>
      </c>
      <c r="M704" s="10">
        <v>10000</v>
      </c>
      <c r="N704" s="10">
        <f>+L704-M704</f>
        <v>0</v>
      </c>
      <c r="O704" s="10">
        <v>10000</v>
      </c>
      <c r="P704" s="10">
        <f>+L704-O704</f>
        <v>0</v>
      </c>
      <c r="Q704" s="10">
        <v>0</v>
      </c>
      <c r="R704" s="7" t="s">
        <v>27</v>
      </c>
    </row>
    <row r="705" spans="1:18" hidden="1">
      <c r="A705" s="7" t="s">
        <v>29</v>
      </c>
      <c r="B705" s="8">
        <v>19726</v>
      </c>
      <c r="C705" s="9">
        <v>45773.516215277778</v>
      </c>
      <c r="D705" s="9">
        <v>45769</v>
      </c>
      <c r="E705" s="9">
        <v>45769</v>
      </c>
      <c r="F705" s="7" t="s">
        <v>2544</v>
      </c>
      <c r="G705" s="7" t="s">
        <v>2545</v>
      </c>
      <c r="H705" s="7" t="s">
        <v>2546</v>
      </c>
      <c r="I705" s="7" t="s">
        <v>2547</v>
      </c>
      <c r="J705" s="7" t="s">
        <v>176</v>
      </c>
      <c r="K705" s="7" t="s">
        <v>945</v>
      </c>
      <c r="L705" s="10">
        <v>10000</v>
      </c>
      <c r="M705" s="10">
        <v>10000</v>
      </c>
      <c r="N705" s="10">
        <f>+L705-M705</f>
        <v>0</v>
      </c>
      <c r="O705" s="10">
        <v>10000</v>
      </c>
      <c r="P705" s="10">
        <f>+L705-O705</f>
        <v>0</v>
      </c>
      <c r="Q705" s="10">
        <v>0</v>
      </c>
      <c r="R705" s="7" t="s">
        <v>27</v>
      </c>
    </row>
    <row r="706" spans="1:18" hidden="1">
      <c r="A706" s="7" t="s">
        <v>29</v>
      </c>
      <c r="B706" s="8">
        <v>19477</v>
      </c>
      <c r="C706" s="9">
        <v>45716.49491898148</v>
      </c>
      <c r="D706" s="9">
        <v>45736</v>
      </c>
      <c r="E706" s="9">
        <v>45767</v>
      </c>
      <c r="F706" s="7" t="s">
        <v>2548</v>
      </c>
      <c r="G706" s="7" t="s">
        <v>2549</v>
      </c>
      <c r="H706" s="7" t="s">
        <v>2550</v>
      </c>
      <c r="I706" s="7" t="s">
        <v>2551</v>
      </c>
      <c r="J706" s="7" t="s">
        <v>176</v>
      </c>
      <c r="K706" s="7" t="s">
        <v>584</v>
      </c>
      <c r="L706" s="10">
        <v>10000</v>
      </c>
      <c r="M706" s="10">
        <v>10000</v>
      </c>
      <c r="N706" s="10">
        <f>+L706-M706</f>
        <v>0</v>
      </c>
      <c r="O706" s="10">
        <v>10000</v>
      </c>
      <c r="P706" s="10">
        <f>+L706-O706</f>
        <v>0</v>
      </c>
      <c r="Q706" s="10">
        <v>0</v>
      </c>
      <c r="R706" s="7" t="s">
        <v>27</v>
      </c>
    </row>
    <row r="707" spans="1:18" hidden="1">
      <c r="A707" s="7" t="s">
        <v>29</v>
      </c>
      <c r="B707" s="8">
        <v>20556</v>
      </c>
      <c r="C707" s="9">
        <v>45938.63208333333</v>
      </c>
      <c r="D707" s="9">
        <v>45945</v>
      </c>
      <c r="E707" s="9">
        <v>45912</v>
      </c>
      <c r="F707" s="7" t="s">
        <v>2552</v>
      </c>
      <c r="G707" s="7" t="s">
        <v>2553</v>
      </c>
      <c r="H707" s="7" t="s">
        <v>2372</v>
      </c>
      <c r="I707" s="7" t="s">
        <v>2373</v>
      </c>
      <c r="J707" s="7" t="s">
        <v>176</v>
      </c>
      <c r="K707" s="7" t="s">
        <v>584</v>
      </c>
      <c r="L707" s="10">
        <v>10000</v>
      </c>
      <c r="M707" s="10">
        <v>10000</v>
      </c>
      <c r="N707" s="10">
        <f>+L707-M707</f>
        <v>0</v>
      </c>
      <c r="O707" s="10">
        <v>10000</v>
      </c>
      <c r="P707" s="10">
        <f>+L707-O707</f>
        <v>0</v>
      </c>
      <c r="Q707" s="10">
        <v>0</v>
      </c>
      <c r="R707" s="7" t="s">
        <v>27</v>
      </c>
    </row>
    <row r="708" spans="1:18" hidden="1">
      <c r="A708" s="7" t="s">
        <v>29</v>
      </c>
      <c r="B708" s="8">
        <v>19428</v>
      </c>
      <c r="C708" s="9">
        <v>45707.735462962963</v>
      </c>
      <c r="D708" s="9">
        <v>45721</v>
      </c>
      <c r="E708" s="9">
        <v>45686</v>
      </c>
      <c r="F708" s="7" t="s">
        <v>2554</v>
      </c>
      <c r="G708" s="7" t="s">
        <v>1553</v>
      </c>
      <c r="H708" s="7" t="s">
        <v>2555</v>
      </c>
      <c r="I708" s="7" t="s">
        <v>2556</v>
      </c>
      <c r="J708" s="7" t="s">
        <v>176</v>
      </c>
      <c r="K708" s="7" t="s">
        <v>317</v>
      </c>
      <c r="L708" s="10">
        <v>9981</v>
      </c>
      <c r="M708" s="10">
        <v>9981</v>
      </c>
      <c r="N708" s="10">
        <f>+L708-M708</f>
        <v>0</v>
      </c>
      <c r="O708" s="10">
        <v>9981</v>
      </c>
      <c r="P708" s="10">
        <f>+L708-O708</f>
        <v>0</v>
      </c>
      <c r="Q708" s="10">
        <v>0</v>
      </c>
      <c r="R708" s="7" t="s">
        <v>27</v>
      </c>
    </row>
    <row r="709" spans="1:18">
      <c r="A709" s="7" t="s">
        <v>29</v>
      </c>
      <c r="B709" s="8">
        <v>20128</v>
      </c>
      <c r="C709" s="9">
        <v>45847.72987268518</v>
      </c>
      <c r="D709" s="9">
        <v>45926</v>
      </c>
      <c r="E709" s="9">
        <v>45870</v>
      </c>
      <c r="F709" s="7" t="s">
        <v>2557</v>
      </c>
      <c r="G709" s="7" t="s">
        <v>2558</v>
      </c>
      <c r="H709" s="7" t="s">
        <v>2205</v>
      </c>
      <c r="I709" s="7" t="s">
        <v>2206</v>
      </c>
      <c r="J709" s="7" t="s">
        <v>25</v>
      </c>
      <c r="K709" s="7" t="s">
        <v>26</v>
      </c>
      <c r="L709" s="10">
        <v>23045.9</v>
      </c>
      <c r="M709" s="10">
        <v>23045.9</v>
      </c>
      <c r="N709" s="10">
        <f>+L709-M709</f>
        <v>0</v>
      </c>
      <c r="O709" s="10">
        <v>23045.9</v>
      </c>
      <c r="P709" s="10">
        <f>+L709-O709</f>
        <v>0</v>
      </c>
      <c r="Q709" s="10">
        <v>0</v>
      </c>
      <c r="R709" s="7" t="s">
        <v>27</v>
      </c>
    </row>
    <row r="710" spans="1:18" hidden="1">
      <c r="A710" s="7" t="s">
        <v>29</v>
      </c>
      <c r="B710" s="8">
        <v>4238</v>
      </c>
      <c r="C710" s="9">
        <v>45835.490949074076</v>
      </c>
      <c r="D710" s="9">
        <v>45834</v>
      </c>
      <c r="E710" s="9">
        <v>45920</v>
      </c>
      <c r="F710" s="7" t="s">
        <v>2559</v>
      </c>
      <c r="G710" s="7" t="s">
        <v>2560</v>
      </c>
      <c r="H710" s="7" t="s">
        <v>1133</v>
      </c>
      <c r="I710" s="7" t="s">
        <v>1030</v>
      </c>
      <c r="J710" s="7" t="s">
        <v>25</v>
      </c>
      <c r="K710" s="7" t="s">
        <v>86</v>
      </c>
      <c r="L710" s="10">
        <v>22882.5</v>
      </c>
      <c r="M710" s="10">
        <v>22882.5</v>
      </c>
      <c r="N710" s="15">
        <f>+L710-M710</f>
        <v>0</v>
      </c>
      <c r="O710" s="15">
        <v>22882.5</v>
      </c>
      <c r="P710" s="15">
        <f>+L710-O710</f>
        <v>0</v>
      </c>
      <c r="Q710" s="10">
        <v>0</v>
      </c>
      <c r="R710" s="7" t="s">
        <v>87</v>
      </c>
    </row>
    <row r="711" spans="1:18" hidden="1">
      <c r="A711" s="7" t="s">
        <v>29</v>
      </c>
      <c r="B711" s="8">
        <v>4214</v>
      </c>
      <c r="C711" s="9">
        <v>45806.414131944446</v>
      </c>
      <c r="D711" s="9">
        <v>45805</v>
      </c>
      <c r="E711" s="9">
        <v>45878</v>
      </c>
      <c r="F711" s="7" t="s">
        <v>2561</v>
      </c>
      <c r="G711" s="7" t="s">
        <v>2562</v>
      </c>
      <c r="H711" s="7" t="s">
        <v>1133</v>
      </c>
      <c r="I711" s="7" t="s">
        <v>1030</v>
      </c>
      <c r="J711" s="7" t="s">
        <v>25</v>
      </c>
      <c r="K711" s="7" t="s">
        <v>86</v>
      </c>
      <c r="L711" s="10">
        <v>22882.5</v>
      </c>
      <c r="M711" s="10">
        <v>22882.5</v>
      </c>
      <c r="N711" s="15">
        <f>+L711-M711</f>
        <v>0</v>
      </c>
      <c r="O711" s="15">
        <v>22882.5</v>
      </c>
      <c r="P711" s="15">
        <f>+L711-O711</f>
        <v>0</v>
      </c>
      <c r="Q711" s="10">
        <v>0</v>
      </c>
      <c r="R711" s="7" t="s">
        <v>87</v>
      </c>
    </row>
    <row r="712" spans="1:18">
      <c r="A712" s="7" t="s">
        <v>29</v>
      </c>
      <c r="B712" s="8">
        <v>19963</v>
      </c>
      <c r="C712" s="9">
        <v>45821.722893518519</v>
      </c>
      <c r="D712" s="9">
        <v>45828</v>
      </c>
      <c r="E712" s="9">
        <v>45821</v>
      </c>
      <c r="F712" s="7" t="s">
        <v>2563</v>
      </c>
      <c r="G712" s="7" t="s">
        <v>2564</v>
      </c>
      <c r="H712" s="7" t="s">
        <v>2565</v>
      </c>
      <c r="I712" s="7" t="s">
        <v>784</v>
      </c>
      <c r="J712" s="7" t="s">
        <v>25</v>
      </c>
      <c r="K712" s="7" t="s">
        <v>55</v>
      </c>
      <c r="L712" s="10">
        <v>22600</v>
      </c>
      <c r="M712" s="10">
        <v>22600</v>
      </c>
      <c r="N712" s="10">
        <f>+L712-M712</f>
        <v>0</v>
      </c>
      <c r="O712" s="10">
        <v>22600</v>
      </c>
      <c r="P712" s="10">
        <f>+L712-O712</f>
        <v>0</v>
      </c>
      <c r="Q712" s="10">
        <v>0</v>
      </c>
      <c r="R712" s="7" t="s">
        <v>27</v>
      </c>
    </row>
    <row r="713" spans="1:18" hidden="1">
      <c r="A713" s="7" t="s">
        <v>29</v>
      </c>
      <c r="B713" s="8">
        <v>19939</v>
      </c>
      <c r="C713" s="9">
        <v>45818.43513888889</v>
      </c>
      <c r="D713" s="9">
        <v>45812</v>
      </c>
      <c r="E713" s="9">
        <v>45727</v>
      </c>
      <c r="F713" s="7" t="s">
        <v>2566</v>
      </c>
      <c r="G713" s="7" t="s">
        <v>2567</v>
      </c>
      <c r="H713" s="7" t="s">
        <v>701</v>
      </c>
      <c r="I713" s="7" t="s">
        <v>702</v>
      </c>
      <c r="J713" s="7" t="s">
        <v>176</v>
      </c>
      <c r="K713" s="7" t="s">
        <v>374</v>
      </c>
      <c r="L713" s="10">
        <v>9856</v>
      </c>
      <c r="M713" s="10">
        <v>9856</v>
      </c>
      <c r="N713" s="10">
        <f>+L713-M713</f>
        <v>0</v>
      </c>
      <c r="O713" s="10">
        <v>9856</v>
      </c>
      <c r="P713" s="10">
        <f>+L713-O713</f>
        <v>0</v>
      </c>
      <c r="Q713" s="10">
        <v>0</v>
      </c>
      <c r="R713" s="7" t="s">
        <v>27</v>
      </c>
    </row>
    <row r="714" spans="1:18" hidden="1">
      <c r="A714" s="7" t="s">
        <v>29</v>
      </c>
      <c r="B714" s="8">
        <v>4231</v>
      </c>
      <c r="C714" s="9">
        <v>45820.702696759254</v>
      </c>
      <c r="D714" s="9">
        <v>45544</v>
      </c>
      <c r="E714" s="9">
        <v>45544</v>
      </c>
      <c r="F714" s="7" t="s">
        <v>2568</v>
      </c>
      <c r="G714" s="7" t="s">
        <v>1020</v>
      </c>
      <c r="H714" s="7" t="s">
        <v>2569</v>
      </c>
      <c r="I714" s="7" t="s">
        <v>2570</v>
      </c>
      <c r="J714" s="7" t="s">
        <v>25</v>
      </c>
      <c r="K714" s="7" t="s">
        <v>86</v>
      </c>
      <c r="L714" s="10">
        <v>22600</v>
      </c>
      <c r="M714" s="10">
        <v>22600</v>
      </c>
      <c r="N714" s="15">
        <f>+L714-M714</f>
        <v>0</v>
      </c>
      <c r="O714" s="15">
        <v>22600</v>
      </c>
      <c r="P714" s="15">
        <f>+L714-O714</f>
        <v>0</v>
      </c>
      <c r="Q714" s="10">
        <v>0</v>
      </c>
      <c r="R714" s="7" t="s">
        <v>87</v>
      </c>
    </row>
    <row r="715" spans="1:18" hidden="1">
      <c r="A715" s="7" t="s">
        <v>29</v>
      </c>
      <c r="B715" s="8">
        <v>19965</v>
      </c>
      <c r="C715" s="9">
        <v>45824.366111111107</v>
      </c>
      <c r="D715" s="9">
        <v>45808</v>
      </c>
      <c r="E715" s="9">
        <v>45776</v>
      </c>
      <c r="F715" s="7" t="s">
        <v>2571</v>
      </c>
      <c r="G715" s="7" t="s">
        <v>2572</v>
      </c>
      <c r="H715" s="7" t="s">
        <v>2573</v>
      </c>
      <c r="I715" s="7" t="s">
        <v>2574</v>
      </c>
      <c r="J715" s="7" t="s">
        <v>176</v>
      </c>
      <c r="K715" s="7" t="s">
        <v>584</v>
      </c>
      <c r="L715" s="10">
        <v>9800</v>
      </c>
      <c r="M715" s="10">
        <v>9800</v>
      </c>
      <c r="N715" s="10">
        <f>+L715-M715</f>
        <v>0</v>
      </c>
      <c r="O715" s="10">
        <v>9800</v>
      </c>
      <c r="P715" s="10">
        <f>+L715-O715</f>
        <v>0</v>
      </c>
      <c r="Q715" s="10">
        <v>0</v>
      </c>
      <c r="R715" s="7" t="s">
        <v>27</v>
      </c>
    </row>
    <row r="716" spans="1:18" hidden="1">
      <c r="A716" s="7" t="s">
        <v>29</v>
      </c>
      <c r="B716" s="8">
        <v>19627</v>
      </c>
      <c r="C716" s="9">
        <v>45751.704050925924</v>
      </c>
      <c r="D716" s="9">
        <v>45785</v>
      </c>
      <c r="E716" s="9">
        <v>45774</v>
      </c>
      <c r="F716" s="7" t="s">
        <v>2575</v>
      </c>
      <c r="G716" s="7" t="s">
        <v>2576</v>
      </c>
      <c r="H716" s="7" t="s">
        <v>2577</v>
      </c>
      <c r="I716" s="7" t="s">
        <v>2578</v>
      </c>
      <c r="J716" s="7" t="s">
        <v>176</v>
      </c>
      <c r="K716" s="7" t="s">
        <v>374</v>
      </c>
      <c r="L716" s="10">
        <v>9740</v>
      </c>
      <c r="M716" s="10">
        <v>9740</v>
      </c>
      <c r="N716" s="10">
        <f>+L716-M716</f>
        <v>0</v>
      </c>
      <c r="O716" s="10">
        <v>9740</v>
      </c>
      <c r="P716" s="10">
        <f>+L716-O716</f>
        <v>0</v>
      </c>
      <c r="Q716" s="10">
        <v>0</v>
      </c>
      <c r="R716" s="7" t="s">
        <v>27</v>
      </c>
    </row>
    <row r="717" spans="1:18" hidden="1">
      <c r="A717" s="7" t="s">
        <v>29</v>
      </c>
      <c r="B717" s="8">
        <v>20182</v>
      </c>
      <c r="C717" s="9">
        <v>45861.62295138889</v>
      </c>
      <c r="D717" s="9">
        <v>45764</v>
      </c>
      <c r="E717" s="9">
        <v>45861</v>
      </c>
      <c r="F717" s="7" t="s">
        <v>2579</v>
      </c>
      <c r="G717" s="7" t="s">
        <v>2580</v>
      </c>
      <c r="H717" s="7" t="s">
        <v>1348</v>
      </c>
      <c r="I717" s="7" t="s">
        <v>1349</v>
      </c>
      <c r="J717" s="7" t="s">
        <v>176</v>
      </c>
      <c r="K717" s="7" t="s">
        <v>584</v>
      </c>
      <c r="L717" s="10">
        <v>9709.7199999999993</v>
      </c>
      <c r="M717" s="10">
        <v>9709.7199999999993</v>
      </c>
      <c r="N717" s="10">
        <f>+L717-M717</f>
        <v>0</v>
      </c>
      <c r="O717" s="10">
        <v>9709.7199999999993</v>
      </c>
      <c r="P717" s="10">
        <f>+L717-O717</f>
        <v>0</v>
      </c>
      <c r="Q717" s="10">
        <v>0</v>
      </c>
      <c r="R717" s="7" t="s">
        <v>27</v>
      </c>
    </row>
    <row r="718" spans="1:18" hidden="1">
      <c r="A718" s="7" t="s">
        <v>29</v>
      </c>
      <c r="B718" s="8">
        <v>19304</v>
      </c>
      <c r="C718" s="9">
        <v>45659.52789351852</v>
      </c>
      <c r="D718" s="9">
        <v>45652</v>
      </c>
      <c r="E718" s="9">
        <v>45596</v>
      </c>
      <c r="F718" s="7" t="s">
        <v>2581</v>
      </c>
      <c r="G718" s="7" t="s">
        <v>2582</v>
      </c>
      <c r="H718" s="7" t="s">
        <v>2583</v>
      </c>
      <c r="I718" s="7" t="s">
        <v>2584</v>
      </c>
      <c r="J718" s="7" t="s">
        <v>176</v>
      </c>
      <c r="K718" s="7" t="s">
        <v>584</v>
      </c>
      <c r="L718" s="10">
        <v>9600</v>
      </c>
      <c r="M718" s="10">
        <v>9600</v>
      </c>
      <c r="N718" s="10">
        <f>+L718-M718</f>
        <v>0</v>
      </c>
      <c r="O718" s="10">
        <v>9600</v>
      </c>
      <c r="P718" s="10">
        <f>+L718-O718</f>
        <v>0</v>
      </c>
      <c r="Q718" s="10">
        <v>0</v>
      </c>
      <c r="R718" s="7" t="s">
        <v>27</v>
      </c>
    </row>
    <row r="719" spans="1:18" hidden="1">
      <c r="A719" s="7" t="s">
        <v>29</v>
      </c>
      <c r="B719" s="8">
        <v>20015</v>
      </c>
      <c r="C719" s="9">
        <v>45833.448067129626</v>
      </c>
      <c r="D719" s="9">
        <v>45832</v>
      </c>
      <c r="E719" s="9">
        <v>45832</v>
      </c>
      <c r="F719" s="7" t="s">
        <v>2585</v>
      </c>
      <c r="G719" s="7" t="s">
        <v>2586</v>
      </c>
      <c r="H719" s="7" t="s">
        <v>2587</v>
      </c>
      <c r="I719" s="7" t="s">
        <v>2588</v>
      </c>
      <c r="J719" s="7" t="s">
        <v>40</v>
      </c>
      <c r="K719" s="7" t="s">
        <v>355</v>
      </c>
      <c r="L719" s="10">
        <v>8694.1299999999992</v>
      </c>
      <c r="M719" s="10">
        <v>8694.1299999999992</v>
      </c>
      <c r="N719" s="10">
        <f>+L719-M719</f>
        <v>0</v>
      </c>
      <c r="O719" s="10">
        <v>8694.1299999999992</v>
      </c>
      <c r="P719" s="10">
        <f>+L719-O719</f>
        <v>0</v>
      </c>
      <c r="Q719" s="10">
        <v>0</v>
      </c>
      <c r="R719" s="7" t="s">
        <v>27</v>
      </c>
    </row>
    <row r="720" spans="1:18">
      <c r="A720" s="7" t="s">
        <v>29</v>
      </c>
      <c r="B720" s="8">
        <v>19956</v>
      </c>
      <c r="C720" s="9">
        <v>45820.575231481482</v>
      </c>
      <c r="D720" s="9">
        <v>45814</v>
      </c>
      <c r="E720" s="9">
        <v>45814</v>
      </c>
      <c r="F720" s="7" t="s">
        <v>2589</v>
      </c>
      <c r="G720" s="7" t="s">
        <v>2590</v>
      </c>
      <c r="H720" s="7" t="s">
        <v>2591</v>
      </c>
      <c r="I720" s="7" t="s">
        <v>536</v>
      </c>
      <c r="J720" s="7" t="s">
        <v>25</v>
      </c>
      <c r="K720" s="7" t="s">
        <v>537</v>
      </c>
      <c r="L720" s="10">
        <v>22527.91</v>
      </c>
      <c r="M720" s="10">
        <v>22527.91</v>
      </c>
      <c r="N720" s="10">
        <f>+L720-M720</f>
        <v>0</v>
      </c>
      <c r="O720" s="10">
        <v>22527.91</v>
      </c>
      <c r="P720" s="10">
        <f>+L720-O720</f>
        <v>0</v>
      </c>
      <c r="Q720" s="10">
        <v>0</v>
      </c>
      <c r="R720" s="7" t="s">
        <v>27</v>
      </c>
    </row>
    <row r="721" spans="1:18" hidden="1">
      <c r="A721" s="7" t="s">
        <v>29</v>
      </c>
      <c r="B721" s="8">
        <v>20597</v>
      </c>
      <c r="C721" s="9">
        <v>45950.539305555554</v>
      </c>
      <c r="D721" s="9">
        <v>45969</v>
      </c>
      <c r="E721" s="9">
        <v>45920</v>
      </c>
      <c r="F721" s="7" t="s">
        <v>2592</v>
      </c>
      <c r="G721" s="7" t="s">
        <v>2593</v>
      </c>
      <c r="H721" s="7" t="s">
        <v>1396</v>
      </c>
      <c r="I721" s="7" t="s">
        <v>1397</v>
      </c>
      <c r="J721" s="7" t="s">
        <v>176</v>
      </c>
      <c r="K721" s="7" t="s">
        <v>177</v>
      </c>
      <c r="L721" s="10">
        <v>9536.7800000000007</v>
      </c>
      <c r="M721" s="10">
        <v>9536.7800000000007</v>
      </c>
      <c r="N721" s="10">
        <f>+L721-M721</f>
        <v>0</v>
      </c>
      <c r="O721" s="10">
        <v>9536.7800000000007</v>
      </c>
      <c r="P721" s="10">
        <f>+L721-O721</f>
        <v>0</v>
      </c>
      <c r="Q721" s="10">
        <v>0</v>
      </c>
      <c r="R721" s="7" t="s">
        <v>27</v>
      </c>
    </row>
    <row r="722" spans="1:18" hidden="1">
      <c r="A722" s="7" t="s">
        <v>29</v>
      </c>
      <c r="B722" s="8">
        <v>20493</v>
      </c>
      <c r="C722" s="9">
        <v>45923.485289351847</v>
      </c>
      <c r="D722" s="9">
        <v>45943</v>
      </c>
      <c r="E722" s="9">
        <v>45944</v>
      </c>
      <c r="F722" s="7" t="s">
        <v>2594</v>
      </c>
      <c r="G722" s="7" t="s">
        <v>2595</v>
      </c>
      <c r="H722" s="7" t="s">
        <v>2596</v>
      </c>
      <c r="I722" s="7" t="s">
        <v>2597</v>
      </c>
      <c r="J722" s="7" t="s">
        <v>176</v>
      </c>
      <c r="K722" s="7" t="s">
        <v>177</v>
      </c>
      <c r="L722" s="10">
        <v>9500</v>
      </c>
      <c r="M722" s="10">
        <v>9500</v>
      </c>
      <c r="N722" s="10">
        <f>+L722-M722</f>
        <v>0</v>
      </c>
      <c r="O722" s="10">
        <v>9500</v>
      </c>
      <c r="P722" s="10">
        <f>+L722-O722</f>
        <v>0</v>
      </c>
      <c r="Q722" s="10">
        <v>0</v>
      </c>
      <c r="R722" s="7" t="s">
        <v>27</v>
      </c>
    </row>
    <row r="723" spans="1:18" hidden="1">
      <c r="A723" s="7" t="s">
        <v>29</v>
      </c>
      <c r="B723" s="8">
        <v>19694</v>
      </c>
      <c r="C723" s="9">
        <v>45769.393067129626</v>
      </c>
      <c r="D723" s="9">
        <v>45717</v>
      </c>
      <c r="E723" s="9">
        <v>45686</v>
      </c>
      <c r="F723" s="7" t="s">
        <v>2598</v>
      </c>
      <c r="G723" s="7" t="s">
        <v>2599</v>
      </c>
      <c r="H723" s="7" t="s">
        <v>2600</v>
      </c>
      <c r="I723" s="7" t="s">
        <v>2601</v>
      </c>
      <c r="J723" s="7" t="s">
        <v>176</v>
      </c>
      <c r="K723" s="7" t="s">
        <v>374</v>
      </c>
      <c r="L723" s="10">
        <v>9500</v>
      </c>
      <c r="M723" s="10">
        <v>9500</v>
      </c>
      <c r="N723" s="10">
        <f>+L723-M723</f>
        <v>0</v>
      </c>
      <c r="O723" s="10">
        <v>9500</v>
      </c>
      <c r="P723" s="10">
        <f>+L723-O723</f>
        <v>0</v>
      </c>
      <c r="Q723" s="10">
        <v>0</v>
      </c>
      <c r="R723" s="7" t="s">
        <v>27</v>
      </c>
    </row>
    <row r="724" spans="1:18" hidden="1">
      <c r="A724" s="7" t="s">
        <v>29</v>
      </c>
      <c r="B724" s="8">
        <v>20086</v>
      </c>
      <c r="C724" s="9">
        <v>45840.693414351852</v>
      </c>
      <c r="D724" s="9">
        <v>44905</v>
      </c>
      <c r="E724" s="9">
        <v>44857</v>
      </c>
      <c r="F724" s="7" t="s">
        <v>2602</v>
      </c>
      <c r="G724" s="7" t="s">
        <v>2603</v>
      </c>
      <c r="H724" s="7" t="s">
        <v>2604</v>
      </c>
      <c r="I724" s="7" t="s">
        <v>2605</v>
      </c>
      <c r="J724" s="7" t="s">
        <v>176</v>
      </c>
      <c r="K724" s="7" t="s">
        <v>317</v>
      </c>
      <c r="L724" s="10">
        <v>9485</v>
      </c>
      <c r="M724" s="10">
        <v>9485</v>
      </c>
      <c r="N724" s="10">
        <f>+L724-M724</f>
        <v>0</v>
      </c>
      <c r="O724" s="10">
        <v>9485</v>
      </c>
      <c r="P724" s="10">
        <f>+L724-O724</f>
        <v>0</v>
      </c>
      <c r="Q724" s="10">
        <v>0</v>
      </c>
      <c r="R724" s="7" t="s">
        <v>27</v>
      </c>
    </row>
    <row r="725" spans="1:18" hidden="1">
      <c r="A725" s="7" t="s">
        <v>29</v>
      </c>
      <c r="B725" s="8">
        <v>20754</v>
      </c>
      <c r="C725" s="9">
        <v>45995.45512731481</v>
      </c>
      <c r="D725" s="9">
        <v>45874</v>
      </c>
      <c r="E725" s="9">
        <v>45981</v>
      </c>
      <c r="F725" s="7" t="s">
        <v>2606</v>
      </c>
      <c r="G725" s="7" t="s">
        <v>2607</v>
      </c>
      <c r="H725" s="7" t="s">
        <v>2608</v>
      </c>
      <c r="I725" s="7" t="s">
        <v>2609</v>
      </c>
      <c r="J725" s="7" t="s">
        <v>176</v>
      </c>
      <c r="K725" s="7" t="s">
        <v>177</v>
      </c>
      <c r="L725" s="10">
        <v>9392.99</v>
      </c>
      <c r="M725" s="10">
        <v>9392.99</v>
      </c>
      <c r="N725" s="10">
        <f>+L725-M725</f>
        <v>0</v>
      </c>
      <c r="O725" s="10">
        <v>9392.99</v>
      </c>
      <c r="P725" s="10">
        <f>+L725-O725</f>
        <v>0</v>
      </c>
      <c r="Q725" s="10">
        <v>0</v>
      </c>
      <c r="R725" s="7" t="s">
        <v>27</v>
      </c>
    </row>
    <row r="726" spans="1:18" hidden="1">
      <c r="A726" s="7" t="s">
        <v>29</v>
      </c>
      <c r="B726" s="8">
        <v>20272</v>
      </c>
      <c r="C726" s="9">
        <v>45881.379143518519</v>
      </c>
      <c r="D726" s="9">
        <v>45881</v>
      </c>
      <c r="E726" s="9">
        <v>45943</v>
      </c>
      <c r="F726" s="7" t="s">
        <v>2610</v>
      </c>
      <c r="G726" s="7" t="s">
        <v>2611</v>
      </c>
      <c r="H726" s="7" t="s">
        <v>267</v>
      </c>
      <c r="I726" s="7" t="s">
        <v>268</v>
      </c>
      <c r="J726" s="7" t="s">
        <v>34</v>
      </c>
      <c r="K726" s="7" t="s">
        <v>269</v>
      </c>
      <c r="L726" s="10">
        <v>9303.91</v>
      </c>
      <c r="M726" s="10">
        <v>9303.91</v>
      </c>
      <c r="N726" s="10">
        <f>+L726-M726</f>
        <v>0</v>
      </c>
      <c r="O726" s="10">
        <v>9303.91</v>
      </c>
      <c r="P726" s="10">
        <f>+L726-O726</f>
        <v>0</v>
      </c>
      <c r="Q726" s="10">
        <v>0</v>
      </c>
      <c r="R726" s="7" t="s">
        <v>27</v>
      </c>
    </row>
    <row r="727" spans="1:18" hidden="1">
      <c r="A727" s="7" t="s">
        <v>29</v>
      </c>
      <c r="B727" s="8">
        <v>19443</v>
      </c>
      <c r="C727" s="9">
        <v>45712.664988425924</v>
      </c>
      <c r="D727" s="9">
        <v>45723</v>
      </c>
      <c r="E727" s="9">
        <v>45688</v>
      </c>
      <c r="F727" s="7" t="s">
        <v>2612</v>
      </c>
      <c r="G727" s="7" t="s">
        <v>2613</v>
      </c>
      <c r="H727" s="7" t="s">
        <v>2614</v>
      </c>
      <c r="I727" s="7" t="s">
        <v>2615</v>
      </c>
      <c r="J727" s="7" t="s">
        <v>176</v>
      </c>
      <c r="K727" s="7" t="s">
        <v>584</v>
      </c>
      <c r="L727" s="10">
        <v>9200</v>
      </c>
      <c r="M727" s="10">
        <v>9200</v>
      </c>
      <c r="N727" s="10">
        <f>+L727-M727</f>
        <v>0</v>
      </c>
      <c r="O727" s="10">
        <v>9200</v>
      </c>
      <c r="P727" s="10">
        <f>+L727-O727</f>
        <v>0</v>
      </c>
      <c r="Q727" s="10">
        <v>0</v>
      </c>
      <c r="R727" s="7" t="s">
        <v>27</v>
      </c>
    </row>
    <row r="728" spans="1:18" hidden="1">
      <c r="A728" s="7" t="s">
        <v>29</v>
      </c>
      <c r="B728" s="8">
        <v>20361</v>
      </c>
      <c r="C728" s="9">
        <v>45900.750451388885</v>
      </c>
      <c r="D728" s="9">
        <v>45941</v>
      </c>
      <c r="E728" s="9">
        <v>45852</v>
      </c>
      <c r="F728" s="7" t="s">
        <v>2616</v>
      </c>
      <c r="G728" s="7" t="s">
        <v>2617</v>
      </c>
      <c r="H728" s="7" t="s">
        <v>2618</v>
      </c>
      <c r="I728" s="7" t="s">
        <v>2619</v>
      </c>
      <c r="J728" s="7" t="s">
        <v>176</v>
      </c>
      <c r="K728" s="7" t="s">
        <v>177</v>
      </c>
      <c r="L728" s="10">
        <v>9149.4</v>
      </c>
      <c r="M728" s="10">
        <v>9149.4</v>
      </c>
      <c r="N728" s="10">
        <f>+L728-M728</f>
        <v>0</v>
      </c>
      <c r="O728" s="10">
        <v>9149.4</v>
      </c>
      <c r="P728" s="10">
        <f>+L728-O728</f>
        <v>0</v>
      </c>
      <c r="Q728" s="10">
        <v>0</v>
      </c>
      <c r="R728" s="7" t="s">
        <v>27</v>
      </c>
    </row>
    <row r="729" spans="1:18" hidden="1">
      <c r="A729" s="7" t="s">
        <v>29</v>
      </c>
      <c r="B729" s="8">
        <v>19393</v>
      </c>
      <c r="C729" s="9">
        <v>45694.701597222222</v>
      </c>
      <c r="D729" s="9">
        <v>45374</v>
      </c>
      <c r="E729" s="9">
        <v>45334</v>
      </c>
      <c r="F729" s="7" t="s">
        <v>2620</v>
      </c>
      <c r="G729" s="7" t="s">
        <v>2621</v>
      </c>
      <c r="H729" s="7" t="s">
        <v>2622</v>
      </c>
      <c r="I729" s="7" t="s">
        <v>2623</v>
      </c>
      <c r="J729" s="7" t="s">
        <v>176</v>
      </c>
      <c r="K729" s="7" t="s">
        <v>374</v>
      </c>
      <c r="L729" s="10">
        <v>9000</v>
      </c>
      <c r="M729" s="10">
        <v>9000</v>
      </c>
      <c r="N729" s="10">
        <f>+L729-M729</f>
        <v>0</v>
      </c>
      <c r="O729" s="10">
        <v>9000</v>
      </c>
      <c r="P729" s="10">
        <f>+L729-O729</f>
        <v>0</v>
      </c>
      <c r="Q729" s="10">
        <v>0</v>
      </c>
      <c r="R729" s="7" t="s">
        <v>27</v>
      </c>
    </row>
    <row r="730" spans="1:18" hidden="1">
      <c r="A730" s="7" t="s">
        <v>29</v>
      </c>
      <c r="B730" s="8">
        <v>20190</v>
      </c>
      <c r="C730" s="9">
        <v>45867.376134259255</v>
      </c>
      <c r="D730" s="9">
        <v>45866</v>
      </c>
      <c r="E730" s="9">
        <v>45866</v>
      </c>
      <c r="F730" s="7" t="s">
        <v>2624</v>
      </c>
      <c r="G730" s="7" t="s">
        <v>2625</v>
      </c>
      <c r="H730" s="7" t="s">
        <v>2361</v>
      </c>
      <c r="I730" s="7" t="s">
        <v>2362</v>
      </c>
      <c r="J730" s="7" t="s">
        <v>40</v>
      </c>
      <c r="K730" s="7" t="s">
        <v>41</v>
      </c>
      <c r="L730" s="10">
        <v>8186.55</v>
      </c>
      <c r="M730" s="10">
        <v>8186.55</v>
      </c>
      <c r="N730" s="10">
        <f>+L730-M730</f>
        <v>0</v>
      </c>
      <c r="O730" s="10">
        <v>8186.55</v>
      </c>
      <c r="P730" s="10">
        <f>+L730-O730</f>
        <v>0</v>
      </c>
      <c r="Q730" s="10">
        <v>0</v>
      </c>
      <c r="R730" s="7" t="s">
        <v>27</v>
      </c>
    </row>
    <row r="731" spans="1:18">
      <c r="A731" s="7" t="s">
        <v>29</v>
      </c>
      <c r="B731" s="8">
        <v>19909</v>
      </c>
      <c r="C731" s="9">
        <v>45810.591261574074</v>
      </c>
      <c r="D731" s="9">
        <v>45910</v>
      </c>
      <c r="E731" s="9">
        <v>45905</v>
      </c>
      <c r="F731" s="7" t="s">
        <v>2626</v>
      </c>
      <c r="G731" s="7" t="s">
        <v>2627</v>
      </c>
      <c r="H731" s="7" t="s">
        <v>1602</v>
      </c>
      <c r="I731" s="7" t="s">
        <v>1603</v>
      </c>
      <c r="J731" s="7" t="s">
        <v>25</v>
      </c>
      <c r="K731" s="7" t="s">
        <v>537</v>
      </c>
      <c r="L731" s="10">
        <v>21478.85</v>
      </c>
      <c r="M731" s="10">
        <v>21478.85</v>
      </c>
      <c r="N731" s="10">
        <f>+L731-M731</f>
        <v>0</v>
      </c>
      <c r="O731" s="10">
        <v>21478.85</v>
      </c>
      <c r="P731" s="10">
        <f>+L731-O731</f>
        <v>0</v>
      </c>
      <c r="Q731" s="10">
        <v>0</v>
      </c>
      <c r="R731" s="7" t="s">
        <v>27</v>
      </c>
    </row>
    <row r="732" spans="1:18" hidden="1">
      <c r="A732" s="7" t="s">
        <v>29</v>
      </c>
      <c r="B732" s="8">
        <v>19497</v>
      </c>
      <c r="C732" s="9">
        <v>45723.308900462958</v>
      </c>
      <c r="D732" s="9">
        <v>45750</v>
      </c>
      <c r="E732" s="9">
        <v>45715</v>
      </c>
      <c r="F732" s="7" t="s">
        <v>2628</v>
      </c>
      <c r="G732" s="7" t="s">
        <v>2629</v>
      </c>
      <c r="H732" s="7" t="s">
        <v>2630</v>
      </c>
      <c r="I732" s="7" t="s">
        <v>2631</v>
      </c>
      <c r="J732" s="7" t="s">
        <v>176</v>
      </c>
      <c r="K732" s="7" t="s">
        <v>584</v>
      </c>
      <c r="L732" s="10">
        <v>8850</v>
      </c>
      <c r="M732" s="10">
        <v>8850</v>
      </c>
      <c r="N732" s="10">
        <f>+L732-M732</f>
        <v>0</v>
      </c>
      <c r="O732" s="10">
        <v>8850</v>
      </c>
      <c r="P732" s="10">
        <f>+L732-O732</f>
        <v>0</v>
      </c>
      <c r="Q732" s="10">
        <v>0</v>
      </c>
      <c r="R732" s="7" t="s">
        <v>27</v>
      </c>
    </row>
    <row r="733" spans="1:18" hidden="1">
      <c r="A733" s="7" t="s">
        <v>29</v>
      </c>
      <c r="B733" s="8">
        <v>20047</v>
      </c>
      <c r="C733" s="9">
        <v>45836.917824074073</v>
      </c>
      <c r="D733" s="9">
        <v>45912</v>
      </c>
      <c r="E733" s="9">
        <v>45803</v>
      </c>
      <c r="F733" s="7" t="s">
        <v>2632</v>
      </c>
      <c r="G733" s="7" t="s">
        <v>2633</v>
      </c>
      <c r="H733" s="7" t="s">
        <v>2027</v>
      </c>
      <c r="I733" s="7" t="s">
        <v>2028</v>
      </c>
      <c r="J733" s="7" t="s">
        <v>176</v>
      </c>
      <c r="K733" s="7" t="s">
        <v>550</v>
      </c>
      <c r="L733" s="10">
        <v>8812</v>
      </c>
      <c r="M733" s="10">
        <v>8812</v>
      </c>
      <c r="N733" s="10">
        <f>+L733-M733</f>
        <v>0</v>
      </c>
      <c r="O733" s="10">
        <v>8812</v>
      </c>
      <c r="P733" s="10">
        <f>+L733-O733</f>
        <v>0</v>
      </c>
      <c r="Q733" s="10">
        <v>0</v>
      </c>
      <c r="R733" s="7" t="s">
        <v>27</v>
      </c>
    </row>
    <row r="734" spans="1:18" hidden="1">
      <c r="A734" s="7" t="s">
        <v>29</v>
      </c>
      <c r="B734" s="8">
        <v>20693</v>
      </c>
      <c r="C734" s="9">
        <v>45973.545034722221</v>
      </c>
      <c r="D734" s="9">
        <v>45958</v>
      </c>
      <c r="E734" s="9">
        <v>45932</v>
      </c>
      <c r="F734" s="7" t="s">
        <v>2634</v>
      </c>
      <c r="G734" s="7" t="s">
        <v>2635</v>
      </c>
      <c r="H734" s="7" t="s">
        <v>2636</v>
      </c>
      <c r="I734" s="7" t="s">
        <v>2637</v>
      </c>
      <c r="J734" s="7" t="s">
        <v>176</v>
      </c>
      <c r="K734" s="7" t="s">
        <v>584</v>
      </c>
      <c r="L734" s="10">
        <v>8800</v>
      </c>
      <c r="M734" s="10">
        <v>8800</v>
      </c>
      <c r="N734" s="10">
        <f>+L734-M734</f>
        <v>0</v>
      </c>
      <c r="O734" s="10">
        <v>8800</v>
      </c>
      <c r="P734" s="10">
        <f>+L734-O734</f>
        <v>0</v>
      </c>
      <c r="Q734" s="10">
        <v>0</v>
      </c>
      <c r="R734" s="7" t="s">
        <v>27</v>
      </c>
    </row>
    <row r="735" spans="1:18" hidden="1">
      <c r="A735" s="7" t="s">
        <v>29</v>
      </c>
      <c r="B735" s="8">
        <v>20585</v>
      </c>
      <c r="C735" s="9">
        <v>45944.434664351851</v>
      </c>
      <c r="D735" s="9">
        <v>45944</v>
      </c>
      <c r="E735" s="9">
        <v>46052</v>
      </c>
      <c r="F735" s="7" t="s">
        <v>2638</v>
      </c>
      <c r="G735" s="7" t="s">
        <v>2639</v>
      </c>
      <c r="H735" s="7" t="s">
        <v>2640</v>
      </c>
      <c r="I735" s="7" t="s">
        <v>2641</v>
      </c>
      <c r="J735" s="7" t="s">
        <v>34</v>
      </c>
      <c r="K735" s="7" t="s">
        <v>35</v>
      </c>
      <c r="L735" s="10">
        <v>8757</v>
      </c>
      <c r="M735" s="10">
        <v>8757</v>
      </c>
      <c r="N735" s="10">
        <f>+L735-M735</f>
        <v>0</v>
      </c>
      <c r="O735" s="10">
        <v>8757</v>
      </c>
      <c r="P735" s="10">
        <f>+L735-O735</f>
        <v>0</v>
      </c>
      <c r="Q735" s="10">
        <v>0</v>
      </c>
      <c r="R735" s="7" t="s">
        <v>27</v>
      </c>
    </row>
    <row r="736" spans="1:18" hidden="1">
      <c r="A736" s="7" t="s">
        <v>29</v>
      </c>
      <c r="B736" s="8">
        <v>19435</v>
      </c>
      <c r="C736" s="9">
        <v>45708.458252314813</v>
      </c>
      <c r="D736" s="9">
        <v>45708</v>
      </c>
      <c r="E736" s="9">
        <v>45695</v>
      </c>
      <c r="F736" s="7" t="s">
        <v>2642</v>
      </c>
      <c r="G736" s="7" t="s">
        <v>2643</v>
      </c>
      <c r="H736" s="7" t="s">
        <v>2644</v>
      </c>
      <c r="I736" s="7" t="s">
        <v>2645</v>
      </c>
      <c r="J736" s="7" t="s">
        <v>34</v>
      </c>
      <c r="K736" s="7" t="s">
        <v>990</v>
      </c>
      <c r="L736" s="10">
        <v>8721.7099999999991</v>
      </c>
      <c r="M736" s="10">
        <v>8721.7099999999991</v>
      </c>
      <c r="N736" s="10">
        <f>+L736-M736</f>
        <v>0</v>
      </c>
      <c r="O736" s="10">
        <v>8721.7099999999991</v>
      </c>
      <c r="P736" s="10">
        <f>+L736-O736</f>
        <v>0</v>
      </c>
      <c r="Q736" s="10">
        <v>0</v>
      </c>
      <c r="R736" s="7" t="s">
        <v>27</v>
      </c>
    </row>
    <row r="737" spans="1:18" hidden="1">
      <c r="A737" s="7" t="s">
        <v>29</v>
      </c>
      <c r="B737" s="8">
        <v>19493</v>
      </c>
      <c r="C737" s="9">
        <v>45721.407465277778</v>
      </c>
      <c r="D737" s="9">
        <v>45721</v>
      </c>
      <c r="E737" s="9">
        <v>45752</v>
      </c>
      <c r="F737" s="7" t="s">
        <v>2646</v>
      </c>
      <c r="G737" s="7" t="s">
        <v>2647</v>
      </c>
      <c r="H737" s="7" t="s">
        <v>2648</v>
      </c>
      <c r="I737" s="7" t="s">
        <v>2649</v>
      </c>
      <c r="J737" s="7" t="s">
        <v>34</v>
      </c>
      <c r="K737" s="7" t="s">
        <v>118</v>
      </c>
      <c r="L737" s="10">
        <v>8716.1</v>
      </c>
      <c r="M737" s="10">
        <v>8716.1</v>
      </c>
      <c r="N737" s="10">
        <f>+L737-M737</f>
        <v>0</v>
      </c>
      <c r="O737" s="10">
        <v>8716.1</v>
      </c>
      <c r="P737" s="10">
        <f>+L737-O737</f>
        <v>0</v>
      </c>
      <c r="Q737" s="10">
        <v>0</v>
      </c>
      <c r="R737" s="7" t="s">
        <v>27</v>
      </c>
    </row>
    <row r="738" spans="1:18" hidden="1">
      <c r="A738" s="7" t="s">
        <v>29</v>
      </c>
      <c r="B738" s="8">
        <v>19530</v>
      </c>
      <c r="C738" s="9">
        <v>45733.50445601852</v>
      </c>
      <c r="D738" s="9">
        <v>45740</v>
      </c>
      <c r="E738" s="9">
        <v>45698</v>
      </c>
      <c r="F738" s="7" t="s">
        <v>2650</v>
      </c>
      <c r="G738" s="7" t="s">
        <v>2651</v>
      </c>
      <c r="H738" s="7" t="s">
        <v>937</v>
      </c>
      <c r="I738" s="7" t="s">
        <v>938</v>
      </c>
      <c r="J738" s="7" t="s">
        <v>176</v>
      </c>
      <c r="K738" s="7" t="s">
        <v>374</v>
      </c>
      <c r="L738" s="10">
        <v>8701</v>
      </c>
      <c r="M738" s="10">
        <v>8701</v>
      </c>
      <c r="N738" s="10">
        <f>+L738-M738</f>
        <v>0</v>
      </c>
      <c r="O738" s="10">
        <v>8701</v>
      </c>
      <c r="P738" s="10">
        <f>+L738-O738</f>
        <v>0</v>
      </c>
      <c r="Q738" s="10">
        <v>0</v>
      </c>
      <c r="R738" s="7" t="s">
        <v>27</v>
      </c>
    </row>
    <row r="739" spans="1:18" hidden="1">
      <c r="A739" s="7" t="s">
        <v>29</v>
      </c>
      <c r="B739" s="8">
        <v>19500</v>
      </c>
      <c r="C739" s="9">
        <v>45726.466874999998</v>
      </c>
      <c r="D739" s="9">
        <v>45736</v>
      </c>
      <c r="E739" s="9">
        <v>45727</v>
      </c>
      <c r="F739" s="7" t="s">
        <v>2652</v>
      </c>
      <c r="G739" s="7" t="s">
        <v>2653</v>
      </c>
      <c r="H739" s="7" t="s">
        <v>2237</v>
      </c>
      <c r="I739" s="7" t="s">
        <v>2238</v>
      </c>
      <c r="J739" s="7" t="s">
        <v>176</v>
      </c>
      <c r="K739" s="7" t="s">
        <v>374</v>
      </c>
      <c r="L739" s="10">
        <v>8677</v>
      </c>
      <c r="M739" s="10">
        <v>8677</v>
      </c>
      <c r="N739" s="10">
        <f>+L739-M739</f>
        <v>0</v>
      </c>
      <c r="O739" s="10">
        <v>8677</v>
      </c>
      <c r="P739" s="10">
        <f>+L739-O739</f>
        <v>0</v>
      </c>
      <c r="Q739" s="10">
        <v>0</v>
      </c>
      <c r="R739" s="7" t="s">
        <v>27</v>
      </c>
    </row>
    <row r="740" spans="1:18" hidden="1">
      <c r="A740" s="7" t="s">
        <v>29</v>
      </c>
      <c r="B740" s="8">
        <v>19307</v>
      </c>
      <c r="C740" s="9">
        <v>45659.638460648144</v>
      </c>
      <c r="D740" s="9">
        <v>45659</v>
      </c>
      <c r="E740" s="9">
        <v>45690</v>
      </c>
      <c r="F740" s="7" t="s">
        <v>2654</v>
      </c>
      <c r="G740" s="7" t="s">
        <v>2655</v>
      </c>
      <c r="H740" s="7" t="s">
        <v>2656</v>
      </c>
      <c r="I740" s="7" t="s">
        <v>2657</v>
      </c>
      <c r="J740" s="7" t="s">
        <v>34</v>
      </c>
      <c r="K740" s="7" t="s">
        <v>392</v>
      </c>
      <c r="L740" s="10">
        <v>8661.1299999999992</v>
      </c>
      <c r="M740" s="10">
        <v>8661.1299999999992</v>
      </c>
      <c r="N740" s="10">
        <f>+L740-M740</f>
        <v>0</v>
      </c>
      <c r="O740" s="10">
        <v>8661.1299999999992</v>
      </c>
      <c r="P740" s="10">
        <f>+L740-O740</f>
        <v>0</v>
      </c>
      <c r="Q740" s="10">
        <v>0</v>
      </c>
      <c r="R740" s="7" t="s">
        <v>27</v>
      </c>
    </row>
    <row r="741" spans="1:18">
      <c r="A741" s="7" t="s">
        <v>29</v>
      </c>
      <c r="B741" s="8">
        <v>19313</v>
      </c>
      <c r="C741" s="9">
        <v>45664.570555555554</v>
      </c>
      <c r="D741" s="9">
        <v>45630</v>
      </c>
      <c r="E741" s="9">
        <v>45656</v>
      </c>
      <c r="F741" s="7" t="s">
        <v>2658</v>
      </c>
      <c r="G741" s="7" t="s">
        <v>2659</v>
      </c>
      <c r="H741" s="7" t="s">
        <v>2660</v>
      </c>
      <c r="I741" s="7" t="s">
        <v>1244</v>
      </c>
      <c r="J741" s="7" t="s">
        <v>25</v>
      </c>
      <c r="K741" s="7" t="s">
        <v>55</v>
      </c>
      <c r="L741" s="10">
        <v>21192.45</v>
      </c>
      <c r="M741" s="10">
        <v>21192.45</v>
      </c>
      <c r="N741" s="10">
        <f>+L741-M741</f>
        <v>0</v>
      </c>
      <c r="O741" s="10">
        <v>21192.45</v>
      </c>
      <c r="P741" s="10">
        <f>+L741-O741</f>
        <v>0</v>
      </c>
      <c r="Q741" s="10">
        <v>0</v>
      </c>
      <c r="R741" s="7" t="s">
        <v>27</v>
      </c>
    </row>
    <row r="742" spans="1:18">
      <c r="A742" s="7" t="s">
        <v>29</v>
      </c>
      <c r="B742" s="8">
        <v>20464</v>
      </c>
      <c r="C742" s="9">
        <v>45918.443460648145</v>
      </c>
      <c r="D742" s="9">
        <v>45867</v>
      </c>
      <c r="E742" s="9">
        <v>45880</v>
      </c>
      <c r="F742" s="7" t="s">
        <v>2661</v>
      </c>
      <c r="G742" s="7" t="s">
        <v>2662</v>
      </c>
      <c r="H742" s="7" t="s">
        <v>2205</v>
      </c>
      <c r="I742" s="7" t="s">
        <v>2206</v>
      </c>
      <c r="J742" s="7" t="s">
        <v>25</v>
      </c>
      <c r="K742" s="7" t="s">
        <v>26</v>
      </c>
      <c r="L742" s="10">
        <v>21158.33</v>
      </c>
      <c r="M742" s="10">
        <v>21158.33</v>
      </c>
      <c r="N742" s="10">
        <f>+L742-M742</f>
        <v>0</v>
      </c>
      <c r="O742" s="10">
        <v>21158.33</v>
      </c>
      <c r="P742" s="10">
        <f>+L742-O742</f>
        <v>0</v>
      </c>
      <c r="Q742" s="10">
        <v>0</v>
      </c>
      <c r="R742" s="7" t="s">
        <v>27</v>
      </c>
    </row>
    <row r="743" spans="1:18" hidden="1">
      <c r="A743" s="7" t="s">
        <v>29</v>
      </c>
      <c r="B743" s="8">
        <v>20054</v>
      </c>
      <c r="C743" s="9">
        <v>45837.710358796292</v>
      </c>
      <c r="D743" s="9">
        <v>45881</v>
      </c>
      <c r="E743" s="9">
        <v>45825</v>
      </c>
      <c r="F743" s="7" t="s">
        <v>2663</v>
      </c>
      <c r="G743" s="7" t="s">
        <v>2664</v>
      </c>
      <c r="H743" s="7" t="s">
        <v>2665</v>
      </c>
      <c r="I743" s="7" t="s">
        <v>2666</v>
      </c>
      <c r="J743" s="7" t="s">
        <v>176</v>
      </c>
      <c r="K743" s="7" t="s">
        <v>2667</v>
      </c>
      <c r="L743" s="10">
        <v>8600</v>
      </c>
      <c r="M743" s="10">
        <v>8600</v>
      </c>
      <c r="N743" s="10">
        <f>+L743-M743</f>
        <v>0</v>
      </c>
      <c r="O743" s="10">
        <v>8600</v>
      </c>
      <c r="P743" s="10">
        <f>+L743-O743</f>
        <v>0</v>
      </c>
      <c r="Q743" s="10">
        <v>0</v>
      </c>
      <c r="R743" s="7" t="s">
        <v>27</v>
      </c>
    </row>
    <row r="744" spans="1:18" hidden="1">
      <c r="A744" s="7" t="s">
        <v>29</v>
      </c>
      <c r="B744" s="8">
        <v>20354</v>
      </c>
      <c r="C744" s="9">
        <v>45898.730162037034</v>
      </c>
      <c r="D744" s="9">
        <v>45973</v>
      </c>
      <c r="E744" s="9">
        <v>45862</v>
      </c>
      <c r="F744" s="7" t="s">
        <v>2668</v>
      </c>
      <c r="G744" s="7" t="s">
        <v>2669</v>
      </c>
      <c r="H744" s="7" t="s">
        <v>2670</v>
      </c>
      <c r="I744" s="7" t="s">
        <v>2671</v>
      </c>
      <c r="J744" s="7" t="s">
        <v>176</v>
      </c>
      <c r="K744" s="7" t="s">
        <v>584</v>
      </c>
      <c r="L744" s="10">
        <v>8500</v>
      </c>
      <c r="M744" s="10">
        <v>8500</v>
      </c>
      <c r="N744" s="10">
        <f>+L744-M744</f>
        <v>0</v>
      </c>
      <c r="O744" s="10">
        <v>8500</v>
      </c>
      <c r="P744" s="10">
        <f>+L744-O744</f>
        <v>0</v>
      </c>
      <c r="Q744" s="10">
        <v>0</v>
      </c>
      <c r="R744" s="7" t="s">
        <v>27</v>
      </c>
    </row>
    <row r="745" spans="1:18" hidden="1">
      <c r="A745" s="7" t="s">
        <v>29</v>
      </c>
      <c r="B745" s="8">
        <v>19427</v>
      </c>
      <c r="C745" s="9">
        <v>45707.72520833333</v>
      </c>
      <c r="D745" s="9">
        <v>45762</v>
      </c>
      <c r="E745" s="9">
        <v>45692</v>
      </c>
      <c r="F745" s="7" t="s">
        <v>2672</v>
      </c>
      <c r="G745" s="7" t="s">
        <v>2673</v>
      </c>
      <c r="H745" s="7" t="s">
        <v>2674</v>
      </c>
      <c r="I745" s="7" t="s">
        <v>2675</v>
      </c>
      <c r="J745" s="7" t="s">
        <v>176</v>
      </c>
      <c r="K745" s="7" t="s">
        <v>550</v>
      </c>
      <c r="L745" s="10">
        <v>8500</v>
      </c>
      <c r="M745" s="10">
        <v>8500</v>
      </c>
      <c r="N745" s="10">
        <f>+L745-M745</f>
        <v>0</v>
      </c>
      <c r="O745" s="10">
        <v>8500</v>
      </c>
      <c r="P745" s="10">
        <f>+L745-O745</f>
        <v>0</v>
      </c>
      <c r="Q745" s="10">
        <v>0</v>
      </c>
      <c r="R745" s="7" t="s">
        <v>27</v>
      </c>
    </row>
    <row r="746" spans="1:18">
      <c r="A746" s="7" t="s">
        <v>29</v>
      </c>
      <c r="B746" s="8">
        <v>19486</v>
      </c>
      <c r="C746" s="9">
        <v>45720.383969907409</v>
      </c>
      <c r="D746" s="9">
        <v>45730</v>
      </c>
      <c r="E746" s="9">
        <v>45719</v>
      </c>
      <c r="F746" s="7" t="s">
        <v>2676</v>
      </c>
      <c r="G746" s="7" t="s">
        <v>2677</v>
      </c>
      <c r="H746" s="7" t="s">
        <v>2678</v>
      </c>
      <c r="I746" s="7" t="s">
        <v>489</v>
      </c>
      <c r="J746" s="7" t="s">
        <v>25</v>
      </c>
      <c r="K746" s="7" t="s">
        <v>55</v>
      </c>
      <c r="L746" s="10">
        <v>20850</v>
      </c>
      <c r="M746" s="10">
        <v>20850</v>
      </c>
      <c r="N746" s="10">
        <f>+L746-M746</f>
        <v>0</v>
      </c>
      <c r="O746" s="10">
        <v>20850</v>
      </c>
      <c r="P746" s="10">
        <f>+L746-O746</f>
        <v>0</v>
      </c>
      <c r="Q746" s="10">
        <v>0</v>
      </c>
      <c r="R746" s="7" t="s">
        <v>27</v>
      </c>
    </row>
    <row r="747" spans="1:18" hidden="1">
      <c r="A747" s="7" t="s">
        <v>29</v>
      </c>
      <c r="B747" s="8">
        <v>19505</v>
      </c>
      <c r="C747" s="9">
        <v>45726.68037037037</v>
      </c>
      <c r="D747" s="9">
        <v>45726</v>
      </c>
      <c r="E747" s="9">
        <v>45757</v>
      </c>
      <c r="F747" s="7" t="s">
        <v>2679</v>
      </c>
      <c r="G747" s="7" t="s">
        <v>2680</v>
      </c>
      <c r="H747" s="7" t="s">
        <v>2681</v>
      </c>
      <c r="I747" s="7" t="s">
        <v>2682</v>
      </c>
      <c r="J747" s="7" t="s">
        <v>34</v>
      </c>
      <c r="K747" s="7" t="s">
        <v>35</v>
      </c>
      <c r="L747" s="10">
        <v>8275.2000000000007</v>
      </c>
      <c r="M747" s="10">
        <v>8275.2000000000007</v>
      </c>
      <c r="N747" s="10">
        <f>+L747-M747</f>
        <v>0</v>
      </c>
      <c r="O747" s="10">
        <v>8275.2000000000007</v>
      </c>
      <c r="P747" s="10">
        <f>+L747-O747</f>
        <v>0</v>
      </c>
      <c r="Q747" s="10">
        <v>0</v>
      </c>
      <c r="R747" s="7" t="s">
        <v>27</v>
      </c>
    </row>
    <row r="748" spans="1:18" hidden="1">
      <c r="A748" s="7" t="s">
        <v>29</v>
      </c>
      <c r="B748" s="8">
        <v>4310</v>
      </c>
      <c r="C748" s="9">
        <v>45988.397060185183</v>
      </c>
      <c r="D748" s="9">
        <v>46017</v>
      </c>
      <c r="E748" s="9">
        <v>46017</v>
      </c>
      <c r="F748" s="7" t="s">
        <v>2683</v>
      </c>
      <c r="G748" s="7" t="s">
        <v>2684</v>
      </c>
      <c r="H748" s="7" t="s">
        <v>2685</v>
      </c>
      <c r="I748" s="7" t="s">
        <v>1298</v>
      </c>
      <c r="J748" s="7" t="s">
        <v>25</v>
      </c>
      <c r="K748" s="7" t="s">
        <v>206</v>
      </c>
      <c r="L748" s="10">
        <v>20557.77</v>
      </c>
      <c r="M748" s="10">
        <v>20557.77</v>
      </c>
      <c r="N748" s="15">
        <f>+L748-M748</f>
        <v>0</v>
      </c>
      <c r="O748" s="15">
        <v>20557.77</v>
      </c>
      <c r="P748" s="15">
        <f>+L748-O748</f>
        <v>0</v>
      </c>
      <c r="Q748" s="10">
        <v>0</v>
      </c>
      <c r="R748" s="7" t="s">
        <v>87</v>
      </c>
    </row>
    <row r="749" spans="1:18" hidden="1">
      <c r="A749" s="7" t="s">
        <v>29</v>
      </c>
      <c r="B749" s="8">
        <v>20362</v>
      </c>
      <c r="C749" s="9">
        <v>45900.775324074071</v>
      </c>
      <c r="D749" s="9">
        <v>45929</v>
      </c>
      <c r="E749" s="9">
        <v>45951</v>
      </c>
      <c r="F749" s="7" t="s">
        <v>2686</v>
      </c>
      <c r="G749" s="7" t="s">
        <v>2687</v>
      </c>
      <c r="H749" s="7" t="s">
        <v>2688</v>
      </c>
      <c r="I749" s="7" t="s">
        <v>2689</v>
      </c>
      <c r="J749" s="7" t="s">
        <v>176</v>
      </c>
      <c r="K749" s="7" t="s">
        <v>177</v>
      </c>
      <c r="L749" s="10">
        <v>8234</v>
      </c>
      <c r="M749" s="10">
        <v>8234</v>
      </c>
      <c r="N749" s="10">
        <f>+L749-M749</f>
        <v>0</v>
      </c>
      <c r="O749" s="10">
        <v>8234</v>
      </c>
      <c r="P749" s="10">
        <f>+L749-O749</f>
        <v>0</v>
      </c>
      <c r="Q749" s="10">
        <v>0</v>
      </c>
      <c r="R749" s="7" t="s">
        <v>27</v>
      </c>
    </row>
    <row r="750" spans="1:18" hidden="1">
      <c r="A750" s="7" t="s">
        <v>29</v>
      </c>
      <c r="B750" s="8">
        <v>20562</v>
      </c>
      <c r="C750" s="9">
        <v>45939.635231481479</v>
      </c>
      <c r="D750" s="9">
        <v>45929</v>
      </c>
      <c r="E750" s="9">
        <v>45929</v>
      </c>
      <c r="F750" s="7" t="s">
        <v>2585</v>
      </c>
      <c r="G750" s="7" t="s">
        <v>2690</v>
      </c>
      <c r="H750" s="7" t="s">
        <v>2587</v>
      </c>
      <c r="I750" s="7" t="s">
        <v>2588</v>
      </c>
      <c r="J750" s="7" t="s">
        <v>40</v>
      </c>
      <c r="K750" s="7" t="s">
        <v>355</v>
      </c>
      <c r="L750" s="10">
        <v>7340.48</v>
      </c>
      <c r="M750" s="10">
        <v>7340.48</v>
      </c>
      <c r="N750" s="10">
        <f>+L750-M750</f>
        <v>0</v>
      </c>
      <c r="O750" s="10">
        <v>7340.48</v>
      </c>
      <c r="P750" s="10">
        <f>+L750-O750</f>
        <v>0</v>
      </c>
      <c r="Q750" s="10">
        <v>0</v>
      </c>
      <c r="R750" s="7" t="s">
        <v>27</v>
      </c>
    </row>
    <row r="751" spans="1:18" hidden="1">
      <c r="A751" s="7" t="s">
        <v>29</v>
      </c>
      <c r="B751" s="8">
        <v>19966</v>
      </c>
      <c r="C751" s="9">
        <v>45824.424675925926</v>
      </c>
      <c r="D751" s="9">
        <v>45784</v>
      </c>
      <c r="E751" s="9">
        <v>45700</v>
      </c>
      <c r="F751" s="7" t="s">
        <v>2691</v>
      </c>
      <c r="G751" s="7" t="s">
        <v>2692</v>
      </c>
      <c r="H751" s="7" t="s">
        <v>2027</v>
      </c>
      <c r="I751" s="7" t="s">
        <v>2028</v>
      </c>
      <c r="J751" s="7" t="s">
        <v>176</v>
      </c>
      <c r="K751" s="7" t="s">
        <v>550</v>
      </c>
      <c r="L751" s="10">
        <v>8071</v>
      </c>
      <c r="M751" s="10">
        <v>8071</v>
      </c>
      <c r="N751" s="10">
        <f>+L751-M751</f>
        <v>0</v>
      </c>
      <c r="O751" s="10">
        <v>8071</v>
      </c>
      <c r="P751" s="10">
        <f>+L751-O751</f>
        <v>0</v>
      </c>
      <c r="Q751" s="10">
        <v>0</v>
      </c>
      <c r="R751" s="7" t="s">
        <v>27</v>
      </c>
    </row>
    <row r="752" spans="1:18" hidden="1">
      <c r="A752" s="7" t="s">
        <v>29</v>
      </c>
      <c r="B752" s="8">
        <v>4153</v>
      </c>
      <c r="C752" s="9">
        <v>45684.484074074069</v>
      </c>
      <c r="D752" s="9">
        <v>45684</v>
      </c>
      <c r="E752" s="9">
        <v>45688</v>
      </c>
      <c r="F752" s="7" t="s">
        <v>2693</v>
      </c>
      <c r="G752" s="7" t="s">
        <v>2582</v>
      </c>
      <c r="H752" s="7" t="s">
        <v>2694</v>
      </c>
      <c r="I752" s="7" t="s">
        <v>2695</v>
      </c>
      <c r="J752" s="7" t="s">
        <v>25</v>
      </c>
      <c r="K752" s="7" t="s">
        <v>86</v>
      </c>
      <c r="L752" s="10">
        <v>20114</v>
      </c>
      <c r="M752" s="10">
        <v>20114</v>
      </c>
      <c r="N752" s="15">
        <f>+L752-M752</f>
        <v>0</v>
      </c>
      <c r="O752" s="15">
        <v>20114</v>
      </c>
      <c r="P752" s="15">
        <f>+L752-O752</f>
        <v>0</v>
      </c>
      <c r="Q752" s="10">
        <v>0</v>
      </c>
      <c r="R752" s="7" t="s">
        <v>87</v>
      </c>
    </row>
    <row r="753" spans="1:18" hidden="1">
      <c r="A753" s="7" t="s">
        <v>29</v>
      </c>
      <c r="B753" s="8">
        <v>20612</v>
      </c>
      <c r="C753" s="9">
        <v>45953.476273148146</v>
      </c>
      <c r="D753" s="9">
        <v>45953</v>
      </c>
      <c r="E753" s="9">
        <v>45989</v>
      </c>
      <c r="F753" s="7" t="s">
        <v>2696</v>
      </c>
      <c r="G753" s="7" t="s">
        <v>2697</v>
      </c>
      <c r="H753" s="7" t="s">
        <v>2698</v>
      </c>
      <c r="I753" s="7" t="s">
        <v>2699</v>
      </c>
      <c r="J753" s="7" t="s">
        <v>34</v>
      </c>
      <c r="K753" s="7" t="s">
        <v>35</v>
      </c>
      <c r="L753" s="10">
        <v>8027.14</v>
      </c>
      <c r="M753" s="10">
        <v>8027.14</v>
      </c>
      <c r="N753" s="10">
        <f>+L753-M753</f>
        <v>0</v>
      </c>
      <c r="O753" s="10">
        <v>8027.14</v>
      </c>
      <c r="P753" s="10">
        <f>+L753-O753</f>
        <v>0</v>
      </c>
      <c r="Q753" s="10">
        <v>0</v>
      </c>
      <c r="R753" s="7" t="s">
        <v>27</v>
      </c>
    </row>
    <row r="754" spans="1:18" hidden="1">
      <c r="A754" s="7" t="s">
        <v>29</v>
      </c>
      <c r="B754" s="8">
        <v>20807</v>
      </c>
      <c r="C754" s="9">
        <v>46019.913506944446</v>
      </c>
      <c r="D754" s="9">
        <v>46088</v>
      </c>
      <c r="E754" s="9">
        <v>45989</v>
      </c>
      <c r="F754" s="7" t="s">
        <v>2700</v>
      </c>
      <c r="G754" s="7" t="s">
        <v>2701</v>
      </c>
      <c r="H754" s="7" t="s">
        <v>2702</v>
      </c>
      <c r="I754" s="7" t="s">
        <v>2703</v>
      </c>
      <c r="J754" s="7" t="s">
        <v>176</v>
      </c>
      <c r="K754" s="7" t="s">
        <v>728</v>
      </c>
      <c r="L754" s="10">
        <v>8007</v>
      </c>
      <c r="M754" s="10">
        <v>8007</v>
      </c>
      <c r="N754" s="10">
        <f>+L754-M754</f>
        <v>0</v>
      </c>
      <c r="O754" s="10">
        <v>8007</v>
      </c>
      <c r="P754" s="10">
        <f>+L754-O754</f>
        <v>0</v>
      </c>
      <c r="Q754" s="10">
        <v>0</v>
      </c>
      <c r="R754" s="7" t="s">
        <v>27</v>
      </c>
    </row>
    <row r="755" spans="1:18" hidden="1">
      <c r="A755" s="7" t="s">
        <v>29</v>
      </c>
      <c r="B755" s="8">
        <v>19981</v>
      </c>
      <c r="C755" s="9">
        <v>45825.661134259259</v>
      </c>
      <c r="D755" s="9">
        <v>45562</v>
      </c>
      <c r="E755" s="9">
        <v>45496</v>
      </c>
      <c r="F755" s="7" t="s">
        <v>2704</v>
      </c>
      <c r="G755" s="7" t="s">
        <v>2705</v>
      </c>
      <c r="H755" s="7" t="s">
        <v>2706</v>
      </c>
      <c r="I755" s="7" t="s">
        <v>2707</v>
      </c>
      <c r="J755" s="7" t="s">
        <v>176</v>
      </c>
      <c r="K755" s="7" t="s">
        <v>177</v>
      </c>
      <c r="L755" s="10">
        <v>8000</v>
      </c>
      <c r="M755" s="10">
        <v>8000</v>
      </c>
      <c r="N755" s="10">
        <f>+L755-M755</f>
        <v>0</v>
      </c>
      <c r="O755" s="10">
        <v>8000</v>
      </c>
      <c r="P755" s="10">
        <f>+L755-O755</f>
        <v>0</v>
      </c>
      <c r="Q755" s="10">
        <v>0</v>
      </c>
      <c r="R755" s="7" t="s">
        <v>27</v>
      </c>
    </row>
    <row r="756" spans="1:18" hidden="1">
      <c r="A756" s="7" t="s">
        <v>29</v>
      </c>
      <c r="B756" s="8">
        <v>19410</v>
      </c>
      <c r="C756" s="9">
        <v>45700.434131944443</v>
      </c>
      <c r="D756" s="9">
        <v>45700</v>
      </c>
      <c r="E756" s="9">
        <v>45759</v>
      </c>
      <c r="F756" s="7" t="s">
        <v>2708</v>
      </c>
      <c r="G756" s="7" t="s">
        <v>2709</v>
      </c>
      <c r="H756" s="7" t="s">
        <v>2640</v>
      </c>
      <c r="I756" s="7" t="s">
        <v>2641</v>
      </c>
      <c r="J756" s="7" t="s">
        <v>34</v>
      </c>
      <c r="K756" s="7" t="s">
        <v>35</v>
      </c>
      <c r="L756" s="10">
        <v>7968.54</v>
      </c>
      <c r="M756" s="10">
        <v>7968.54</v>
      </c>
      <c r="N756" s="10">
        <f>+L756-M756</f>
        <v>0</v>
      </c>
      <c r="O756" s="10">
        <v>7968.54</v>
      </c>
      <c r="P756" s="10">
        <f>+L756-O756</f>
        <v>0</v>
      </c>
      <c r="Q756" s="10">
        <v>0</v>
      </c>
      <c r="R756" s="7" t="s">
        <v>27</v>
      </c>
    </row>
    <row r="757" spans="1:18" hidden="1">
      <c r="A757" s="7" t="s">
        <v>29</v>
      </c>
      <c r="B757" s="8">
        <v>20261</v>
      </c>
      <c r="C757" s="9">
        <v>45879.76017361111</v>
      </c>
      <c r="D757" s="9">
        <v>45633</v>
      </c>
      <c r="E757" s="9">
        <v>45601</v>
      </c>
      <c r="F757" s="7" t="s">
        <v>2710</v>
      </c>
      <c r="G757" s="7" t="s">
        <v>2711</v>
      </c>
      <c r="H757" s="7" t="s">
        <v>2712</v>
      </c>
      <c r="I757" s="7" t="s">
        <v>2713</v>
      </c>
      <c r="J757" s="7" t="s">
        <v>176</v>
      </c>
      <c r="K757" s="7" t="s">
        <v>550</v>
      </c>
      <c r="L757" s="10">
        <v>7966</v>
      </c>
      <c r="M757" s="10">
        <v>7966</v>
      </c>
      <c r="N757" s="10">
        <f>+L757-M757</f>
        <v>0</v>
      </c>
      <c r="O757" s="10">
        <v>7966</v>
      </c>
      <c r="P757" s="10">
        <f>+L757-O757</f>
        <v>0</v>
      </c>
      <c r="Q757" s="10">
        <v>0</v>
      </c>
      <c r="R757" s="7" t="s">
        <v>27</v>
      </c>
    </row>
    <row r="758" spans="1:18" hidden="1">
      <c r="A758" s="7" t="s">
        <v>29</v>
      </c>
      <c r="B758" s="8">
        <v>19446</v>
      </c>
      <c r="C758" s="9">
        <v>45712.702060185184</v>
      </c>
      <c r="D758" s="9">
        <v>45670</v>
      </c>
      <c r="E758" s="9">
        <v>45663</v>
      </c>
      <c r="F758" s="7" t="s">
        <v>2714</v>
      </c>
      <c r="G758" s="7" t="s">
        <v>146</v>
      </c>
      <c r="H758" s="7" t="s">
        <v>2715</v>
      </c>
      <c r="I758" s="7" t="s">
        <v>2716</v>
      </c>
      <c r="J758" s="7" t="s">
        <v>176</v>
      </c>
      <c r="K758" s="7" t="s">
        <v>317</v>
      </c>
      <c r="L758" s="10">
        <v>7900</v>
      </c>
      <c r="M758" s="10">
        <v>7900</v>
      </c>
      <c r="N758" s="10">
        <f>+L758-M758</f>
        <v>0</v>
      </c>
      <c r="O758" s="10">
        <v>7900</v>
      </c>
      <c r="P758" s="10">
        <f>+L758-O758</f>
        <v>0</v>
      </c>
      <c r="Q758" s="10">
        <v>0</v>
      </c>
      <c r="R758" s="7" t="s">
        <v>27</v>
      </c>
    </row>
    <row r="759" spans="1:18" hidden="1">
      <c r="A759" s="7" t="s">
        <v>29</v>
      </c>
      <c r="B759" s="8">
        <v>20322</v>
      </c>
      <c r="C759" s="9">
        <v>45894.484537037039</v>
      </c>
      <c r="D759" s="9">
        <v>45894</v>
      </c>
      <c r="E759" s="9">
        <v>45930</v>
      </c>
      <c r="F759" s="7" t="s">
        <v>2717</v>
      </c>
      <c r="G759" s="7" t="s">
        <v>2718</v>
      </c>
      <c r="H759" s="7" t="s">
        <v>2719</v>
      </c>
      <c r="I759" s="7" t="s">
        <v>2720</v>
      </c>
      <c r="J759" s="7" t="s">
        <v>34</v>
      </c>
      <c r="K759" s="7" t="s">
        <v>412</v>
      </c>
      <c r="L759" s="10">
        <v>7881.87</v>
      </c>
      <c r="M759" s="10">
        <v>7881.87</v>
      </c>
      <c r="N759" s="10">
        <f>+L759-M759</f>
        <v>0</v>
      </c>
      <c r="O759" s="10">
        <v>7881.87</v>
      </c>
      <c r="P759" s="10">
        <f>+L759-O759</f>
        <v>0</v>
      </c>
      <c r="Q759" s="10">
        <v>0</v>
      </c>
      <c r="R759" s="7" t="s">
        <v>27</v>
      </c>
    </row>
    <row r="760" spans="1:18" hidden="1">
      <c r="A760" s="7" t="s">
        <v>29</v>
      </c>
      <c r="B760" s="8">
        <v>20735</v>
      </c>
      <c r="C760" s="9">
        <v>45991.910254629627</v>
      </c>
      <c r="D760" s="9">
        <v>46017</v>
      </c>
      <c r="E760" s="9">
        <v>46061</v>
      </c>
      <c r="F760" s="7" t="s">
        <v>2721</v>
      </c>
      <c r="G760" s="7" t="s">
        <v>2722</v>
      </c>
      <c r="H760" s="7" t="s">
        <v>2723</v>
      </c>
      <c r="I760" s="7" t="s">
        <v>2724</v>
      </c>
      <c r="J760" s="7" t="s">
        <v>176</v>
      </c>
      <c r="K760" s="7" t="s">
        <v>584</v>
      </c>
      <c r="L760" s="10">
        <v>7800</v>
      </c>
      <c r="M760" s="10">
        <v>7800</v>
      </c>
      <c r="N760" s="10">
        <f>+L760-M760</f>
        <v>0</v>
      </c>
      <c r="O760" s="10">
        <v>7800</v>
      </c>
      <c r="P760" s="10">
        <f>+L760-O760</f>
        <v>0</v>
      </c>
      <c r="Q760" s="10">
        <v>0</v>
      </c>
      <c r="R760" s="7" t="s">
        <v>27</v>
      </c>
    </row>
    <row r="761" spans="1:18" hidden="1">
      <c r="A761" s="7" t="s">
        <v>29</v>
      </c>
      <c r="B761" s="8">
        <v>20867</v>
      </c>
      <c r="C761" s="9">
        <v>46036.632303240738</v>
      </c>
      <c r="D761" s="9">
        <v>46036</v>
      </c>
      <c r="E761" s="9">
        <v>46036</v>
      </c>
      <c r="F761" s="7" t="s">
        <v>1991</v>
      </c>
      <c r="G761" s="7" t="s">
        <v>2725</v>
      </c>
      <c r="H761" s="7" t="s">
        <v>1990</v>
      </c>
      <c r="I761" s="7" t="s">
        <v>1991</v>
      </c>
      <c r="J761" s="7" t="s">
        <v>40</v>
      </c>
      <c r="K761" s="7" t="s">
        <v>46</v>
      </c>
      <c r="L761" s="10">
        <v>6802.6</v>
      </c>
      <c r="M761" s="10">
        <v>6802.6</v>
      </c>
      <c r="N761" s="10">
        <f>+L761-M761</f>
        <v>0</v>
      </c>
      <c r="O761" s="10">
        <v>6802.6</v>
      </c>
      <c r="P761" s="10">
        <f>+L761-O761</f>
        <v>0</v>
      </c>
      <c r="Q761" s="10">
        <v>0</v>
      </c>
      <c r="R761" s="7" t="s">
        <v>27</v>
      </c>
    </row>
    <row r="762" spans="1:18" hidden="1">
      <c r="A762" s="7" t="s">
        <v>29</v>
      </c>
      <c r="B762" s="8">
        <v>20699</v>
      </c>
      <c r="C762" s="9">
        <v>45975.368356481478</v>
      </c>
      <c r="D762" s="9">
        <v>45975</v>
      </c>
      <c r="E762" s="9">
        <v>45974</v>
      </c>
      <c r="F762" s="7" t="s">
        <v>2726</v>
      </c>
      <c r="G762" s="7" t="s">
        <v>2727</v>
      </c>
      <c r="H762" s="7" t="s">
        <v>2728</v>
      </c>
      <c r="I762" s="7" t="s">
        <v>2729</v>
      </c>
      <c r="J762" s="7" t="s">
        <v>34</v>
      </c>
      <c r="K762" s="7" t="s">
        <v>412</v>
      </c>
      <c r="L762" s="10">
        <v>7534.29</v>
      </c>
      <c r="M762" s="10">
        <v>7534.29</v>
      </c>
      <c r="N762" s="10">
        <f>+L762-M762</f>
        <v>0</v>
      </c>
      <c r="O762" s="10">
        <v>7534.29</v>
      </c>
      <c r="P762" s="10">
        <f>+L762-O762</f>
        <v>0</v>
      </c>
      <c r="Q762" s="10">
        <v>0</v>
      </c>
      <c r="R762" s="7" t="s">
        <v>27</v>
      </c>
    </row>
    <row r="763" spans="1:18" hidden="1">
      <c r="A763" s="7" t="s">
        <v>29</v>
      </c>
      <c r="B763" s="8">
        <v>4227</v>
      </c>
      <c r="C763" s="9">
        <v>45820.699652777774</v>
      </c>
      <c r="D763" s="9">
        <v>45807</v>
      </c>
      <c r="E763" s="9">
        <v>45899</v>
      </c>
      <c r="F763" s="7" t="s">
        <v>2730</v>
      </c>
      <c r="G763" s="7" t="s">
        <v>2731</v>
      </c>
      <c r="H763" s="7" t="s">
        <v>1133</v>
      </c>
      <c r="I763" s="7" t="s">
        <v>1030</v>
      </c>
      <c r="J763" s="7" t="s">
        <v>25</v>
      </c>
      <c r="K763" s="7" t="s">
        <v>86</v>
      </c>
      <c r="L763" s="10">
        <v>17649.63</v>
      </c>
      <c r="M763" s="10">
        <v>17649.63</v>
      </c>
      <c r="N763" s="15">
        <f>+L763-M763</f>
        <v>0</v>
      </c>
      <c r="O763" s="15">
        <v>17649.63</v>
      </c>
      <c r="P763" s="15">
        <f>+L763-O763</f>
        <v>0</v>
      </c>
      <c r="Q763" s="10">
        <v>0</v>
      </c>
      <c r="R763" s="7" t="s">
        <v>87</v>
      </c>
    </row>
    <row r="764" spans="1:18" hidden="1">
      <c r="A764" s="7" t="s">
        <v>29</v>
      </c>
      <c r="B764" s="8">
        <v>19650</v>
      </c>
      <c r="C764" s="9">
        <v>45758.40525462963</v>
      </c>
      <c r="D764" s="9">
        <v>45733</v>
      </c>
      <c r="E764" s="9">
        <v>45705</v>
      </c>
      <c r="F764" s="7" t="s">
        <v>2732</v>
      </c>
      <c r="G764" s="7" t="s">
        <v>2733</v>
      </c>
      <c r="H764" s="7" t="s">
        <v>1965</v>
      </c>
      <c r="I764" s="7" t="s">
        <v>1966</v>
      </c>
      <c r="J764" s="7" t="s">
        <v>176</v>
      </c>
      <c r="K764" s="7" t="s">
        <v>494</v>
      </c>
      <c r="L764" s="10">
        <v>7455</v>
      </c>
      <c r="M764" s="10">
        <v>7455</v>
      </c>
      <c r="N764" s="10">
        <f>+L764-M764</f>
        <v>0</v>
      </c>
      <c r="O764" s="10">
        <v>7455</v>
      </c>
      <c r="P764" s="10">
        <f>+L764-O764</f>
        <v>0</v>
      </c>
      <c r="Q764" s="10">
        <v>0</v>
      </c>
      <c r="R764" s="7" t="s">
        <v>27</v>
      </c>
    </row>
    <row r="765" spans="1:18" hidden="1">
      <c r="A765" s="7" t="s">
        <v>29</v>
      </c>
      <c r="B765" s="8">
        <v>20566</v>
      </c>
      <c r="C765" s="9">
        <v>45940.473391203705</v>
      </c>
      <c r="D765" s="9">
        <v>45896</v>
      </c>
      <c r="E765" s="9">
        <v>45896</v>
      </c>
      <c r="F765" s="7" t="s">
        <v>2734</v>
      </c>
      <c r="G765" s="7" t="s">
        <v>2735</v>
      </c>
      <c r="H765" s="7" t="s">
        <v>2736</v>
      </c>
      <c r="I765" s="7" t="s">
        <v>2737</v>
      </c>
      <c r="J765" s="7" t="s">
        <v>176</v>
      </c>
      <c r="K765" s="7" t="s">
        <v>360</v>
      </c>
      <c r="L765" s="10">
        <v>7408</v>
      </c>
      <c r="M765" s="10">
        <v>7408</v>
      </c>
      <c r="N765" s="10">
        <f>+L765-M765</f>
        <v>0</v>
      </c>
      <c r="O765" s="10">
        <v>7408</v>
      </c>
      <c r="P765" s="10">
        <f>+L765-O765</f>
        <v>0</v>
      </c>
      <c r="Q765" s="10">
        <v>0</v>
      </c>
      <c r="R765" s="7" t="s">
        <v>27</v>
      </c>
    </row>
    <row r="766" spans="1:18" hidden="1">
      <c r="A766" s="7" t="s">
        <v>29</v>
      </c>
      <c r="B766" s="8">
        <v>20785</v>
      </c>
      <c r="C766" s="9">
        <v>46010.426770833328</v>
      </c>
      <c r="D766" s="9">
        <v>45932</v>
      </c>
      <c r="E766" s="9">
        <v>45932</v>
      </c>
      <c r="F766" s="7" t="s">
        <v>2738</v>
      </c>
      <c r="G766" s="7" t="s">
        <v>2739</v>
      </c>
      <c r="H766" s="7" t="s">
        <v>1602</v>
      </c>
      <c r="I766" s="7" t="s">
        <v>1603</v>
      </c>
      <c r="J766" s="7" t="s">
        <v>40</v>
      </c>
      <c r="K766" s="7" t="s">
        <v>41</v>
      </c>
      <c r="L766" s="10">
        <v>6597.13</v>
      </c>
      <c r="M766" s="10">
        <v>6597.13</v>
      </c>
      <c r="N766" s="10">
        <f>+L766-M766</f>
        <v>0</v>
      </c>
      <c r="O766" s="10">
        <v>6597.13</v>
      </c>
      <c r="P766" s="10">
        <f>+L766-O766</f>
        <v>0</v>
      </c>
      <c r="Q766" s="10">
        <v>0</v>
      </c>
      <c r="R766" s="7" t="s">
        <v>27</v>
      </c>
    </row>
    <row r="767" spans="1:18" hidden="1">
      <c r="A767" s="7" t="s">
        <v>29</v>
      </c>
      <c r="B767" s="8">
        <v>4309</v>
      </c>
      <c r="C767" s="9">
        <v>45987.600706018515</v>
      </c>
      <c r="D767" s="9">
        <v>46017</v>
      </c>
      <c r="E767" s="9">
        <v>46017</v>
      </c>
      <c r="F767" s="7" t="s">
        <v>2740</v>
      </c>
      <c r="G767" s="7" t="s">
        <v>2741</v>
      </c>
      <c r="H767" s="7" t="s">
        <v>2685</v>
      </c>
      <c r="I767" s="7" t="s">
        <v>1298</v>
      </c>
      <c r="J767" s="7" t="s">
        <v>25</v>
      </c>
      <c r="K767" s="7" t="s">
        <v>206</v>
      </c>
      <c r="L767" s="10">
        <v>17020.3</v>
      </c>
      <c r="M767" s="10">
        <v>17020.3</v>
      </c>
      <c r="N767" s="15">
        <f>+L767-M767</f>
        <v>0</v>
      </c>
      <c r="O767" s="15">
        <v>17020.3</v>
      </c>
      <c r="P767" s="15">
        <f>+L767-O767</f>
        <v>0</v>
      </c>
      <c r="Q767" s="10">
        <v>0</v>
      </c>
      <c r="R767" s="7" t="s">
        <v>87</v>
      </c>
    </row>
    <row r="768" spans="1:18" hidden="1">
      <c r="A768" s="7" t="s">
        <v>29</v>
      </c>
      <c r="B768" s="8">
        <v>20472</v>
      </c>
      <c r="C768" s="9">
        <v>45919.412951388884</v>
      </c>
      <c r="D768" s="9">
        <v>45762</v>
      </c>
      <c r="E768" s="9">
        <v>45918</v>
      </c>
      <c r="F768" s="7" t="s">
        <v>2742</v>
      </c>
      <c r="G768" s="7" t="s">
        <v>2743</v>
      </c>
      <c r="H768" s="7" t="s">
        <v>2177</v>
      </c>
      <c r="I768" s="7" t="s">
        <v>2178</v>
      </c>
      <c r="J768" s="7" t="s">
        <v>176</v>
      </c>
      <c r="K768" s="7" t="s">
        <v>569</v>
      </c>
      <c r="L768" s="10">
        <v>7315</v>
      </c>
      <c r="M768" s="10">
        <v>7315</v>
      </c>
      <c r="N768" s="10">
        <f>+L768-M768</f>
        <v>0</v>
      </c>
      <c r="O768" s="10">
        <v>7315</v>
      </c>
      <c r="P768" s="10">
        <f>+L768-O768</f>
        <v>0</v>
      </c>
      <c r="Q768" s="10">
        <v>0</v>
      </c>
      <c r="R768" s="7" t="s">
        <v>27</v>
      </c>
    </row>
    <row r="769" spans="1:18" hidden="1">
      <c r="A769" s="7" t="s">
        <v>29</v>
      </c>
      <c r="B769" s="8">
        <v>19699</v>
      </c>
      <c r="C769" s="9">
        <v>45769.70449074074</v>
      </c>
      <c r="D769" s="9">
        <v>45769</v>
      </c>
      <c r="E769" s="9">
        <v>45769</v>
      </c>
      <c r="F769" s="7" t="s">
        <v>2744</v>
      </c>
      <c r="G769" s="7" t="s">
        <v>2745</v>
      </c>
      <c r="H769" s="7" t="s">
        <v>2746</v>
      </c>
      <c r="I769" s="7" t="s">
        <v>2747</v>
      </c>
      <c r="J769" s="7" t="s">
        <v>34</v>
      </c>
      <c r="K769" s="7" t="s">
        <v>269</v>
      </c>
      <c r="L769" s="10">
        <v>7310.37</v>
      </c>
      <c r="M769" s="10">
        <v>7310.37</v>
      </c>
      <c r="N769" s="10">
        <f>+L769-M769</f>
        <v>0</v>
      </c>
      <c r="O769" s="10">
        <v>7310.37</v>
      </c>
      <c r="P769" s="10">
        <f>+L769-O769</f>
        <v>0</v>
      </c>
      <c r="Q769" s="10">
        <v>0</v>
      </c>
      <c r="R769" s="7" t="s">
        <v>27</v>
      </c>
    </row>
    <row r="770" spans="1:18" hidden="1">
      <c r="A770" s="7" t="s">
        <v>29</v>
      </c>
      <c r="B770" s="8">
        <v>19735</v>
      </c>
      <c r="C770" s="9">
        <v>45776.616412037038</v>
      </c>
      <c r="D770" s="9">
        <v>45797</v>
      </c>
      <c r="E770" s="9">
        <v>45762</v>
      </c>
      <c r="F770" s="7" t="s">
        <v>2748</v>
      </c>
      <c r="G770" s="7" t="s">
        <v>2749</v>
      </c>
      <c r="H770" s="7" t="s">
        <v>1215</v>
      </c>
      <c r="I770" s="7" t="s">
        <v>1216</v>
      </c>
      <c r="J770" s="7" t="s">
        <v>176</v>
      </c>
      <c r="K770" s="7" t="s">
        <v>584</v>
      </c>
      <c r="L770" s="10">
        <v>7200</v>
      </c>
      <c r="M770" s="10">
        <v>7200</v>
      </c>
      <c r="N770" s="10">
        <f>+L770-M770</f>
        <v>0</v>
      </c>
      <c r="O770" s="10">
        <v>7200</v>
      </c>
      <c r="P770" s="10">
        <f>+L770-O770</f>
        <v>0</v>
      </c>
      <c r="Q770" s="10">
        <v>0</v>
      </c>
      <c r="R770" s="7" t="s">
        <v>27</v>
      </c>
    </row>
    <row r="771" spans="1:18" hidden="1">
      <c r="A771" s="7" t="s">
        <v>29</v>
      </c>
      <c r="B771" s="8">
        <v>19795</v>
      </c>
      <c r="C771" s="9">
        <v>45789.471400462964</v>
      </c>
      <c r="D771" s="9">
        <v>45730</v>
      </c>
      <c r="E771" s="9">
        <v>45719</v>
      </c>
      <c r="F771" s="7" t="s">
        <v>2750</v>
      </c>
      <c r="G771" s="7" t="s">
        <v>2751</v>
      </c>
      <c r="H771" s="7" t="s">
        <v>2752</v>
      </c>
      <c r="I771" s="7" t="s">
        <v>2753</v>
      </c>
      <c r="J771" s="7" t="s">
        <v>176</v>
      </c>
      <c r="K771" s="7" t="s">
        <v>317</v>
      </c>
      <c r="L771" s="10">
        <v>7180</v>
      </c>
      <c r="M771" s="10">
        <v>7180</v>
      </c>
      <c r="N771" s="10">
        <f>+L771-M771</f>
        <v>0</v>
      </c>
      <c r="O771" s="10">
        <v>7180</v>
      </c>
      <c r="P771" s="10">
        <f>+L771-O771</f>
        <v>0</v>
      </c>
      <c r="Q771" s="10">
        <v>0</v>
      </c>
      <c r="R771" s="7" t="s">
        <v>27</v>
      </c>
    </row>
    <row r="772" spans="1:18" hidden="1">
      <c r="A772" s="7" t="s">
        <v>29</v>
      </c>
      <c r="B772" s="8">
        <v>19575</v>
      </c>
      <c r="C772" s="9">
        <v>45743.360706018517</v>
      </c>
      <c r="D772" s="9">
        <v>45863</v>
      </c>
      <c r="E772" s="9">
        <v>45778</v>
      </c>
      <c r="F772" s="7" t="s">
        <v>2754</v>
      </c>
      <c r="G772" s="7" t="s">
        <v>2755</v>
      </c>
      <c r="H772" s="7" t="s">
        <v>2756</v>
      </c>
      <c r="I772" s="7" t="s">
        <v>2757</v>
      </c>
      <c r="J772" s="7" t="s">
        <v>40</v>
      </c>
      <c r="K772" s="7" t="s">
        <v>355</v>
      </c>
      <c r="L772" s="10">
        <v>6203</v>
      </c>
      <c r="M772" s="10">
        <v>6203</v>
      </c>
      <c r="N772" s="10">
        <f>+L772-M772</f>
        <v>0</v>
      </c>
      <c r="O772" s="10">
        <v>6203</v>
      </c>
      <c r="P772" s="10">
        <f>+L772-O772</f>
        <v>0</v>
      </c>
      <c r="Q772" s="10">
        <v>0</v>
      </c>
      <c r="R772" s="7" t="s">
        <v>27</v>
      </c>
    </row>
    <row r="773" spans="1:18" hidden="1">
      <c r="A773" s="7" t="s">
        <v>29</v>
      </c>
      <c r="B773" s="8">
        <v>19339</v>
      </c>
      <c r="C773" s="9">
        <v>45677.339861111112</v>
      </c>
      <c r="D773" s="9">
        <v>45689</v>
      </c>
      <c r="E773" s="9">
        <v>45682</v>
      </c>
      <c r="F773" s="7" t="s">
        <v>2758</v>
      </c>
      <c r="G773" s="7" t="s">
        <v>2300</v>
      </c>
      <c r="H773" s="7" t="s">
        <v>2759</v>
      </c>
      <c r="I773" s="7" t="s">
        <v>2760</v>
      </c>
      <c r="J773" s="7" t="s">
        <v>176</v>
      </c>
      <c r="K773" s="7" t="s">
        <v>945</v>
      </c>
      <c r="L773" s="10">
        <v>7115.8</v>
      </c>
      <c r="M773" s="10">
        <v>7115.8</v>
      </c>
      <c r="N773" s="10">
        <f>+L773-M773</f>
        <v>0</v>
      </c>
      <c r="O773" s="10">
        <v>7115.8</v>
      </c>
      <c r="P773" s="10">
        <f>+L773-O773</f>
        <v>0</v>
      </c>
      <c r="Q773" s="10">
        <v>0</v>
      </c>
      <c r="R773" s="7" t="s">
        <v>27</v>
      </c>
    </row>
    <row r="774" spans="1:18">
      <c r="A774" s="7" t="s">
        <v>29</v>
      </c>
      <c r="B774" s="8">
        <v>19913</v>
      </c>
      <c r="C774" s="9">
        <v>45810.5934375</v>
      </c>
      <c r="D774" s="9">
        <v>45777</v>
      </c>
      <c r="E774" s="9">
        <v>45807</v>
      </c>
      <c r="F774" s="7" t="s">
        <v>2761</v>
      </c>
      <c r="G774" s="7" t="s">
        <v>2762</v>
      </c>
      <c r="H774" s="7" t="s">
        <v>367</v>
      </c>
      <c r="I774" s="7" t="s">
        <v>368</v>
      </c>
      <c r="J774" s="7" t="s">
        <v>25</v>
      </c>
      <c r="K774" s="7" t="s">
        <v>55</v>
      </c>
      <c r="L774" s="10">
        <v>16500</v>
      </c>
      <c r="M774" s="10">
        <v>16500</v>
      </c>
      <c r="N774" s="10">
        <f>+L774-M774</f>
        <v>0</v>
      </c>
      <c r="O774" s="10">
        <v>16500</v>
      </c>
      <c r="P774" s="10">
        <f>+L774-O774</f>
        <v>0</v>
      </c>
      <c r="Q774" s="10">
        <v>0</v>
      </c>
      <c r="R774" s="7" t="s">
        <v>27</v>
      </c>
    </row>
    <row r="775" spans="1:18" hidden="1">
      <c r="A775" s="7" t="s">
        <v>29</v>
      </c>
      <c r="B775" s="8">
        <v>20428</v>
      </c>
      <c r="C775" s="9">
        <v>45909.757719907408</v>
      </c>
      <c r="D775" s="9">
        <v>45959</v>
      </c>
      <c r="E775" s="9">
        <v>45847</v>
      </c>
      <c r="F775" s="7" t="s">
        <v>2763</v>
      </c>
      <c r="G775" s="7" t="s">
        <v>2764</v>
      </c>
      <c r="H775" s="7" t="s">
        <v>2765</v>
      </c>
      <c r="I775" s="7" t="s">
        <v>2766</v>
      </c>
      <c r="J775" s="7" t="s">
        <v>176</v>
      </c>
      <c r="K775" s="7" t="s">
        <v>584</v>
      </c>
      <c r="L775" s="10">
        <v>7000</v>
      </c>
      <c r="M775" s="10">
        <v>7000</v>
      </c>
      <c r="N775" s="10">
        <f>+L775-M775</f>
        <v>0</v>
      </c>
      <c r="O775" s="10">
        <v>7000</v>
      </c>
      <c r="P775" s="10">
        <f>+L775-O775</f>
        <v>0</v>
      </c>
      <c r="Q775" s="10">
        <v>0</v>
      </c>
      <c r="R775" s="7" t="s">
        <v>27</v>
      </c>
    </row>
    <row r="776" spans="1:18" hidden="1">
      <c r="A776" s="7" t="s">
        <v>29</v>
      </c>
      <c r="B776" s="8">
        <v>19706</v>
      </c>
      <c r="C776" s="9">
        <v>45771.470810185187</v>
      </c>
      <c r="D776" s="9">
        <v>45740</v>
      </c>
      <c r="E776" s="9">
        <v>45740</v>
      </c>
      <c r="F776" s="7" t="s">
        <v>2767</v>
      </c>
      <c r="G776" s="7" t="s">
        <v>2768</v>
      </c>
      <c r="H776" s="7" t="s">
        <v>2769</v>
      </c>
      <c r="I776" s="7" t="s">
        <v>2770</v>
      </c>
      <c r="J776" s="7" t="s">
        <v>176</v>
      </c>
      <c r="K776" s="7" t="s">
        <v>494</v>
      </c>
      <c r="L776" s="10">
        <v>7000</v>
      </c>
      <c r="M776" s="10">
        <v>7000</v>
      </c>
      <c r="N776" s="10">
        <f>+L776-M776</f>
        <v>0</v>
      </c>
      <c r="O776" s="10">
        <v>7000</v>
      </c>
      <c r="P776" s="10">
        <f>+L776-O776</f>
        <v>0</v>
      </c>
      <c r="Q776" s="10">
        <v>0</v>
      </c>
      <c r="R776" s="7" t="s">
        <v>27</v>
      </c>
    </row>
    <row r="777" spans="1:18" hidden="1">
      <c r="A777" s="7" t="s">
        <v>29</v>
      </c>
      <c r="B777" s="8">
        <v>19997</v>
      </c>
      <c r="C777" s="9">
        <v>45831.468240740738</v>
      </c>
      <c r="D777" s="9">
        <v>45833</v>
      </c>
      <c r="E777" s="9">
        <v>45820</v>
      </c>
      <c r="F777" s="7" t="s">
        <v>2771</v>
      </c>
      <c r="G777" s="7" t="s">
        <v>2772</v>
      </c>
      <c r="H777" s="7" t="s">
        <v>2773</v>
      </c>
      <c r="I777" s="7" t="s">
        <v>2774</v>
      </c>
      <c r="J777" s="7" t="s">
        <v>176</v>
      </c>
      <c r="K777" s="7" t="s">
        <v>584</v>
      </c>
      <c r="L777" s="10">
        <v>6900</v>
      </c>
      <c r="M777" s="10">
        <v>6900</v>
      </c>
      <c r="N777" s="10">
        <f>+L777-M777</f>
        <v>0</v>
      </c>
      <c r="O777" s="10">
        <v>6900</v>
      </c>
      <c r="P777" s="10">
        <f>+L777-O777</f>
        <v>0</v>
      </c>
      <c r="Q777" s="10">
        <v>0</v>
      </c>
      <c r="R777" s="7" t="s">
        <v>27</v>
      </c>
    </row>
    <row r="778" spans="1:18" hidden="1">
      <c r="A778" s="7" t="s">
        <v>29</v>
      </c>
      <c r="B778" s="8">
        <v>19365</v>
      </c>
      <c r="C778" s="9">
        <v>45687.367766203701</v>
      </c>
      <c r="D778" s="9">
        <v>45684</v>
      </c>
      <c r="E778" s="9">
        <v>45684</v>
      </c>
      <c r="F778" s="7" t="s">
        <v>2775</v>
      </c>
      <c r="G778" s="7" t="s">
        <v>2562</v>
      </c>
      <c r="H778" s="7" t="s">
        <v>2776</v>
      </c>
      <c r="I778" s="7" t="s">
        <v>2777</v>
      </c>
      <c r="J778" s="7" t="s">
        <v>40</v>
      </c>
      <c r="K778" s="7" t="s">
        <v>41</v>
      </c>
      <c r="L778" s="10">
        <v>5327.92</v>
      </c>
      <c r="M778" s="10">
        <v>5327.92</v>
      </c>
      <c r="N778" s="10">
        <f>+L778-M778</f>
        <v>0</v>
      </c>
      <c r="O778" s="10">
        <v>5327.92</v>
      </c>
      <c r="P778" s="10">
        <f>+L778-O778</f>
        <v>0</v>
      </c>
      <c r="Q778" s="10">
        <v>0</v>
      </c>
      <c r="R778" s="7" t="s">
        <v>27</v>
      </c>
    </row>
    <row r="779" spans="1:18" hidden="1">
      <c r="A779" s="7" t="s">
        <v>29</v>
      </c>
      <c r="B779" s="8">
        <v>19684</v>
      </c>
      <c r="C779" s="9">
        <v>45762.42288194444</v>
      </c>
      <c r="D779" s="9">
        <v>45828</v>
      </c>
      <c r="E779" s="9">
        <v>45744</v>
      </c>
      <c r="F779" s="7" t="s">
        <v>2778</v>
      </c>
      <c r="G779" s="7" t="s">
        <v>2779</v>
      </c>
      <c r="H779" s="7" t="s">
        <v>2213</v>
      </c>
      <c r="I779" s="7" t="s">
        <v>2214</v>
      </c>
      <c r="J779" s="7" t="s">
        <v>176</v>
      </c>
      <c r="K779" s="7" t="s">
        <v>317</v>
      </c>
      <c r="L779" s="10">
        <v>6741</v>
      </c>
      <c r="M779" s="10">
        <v>6741</v>
      </c>
      <c r="N779" s="10">
        <f>+L779-M779</f>
        <v>0</v>
      </c>
      <c r="O779" s="10">
        <v>6741</v>
      </c>
      <c r="P779" s="10">
        <f>+L779-O779</f>
        <v>0</v>
      </c>
      <c r="Q779" s="10">
        <v>0</v>
      </c>
      <c r="R779" s="7" t="s">
        <v>27</v>
      </c>
    </row>
    <row r="780" spans="1:18">
      <c r="A780" s="7" t="s">
        <v>29</v>
      </c>
      <c r="B780" s="8">
        <v>19896</v>
      </c>
      <c r="C780" s="9">
        <v>45810.36037037037</v>
      </c>
      <c r="D780" s="9">
        <v>45867</v>
      </c>
      <c r="E780" s="9">
        <v>45898</v>
      </c>
      <c r="F780" s="7" t="s">
        <v>2780</v>
      </c>
      <c r="G780" s="7" t="s">
        <v>2781</v>
      </c>
      <c r="H780" s="7" t="s">
        <v>1049</v>
      </c>
      <c r="I780" s="7" t="s">
        <v>1050</v>
      </c>
      <c r="J780" s="7" t="s">
        <v>25</v>
      </c>
      <c r="K780" s="7" t="s">
        <v>525</v>
      </c>
      <c r="L780" s="10">
        <v>16221.52</v>
      </c>
      <c r="M780" s="10">
        <v>16221.52</v>
      </c>
      <c r="N780" s="10">
        <f>+L780-M780</f>
        <v>0</v>
      </c>
      <c r="O780" s="10">
        <v>16221.52</v>
      </c>
      <c r="P780" s="10">
        <f>+L780-O780</f>
        <v>0</v>
      </c>
      <c r="Q780" s="10">
        <v>0</v>
      </c>
      <c r="R780" s="7" t="s">
        <v>27</v>
      </c>
    </row>
    <row r="781" spans="1:18" hidden="1">
      <c r="A781" s="7" t="s">
        <v>29</v>
      </c>
      <c r="B781" s="8">
        <v>20052</v>
      </c>
      <c r="C781" s="9">
        <v>45837.693912037037</v>
      </c>
      <c r="D781" s="9">
        <v>45884</v>
      </c>
      <c r="E781" s="9">
        <v>45840</v>
      </c>
      <c r="F781" s="7" t="s">
        <v>2782</v>
      </c>
      <c r="G781" s="7" t="s">
        <v>2783</v>
      </c>
      <c r="H781" s="7" t="s">
        <v>2784</v>
      </c>
      <c r="I781" s="7" t="s">
        <v>2785</v>
      </c>
      <c r="J781" s="7" t="s">
        <v>176</v>
      </c>
      <c r="K781" s="7" t="s">
        <v>177</v>
      </c>
      <c r="L781" s="10">
        <v>6700</v>
      </c>
      <c r="M781" s="10">
        <v>6700</v>
      </c>
      <c r="N781" s="10">
        <f>+L781-M781</f>
        <v>0</v>
      </c>
      <c r="O781" s="10">
        <v>6700</v>
      </c>
      <c r="P781" s="10">
        <f>+L781-O781</f>
        <v>0</v>
      </c>
      <c r="Q781" s="10">
        <v>0</v>
      </c>
      <c r="R781" s="7" t="s">
        <v>27</v>
      </c>
    </row>
    <row r="782" spans="1:18" hidden="1">
      <c r="A782" s="7" t="s">
        <v>29</v>
      </c>
      <c r="B782" s="8">
        <v>20494</v>
      </c>
      <c r="C782" s="9">
        <v>45923.486840277779</v>
      </c>
      <c r="D782" s="9">
        <v>46021</v>
      </c>
      <c r="E782" s="9">
        <v>45897</v>
      </c>
      <c r="F782" s="7" t="s">
        <v>2786</v>
      </c>
      <c r="G782" s="7" t="s">
        <v>2787</v>
      </c>
      <c r="H782" s="7" t="s">
        <v>2788</v>
      </c>
      <c r="I782" s="7" t="s">
        <v>2789</v>
      </c>
      <c r="J782" s="7" t="s">
        <v>176</v>
      </c>
      <c r="K782" s="7" t="s">
        <v>374</v>
      </c>
      <c r="L782" s="10">
        <v>6600</v>
      </c>
      <c r="M782" s="10">
        <v>6600</v>
      </c>
      <c r="N782" s="10">
        <f>+L782-M782</f>
        <v>0</v>
      </c>
      <c r="O782" s="10">
        <v>6600</v>
      </c>
      <c r="P782" s="10">
        <f>+L782-O782</f>
        <v>0</v>
      </c>
      <c r="Q782" s="10">
        <v>0</v>
      </c>
      <c r="R782" s="7" t="s">
        <v>27</v>
      </c>
    </row>
    <row r="783" spans="1:18" hidden="1">
      <c r="A783" s="7" t="s">
        <v>29</v>
      </c>
      <c r="B783" s="8">
        <v>20510</v>
      </c>
      <c r="C783" s="9">
        <v>45925.486261574071</v>
      </c>
      <c r="D783" s="9">
        <v>45894</v>
      </c>
      <c r="E783" s="9">
        <v>45894</v>
      </c>
      <c r="F783" s="7" t="s">
        <v>2790</v>
      </c>
      <c r="G783" s="7" t="s">
        <v>2791</v>
      </c>
      <c r="H783" s="7" t="s">
        <v>1033</v>
      </c>
      <c r="I783" s="7" t="s">
        <v>2792</v>
      </c>
      <c r="J783" s="7" t="s">
        <v>176</v>
      </c>
      <c r="K783" s="7" t="s">
        <v>360</v>
      </c>
      <c r="L783" s="10">
        <v>6457.93</v>
      </c>
      <c r="M783" s="10">
        <v>6457.93</v>
      </c>
      <c r="N783" s="10">
        <f>+L783-M783</f>
        <v>0</v>
      </c>
      <c r="O783" s="10">
        <v>6457.93</v>
      </c>
      <c r="P783" s="10">
        <f>+L783-O783</f>
        <v>0</v>
      </c>
      <c r="Q783" s="10">
        <v>0</v>
      </c>
      <c r="R783" s="7" t="s">
        <v>27</v>
      </c>
    </row>
    <row r="784" spans="1:18" hidden="1">
      <c r="A784" s="7" t="s">
        <v>29</v>
      </c>
      <c r="B784" s="8">
        <v>19747</v>
      </c>
      <c r="C784" s="9">
        <v>45776.690312499995</v>
      </c>
      <c r="D784" s="9">
        <v>45771</v>
      </c>
      <c r="E784" s="9">
        <v>45771</v>
      </c>
      <c r="F784" s="7" t="s">
        <v>2793</v>
      </c>
      <c r="G784" s="7" t="s">
        <v>2794</v>
      </c>
      <c r="H784" s="7" t="s">
        <v>2795</v>
      </c>
      <c r="I784" s="7" t="s">
        <v>2796</v>
      </c>
      <c r="J784" s="7" t="s">
        <v>176</v>
      </c>
      <c r="K784" s="7" t="s">
        <v>494</v>
      </c>
      <c r="L784" s="10">
        <v>6452.32</v>
      </c>
      <c r="M784" s="10">
        <v>6452.32</v>
      </c>
      <c r="N784" s="10">
        <f>+L784-M784</f>
        <v>0</v>
      </c>
      <c r="O784" s="10">
        <v>6452.32</v>
      </c>
      <c r="P784" s="10">
        <f>+L784-O784</f>
        <v>0</v>
      </c>
      <c r="Q784" s="10">
        <v>0</v>
      </c>
      <c r="R784" s="7" t="s">
        <v>27</v>
      </c>
    </row>
    <row r="785" spans="1:18" hidden="1">
      <c r="A785" s="7" t="s">
        <v>29</v>
      </c>
      <c r="B785" s="8">
        <v>20919</v>
      </c>
      <c r="C785" s="9">
        <v>46050.646909722222</v>
      </c>
      <c r="D785" s="9">
        <v>45952</v>
      </c>
      <c r="E785" s="9">
        <v>46050</v>
      </c>
      <c r="F785" s="7" t="s">
        <v>459</v>
      </c>
      <c r="G785" s="7" t="s">
        <v>2797</v>
      </c>
      <c r="H785" s="7" t="s">
        <v>461</v>
      </c>
      <c r="I785" s="7" t="s">
        <v>462</v>
      </c>
      <c r="J785" s="7" t="s">
        <v>176</v>
      </c>
      <c r="K785" s="7" t="s">
        <v>360</v>
      </c>
      <c r="L785" s="10">
        <v>6438.95</v>
      </c>
      <c r="M785" s="10">
        <v>6438.95</v>
      </c>
      <c r="N785" s="10">
        <f>+L785-M785</f>
        <v>0</v>
      </c>
      <c r="O785" s="10">
        <v>6438.95</v>
      </c>
      <c r="P785" s="10">
        <f>+L785-O785</f>
        <v>0</v>
      </c>
      <c r="Q785" s="10">
        <v>0</v>
      </c>
      <c r="R785" s="7" t="s">
        <v>27</v>
      </c>
    </row>
    <row r="786" spans="1:18" hidden="1">
      <c r="A786" s="7" t="s">
        <v>29</v>
      </c>
      <c r="B786" s="8">
        <v>19823</v>
      </c>
      <c r="C786" s="9">
        <v>45792.488518518519</v>
      </c>
      <c r="D786" s="9">
        <v>45901</v>
      </c>
      <c r="E786" s="9">
        <v>45782</v>
      </c>
      <c r="F786" s="7" t="s">
        <v>2798</v>
      </c>
      <c r="G786" s="7" t="s">
        <v>2799</v>
      </c>
      <c r="H786" s="7" t="s">
        <v>2800</v>
      </c>
      <c r="I786" s="7" t="s">
        <v>2801</v>
      </c>
      <c r="J786" s="7" t="s">
        <v>176</v>
      </c>
      <c r="K786" s="7" t="s">
        <v>374</v>
      </c>
      <c r="L786" s="10">
        <v>6300</v>
      </c>
      <c r="M786" s="10">
        <v>6300</v>
      </c>
      <c r="N786" s="10">
        <f>+L786-M786</f>
        <v>0</v>
      </c>
      <c r="O786" s="10">
        <v>6300</v>
      </c>
      <c r="P786" s="10">
        <f>+L786-O786</f>
        <v>0</v>
      </c>
      <c r="Q786" s="10">
        <v>0</v>
      </c>
      <c r="R786" s="7" t="s">
        <v>27</v>
      </c>
    </row>
    <row r="787" spans="1:18" hidden="1">
      <c r="A787" s="7" t="s">
        <v>29</v>
      </c>
      <c r="B787" s="8">
        <v>20958</v>
      </c>
      <c r="C787" s="9">
        <v>46066.426041666666</v>
      </c>
      <c r="D787" s="9">
        <v>45729</v>
      </c>
      <c r="E787" s="9">
        <v>45729</v>
      </c>
      <c r="F787" s="7" t="s">
        <v>2802</v>
      </c>
      <c r="G787" s="7" t="s">
        <v>2803</v>
      </c>
      <c r="H787" s="7" t="s">
        <v>2804</v>
      </c>
      <c r="I787" s="7" t="s">
        <v>2805</v>
      </c>
      <c r="J787" s="7" t="s">
        <v>176</v>
      </c>
      <c r="K787" s="7" t="s">
        <v>494</v>
      </c>
      <c r="L787" s="10">
        <v>6290</v>
      </c>
      <c r="M787" s="10">
        <v>6290</v>
      </c>
      <c r="N787" s="10">
        <f>+L787-M787</f>
        <v>0</v>
      </c>
      <c r="O787" s="10">
        <v>6290</v>
      </c>
      <c r="P787" s="10">
        <f>+L787-O787</f>
        <v>0</v>
      </c>
      <c r="Q787" s="10">
        <v>0</v>
      </c>
      <c r="R787" s="7" t="s">
        <v>27</v>
      </c>
    </row>
    <row r="788" spans="1:18" hidden="1">
      <c r="A788" s="7" t="s">
        <v>29</v>
      </c>
      <c r="B788" s="8">
        <v>19358</v>
      </c>
      <c r="C788" s="9">
        <v>45685.495486111111</v>
      </c>
      <c r="D788" s="9">
        <v>45685</v>
      </c>
      <c r="E788" s="9">
        <v>45685</v>
      </c>
      <c r="F788" s="7" t="s">
        <v>2806</v>
      </c>
      <c r="G788" s="7" t="s">
        <v>2807</v>
      </c>
      <c r="H788" s="7" t="s">
        <v>2808</v>
      </c>
      <c r="I788" s="7" t="s">
        <v>2809</v>
      </c>
      <c r="J788" s="7" t="s">
        <v>34</v>
      </c>
      <c r="K788" s="7" t="s">
        <v>35</v>
      </c>
      <c r="L788" s="10">
        <v>6259.21</v>
      </c>
      <c r="M788" s="10">
        <v>6259.21</v>
      </c>
      <c r="N788" s="10">
        <f>+L788-M788</f>
        <v>0</v>
      </c>
      <c r="O788" s="10">
        <v>6259.21</v>
      </c>
      <c r="P788" s="10">
        <f>+L788-O788</f>
        <v>0</v>
      </c>
      <c r="Q788" s="10">
        <v>0</v>
      </c>
      <c r="R788" s="7" t="s">
        <v>27</v>
      </c>
    </row>
    <row r="789" spans="1:18">
      <c r="A789" s="7" t="s">
        <v>29</v>
      </c>
      <c r="B789" s="8">
        <v>20440</v>
      </c>
      <c r="C789" s="9">
        <v>45911.571018518516</v>
      </c>
      <c r="D789" s="9">
        <v>45869</v>
      </c>
      <c r="E789" s="9">
        <v>45869</v>
      </c>
      <c r="F789" s="7" t="s">
        <v>2810</v>
      </c>
      <c r="G789" s="7" t="s">
        <v>2811</v>
      </c>
      <c r="H789" s="7" t="s">
        <v>2812</v>
      </c>
      <c r="I789" s="7" t="s">
        <v>2813</v>
      </c>
      <c r="J789" s="7" t="s">
        <v>25</v>
      </c>
      <c r="K789" s="7" t="s">
        <v>170</v>
      </c>
      <c r="L789" s="10">
        <v>16142.12</v>
      </c>
      <c r="M789" s="10">
        <v>16142.12</v>
      </c>
      <c r="N789" s="10">
        <f>+L789-M789</f>
        <v>0</v>
      </c>
      <c r="O789" s="10">
        <v>16142.12</v>
      </c>
      <c r="P789" s="10">
        <f>+L789-O789</f>
        <v>0</v>
      </c>
      <c r="Q789" s="10">
        <v>0</v>
      </c>
      <c r="R789" s="7" t="s">
        <v>27</v>
      </c>
    </row>
    <row r="790" spans="1:18" hidden="1">
      <c r="A790" s="7" t="s">
        <v>29</v>
      </c>
      <c r="B790" s="8">
        <v>19700</v>
      </c>
      <c r="C790" s="9">
        <v>45769.733090277776</v>
      </c>
      <c r="D790" s="9">
        <v>45478</v>
      </c>
      <c r="E790" s="9">
        <v>45478</v>
      </c>
      <c r="F790" s="7" t="s">
        <v>2814</v>
      </c>
      <c r="G790" s="7" t="s">
        <v>2815</v>
      </c>
      <c r="H790" s="7" t="s">
        <v>1990</v>
      </c>
      <c r="I790" s="7" t="s">
        <v>1991</v>
      </c>
      <c r="J790" s="7" t="s">
        <v>40</v>
      </c>
      <c r="K790" s="7" t="s">
        <v>46</v>
      </c>
      <c r="L790" s="10">
        <v>4471.76</v>
      </c>
      <c r="M790" s="10">
        <v>4471.76</v>
      </c>
      <c r="N790" s="10">
        <f>+L790-M790</f>
        <v>0</v>
      </c>
      <c r="O790" s="10">
        <v>4471.76</v>
      </c>
      <c r="P790" s="10">
        <f>+L790-O790</f>
        <v>0</v>
      </c>
      <c r="Q790" s="10">
        <v>0</v>
      </c>
      <c r="R790" s="7" t="s">
        <v>27</v>
      </c>
    </row>
    <row r="791" spans="1:18" hidden="1">
      <c r="A791" s="7" t="s">
        <v>29</v>
      </c>
      <c r="B791" s="8">
        <v>20353</v>
      </c>
      <c r="C791" s="9">
        <v>45898.711122685185</v>
      </c>
      <c r="D791" s="9">
        <v>45895</v>
      </c>
      <c r="E791" s="9">
        <v>45860</v>
      </c>
      <c r="F791" s="7" t="s">
        <v>2816</v>
      </c>
      <c r="G791" s="7" t="s">
        <v>2817</v>
      </c>
      <c r="H791" s="7" t="s">
        <v>2347</v>
      </c>
      <c r="I791" s="7" t="s">
        <v>2348</v>
      </c>
      <c r="J791" s="7" t="s">
        <v>176</v>
      </c>
      <c r="K791" s="7" t="s">
        <v>177</v>
      </c>
      <c r="L791" s="10">
        <v>6200</v>
      </c>
      <c r="M791" s="10">
        <v>6200</v>
      </c>
      <c r="N791" s="10">
        <f>+L791-M791</f>
        <v>0</v>
      </c>
      <c r="O791" s="10">
        <v>6200</v>
      </c>
      <c r="P791" s="10">
        <f>+L791-O791</f>
        <v>0</v>
      </c>
      <c r="Q791" s="10">
        <v>0</v>
      </c>
      <c r="R791" s="7" t="s">
        <v>27</v>
      </c>
    </row>
    <row r="792" spans="1:18" hidden="1">
      <c r="A792" s="7" t="s">
        <v>29</v>
      </c>
      <c r="B792" s="8">
        <v>20170</v>
      </c>
      <c r="C792" s="9">
        <v>45859.649305555555</v>
      </c>
      <c r="D792" s="9">
        <v>45848</v>
      </c>
      <c r="E792" s="9">
        <v>45853</v>
      </c>
      <c r="F792" s="7" t="s">
        <v>2818</v>
      </c>
      <c r="G792" s="7" t="s">
        <v>2819</v>
      </c>
      <c r="H792" s="7" t="s">
        <v>1986</v>
      </c>
      <c r="I792" s="7" t="s">
        <v>1987</v>
      </c>
      <c r="J792" s="7" t="s">
        <v>176</v>
      </c>
      <c r="K792" s="7" t="s">
        <v>584</v>
      </c>
      <c r="L792" s="10">
        <v>6200</v>
      </c>
      <c r="M792" s="10">
        <v>6200</v>
      </c>
      <c r="N792" s="10">
        <f>+L792-M792</f>
        <v>0</v>
      </c>
      <c r="O792" s="10">
        <v>6200</v>
      </c>
      <c r="P792" s="10">
        <f>+L792-O792</f>
        <v>0</v>
      </c>
      <c r="Q792" s="10">
        <v>0</v>
      </c>
      <c r="R792" s="7" t="s">
        <v>27</v>
      </c>
    </row>
    <row r="793" spans="1:18" hidden="1">
      <c r="A793" s="7" t="s">
        <v>29</v>
      </c>
      <c r="B793" s="8">
        <v>20292</v>
      </c>
      <c r="C793" s="9">
        <v>45887.539108796293</v>
      </c>
      <c r="D793" s="9">
        <v>45845</v>
      </c>
      <c r="E793" s="9">
        <v>45887</v>
      </c>
      <c r="F793" s="7" t="s">
        <v>2820</v>
      </c>
      <c r="G793" s="7" t="s">
        <v>2821</v>
      </c>
      <c r="H793" s="7" t="s">
        <v>2173</v>
      </c>
      <c r="I793" s="7" t="s">
        <v>2174</v>
      </c>
      <c r="J793" s="7" t="s">
        <v>176</v>
      </c>
      <c r="K793" s="7" t="s">
        <v>374</v>
      </c>
      <c r="L793" s="10">
        <v>6194</v>
      </c>
      <c r="M793" s="10">
        <v>6194</v>
      </c>
      <c r="N793" s="10">
        <f>+L793-M793</f>
        <v>0</v>
      </c>
      <c r="O793" s="10">
        <v>6194</v>
      </c>
      <c r="P793" s="10">
        <f>+L793-O793</f>
        <v>0</v>
      </c>
      <c r="Q793" s="10">
        <v>0</v>
      </c>
      <c r="R793" s="7" t="s">
        <v>27</v>
      </c>
    </row>
    <row r="794" spans="1:18" hidden="1">
      <c r="A794" s="7" t="s">
        <v>29</v>
      </c>
      <c r="B794" s="8">
        <v>19324</v>
      </c>
      <c r="C794" s="9">
        <v>45671.322581018518</v>
      </c>
      <c r="D794" s="9">
        <v>45667</v>
      </c>
      <c r="E794" s="9">
        <v>45671</v>
      </c>
      <c r="F794" s="7" t="s">
        <v>2822</v>
      </c>
      <c r="G794" s="7" t="s">
        <v>2278</v>
      </c>
      <c r="H794" s="7" t="s">
        <v>2823</v>
      </c>
      <c r="I794" s="7" t="s">
        <v>2824</v>
      </c>
      <c r="J794" s="7" t="s">
        <v>176</v>
      </c>
      <c r="K794" s="7" t="s">
        <v>569</v>
      </c>
      <c r="L794" s="10">
        <v>6150</v>
      </c>
      <c r="M794" s="10">
        <v>6150</v>
      </c>
      <c r="N794" s="10">
        <f>+L794-M794</f>
        <v>0</v>
      </c>
      <c r="O794" s="10">
        <v>6150</v>
      </c>
      <c r="P794" s="10">
        <f>+L794-O794</f>
        <v>0</v>
      </c>
      <c r="Q794" s="10">
        <v>0</v>
      </c>
      <c r="R794" s="7" t="s">
        <v>27</v>
      </c>
    </row>
    <row r="795" spans="1:18" hidden="1">
      <c r="A795" s="7" t="s">
        <v>29</v>
      </c>
      <c r="B795" s="8">
        <v>20812</v>
      </c>
      <c r="C795" s="9">
        <v>46020.009583333333</v>
      </c>
      <c r="D795" s="9">
        <v>46021</v>
      </c>
      <c r="E795" s="9">
        <v>45951</v>
      </c>
      <c r="F795" s="7" t="s">
        <v>2825</v>
      </c>
      <c r="G795" s="7" t="s">
        <v>2826</v>
      </c>
      <c r="H795" s="7" t="s">
        <v>1948</v>
      </c>
      <c r="I795" s="7" t="s">
        <v>1949</v>
      </c>
      <c r="J795" s="7" t="s">
        <v>176</v>
      </c>
      <c r="K795" s="7" t="s">
        <v>569</v>
      </c>
      <c r="L795" s="10">
        <v>6091</v>
      </c>
      <c r="M795" s="10">
        <v>6091</v>
      </c>
      <c r="N795" s="10">
        <f>+L795-M795</f>
        <v>0</v>
      </c>
      <c r="O795" s="10">
        <v>6091</v>
      </c>
      <c r="P795" s="10">
        <f>+L795-O795</f>
        <v>0</v>
      </c>
      <c r="Q795" s="10">
        <v>0</v>
      </c>
      <c r="R795" s="7" t="s">
        <v>27</v>
      </c>
    </row>
    <row r="796" spans="1:18" hidden="1">
      <c r="A796" s="7" t="s">
        <v>29</v>
      </c>
      <c r="B796" s="8">
        <v>19409</v>
      </c>
      <c r="C796" s="9">
        <v>45699.585115740738</v>
      </c>
      <c r="D796" s="9">
        <v>45713</v>
      </c>
      <c r="E796" s="9">
        <v>45678</v>
      </c>
      <c r="F796" s="7" t="s">
        <v>2827</v>
      </c>
      <c r="G796" s="7" t="s">
        <v>2364</v>
      </c>
      <c r="H796" s="7" t="s">
        <v>2828</v>
      </c>
      <c r="I796" s="7" t="s">
        <v>2829</v>
      </c>
      <c r="J796" s="7" t="s">
        <v>176</v>
      </c>
      <c r="K796" s="7" t="s">
        <v>550</v>
      </c>
      <c r="L796" s="10">
        <v>6081</v>
      </c>
      <c r="M796" s="10">
        <v>6081</v>
      </c>
      <c r="N796" s="10">
        <f>+L796-M796</f>
        <v>0</v>
      </c>
      <c r="O796" s="10">
        <v>6081</v>
      </c>
      <c r="P796" s="10">
        <f>+L796-O796</f>
        <v>0</v>
      </c>
      <c r="Q796" s="10">
        <v>0</v>
      </c>
      <c r="R796" s="7" t="s">
        <v>27</v>
      </c>
    </row>
    <row r="797" spans="1:18" hidden="1">
      <c r="A797" s="7" t="s">
        <v>29</v>
      </c>
      <c r="B797" s="8">
        <v>19660</v>
      </c>
      <c r="C797" s="9">
        <v>45758.475092592591</v>
      </c>
      <c r="D797" s="9">
        <v>45758</v>
      </c>
      <c r="E797" s="9">
        <v>45779</v>
      </c>
      <c r="F797" s="7" t="s">
        <v>2830</v>
      </c>
      <c r="G797" s="7" t="s">
        <v>2831</v>
      </c>
      <c r="H797" s="7" t="s">
        <v>2832</v>
      </c>
      <c r="I797" s="7" t="s">
        <v>2833</v>
      </c>
      <c r="J797" s="7" t="s">
        <v>176</v>
      </c>
      <c r="K797" s="7" t="s">
        <v>550</v>
      </c>
      <c r="L797" s="10">
        <v>6065</v>
      </c>
      <c r="M797" s="10">
        <v>6065</v>
      </c>
      <c r="N797" s="10">
        <f>+L797-M797</f>
        <v>0</v>
      </c>
      <c r="O797" s="10">
        <v>6065</v>
      </c>
      <c r="P797" s="10">
        <f>+L797-O797</f>
        <v>0</v>
      </c>
      <c r="Q797" s="10">
        <v>0</v>
      </c>
      <c r="R797" s="7" t="s">
        <v>27</v>
      </c>
    </row>
    <row r="798" spans="1:18" hidden="1">
      <c r="A798" s="7" t="s">
        <v>29</v>
      </c>
      <c r="B798" s="8">
        <v>20166</v>
      </c>
      <c r="C798" s="9">
        <v>45859.625162037039</v>
      </c>
      <c r="D798" s="9">
        <v>45859</v>
      </c>
      <c r="E798" s="9">
        <v>45859</v>
      </c>
      <c r="F798" s="7" t="s">
        <v>2834</v>
      </c>
      <c r="G798" s="7" t="s">
        <v>2835</v>
      </c>
      <c r="H798" s="7" t="s">
        <v>2836</v>
      </c>
      <c r="I798" s="7" t="s">
        <v>2837</v>
      </c>
      <c r="J798" s="7" t="s">
        <v>34</v>
      </c>
      <c r="K798" s="7" t="s">
        <v>35</v>
      </c>
      <c r="L798" s="10">
        <v>6059.26</v>
      </c>
      <c r="M798" s="10">
        <v>6059.26</v>
      </c>
      <c r="N798" s="10">
        <f>+L798-M798</f>
        <v>0</v>
      </c>
      <c r="O798" s="10">
        <v>6059.26</v>
      </c>
      <c r="P798" s="10">
        <f>+L798-O798</f>
        <v>0</v>
      </c>
      <c r="Q798" s="10">
        <v>0</v>
      </c>
      <c r="R798" s="7" t="s">
        <v>27</v>
      </c>
    </row>
    <row r="799" spans="1:18" hidden="1">
      <c r="A799" s="7" t="s">
        <v>29</v>
      </c>
      <c r="B799" s="8">
        <v>4142</v>
      </c>
      <c r="C799" s="9">
        <v>45665.671574074069</v>
      </c>
      <c r="D799" s="9">
        <v>45470</v>
      </c>
      <c r="E799" s="9">
        <v>45498</v>
      </c>
      <c r="F799" s="7" t="s">
        <v>2838</v>
      </c>
      <c r="G799" s="7" t="s">
        <v>879</v>
      </c>
      <c r="H799" s="7" t="s">
        <v>2839</v>
      </c>
      <c r="I799" s="7" t="s">
        <v>2840</v>
      </c>
      <c r="J799" s="7" t="s">
        <v>25</v>
      </c>
      <c r="K799" s="7" t="s">
        <v>2841</v>
      </c>
      <c r="L799" s="10">
        <v>16000</v>
      </c>
      <c r="M799" s="10">
        <v>16000</v>
      </c>
      <c r="N799" s="15">
        <f>+L799-M799</f>
        <v>0</v>
      </c>
      <c r="O799" s="15">
        <v>16000</v>
      </c>
      <c r="P799" s="15">
        <f>+L799-O799</f>
        <v>0</v>
      </c>
      <c r="Q799" s="10">
        <v>0</v>
      </c>
      <c r="R799" s="7" t="s">
        <v>87</v>
      </c>
    </row>
    <row r="800" spans="1:18" hidden="1">
      <c r="A800" s="7" t="s">
        <v>29</v>
      </c>
      <c r="B800" s="8">
        <v>20181</v>
      </c>
      <c r="C800" s="9">
        <v>45861.582766203705</v>
      </c>
      <c r="D800" s="9">
        <v>45861</v>
      </c>
      <c r="E800" s="9">
        <v>45898</v>
      </c>
      <c r="F800" s="7" t="s">
        <v>2842</v>
      </c>
      <c r="G800" s="7" t="s">
        <v>2843</v>
      </c>
      <c r="H800" s="7" t="s">
        <v>379</v>
      </c>
      <c r="I800" s="7" t="s">
        <v>380</v>
      </c>
      <c r="J800" s="7" t="s">
        <v>34</v>
      </c>
      <c r="K800" s="7" t="s">
        <v>118</v>
      </c>
      <c r="L800" s="10">
        <v>6031.59</v>
      </c>
      <c r="M800" s="10">
        <v>6031.59</v>
      </c>
      <c r="N800" s="10">
        <f>+L800-M800</f>
        <v>0</v>
      </c>
      <c r="O800" s="10">
        <v>6031.59</v>
      </c>
      <c r="P800" s="10">
        <f>+L800-O800</f>
        <v>0</v>
      </c>
      <c r="Q800" s="10">
        <v>0</v>
      </c>
      <c r="R800" s="7" t="s">
        <v>27</v>
      </c>
    </row>
    <row r="801" spans="1:18" hidden="1">
      <c r="A801" s="7" t="s">
        <v>29</v>
      </c>
      <c r="B801" s="8">
        <v>20474</v>
      </c>
      <c r="C801" s="9">
        <v>45919.443194178239</v>
      </c>
      <c r="D801" s="9">
        <v>45258</v>
      </c>
      <c r="E801" s="9">
        <v>45900</v>
      </c>
      <c r="F801" s="7" t="s">
        <v>2844</v>
      </c>
      <c r="G801" s="7" t="s">
        <v>2845</v>
      </c>
      <c r="H801" s="7" t="s">
        <v>2846</v>
      </c>
      <c r="I801" s="7" t="s">
        <v>1650</v>
      </c>
      <c r="J801" s="7" t="s">
        <v>176</v>
      </c>
      <c r="K801" s="7" t="s">
        <v>317</v>
      </c>
      <c r="L801" s="10">
        <v>6031</v>
      </c>
      <c r="M801" s="10">
        <v>6031</v>
      </c>
      <c r="N801" s="10">
        <f>+L801-M801</f>
        <v>0</v>
      </c>
      <c r="O801" s="10">
        <v>6031</v>
      </c>
      <c r="P801" s="10">
        <f>+L801-O801</f>
        <v>0</v>
      </c>
      <c r="Q801" s="10">
        <v>0</v>
      </c>
      <c r="R801" s="7" t="s">
        <v>27</v>
      </c>
    </row>
    <row r="802" spans="1:18" hidden="1">
      <c r="A802" s="7" t="s">
        <v>29</v>
      </c>
      <c r="B802" s="8">
        <v>19325</v>
      </c>
      <c r="C802" s="9">
        <v>45671.376400462963</v>
      </c>
      <c r="D802" s="9">
        <v>45549</v>
      </c>
      <c r="E802" s="9">
        <v>45493</v>
      </c>
      <c r="F802" s="7" t="s">
        <v>2847</v>
      </c>
      <c r="G802" s="7" t="s">
        <v>2848</v>
      </c>
      <c r="H802" s="7" t="s">
        <v>2849</v>
      </c>
      <c r="I802" s="7" t="s">
        <v>2850</v>
      </c>
      <c r="J802" s="7" t="s">
        <v>176</v>
      </c>
      <c r="K802" s="7" t="s">
        <v>494</v>
      </c>
      <c r="L802" s="10">
        <v>6000</v>
      </c>
      <c r="M802" s="10">
        <v>6000</v>
      </c>
      <c r="N802" s="10">
        <f>+L802-M802</f>
        <v>0</v>
      </c>
      <c r="O802" s="10">
        <v>6000</v>
      </c>
      <c r="P802" s="10">
        <f>+L802-O802</f>
        <v>0</v>
      </c>
      <c r="Q802" s="10">
        <v>0</v>
      </c>
      <c r="R802" s="7" t="s">
        <v>27</v>
      </c>
    </row>
    <row r="803" spans="1:18" hidden="1">
      <c r="A803" s="7" t="s">
        <v>29</v>
      </c>
      <c r="B803" s="8">
        <v>20495</v>
      </c>
      <c r="C803" s="9">
        <v>45923.489548611113</v>
      </c>
      <c r="D803" s="9">
        <v>45955</v>
      </c>
      <c r="E803" s="9">
        <v>45899</v>
      </c>
      <c r="F803" s="7" t="s">
        <v>2851</v>
      </c>
      <c r="G803" s="7" t="s">
        <v>2852</v>
      </c>
      <c r="H803" s="7" t="s">
        <v>2853</v>
      </c>
      <c r="I803" s="7" t="s">
        <v>2854</v>
      </c>
      <c r="J803" s="7" t="s">
        <v>176</v>
      </c>
      <c r="K803" s="7" t="s">
        <v>317</v>
      </c>
      <c r="L803" s="10">
        <v>6000</v>
      </c>
      <c r="M803" s="10">
        <v>6000</v>
      </c>
      <c r="N803" s="10">
        <f>+L803-M803</f>
        <v>0</v>
      </c>
      <c r="O803" s="10">
        <v>6000</v>
      </c>
      <c r="P803" s="10">
        <f>+L803-O803</f>
        <v>0</v>
      </c>
      <c r="Q803" s="10">
        <v>0</v>
      </c>
      <c r="R803" s="7" t="s">
        <v>27</v>
      </c>
    </row>
    <row r="804" spans="1:18" hidden="1">
      <c r="A804" s="7" t="s">
        <v>29</v>
      </c>
      <c r="B804" s="8">
        <v>20300</v>
      </c>
      <c r="C804" s="9">
        <v>45888.541458333333</v>
      </c>
      <c r="D804" s="9">
        <v>45904</v>
      </c>
      <c r="E804" s="9">
        <v>45848</v>
      </c>
      <c r="F804" s="7" t="s">
        <v>2855</v>
      </c>
      <c r="G804" s="7" t="s">
        <v>2856</v>
      </c>
      <c r="H804" s="7" t="s">
        <v>2857</v>
      </c>
      <c r="I804" s="7" t="s">
        <v>2858</v>
      </c>
      <c r="J804" s="7" t="s">
        <v>176</v>
      </c>
      <c r="K804" s="7" t="s">
        <v>317</v>
      </c>
      <c r="L804" s="10">
        <v>6000</v>
      </c>
      <c r="M804" s="10">
        <v>6000</v>
      </c>
      <c r="N804" s="10">
        <f>+L804-M804</f>
        <v>0</v>
      </c>
      <c r="O804" s="10">
        <v>6000</v>
      </c>
      <c r="P804" s="10">
        <f>+L804-O804</f>
        <v>0</v>
      </c>
      <c r="Q804" s="10">
        <v>0</v>
      </c>
      <c r="R804" s="7" t="s">
        <v>27</v>
      </c>
    </row>
    <row r="805" spans="1:18">
      <c r="A805" s="7" t="s">
        <v>29</v>
      </c>
      <c r="B805" s="8">
        <v>20121</v>
      </c>
      <c r="C805" s="9">
        <v>45847.726921296293</v>
      </c>
      <c r="D805" s="9">
        <v>45838</v>
      </c>
      <c r="E805" s="9">
        <v>45825</v>
      </c>
      <c r="F805" s="7" t="s">
        <v>2859</v>
      </c>
      <c r="G805" s="7" t="s">
        <v>2860</v>
      </c>
      <c r="H805" s="7" t="s">
        <v>2205</v>
      </c>
      <c r="I805" s="7" t="s">
        <v>2206</v>
      </c>
      <c r="J805" s="7" t="s">
        <v>25</v>
      </c>
      <c r="K805" s="7" t="s">
        <v>26</v>
      </c>
      <c r="L805" s="10">
        <v>15736.95</v>
      </c>
      <c r="M805" s="10">
        <v>15736.95</v>
      </c>
      <c r="N805" s="10">
        <f>+L805-M805</f>
        <v>0</v>
      </c>
      <c r="O805" s="10">
        <v>15736.95</v>
      </c>
      <c r="P805" s="10">
        <f>+L805-O805</f>
        <v>0</v>
      </c>
      <c r="Q805" s="10">
        <v>0</v>
      </c>
      <c r="R805" s="7" t="s">
        <v>27</v>
      </c>
    </row>
    <row r="806" spans="1:18" hidden="1">
      <c r="A806" s="7" t="s">
        <v>29</v>
      </c>
      <c r="B806" s="8">
        <v>19982</v>
      </c>
      <c r="C806" s="9">
        <v>45826.36613425926</v>
      </c>
      <c r="D806" s="9">
        <v>45824</v>
      </c>
      <c r="E806" s="9">
        <v>45824</v>
      </c>
      <c r="F806" s="7" t="s">
        <v>2861</v>
      </c>
      <c r="G806" s="7" t="s">
        <v>2862</v>
      </c>
      <c r="H806" s="7" t="s">
        <v>2863</v>
      </c>
      <c r="I806" s="7" t="s">
        <v>2864</v>
      </c>
      <c r="J806" s="7" t="s">
        <v>176</v>
      </c>
      <c r="K806" s="7" t="s">
        <v>494</v>
      </c>
      <c r="L806" s="10">
        <v>5895.9</v>
      </c>
      <c r="M806" s="10">
        <v>5895.9</v>
      </c>
      <c r="N806" s="10">
        <f>+L806-M806</f>
        <v>0</v>
      </c>
      <c r="O806" s="10">
        <v>5895.9</v>
      </c>
      <c r="P806" s="10">
        <f>+L806-O806</f>
        <v>0</v>
      </c>
      <c r="Q806" s="10">
        <v>0</v>
      </c>
      <c r="R806" s="7" t="s">
        <v>27</v>
      </c>
    </row>
    <row r="807" spans="1:18">
      <c r="A807" s="7" t="s">
        <v>29</v>
      </c>
      <c r="B807" s="8">
        <v>19773</v>
      </c>
      <c r="C807" s="9">
        <v>45783.727384259255</v>
      </c>
      <c r="D807" s="9">
        <v>45817</v>
      </c>
      <c r="E807" s="9">
        <v>45820</v>
      </c>
      <c r="F807" s="7" t="s">
        <v>2865</v>
      </c>
      <c r="G807" s="7" t="s">
        <v>2866</v>
      </c>
      <c r="H807" s="7" t="s">
        <v>1203</v>
      </c>
      <c r="I807" s="7" t="s">
        <v>1204</v>
      </c>
      <c r="J807" s="7" t="s">
        <v>25</v>
      </c>
      <c r="K807" s="7" t="s">
        <v>26</v>
      </c>
      <c r="L807" s="10">
        <v>15520.43</v>
      </c>
      <c r="M807" s="10">
        <v>15520.43</v>
      </c>
      <c r="N807" s="10">
        <f>+L807-M807</f>
        <v>0</v>
      </c>
      <c r="O807" s="10">
        <v>15520.43</v>
      </c>
      <c r="P807" s="10">
        <f>+L807-O807</f>
        <v>0</v>
      </c>
      <c r="Q807" s="10">
        <v>0</v>
      </c>
      <c r="R807" s="7" t="s">
        <v>27</v>
      </c>
    </row>
    <row r="808" spans="1:18" hidden="1">
      <c r="A808" s="7" t="s">
        <v>29</v>
      </c>
      <c r="B808" s="8">
        <v>20603</v>
      </c>
      <c r="C808" s="9">
        <v>45950.645358796297</v>
      </c>
      <c r="D808" s="9">
        <v>46004</v>
      </c>
      <c r="E808" s="9">
        <v>45920</v>
      </c>
      <c r="F808" s="7" t="s">
        <v>2867</v>
      </c>
      <c r="G808" s="7" t="s">
        <v>2868</v>
      </c>
      <c r="H808" s="7" t="s">
        <v>2119</v>
      </c>
      <c r="I808" s="7" t="s">
        <v>2120</v>
      </c>
      <c r="J808" s="7" t="s">
        <v>176</v>
      </c>
      <c r="K808" s="7" t="s">
        <v>177</v>
      </c>
      <c r="L808" s="10">
        <v>5840.6</v>
      </c>
      <c r="M808" s="10">
        <v>5840.6</v>
      </c>
      <c r="N808" s="10">
        <f>+L808-M808</f>
        <v>0</v>
      </c>
      <c r="O808" s="10">
        <v>5840.6</v>
      </c>
      <c r="P808" s="10">
        <f>+L808-O808</f>
        <v>0</v>
      </c>
      <c r="Q808" s="10">
        <v>0</v>
      </c>
      <c r="R808" s="7" t="s">
        <v>27</v>
      </c>
    </row>
    <row r="809" spans="1:18">
      <c r="A809" s="7" t="s">
        <v>29</v>
      </c>
      <c r="B809" s="8">
        <v>19798</v>
      </c>
      <c r="C809" s="9">
        <v>45789.701481481483</v>
      </c>
      <c r="D809" s="9">
        <v>45815</v>
      </c>
      <c r="E809" s="9">
        <v>45824</v>
      </c>
      <c r="F809" s="7" t="s">
        <v>2869</v>
      </c>
      <c r="G809" s="7" t="s">
        <v>2870</v>
      </c>
      <c r="H809" s="7" t="s">
        <v>2591</v>
      </c>
      <c r="I809" s="7" t="s">
        <v>536</v>
      </c>
      <c r="J809" s="7" t="s">
        <v>25</v>
      </c>
      <c r="K809" s="7" t="s">
        <v>537</v>
      </c>
      <c r="L809" s="10">
        <v>15488.54</v>
      </c>
      <c r="M809" s="10">
        <v>15488.54</v>
      </c>
      <c r="N809" s="10">
        <f>+L809-M809</f>
        <v>0</v>
      </c>
      <c r="O809" s="10">
        <v>15488.54</v>
      </c>
      <c r="P809" s="10">
        <f>+L809-O809</f>
        <v>0</v>
      </c>
      <c r="Q809" s="10">
        <v>0</v>
      </c>
      <c r="R809" s="7" t="s">
        <v>27</v>
      </c>
    </row>
    <row r="810" spans="1:18">
      <c r="A810" s="7" t="s">
        <v>29</v>
      </c>
      <c r="B810" s="8">
        <v>20146</v>
      </c>
      <c r="C810" s="9">
        <v>45853.399004629631</v>
      </c>
      <c r="D810" s="9">
        <v>45855</v>
      </c>
      <c r="E810" s="9">
        <v>45852</v>
      </c>
      <c r="F810" s="7" t="s">
        <v>2871</v>
      </c>
      <c r="G810" s="7" t="s">
        <v>2872</v>
      </c>
      <c r="H810" s="7" t="s">
        <v>2565</v>
      </c>
      <c r="I810" s="7" t="s">
        <v>784</v>
      </c>
      <c r="J810" s="7" t="s">
        <v>25</v>
      </c>
      <c r="K810" s="7" t="s">
        <v>55</v>
      </c>
      <c r="L810" s="10">
        <v>14614.8</v>
      </c>
      <c r="M810" s="10">
        <v>14614.8</v>
      </c>
      <c r="N810" s="10">
        <f>+L810-M810</f>
        <v>0</v>
      </c>
      <c r="O810" s="10">
        <v>14614.8</v>
      </c>
      <c r="P810" s="10">
        <f>+L810-O810</f>
        <v>0</v>
      </c>
      <c r="Q810" s="10">
        <v>0</v>
      </c>
      <c r="R810" s="7" t="s">
        <v>27</v>
      </c>
    </row>
    <row r="811" spans="1:18" hidden="1">
      <c r="A811" s="7" t="s">
        <v>29</v>
      </c>
      <c r="B811" s="8">
        <v>19631</v>
      </c>
      <c r="C811" s="9">
        <v>45751.726469907408</v>
      </c>
      <c r="D811" s="9">
        <v>45751</v>
      </c>
      <c r="E811" s="9">
        <v>45751</v>
      </c>
      <c r="F811" s="7" t="s">
        <v>2873</v>
      </c>
      <c r="G811" s="7" t="s">
        <v>2874</v>
      </c>
      <c r="H811" s="7" t="s">
        <v>988</v>
      </c>
      <c r="I811" s="7" t="s">
        <v>989</v>
      </c>
      <c r="J811" s="7" t="s">
        <v>34</v>
      </c>
      <c r="K811" s="7" t="s">
        <v>990</v>
      </c>
      <c r="L811" s="10">
        <v>5739.41</v>
      </c>
      <c r="M811" s="10">
        <v>5739.41</v>
      </c>
      <c r="N811" s="10">
        <f>+L811-M811</f>
        <v>0</v>
      </c>
      <c r="O811" s="10">
        <v>5739.41</v>
      </c>
      <c r="P811" s="10">
        <f>+L811-O811</f>
        <v>0</v>
      </c>
      <c r="Q811" s="10">
        <v>0</v>
      </c>
      <c r="R811" s="7" t="s">
        <v>27</v>
      </c>
    </row>
    <row r="812" spans="1:18">
      <c r="A812" s="7" t="s">
        <v>29</v>
      </c>
      <c r="B812" s="8">
        <v>19886</v>
      </c>
      <c r="C812" s="9">
        <v>45806.737835648149</v>
      </c>
      <c r="D812" s="9">
        <v>45845</v>
      </c>
      <c r="E812" s="9">
        <v>45813</v>
      </c>
      <c r="F812" s="7" t="s">
        <v>2875</v>
      </c>
      <c r="G812" s="7" t="s">
        <v>2876</v>
      </c>
      <c r="H812" s="7" t="s">
        <v>2877</v>
      </c>
      <c r="I812" s="7" t="s">
        <v>2878</v>
      </c>
      <c r="J812" s="7" t="s">
        <v>25</v>
      </c>
      <c r="K812" s="7" t="s">
        <v>55</v>
      </c>
      <c r="L812" s="10">
        <v>13577.82</v>
      </c>
      <c r="M812" s="10">
        <v>13577.82</v>
      </c>
      <c r="N812" s="10">
        <f>+L812-M812</f>
        <v>0</v>
      </c>
      <c r="O812" s="10">
        <v>13577.82</v>
      </c>
      <c r="P812" s="10">
        <f>+L812-O812</f>
        <v>0</v>
      </c>
      <c r="Q812" s="10">
        <v>0</v>
      </c>
      <c r="R812" s="7" t="s">
        <v>27</v>
      </c>
    </row>
    <row r="813" spans="1:18">
      <c r="A813" s="7" t="s">
        <v>29</v>
      </c>
      <c r="B813" s="8">
        <v>19885</v>
      </c>
      <c r="C813" s="9">
        <v>45806.735543981478</v>
      </c>
      <c r="D813" s="9">
        <v>45898</v>
      </c>
      <c r="E813" s="9">
        <v>45810</v>
      </c>
      <c r="F813" s="7" t="s">
        <v>2879</v>
      </c>
      <c r="G813" s="7" t="s">
        <v>2880</v>
      </c>
      <c r="H813" s="7" t="s">
        <v>2361</v>
      </c>
      <c r="I813" s="7" t="s">
        <v>2362</v>
      </c>
      <c r="J813" s="7" t="s">
        <v>25</v>
      </c>
      <c r="K813" s="7" t="s">
        <v>537</v>
      </c>
      <c r="L813" s="10">
        <v>13075.23</v>
      </c>
      <c r="M813" s="10">
        <v>13075.23</v>
      </c>
      <c r="N813" s="10">
        <f>+L813-M813</f>
        <v>0</v>
      </c>
      <c r="O813" s="10">
        <v>13075.23</v>
      </c>
      <c r="P813" s="10">
        <f>+L813-O813</f>
        <v>0</v>
      </c>
      <c r="Q813" s="10">
        <v>0</v>
      </c>
      <c r="R813" s="7" t="s">
        <v>27</v>
      </c>
    </row>
    <row r="814" spans="1:18" hidden="1">
      <c r="A814" s="7" t="s">
        <v>29</v>
      </c>
      <c r="B814" s="8">
        <v>20433</v>
      </c>
      <c r="C814" s="9">
        <v>45910.696805555555</v>
      </c>
      <c r="D814" s="9">
        <v>45730</v>
      </c>
      <c r="E814" s="9">
        <v>45688</v>
      </c>
      <c r="F814" s="7" t="s">
        <v>2881</v>
      </c>
      <c r="G814" s="7" t="s">
        <v>2882</v>
      </c>
      <c r="H814" s="7" t="s">
        <v>2883</v>
      </c>
      <c r="I814" s="7" t="s">
        <v>2884</v>
      </c>
      <c r="J814" s="7" t="s">
        <v>176</v>
      </c>
      <c r="K814" s="7" t="s">
        <v>374</v>
      </c>
      <c r="L814" s="10">
        <v>5500</v>
      </c>
      <c r="M814" s="10">
        <v>5500</v>
      </c>
      <c r="N814" s="10">
        <f>+L814-M814</f>
        <v>0</v>
      </c>
      <c r="O814" s="10">
        <v>5500</v>
      </c>
      <c r="P814" s="10">
        <f>+L814-O814</f>
        <v>0</v>
      </c>
      <c r="Q814" s="10">
        <v>0</v>
      </c>
      <c r="R814" s="7" t="s">
        <v>27</v>
      </c>
    </row>
    <row r="815" spans="1:18" hidden="1">
      <c r="A815" s="7" t="s">
        <v>29</v>
      </c>
      <c r="B815" s="8">
        <v>19470</v>
      </c>
      <c r="C815" s="9">
        <v>45716.413217592592</v>
      </c>
      <c r="D815" s="9">
        <v>45716</v>
      </c>
      <c r="E815" s="9">
        <v>45714</v>
      </c>
      <c r="F815" s="7" t="s">
        <v>2885</v>
      </c>
      <c r="G815" s="7" t="s">
        <v>128</v>
      </c>
      <c r="H815" s="7" t="s">
        <v>2886</v>
      </c>
      <c r="I815" s="7" t="s">
        <v>2887</v>
      </c>
      <c r="J815" s="7" t="s">
        <v>34</v>
      </c>
      <c r="K815" s="7" t="s">
        <v>902</v>
      </c>
      <c r="L815" s="10">
        <v>5486.33</v>
      </c>
      <c r="M815" s="10">
        <v>5486.33</v>
      </c>
      <c r="N815" s="10">
        <f>+L815-M815</f>
        <v>0</v>
      </c>
      <c r="O815" s="10">
        <v>5486.33</v>
      </c>
      <c r="P815" s="10">
        <f>+L815-O815</f>
        <v>0</v>
      </c>
      <c r="Q815" s="10">
        <v>0</v>
      </c>
      <c r="R815" s="7" t="s">
        <v>27</v>
      </c>
    </row>
    <row r="816" spans="1:18" hidden="1">
      <c r="A816" s="7" t="s">
        <v>29</v>
      </c>
      <c r="B816" s="8">
        <v>20950</v>
      </c>
      <c r="C816" s="9">
        <v>46063.630104166667</v>
      </c>
      <c r="D816" s="9">
        <v>46063</v>
      </c>
      <c r="E816" s="9">
        <v>46063</v>
      </c>
      <c r="F816" s="7" t="s">
        <v>2888</v>
      </c>
      <c r="G816" s="7" t="s">
        <v>2889</v>
      </c>
      <c r="H816" s="7" t="s">
        <v>2890</v>
      </c>
      <c r="I816" s="7" t="s">
        <v>2891</v>
      </c>
      <c r="J816" s="7" t="s">
        <v>176</v>
      </c>
      <c r="K816" s="7" t="s">
        <v>360</v>
      </c>
      <c r="L816" s="10">
        <v>5458.66</v>
      </c>
      <c r="M816" s="10">
        <v>5458.66</v>
      </c>
      <c r="N816" s="10">
        <f>+L816-M816</f>
        <v>0</v>
      </c>
      <c r="O816" s="10">
        <v>5458.66</v>
      </c>
      <c r="P816" s="10">
        <f>+L816-O816</f>
        <v>0</v>
      </c>
      <c r="Q816" s="10">
        <v>0</v>
      </c>
      <c r="R816" s="7" t="s">
        <v>27</v>
      </c>
    </row>
    <row r="817" spans="1:18" hidden="1">
      <c r="A817" s="7" t="s">
        <v>29</v>
      </c>
      <c r="B817" s="8">
        <v>20536</v>
      </c>
      <c r="C817" s="9">
        <v>45931.694444444445</v>
      </c>
      <c r="D817" s="9">
        <v>45909</v>
      </c>
      <c r="E817" s="9">
        <v>45887</v>
      </c>
      <c r="F817" s="7" t="s">
        <v>2892</v>
      </c>
      <c r="G817" s="7" t="s">
        <v>2893</v>
      </c>
      <c r="H817" s="7" t="s">
        <v>2894</v>
      </c>
      <c r="I817" s="7" t="s">
        <v>588</v>
      </c>
      <c r="J817" s="7" t="s">
        <v>176</v>
      </c>
      <c r="K817" s="7" t="s">
        <v>374</v>
      </c>
      <c r="L817" s="10">
        <v>5400</v>
      </c>
      <c r="M817" s="10">
        <v>5400</v>
      </c>
      <c r="N817" s="10">
        <f>+L817-M817</f>
        <v>0</v>
      </c>
      <c r="O817" s="10">
        <v>5400</v>
      </c>
      <c r="P817" s="10">
        <f>+L817-O817</f>
        <v>0</v>
      </c>
      <c r="Q817" s="10">
        <v>0</v>
      </c>
      <c r="R817" s="7" t="s">
        <v>27</v>
      </c>
    </row>
    <row r="818" spans="1:18" hidden="1">
      <c r="A818" s="7" t="s">
        <v>29</v>
      </c>
      <c r="B818" s="8">
        <v>19509</v>
      </c>
      <c r="C818" s="9">
        <v>45726.709907407407</v>
      </c>
      <c r="D818" s="9">
        <v>45726</v>
      </c>
      <c r="E818" s="9">
        <v>45757</v>
      </c>
      <c r="F818" s="7" t="s">
        <v>2895</v>
      </c>
      <c r="G818" s="7" t="s">
        <v>2896</v>
      </c>
      <c r="H818" s="7" t="s">
        <v>1970</v>
      </c>
      <c r="I818" s="7" t="s">
        <v>1971</v>
      </c>
      <c r="J818" s="7" t="s">
        <v>34</v>
      </c>
      <c r="K818" s="7" t="s">
        <v>118</v>
      </c>
      <c r="L818" s="10">
        <v>5382.08</v>
      </c>
      <c r="M818" s="10">
        <v>5382.08</v>
      </c>
      <c r="N818" s="10">
        <f>+L818-M818</f>
        <v>0</v>
      </c>
      <c r="O818" s="10">
        <v>5382.08</v>
      </c>
      <c r="P818" s="10">
        <f>+L818-O818</f>
        <v>0</v>
      </c>
      <c r="Q818" s="10">
        <v>0</v>
      </c>
      <c r="R818" s="7" t="s">
        <v>27</v>
      </c>
    </row>
    <row r="819" spans="1:18">
      <c r="A819" s="7" t="s">
        <v>29</v>
      </c>
      <c r="B819" s="8">
        <v>20285</v>
      </c>
      <c r="C819" s="9">
        <v>45883.625057870369</v>
      </c>
      <c r="D819" s="9">
        <v>45873</v>
      </c>
      <c r="E819" s="9">
        <v>45880</v>
      </c>
      <c r="F819" s="7" t="s">
        <v>2897</v>
      </c>
      <c r="G819" s="7" t="s">
        <v>2898</v>
      </c>
      <c r="H819" s="7" t="s">
        <v>2205</v>
      </c>
      <c r="I819" s="7" t="s">
        <v>2206</v>
      </c>
      <c r="J819" s="7" t="s">
        <v>25</v>
      </c>
      <c r="K819" s="7" t="s">
        <v>26</v>
      </c>
      <c r="L819" s="10">
        <v>12528.68</v>
      </c>
      <c r="M819" s="10">
        <v>12528.68</v>
      </c>
      <c r="N819" s="10">
        <f>+L819-M819</f>
        <v>0</v>
      </c>
      <c r="O819" s="10">
        <v>12528.68</v>
      </c>
      <c r="P819" s="10">
        <f>+L819-O819</f>
        <v>0</v>
      </c>
      <c r="Q819" s="10">
        <v>0</v>
      </c>
      <c r="R819" s="7" t="s">
        <v>27</v>
      </c>
    </row>
    <row r="820" spans="1:18" hidden="1">
      <c r="A820" s="7" t="s">
        <v>29</v>
      </c>
      <c r="B820" s="8">
        <v>19579</v>
      </c>
      <c r="C820" s="9">
        <v>45744.390057870369</v>
      </c>
      <c r="D820" s="9">
        <v>45743</v>
      </c>
      <c r="E820" s="9">
        <v>45743</v>
      </c>
      <c r="F820" s="7" t="s">
        <v>2899</v>
      </c>
      <c r="G820" s="7" t="s">
        <v>2900</v>
      </c>
      <c r="H820" s="7" t="s">
        <v>2901</v>
      </c>
      <c r="I820" s="7" t="s">
        <v>2902</v>
      </c>
      <c r="J820" s="7" t="s">
        <v>40</v>
      </c>
      <c r="K820" s="7" t="s">
        <v>355</v>
      </c>
      <c r="L820" s="10">
        <v>4414</v>
      </c>
      <c r="M820" s="10">
        <v>4414</v>
      </c>
      <c r="N820" s="10">
        <f>+L820-M820</f>
        <v>0</v>
      </c>
      <c r="O820" s="10">
        <v>4414</v>
      </c>
      <c r="P820" s="10">
        <f>+L820-O820</f>
        <v>0</v>
      </c>
      <c r="Q820" s="10">
        <v>0</v>
      </c>
      <c r="R820" s="7" t="s">
        <v>27</v>
      </c>
    </row>
    <row r="821" spans="1:18">
      <c r="A821" s="7" t="s">
        <v>29</v>
      </c>
      <c r="B821" s="8">
        <v>20096</v>
      </c>
      <c r="C821" s="9">
        <v>45842.341446759259</v>
      </c>
      <c r="D821" s="9">
        <v>45869</v>
      </c>
      <c r="E821" s="9">
        <v>45848</v>
      </c>
      <c r="F821" s="7" t="s">
        <v>2903</v>
      </c>
      <c r="G821" s="7" t="s">
        <v>2904</v>
      </c>
      <c r="H821" s="7" t="s">
        <v>2905</v>
      </c>
      <c r="I821" s="7" t="s">
        <v>2906</v>
      </c>
      <c r="J821" s="7" t="s">
        <v>25</v>
      </c>
      <c r="K821" s="7" t="s">
        <v>55</v>
      </c>
      <c r="L821" s="10">
        <v>12373.56</v>
      </c>
      <c r="M821" s="10">
        <v>12373.56</v>
      </c>
      <c r="N821" s="10">
        <f>+L821-M821</f>
        <v>0</v>
      </c>
      <c r="O821" s="10">
        <v>12373.56</v>
      </c>
      <c r="P821" s="10">
        <f>+L821-O821</f>
        <v>0</v>
      </c>
      <c r="Q821" s="10">
        <v>0</v>
      </c>
      <c r="R821" s="7" t="s">
        <v>27</v>
      </c>
    </row>
    <row r="822" spans="1:18" hidden="1">
      <c r="A822" s="7" t="s">
        <v>29</v>
      </c>
      <c r="B822" s="8">
        <v>20158</v>
      </c>
      <c r="C822" s="9">
        <v>45855.678611111107</v>
      </c>
      <c r="D822" s="9">
        <v>45894</v>
      </c>
      <c r="E822" s="9">
        <v>45838</v>
      </c>
      <c r="F822" s="7" t="s">
        <v>2907</v>
      </c>
      <c r="G822" s="7" t="s">
        <v>2908</v>
      </c>
      <c r="H822" s="7" t="s">
        <v>1744</v>
      </c>
      <c r="I822" s="7" t="s">
        <v>1745</v>
      </c>
      <c r="J822" s="7" t="s">
        <v>176</v>
      </c>
      <c r="K822" s="7" t="s">
        <v>550</v>
      </c>
      <c r="L822" s="10">
        <v>5240</v>
      </c>
      <c r="M822" s="10">
        <v>5240</v>
      </c>
      <c r="N822" s="10">
        <f>+L822-M822</f>
        <v>0</v>
      </c>
      <c r="O822" s="10">
        <v>5240</v>
      </c>
      <c r="P822" s="10">
        <f>+L822-O822</f>
        <v>0</v>
      </c>
      <c r="Q822" s="10">
        <v>0</v>
      </c>
      <c r="R822" s="7" t="s">
        <v>27</v>
      </c>
    </row>
    <row r="823" spans="1:18" hidden="1">
      <c r="A823" s="7" t="s">
        <v>29</v>
      </c>
      <c r="B823" s="8">
        <v>20032</v>
      </c>
      <c r="C823" s="9">
        <v>45835.349328703705</v>
      </c>
      <c r="D823" s="9">
        <v>45784</v>
      </c>
      <c r="E823" s="9">
        <v>45820</v>
      </c>
      <c r="F823" s="7" t="s">
        <v>2909</v>
      </c>
      <c r="G823" s="7" t="s">
        <v>2910</v>
      </c>
      <c r="H823" s="7" t="s">
        <v>1982</v>
      </c>
      <c r="I823" s="7" t="s">
        <v>1983</v>
      </c>
      <c r="J823" s="7" t="s">
        <v>176</v>
      </c>
      <c r="K823" s="7" t="s">
        <v>550</v>
      </c>
      <c r="L823" s="10">
        <v>5162</v>
      </c>
      <c r="M823" s="10">
        <v>5162</v>
      </c>
      <c r="N823" s="10">
        <f>+L823-M823</f>
        <v>0</v>
      </c>
      <c r="O823" s="10">
        <v>5162</v>
      </c>
      <c r="P823" s="10">
        <f>+L823-O823</f>
        <v>0</v>
      </c>
      <c r="Q823" s="10">
        <v>0</v>
      </c>
      <c r="R823" s="7" t="s">
        <v>27</v>
      </c>
    </row>
    <row r="824" spans="1:18" hidden="1">
      <c r="A824" s="7" t="s">
        <v>29</v>
      </c>
      <c r="B824" s="8">
        <v>19770</v>
      </c>
      <c r="C824" s="9">
        <v>45783.361030092594</v>
      </c>
      <c r="D824" s="9">
        <v>45790</v>
      </c>
      <c r="E824" s="9">
        <v>45775</v>
      </c>
      <c r="F824" s="7" t="s">
        <v>2911</v>
      </c>
      <c r="G824" s="7" t="s">
        <v>2912</v>
      </c>
      <c r="H824" s="7" t="s">
        <v>2913</v>
      </c>
      <c r="I824" s="7" t="s">
        <v>2914</v>
      </c>
      <c r="J824" s="7" t="s">
        <v>176</v>
      </c>
      <c r="K824" s="7" t="s">
        <v>374</v>
      </c>
      <c r="L824" s="10">
        <v>5100</v>
      </c>
      <c r="M824" s="10">
        <v>5100</v>
      </c>
      <c r="N824" s="10">
        <f>+L824-M824</f>
        <v>0</v>
      </c>
      <c r="O824" s="10">
        <v>5100</v>
      </c>
      <c r="P824" s="10">
        <f>+L824-O824</f>
        <v>0</v>
      </c>
      <c r="Q824" s="10">
        <v>0</v>
      </c>
      <c r="R824" s="7" t="s">
        <v>27</v>
      </c>
    </row>
    <row r="825" spans="1:18" hidden="1">
      <c r="A825" s="7" t="s">
        <v>29</v>
      </c>
      <c r="B825" s="8">
        <v>20622</v>
      </c>
      <c r="C825" s="9">
        <v>45958.476319444446</v>
      </c>
      <c r="D825" s="9">
        <v>45958</v>
      </c>
      <c r="E825" s="9">
        <v>46020</v>
      </c>
      <c r="F825" s="7" t="s">
        <v>2915</v>
      </c>
      <c r="G825" s="7" t="s">
        <v>2916</v>
      </c>
      <c r="H825" s="7" t="s">
        <v>2073</v>
      </c>
      <c r="I825" s="7" t="s">
        <v>2917</v>
      </c>
      <c r="J825" s="7" t="s">
        <v>34</v>
      </c>
      <c r="K825" s="7" t="s">
        <v>118</v>
      </c>
      <c r="L825" s="10">
        <v>5070.25</v>
      </c>
      <c r="M825" s="10">
        <v>5070.25</v>
      </c>
      <c r="N825" s="10">
        <f>+L825-M825</f>
        <v>0</v>
      </c>
      <c r="O825" s="10">
        <v>5070.25</v>
      </c>
      <c r="P825" s="10">
        <f>+L825-O825</f>
        <v>0</v>
      </c>
      <c r="Q825" s="10">
        <v>0</v>
      </c>
      <c r="R825" s="7" t="s">
        <v>27</v>
      </c>
    </row>
    <row r="826" spans="1:18">
      <c r="A826" s="7" t="s">
        <v>29</v>
      </c>
      <c r="B826" s="8">
        <v>20240</v>
      </c>
      <c r="C826" s="9">
        <v>45875.362986111111</v>
      </c>
      <c r="D826" s="9">
        <v>45869</v>
      </c>
      <c r="E826" s="9">
        <v>45903</v>
      </c>
      <c r="F826" s="7" t="s">
        <v>2918</v>
      </c>
      <c r="G826" s="7" t="s">
        <v>2919</v>
      </c>
      <c r="H826" s="7" t="s">
        <v>108</v>
      </c>
      <c r="I826" s="7" t="s">
        <v>24</v>
      </c>
      <c r="J826" s="7" t="s">
        <v>25</v>
      </c>
      <c r="K826" s="7" t="s">
        <v>407</v>
      </c>
      <c r="L826" s="10">
        <v>12066.99</v>
      </c>
      <c r="M826" s="10">
        <v>12066.99</v>
      </c>
      <c r="N826" s="10">
        <f>+L826-M826</f>
        <v>0</v>
      </c>
      <c r="O826" s="10">
        <v>12066.99</v>
      </c>
      <c r="P826" s="10">
        <f>+L826-O826</f>
        <v>0</v>
      </c>
      <c r="Q826" s="10">
        <v>0</v>
      </c>
      <c r="R826" s="7" t="s">
        <v>27</v>
      </c>
    </row>
    <row r="827" spans="1:18" hidden="1">
      <c r="A827" s="7" t="s">
        <v>29</v>
      </c>
      <c r="B827" s="8">
        <v>19883</v>
      </c>
      <c r="C827" s="9">
        <v>45806.546620370369</v>
      </c>
      <c r="D827" s="9">
        <v>45806</v>
      </c>
      <c r="E827" s="9">
        <v>45806</v>
      </c>
      <c r="F827" s="7" t="s">
        <v>2920</v>
      </c>
      <c r="G827" s="7" t="s">
        <v>2921</v>
      </c>
      <c r="H827" s="7" t="s">
        <v>2922</v>
      </c>
      <c r="I827" s="7" t="s">
        <v>2923</v>
      </c>
      <c r="J827" s="7" t="s">
        <v>34</v>
      </c>
      <c r="K827" s="7" t="s">
        <v>269</v>
      </c>
      <c r="L827" s="10">
        <v>5047.38</v>
      </c>
      <c r="M827" s="10">
        <v>5047.38</v>
      </c>
      <c r="N827" s="10">
        <f>+L827-M827</f>
        <v>0</v>
      </c>
      <c r="O827" s="10">
        <v>5047.38</v>
      </c>
      <c r="P827" s="10">
        <f>+L827-O827</f>
        <v>0</v>
      </c>
      <c r="Q827" s="10">
        <v>0</v>
      </c>
      <c r="R827" s="7" t="s">
        <v>27</v>
      </c>
    </row>
    <row r="828" spans="1:18">
      <c r="A828" s="7" t="s">
        <v>29</v>
      </c>
      <c r="B828" s="8">
        <v>19863</v>
      </c>
      <c r="C828" s="9">
        <v>45803.664525462962</v>
      </c>
      <c r="D828" s="9">
        <v>45807</v>
      </c>
      <c r="E828" s="9">
        <v>45782</v>
      </c>
      <c r="F828" s="7" t="s">
        <v>2924</v>
      </c>
      <c r="G828" s="7" t="s">
        <v>2925</v>
      </c>
      <c r="H828" s="7" t="s">
        <v>770</v>
      </c>
      <c r="I828" s="7" t="s">
        <v>771</v>
      </c>
      <c r="J828" s="7" t="s">
        <v>25</v>
      </c>
      <c r="K828" s="7" t="s">
        <v>26</v>
      </c>
      <c r="L828" s="10">
        <v>11781.51</v>
      </c>
      <c r="M828" s="10">
        <v>11781.51</v>
      </c>
      <c r="N828" s="10">
        <f>+L828-M828</f>
        <v>0</v>
      </c>
      <c r="O828" s="10">
        <v>11781.51</v>
      </c>
      <c r="P828" s="10">
        <f>+L828-O828</f>
        <v>0</v>
      </c>
      <c r="Q828" s="10">
        <v>0</v>
      </c>
      <c r="R828" s="7" t="s">
        <v>27</v>
      </c>
    </row>
    <row r="829" spans="1:18" hidden="1">
      <c r="A829" s="7" t="s">
        <v>29</v>
      </c>
      <c r="B829" s="8">
        <v>20043</v>
      </c>
      <c r="C829" s="9">
        <v>45836.723287037035</v>
      </c>
      <c r="D829" s="9">
        <v>45906</v>
      </c>
      <c r="E829" s="9">
        <v>45801</v>
      </c>
      <c r="F829" s="7" t="s">
        <v>2926</v>
      </c>
      <c r="G829" s="7" t="s">
        <v>2927</v>
      </c>
      <c r="H829" s="7" t="s">
        <v>1994</v>
      </c>
      <c r="I829" s="7" t="s">
        <v>1995</v>
      </c>
      <c r="J829" s="7" t="s">
        <v>176</v>
      </c>
      <c r="K829" s="7" t="s">
        <v>550</v>
      </c>
      <c r="L829" s="10">
        <v>5000</v>
      </c>
      <c r="M829" s="10">
        <v>5000</v>
      </c>
      <c r="N829" s="10">
        <f>+L829-M829</f>
        <v>0</v>
      </c>
      <c r="O829" s="10">
        <v>5000</v>
      </c>
      <c r="P829" s="10">
        <f>+L829-O829</f>
        <v>0</v>
      </c>
      <c r="Q829" s="10">
        <v>0</v>
      </c>
      <c r="R829" s="7" t="s">
        <v>27</v>
      </c>
    </row>
    <row r="830" spans="1:18" hidden="1">
      <c r="A830" s="7" t="s">
        <v>29</v>
      </c>
      <c r="B830" s="8">
        <v>19490</v>
      </c>
      <c r="C830" s="9">
        <v>45720.700196759259</v>
      </c>
      <c r="D830" s="9">
        <v>45720</v>
      </c>
      <c r="E830" s="9">
        <v>45716</v>
      </c>
      <c r="F830" s="7" t="s">
        <v>2928</v>
      </c>
      <c r="G830" s="7" t="s">
        <v>2929</v>
      </c>
      <c r="H830" s="7" t="s">
        <v>2930</v>
      </c>
      <c r="I830" s="7" t="s">
        <v>2931</v>
      </c>
      <c r="J830" s="7" t="s">
        <v>34</v>
      </c>
      <c r="K830" s="7" t="s">
        <v>451</v>
      </c>
      <c r="L830" s="10">
        <v>4969.62</v>
      </c>
      <c r="M830" s="10">
        <v>4969.62</v>
      </c>
      <c r="N830" s="10">
        <f>+L830-M830</f>
        <v>0</v>
      </c>
      <c r="O830" s="10">
        <v>4969.62</v>
      </c>
      <c r="P830" s="10">
        <f>+L830-O830</f>
        <v>0</v>
      </c>
      <c r="Q830" s="10">
        <v>0</v>
      </c>
      <c r="R830" s="7" t="s">
        <v>27</v>
      </c>
    </row>
    <row r="831" spans="1:18" hidden="1">
      <c r="A831" s="7" t="s">
        <v>29</v>
      </c>
      <c r="B831" s="8">
        <v>4313</v>
      </c>
      <c r="C831" s="9">
        <v>46001.415219907409</v>
      </c>
      <c r="D831" s="9">
        <v>45954</v>
      </c>
      <c r="E831" s="9">
        <v>45954</v>
      </c>
      <c r="F831" s="7" t="s">
        <v>2932</v>
      </c>
      <c r="G831" s="7" t="s">
        <v>2933</v>
      </c>
      <c r="H831" s="7" t="s">
        <v>2934</v>
      </c>
      <c r="I831" s="7" t="s">
        <v>2935</v>
      </c>
      <c r="J831" s="7" t="s">
        <v>25</v>
      </c>
      <c r="K831" s="7" t="s">
        <v>206</v>
      </c>
      <c r="L831" s="10">
        <v>11699.4</v>
      </c>
      <c r="M831" s="10">
        <v>11699.4</v>
      </c>
      <c r="N831" s="15">
        <f>+L831-M831</f>
        <v>0</v>
      </c>
      <c r="O831" s="15">
        <v>11699.4</v>
      </c>
      <c r="P831" s="15">
        <f>+L831-O831</f>
        <v>0</v>
      </c>
      <c r="Q831" s="10">
        <v>0</v>
      </c>
      <c r="R831" s="7" t="s">
        <v>87</v>
      </c>
    </row>
    <row r="832" spans="1:18">
      <c r="A832" s="7" t="s">
        <v>29</v>
      </c>
      <c r="B832" s="8">
        <v>20407</v>
      </c>
      <c r="C832" s="9">
        <v>45908.407500000001</v>
      </c>
      <c r="D832" s="9">
        <v>45926</v>
      </c>
      <c r="E832" s="9">
        <v>45922</v>
      </c>
      <c r="F832" s="7" t="s">
        <v>2936</v>
      </c>
      <c r="G832" s="7" t="s">
        <v>2937</v>
      </c>
      <c r="H832" s="7" t="s">
        <v>108</v>
      </c>
      <c r="I832" s="7" t="s">
        <v>24</v>
      </c>
      <c r="J832" s="7" t="s">
        <v>25</v>
      </c>
      <c r="K832" s="7" t="s">
        <v>407</v>
      </c>
      <c r="L832" s="10">
        <v>11605.47</v>
      </c>
      <c r="M832" s="10">
        <v>11605.47</v>
      </c>
      <c r="N832" s="10">
        <f>+L832-M832</f>
        <v>0</v>
      </c>
      <c r="O832" s="10">
        <v>11605.47</v>
      </c>
      <c r="P832" s="10">
        <f>+L832-O832</f>
        <v>0</v>
      </c>
      <c r="Q832" s="10">
        <v>0</v>
      </c>
      <c r="R832" s="7" t="s">
        <v>27</v>
      </c>
    </row>
    <row r="833" spans="1:18">
      <c r="A833" s="7" t="s">
        <v>29</v>
      </c>
      <c r="B833" s="8">
        <v>19573</v>
      </c>
      <c r="C833" s="9">
        <v>45742.712673611109</v>
      </c>
      <c r="D833" s="9">
        <v>45742</v>
      </c>
      <c r="E833" s="9">
        <v>45742</v>
      </c>
      <c r="F833" s="7" t="s">
        <v>2938</v>
      </c>
      <c r="G833" s="7" t="s">
        <v>2939</v>
      </c>
      <c r="H833" s="7" t="s">
        <v>434</v>
      </c>
      <c r="I833" s="7" t="s">
        <v>435</v>
      </c>
      <c r="J833" s="7" t="s">
        <v>25</v>
      </c>
      <c r="K833" s="7" t="s">
        <v>26</v>
      </c>
      <c r="L833" s="10">
        <v>11504.62</v>
      </c>
      <c r="M833" s="10">
        <v>11504.62</v>
      </c>
      <c r="N833" s="10">
        <f>+L833-M833</f>
        <v>0</v>
      </c>
      <c r="O833" s="10">
        <v>11504.62</v>
      </c>
      <c r="P833" s="10">
        <f>+L833-O833</f>
        <v>0</v>
      </c>
      <c r="Q833" s="10">
        <v>0</v>
      </c>
      <c r="R833" s="7" t="s">
        <v>27</v>
      </c>
    </row>
    <row r="834" spans="1:18" hidden="1">
      <c r="A834" s="7" t="s">
        <v>29</v>
      </c>
      <c r="B834" s="8">
        <v>20744</v>
      </c>
      <c r="C834" s="9">
        <v>45993.696064814816</v>
      </c>
      <c r="D834" s="9">
        <v>45993</v>
      </c>
      <c r="E834" s="9">
        <v>45989</v>
      </c>
      <c r="F834" s="7" t="s">
        <v>2940</v>
      </c>
      <c r="G834" s="7" t="s">
        <v>2941</v>
      </c>
      <c r="H834" s="7" t="s">
        <v>1910</v>
      </c>
      <c r="I834" s="7" t="s">
        <v>1911</v>
      </c>
      <c r="J834" s="7" t="s">
        <v>34</v>
      </c>
      <c r="K834" s="7" t="s">
        <v>35</v>
      </c>
      <c r="L834" s="10">
        <v>4826.2299999999996</v>
      </c>
      <c r="M834" s="10">
        <v>4826.2299999999996</v>
      </c>
      <c r="N834" s="10">
        <f>+L834-M834</f>
        <v>0</v>
      </c>
      <c r="O834" s="10">
        <v>4826.2299999999996</v>
      </c>
      <c r="P834" s="10">
        <f>+L834-O834</f>
        <v>0</v>
      </c>
      <c r="Q834" s="10">
        <v>0</v>
      </c>
      <c r="R834" s="7" t="s">
        <v>27</v>
      </c>
    </row>
    <row r="835" spans="1:18" hidden="1">
      <c r="A835" s="7" t="s">
        <v>29</v>
      </c>
      <c r="B835" s="8">
        <v>19814</v>
      </c>
      <c r="C835" s="9">
        <v>45792.317523148144</v>
      </c>
      <c r="D835" s="9">
        <v>45792</v>
      </c>
      <c r="E835" s="9">
        <v>45805</v>
      </c>
      <c r="F835" s="7" t="s">
        <v>2942</v>
      </c>
      <c r="G835" s="7" t="s">
        <v>2943</v>
      </c>
      <c r="H835" s="7" t="s">
        <v>2944</v>
      </c>
      <c r="I835" s="7" t="s">
        <v>2945</v>
      </c>
      <c r="J835" s="7" t="s">
        <v>34</v>
      </c>
      <c r="K835" s="7" t="s">
        <v>269</v>
      </c>
      <c r="L835" s="10">
        <v>4805.4399999999996</v>
      </c>
      <c r="M835" s="10">
        <v>4805.4399999999996</v>
      </c>
      <c r="N835" s="10">
        <f>+L835-M835</f>
        <v>0</v>
      </c>
      <c r="O835" s="10">
        <v>4805.4399999999996</v>
      </c>
      <c r="P835" s="10">
        <f>+L835-O835</f>
        <v>0</v>
      </c>
      <c r="Q835" s="10">
        <v>0</v>
      </c>
      <c r="R835" s="7" t="s">
        <v>27</v>
      </c>
    </row>
    <row r="836" spans="1:18" hidden="1">
      <c r="A836" s="7" t="s">
        <v>29</v>
      </c>
      <c r="B836" s="8">
        <v>19424</v>
      </c>
      <c r="C836" s="9">
        <v>45707.660694444443</v>
      </c>
      <c r="D836" s="9">
        <v>45754</v>
      </c>
      <c r="E836" s="9">
        <v>45707</v>
      </c>
      <c r="F836" s="7" t="s">
        <v>2946</v>
      </c>
      <c r="G836" s="7" t="s">
        <v>2947</v>
      </c>
      <c r="H836" s="7" t="s">
        <v>2948</v>
      </c>
      <c r="I836" s="7" t="s">
        <v>2949</v>
      </c>
      <c r="J836" s="7" t="s">
        <v>40</v>
      </c>
      <c r="K836" s="7" t="s">
        <v>46</v>
      </c>
      <c r="L836" s="10">
        <v>4396.24</v>
      </c>
      <c r="M836" s="10">
        <v>4396.24</v>
      </c>
      <c r="N836" s="10">
        <f>+L836-M836</f>
        <v>0</v>
      </c>
      <c r="O836" s="10">
        <v>4396.24</v>
      </c>
      <c r="P836" s="10">
        <f>+L836-O836</f>
        <v>0</v>
      </c>
      <c r="Q836" s="10">
        <v>0</v>
      </c>
      <c r="R836" s="7" t="s">
        <v>27</v>
      </c>
    </row>
    <row r="837" spans="1:18" hidden="1">
      <c r="A837" s="7" t="s">
        <v>29</v>
      </c>
      <c r="B837" s="8">
        <v>19899</v>
      </c>
      <c r="C837" s="9">
        <v>45810.537083333329</v>
      </c>
      <c r="D837" s="9">
        <v>45807</v>
      </c>
      <c r="E837" s="9">
        <v>45800</v>
      </c>
      <c r="F837" s="7" t="s">
        <v>2950</v>
      </c>
      <c r="G837" s="7" t="s">
        <v>2951</v>
      </c>
      <c r="H837" s="7" t="s">
        <v>2952</v>
      </c>
      <c r="I837" s="7" t="s">
        <v>2953</v>
      </c>
      <c r="J837" s="7" t="s">
        <v>176</v>
      </c>
      <c r="K837" s="7" t="s">
        <v>569</v>
      </c>
      <c r="L837" s="10">
        <v>4755</v>
      </c>
      <c r="M837" s="10">
        <v>4755</v>
      </c>
      <c r="N837" s="10">
        <f>+L837-M837</f>
        <v>0</v>
      </c>
      <c r="O837" s="10">
        <v>4755</v>
      </c>
      <c r="P837" s="10">
        <f>+L837-O837</f>
        <v>0</v>
      </c>
      <c r="Q837" s="10">
        <v>0</v>
      </c>
      <c r="R837" s="7" t="s">
        <v>27</v>
      </c>
    </row>
    <row r="838" spans="1:18">
      <c r="A838" s="7" t="s">
        <v>29</v>
      </c>
      <c r="B838" s="8">
        <v>20668</v>
      </c>
      <c r="C838" s="9">
        <v>45965.737847222219</v>
      </c>
      <c r="D838" s="9">
        <v>45965</v>
      </c>
      <c r="E838" s="9">
        <v>46017</v>
      </c>
      <c r="F838" s="7" t="s">
        <v>2954</v>
      </c>
      <c r="G838" s="7" t="s">
        <v>2955</v>
      </c>
      <c r="H838" s="7" t="s">
        <v>2956</v>
      </c>
      <c r="I838" s="7" t="s">
        <v>915</v>
      </c>
      <c r="J838" s="7" t="s">
        <v>25</v>
      </c>
      <c r="K838" s="7" t="s">
        <v>55</v>
      </c>
      <c r="L838" s="10">
        <v>11479.8</v>
      </c>
      <c r="M838" s="10">
        <v>11479.8</v>
      </c>
      <c r="N838" s="10">
        <f>+L838-M838</f>
        <v>0</v>
      </c>
      <c r="O838" s="10">
        <v>11479.8</v>
      </c>
      <c r="P838" s="10">
        <f>+L838-O838</f>
        <v>0</v>
      </c>
      <c r="Q838" s="10">
        <v>0</v>
      </c>
      <c r="R838" s="7" t="s">
        <v>27</v>
      </c>
    </row>
    <row r="839" spans="1:18" hidden="1">
      <c r="A839" s="7" t="s">
        <v>29</v>
      </c>
      <c r="B839" s="8">
        <v>20766</v>
      </c>
      <c r="C839" s="9">
        <v>45999.476458333331</v>
      </c>
      <c r="D839" s="9">
        <v>45999</v>
      </c>
      <c r="E839" s="9">
        <v>45996</v>
      </c>
      <c r="F839" s="7" t="s">
        <v>2957</v>
      </c>
      <c r="G839" s="7" t="s">
        <v>2958</v>
      </c>
      <c r="H839" s="7" t="s">
        <v>2959</v>
      </c>
      <c r="I839" s="7" t="s">
        <v>2960</v>
      </c>
      <c r="J839" s="7" t="s">
        <v>34</v>
      </c>
      <c r="K839" s="7" t="s">
        <v>902</v>
      </c>
      <c r="L839" s="10">
        <v>4720</v>
      </c>
      <c r="M839" s="10">
        <v>4720</v>
      </c>
      <c r="N839" s="10">
        <f>+L839-M839</f>
        <v>0</v>
      </c>
      <c r="O839" s="10">
        <v>4720</v>
      </c>
      <c r="P839" s="10">
        <f>+L839-O839</f>
        <v>0</v>
      </c>
      <c r="Q839" s="10">
        <v>0</v>
      </c>
      <c r="R839" s="7" t="s">
        <v>27</v>
      </c>
    </row>
    <row r="840" spans="1:18">
      <c r="A840" s="7" t="s">
        <v>29</v>
      </c>
      <c r="B840" s="8">
        <v>19906</v>
      </c>
      <c r="C840" s="9">
        <v>45810.589571759258</v>
      </c>
      <c r="D840" s="9">
        <v>45804</v>
      </c>
      <c r="E840" s="9">
        <v>45800</v>
      </c>
      <c r="F840" s="7" t="s">
        <v>2961</v>
      </c>
      <c r="G840" s="7" t="s">
        <v>2962</v>
      </c>
      <c r="H840" s="7" t="s">
        <v>2565</v>
      </c>
      <c r="I840" s="7" t="s">
        <v>784</v>
      </c>
      <c r="J840" s="7" t="s">
        <v>25</v>
      </c>
      <c r="K840" s="7" t="s">
        <v>55</v>
      </c>
      <c r="L840" s="10">
        <v>10851.96</v>
      </c>
      <c r="M840" s="10">
        <v>10851.96</v>
      </c>
      <c r="N840" s="10">
        <f>+L840-M840</f>
        <v>0</v>
      </c>
      <c r="O840" s="10">
        <v>10851.96</v>
      </c>
      <c r="P840" s="10">
        <f>+L840-O840</f>
        <v>0</v>
      </c>
      <c r="Q840" s="10">
        <v>0</v>
      </c>
      <c r="R840" s="7" t="s">
        <v>27</v>
      </c>
    </row>
    <row r="841" spans="1:18" hidden="1">
      <c r="A841" s="7" t="s">
        <v>29</v>
      </c>
      <c r="B841" s="8">
        <v>20691</v>
      </c>
      <c r="C841" s="9">
        <v>45972.683993055551</v>
      </c>
      <c r="D841" s="9">
        <v>45972</v>
      </c>
      <c r="E841" s="9">
        <v>46006</v>
      </c>
      <c r="F841" s="7" t="s">
        <v>2963</v>
      </c>
      <c r="G841" s="7" t="s">
        <v>2964</v>
      </c>
      <c r="H841" s="7" t="s">
        <v>2965</v>
      </c>
      <c r="I841" s="7" t="s">
        <v>2966</v>
      </c>
      <c r="J841" s="7" t="s">
        <v>34</v>
      </c>
      <c r="K841" s="7" t="s">
        <v>105</v>
      </c>
      <c r="L841" s="10">
        <v>4709.12</v>
      </c>
      <c r="M841" s="10">
        <v>4709.12</v>
      </c>
      <c r="N841" s="10">
        <f>+L841-M841</f>
        <v>0</v>
      </c>
      <c r="O841" s="10">
        <v>4709.12</v>
      </c>
      <c r="P841" s="10">
        <f>+L841-O841</f>
        <v>0</v>
      </c>
      <c r="Q841" s="10">
        <v>0</v>
      </c>
      <c r="R841" s="7" t="s">
        <v>27</v>
      </c>
    </row>
    <row r="842" spans="1:18">
      <c r="A842" s="7" t="s">
        <v>29</v>
      </c>
      <c r="B842" s="8">
        <v>19841</v>
      </c>
      <c r="C842" s="9">
        <v>45797.727164351847</v>
      </c>
      <c r="D842" s="9">
        <v>45807</v>
      </c>
      <c r="E842" s="9">
        <v>45807</v>
      </c>
      <c r="F842" s="7" t="s">
        <v>2967</v>
      </c>
      <c r="G842" s="7" t="s">
        <v>2968</v>
      </c>
      <c r="H842" s="7" t="s">
        <v>2565</v>
      </c>
      <c r="I842" s="7" t="s">
        <v>784</v>
      </c>
      <c r="J842" s="7" t="s">
        <v>25</v>
      </c>
      <c r="K842" s="7" t="s">
        <v>55</v>
      </c>
      <c r="L842" s="10">
        <v>10851.96</v>
      </c>
      <c r="M842" s="10">
        <v>10851.96</v>
      </c>
      <c r="N842" s="10">
        <f>+L842-M842</f>
        <v>0</v>
      </c>
      <c r="O842" s="10">
        <v>10851.96</v>
      </c>
      <c r="P842" s="10">
        <f>+L842-O842</f>
        <v>0</v>
      </c>
      <c r="Q842" s="10">
        <v>0</v>
      </c>
      <c r="R842" s="7" t="s">
        <v>27</v>
      </c>
    </row>
    <row r="843" spans="1:18" hidden="1">
      <c r="A843" s="7" t="s">
        <v>29</v>
      </c>
      <c r="B843" s="8">
        <v>4193</v>
      </c>
      <c r="C843" s="9">
        <v>45749.380428240736</v>
      </c>
      <c r="D843" s="9">
        <v>45685</v>
      </c>
      <c r="E843" s="9">
        <v>45685</v>
      </c>
      <c r="F843" s="7" t="s">
        <v>2969</v>
      </c>
      <c r="G843" s="7" t="s">
        <v>1587</v>
      </c>
      <c r="H843" s="7" t="s">
        <v>2970</v>
      </c>
      <c r="I843" s="7" t="s">
        <v>2971</v>
      </c>
      <c r="J843" s="7" t="s">
        <v>25</v>
      </c>
      <c r="K843" s="7" t="s">
        <v>916</v>
      </c>
      <c r="L843" s="10">
        <v>10699.45</v>
      </c>
      <c r="M843" s="10">
        <v>10699.45</v>
      </c>
      <c r="N843" s="15">
        <f>+L843-M843</f>
        <v>0</v>
      </c>
      <c r="O843" s="15">
        <v>10699.45</v>
      </c>
      <c r="P843" s="15">
        <f>+L843-O843</f>
        <v>0</v>
      </c>
      <c r="Q843" s="10">
        <v>0</v>
      </c>
      <c r="R843" s="7" t="s">
        <v>87</v>
      </c>
    </row>
    <row r="844" spans="1:18">
      <c r="A844" s="7" t="s">
        <v>29</v>
      </c>
      <c r="B844" s="8">
        <v>19507</v>
      </c>
      <c r="C844" s="9">
        <v>45726.694409722222</v>
      </c>
      <c r="D844" s="9">
        <v>45763</v>
      </c>
      <c r="E844" s="9">
        <v>45763</v>
      </c>
      <c r="F844" s="7" t="s">
        <v>2972</v>
      </c>
      <c r="G844" s="7" t="s">
        <v>2973</v>
      </c>
      <c r="H844" s="7" t="s">
        <v>2974</v>
      </c>
      <c r="I844" s="7" t="s">
        <v>2975</v>
      </c>
      <c r="J844" s="7" t="s">
        <v>25</v>
      </c>
      <c r="K844" s="7" t="s">
        <v>55</v>
      </c>
      <c r="L844" s="10">
        <v>10510.59</v>
      </c>
      <c r="M844" s="10">
        <v>10510.59</v>
      </c>
      <c r="N844" s="10">
        <f>+L844-M844</f>
        <v>0</v>
      </c>
      <c r="O844" s="10">
        <v>10510.59</v>
      </c>
      <c r="P844" s="10">
        <f>+L844-O844</f>
        <v>0</v>
      </c>
      <c r="Q844" s="10">
        <v>0</v>
      </c>
      <c r="R844" s="7" t="s">
        <v>27</v>
      </c>
    </row>
    <row r="845" spans="1:18" hidden="1">
      <c r="A845" s="7" t="s">
        <v>29</v>
      </c>
      <c r="B845" s="8">
        <v>4305</v>
      </c>
      <c r="C845" s="9">
        <v>45987.435312499998</v>
      </c>
      <c r="D845" s="9">
        <v>46111</v>
      </c>
      <c r="E845" s="9">
        <v>46111</v>
      </c>
      <c r="F845" s="7" t="s">
        <v>2976</v>
      </c>
      <c r="G845" s="7" t="s">
        <v>2048</v>
      </c>
      <c r="H845" s="7" t="s">
        <v>2977</v>
      </c>
      <c r="I845" s="7" t="s">
        <v>915</v>
      </c>
      <c r="J845" s="7" t="s">
        <v>25</v>
      </c>
      <c r="K845" s="7" t="s">
        <v>206</v>
      </c>
      <c r="L845" s="10">
        <v>10444.64</v>
      </c>
      <c r="M845" s="10">
        <v>10444.64</v>
      </c>
      <c r="N845" s="15">
        <f>+L845-M845</f>
        <v>0</v>
      </c>
      <c r="O845" s="15">
        <v>10444.64</v>
      </c>
      <c r="P845" s="15">
        <f>+L845-O845</f>
        <v>0</v>
      </c>
      <c r="Q845" s="10">
        <v>0</v>
      </c>
      <c r="R845" s="7" t="s">
        <v>87</v>
      </c>
    </row>
    <row r="846" spans="1:18" hidden="1">
      <c r="A846" s="7" t="s">
        <v>29</v>
      </c>
      <c r="B846" s="8">
        <v>19876</v>
      </c>
      <c r="C846" s="9">
        <v>45805.732511574075</v>
      </c>
      <c r="D846" s="9">
        <v>45784</v>
      </c>
      <c r="E846" s="9">
        <v>45784</v>
      </c>
      <c r="F846" s="7" t="s">
        <v>2978</v>
      </c>
      <c r="G846" s="7" t="s">
        <v>2979</v>
      </c>
      <c r="H846" s="7" t="s">
        <v>2333</v>
      </c>
      <c r="I846" s="7" t="s">
        <v>2334</v>
      </c>
      <c r="J846" s="7" t="s">
        <v>176</v>
      </c>
      <c r="K846" s="7" t="s">
        <v>728</v>
      </c>
      <c r="L846" s="10">
        <v>4508</v>
      </c>
      <c r="M846" s="10">
        <v>4508</v>
      </c>
      <c r="N846" s="10">
        <f>+L846-M846</f>
        <v>0</v>
      </c>
      <c r="O846" s="10">
        <v>4508</v>
      </c>
      <c r="P846" s="10">
        <f>+L846-O846</f>
        <v>0</v>
      </c>
      <c r="Q846" s="10">
        <v>0</v>
      </c>
      <c r="R846" s="7" t="s">
        <v>27</v>
      </c>
    </row>
    <row r="847" spans="1:18">
      <c r="A847" s="7" t="s">
        <v>29</v>
      </c>
      <c r="B847" s="8">
        <v>20630</v>
      </c>
      <c r="C847" s="9">
        <v>45958.669930555552</v>
      </c>
      <c r="D847" s="9">
        <v>45978</v>
      </c>
      <c r="E847" s="9">
        <v>45932</v>
      </c>
      <c r="F847" s="7" t="s">
        <v>2980</v>
      </c>
      <c r="G847" s="7" t="s">
        <v>2981</v>
      </c>
      <c r="H847" s="7" t="s">
        <v>2982</v>
      </c>
      <c r="I847" s="7" t="s">
        <v>2983</v>
      </c>
      <c r="J847" s="7" t="s">
        <v>25</v>
      </c>
      <c r="K847" s="7" t="s">
        <v>26</v>
      </c>
      <c r="L847" s="10">
        <v>10406.530000000001</v>
      </c>
      <c r="M847" s="10">
        <v>10406.530000000001</v>
      </c>
      <c r="N847" s="10">
        <f>+L847-M847</f>
        <v>0</v>
      </c>
      <c r="O847" s="10">
        <v>10406.530000000001</v>
      </c>
      <c r="P847" s="10">
        <f>+L847-O847</f>
        <v>0</v>
      </c>
      <c r="Q847" s="10">
        <v>0</v>
      </c>
      <c r="R847" s="7" t="s">
        <v>27</v>
      </c>
    </row>
    <row r="848" spans="1:18" hidden="1">
      <c r="A848" s="7" t="s">
        <v>29</v>
      </c>
      <c r="B848" s="8">
        <v>19414</v>
      </c>
      <c r="C848" s="9">
        <v>45701.619351851848</v>
      </c>
      <c r="D848" s="9">
        <v>45838</v>
      </c>
      <c r="E848" s="9">
        <v>45695</v>
      </c>
      <c r="F848" s="7" t="s">
        <v>2984</v>
      </c>
      <c r="G848" s="7" t="s">
        <v>2985</v>
      </c>
      <c r="H848" s="7" t="s">
        <v>2260</v>
      </c>
      <c r="I848" s="7" t="s">
        <v>2261</v>
      </c>
      <c r="J848" s="7" t="s">
        <v>40</v>
      </c>
      <c r="K848" s="7" t="s">
        <v>2986</v>
      </c>
      <c r="L848" s="10">
        <v>4237.5</v>
      </c>
      <c r="M848" s="10">
        <v>4237.5</v>
      </c>
      <c r="N848" s="10">
        <f>+L848-M848</f>
        <v>0</v>
      </c>
      <c r="O848" s="10">
        <v>4237.5</v>
      </c>
      <c r="P848" s="10">
        <f>+L848-O848</f>
        <v>0</v>
      </c>
      <c r="Q848" s="10">
        <v>0</v>
      </c>
      <c r="R848" s="7" t="s">
        <v>27</v>
      </c>
    </row>
    <row r="849" spans="1:18" hidden="1">
      <c r="A849" s="7" t="s">
        <v>29</v>
      </c>
      <c r="B849" s="8">
        <v>4224</v>
      </c>
      <c r="C849" s="9">
        <v>45819.345138888886</v>
      </c>
      <c r="D849" s="9">
        <v>45799</v>
      </c>
      <c r="E849" s="9">
        <v>45863</v>
      </c>
      <c r="F849" s="7" t="s">
        <v>2987</v>
      </c>
      <c r="G849" s="7" t="s">
        <v>2988</v>
      </c>
      <c r="H849" s="7" t="s">
        <v>2989</v>
      </c>
      <c r="I849" s="7" t="s">
        <v>1804</v>
      </c>
      <c r="J849" s="7" t="s">
        <v>25</v>
      </c>
      <c r="K849" s="7" t="s">
        <v>206</v>
      </c>
      <c r="L849" s="10">
        <v>10255.629999999999</v>
      </c>
      <c r="M849" s="10">
        <v>10255.629999999999</v>
      </c>
      <c r="N849" s="15">
        <f>+L849-M849</f>
        <v>0</v>
      </c>
      <c r="O849" s="15">
        <v>10255.629999999999</v>
      </c>
      <c r="P849" s="15">
        <f>+L849-O849</f>
        <v>0</v>
      </c>
      <c r="Q849" s="10">
        <v>0</v>
      </c>
      <c r="R849" s="7" t="s">
        <v>87</v>
      </c>
    </row>
    <row r="850" spans="1:18" hidden="1">
      <c r="A850" s="7" t="s">
        <v>29</v>
      </c>
      <c r="B850" s="8">
        <v>20757</v>
      </c>
      <c r="C850" s="9">
        <v>45996.399953703702</v>
      </c>
      <c r="D850" s="9">
        <v>45836</v>
      </c>
      <c r="E850" s="9">
        <v>45761</v>
      </c>
      <c r="F850" s="7" t="s">
        <v>2990</v>
      </c>
      <c r="G850" s="7" t="s">
        <v>2991</v>
      </c>
      <c r="H850" s="7" t="s">
        <v>2057</v>
      </c>
      <c r="I850" s="7" t="s">
        <v>2058</v>
      </c>
      <c r="J850" s="7" t="s">
        <v>176</v>
      </c>
      <c r="K850" s="7" t="s">
        <v>317</v>
      </c>
      <c r="L850" s="10">
        <v>4453.43</v>
      </c>
      <c r="M850" s="10">
        <v>4453.43</v>
      </c>
      <c r="N850" s="10">
        <f>+L850-M850</f>
        <v>0</v>
      </c>
      <c r="O850" s="10">
        <v>4453.43</v>
      </c>
      <c r="P850" s="10">
        <f>+L850-O850</f>
        <v>0</v>
      </c>
      <c r="Q850" s="10">
        <v>0</v>
      </c>
      <c r="R850" s="7" t="s">
        <v>27</v>
      </c>
    </row>
    <row r="851" spans="1:18">
      <c r="A851" s="7" t="s">
        <v>29</v>
      </c>
      <c r="B851" s="8">
        <v>20201</v>
      </c>
      <c r="C851" s="9">
        <v>45868.682993368056</v>
      </c>
      <c r="D851" s="9">
        <v>45869</v>
      </c>
      <c r="E851" s="9">
        <v>45870</v>
      </c>
      <c r="F851" s="7" t="s">
        <v>2992</v>
      </c>
      <c r="G851" s="7" t="s">
        <v>2993</v>
      </c>
      <c r="H851" s="7" t="s">
        <v>2994</v>
      </c>
      <c r="I851" s="7" t="s">
        <v>2995</v>
      </c>
      <c r="J851" s="7" t="s">
        <v>25</v>
      </c>
      <c r="K851" s="7" t="s">
        <v>113</v>
      </c>
      <c r="L851" s="10">
        <v>10113.17</v>
      </c>
      <c r="M851" s="10">
        <v>10113.17</v>
      </c>
      <c r="N851" s="10">
        <f>+L851-M851</f>
        <v>0</v>
      </c>
      <c r="O851" s="10">
        <v>10113.17</v>
      </c>
      <c r="P851" s="10">
        <f>+L851-O851</f>
        <v>0</v>
      </c>
      <c r="Q851" s="10">
        <v>0</v>
      </c>
      <c r="R851" s="7" t="s">
        <v>27</v>
      </c>
    </row>
    <row r="852" spans="1:18" hidden="1">
      <c r="A852" s="7" t="s">
        <v>29</v>
      </c>
      <c r="B852" s="8">
        <v>19326</v>
      </c>
      <c r="C852" s="9">
        <v>45671.519687499997</v>
      </c>
      <c r="D852" s="9">
        <v>45671</v>
      </c>
      <c r="E852" s="9">
        <v>45671</v>
      </c>
      <c r="F852" s="7" t="s">
        <v>2996</v>
      </c>
      <c r="G852" s="7" t="s">
        <v>2997</v>
      </c>
      <c r="H852" s="7" t="s">
        <v>2998</v>
      </c>
      <c r="I852" s="7" t="s">
        <v>2999</v>
      </c>
      <c r="J852" s="7" t="s">
        <v>40</v>
      </c>
      <c r="K852" s="7" t="s">
        <v>41</v>
      </c>
      <c r="L852" s="10">
        <v>3799.33</v>
      </c>
      <c r="M852" s="10">
        <v>3799.33</v>
      </c>
      <c r="N852" s="10">
        <f>+L852-M852</f>
        <v>0</v>
      </c>
      <c r="O852" s="10">
        <v>3799.33</v>
      </c>
      <c r="P852" s="10">
        <f>+L852-O852</f>
        <v>0</v>
      </c>
      <c r="Q852" s="10">
        <v>0</v>
      </c>
      <c r="R852" s="7" t="s">
        <v>27</v>
      </c>
    </row>
    <row r="853" spans="1:18" hidden="1">
      <c r="A853" s="7" t="s">
        <v>29</v>
      </c>
      <c r="B853" s="8">
        <v>20288</v>
      </c>
      <c r="C853" s="9">
        <v>45887.375335648147</v>
      </c>
      <c r="D853" s="9">
        <v>45416</v>
      </c>
      <c r="E853" s="9">
        <v>45417</v>
      </c>
      <c r="F853" s="7" t="s">
        <v>3000</v>
      </c>
      <c r="G853" s="7" t="s">
        <v>3001</v>
      </c>
      <c r="H853" s="7" t="s">
        <v>2795</v>
      </c>
      <c r="I853" s="7" t="s">
        <v>2796</v>
      </c>
      <c r="J853" s="7" t="s">
        <v>176</v>
      </c>
      <c r="K853" s="7" t="s">
        <v>494</v>
      </c>
      <c r="L853" s="10">
        <v>4400</v>
      </c>
      <c r="M853" s="10">
        <v>4400</v>
      </c>
      <c r="N853" s="10">
        <f>+L853-M853</f>
        <v>0</v>
      </c>
      <c r="O853" s="10">
        <v>4400</v>
      </c>
      <c r="P853" s="10">
        <f>+L853-O853</f>
        <v>0</v>
      </c>
      <c r="Q853" s="10">
        <v>0</v>
      </c>
      <c r="R853" s="7" t="s">
        <v>27</v>
      </c>
    </row>
    <row r="854" spans="1:18" hidden="1">
      <c r="A854" s="7" t="s">
        <v>29</v>
      </c>
      <c r="B854" s="8">
        <v>20225</v>
      </c>
      <c r="C854" s="9">
        <v>45873.540104166663</v>
      </c>
      <c r="D854" s="9">
        <v>45849</v>
      </c>
      <c r="E854" s="9">
        <v>45849</v>
      </c>
      <c r="F854" s="7" t="s">
        <v>3002</v>
      </c>
      <c r="G854" s="7" t="s">
        <v>3003</v>
      </c>
      <c r="H854" s="7" t="s">
        <v>3004</v>
      </c>
      <c r="I854" s="7" t="s">
        <v>3005</v>
      </c>
      <c r="J854" s="7" t="s">
        <v>176</v>
      </c>
      <c r="K854" s="7" t="s">
        <v>494</v>
      </c>
      <c r="L854" s="10">
        <v>4302</v>
      </c>
      <c r="M854" s="10">
        <v>4302</v>
      </c>
      <c r="N854" s="10">
        <f>+L854-M854</f>
        <v>0</v>
      </c>
      <c r="O854" s="10">
        <v>4302</v>
      </c>
      <c r="P854" s="10">
        <f>+L854-O854</f>
        <v>0</v>
      </c>
      <c r="Q854" s="10">
        <v>0</v>
      </c>
      <c r="R854" s="7" t="s">
        <v>27</v>
      </c>
    </row>
    <row r="855" spans="1:18">
      <c r="A855" s="7" t="s">
        <v>29</v>
      </c>
      <c r="B855" s="8">
        <v>19537</v>
      </c>
      <c r="C855" s="9">
        <v>45734.399062500001</v>
      </c>
      <c r="D855" s="9">
        <v>45750</v>
      </c>
      <c r="E855" s="9">
        <v>45744</v>
      </c>
      <c r="F855" s="7" t="s">
        <v>3006</v>
      </c>
      <c r="G855" s="7" t="s">
        <v>3007</v>
      </c>
      <c r="H855" s="7" t="s">
        <v>2284</v>
      </c>
      <c r="I855" s="7" t="s">
        <v>1763</v>
      </c>
      <c r="J855" s="7" t="s">
        <v>25</v>
      </c>
      <c r="K855" s="7" t="s">
        <v>537</v>
      </c>
      <c r="L855" s="10">
        <v>9861.1</v>
      </c>
      <c r="M855" s="10">
        <v>9861.1</v>
      </c>
      <c r="N855" s="10">
        <f>+L855-M855</f>
        <v>0</v>
      </c>
      <c r="O855" s="10">
        <v>9861.1</v>
      </c>
      <c r="P855" s="10">
        <f>+L855-O855</f>
        <v>0</v>
      </c>
      <c r="Q855" s="10">
        <v>0</v>
      </c>
      <c r="R855" s="7" t="s">
        <v>27</v>
      </c>
    </row>
    <row r="856" spans="1:18" hidden="1">
      <c r="A856" s="7" t="s">
        <v>29</v>
      </c>
      <c r="B856" s="8">
        <v>19329</v>
      </c>
      <c r="C856" s="9">
        <v>45673.515763888885</v>
      </c>
      <c r="D856" s="9">
        <v>45608</v>
      </c>
      <c r="E856" s="9">
        <v>45622</v>
      </c>
      <c r="F856" s="7" t="s">
        <v>3008</v>
      </c>
      <c r="G856" s="7" t="s">
        <v>1008</v>
      </c>
      <c r="H856" s="7" t="s">
        <v>3009</v>
      </c>
      <c r="I856" s="7" t="s">
        <v>3010</v>
      </c>
      <c r="J856" s="7" t="s">
        <v>40</v>
      </c>
      <c r="K856" s="7" t="s">
        <v>41</v>
      </c>
      <c r="L856" s="10">
        <v>3219.79</v>
      </c>
      <c r="M856" s="10">
        <v>3219.79</v>
      </c>
      <c r="N856" s="10">
        <f>+L856-M856</f>
        <v>0</v>
      </c>
      <c r="O856" s="10">
        <v>3219.79</v>
      </c>
      <c r="P856" s="10">
        <f>+L856-O856</f>
        <v>0</v>
      </c>
      <c r="Q856" s="10">
        <v>0</v>
      </c>
      <c r="R856" s="7" t="s">
        <v>27</v>
      </c>
    </row>
    <row r="857" spans="1:18">
      <c r="A857" s="7" t="s">
        <v>29</v>
      </c>
      <c r="B857" s="8">
        <v>19464</v>
      </c>
      <c r="C857" s="9">
        <v>45714.746064814812</v>
      </c>
      <c r="D857" s="9">
        <v>45687</v>
      </c>
      <c r="E857" s="9">
        <v>45656</v>
      </c>
      <c r="F857" s="7" t="s">
        <v>3011</v>
      </c>
      <c r="G857" s="7" t="s">
        <v>2933</v>
      </c>
      <c r="H857" s="7" t="s">
        <v>3012</v>
      </c>
      <c r="I857" s="7" t="s">
        <v>3013</v>
      </c>
      <c r="J857" s="7" t="s">
        <v>25</v>
      </c>
      <c r="K857" s="7" t="s">
        <v>26</v>
      </c>
      <c r="L857" s="10">
        <v>9823.8799999999992</v>
      </c>
      <c r="M857" s="10">
        <v>9823.8799999999992</v>
      </c>
      <c r="N857" s="10">
        <f>+L857-M857</f>
        <v>0</v>
      </c>
      <c r="O857" s="10">
        <v>9823.8799999999992</v>
      </c>
      <c r="P857" s="10">
        <f>+L857-O857</f>
        <v>0</v>
      </c>
      <c r="Q857" s="10">
        <v>0</v>
      </c>
      <c r="R857" s="7" t="s">
        <v>27</v>
      </c>
    </row>
    <row r="858" spans="1:18">
      <c r="A858" s="7" t="s">
        <v>29</v>
      </c>
      <c r="B858" s="8">
        <v>19722</v>
      </c>
      <c r="C858" s="9">
        <v>45772.393159722218</v>
      </c>
      <c r="D858" s="9">
        <v>45777</v>
      </c>
      <c r="E858" s="9">
        <v>45776</v>
      </c>
      <c r="F858" s="7" t="s">
        <v>3014</v>
      </c>
      <c r="G858" s="7" t="s">
        <v>3015</v>
      </c>
      <c r="H858" s="7" t="s">
        <v>3016</v>
      </c>
      <c r="I858" s="7" t="s">
        <v>3017</v>
      </c>
      <c r="J858" s="7" t="s">
        <v>25</v>
      </c>
      <c r="K858" s="7" t="s">
        <v>3018</v>
      </c>
      <c r="L858" s="10">
        <v>9554.65</v>
      </c>
      <c r="M858" s="10">
        <v>9554.65</v>
      </c>
      <c r="N858" s="10">
        <f>+L858-M858</f>
        <v>0</v>
      </c>
      <c r="O858" s="10">
        <v>9554.65</v>
      </c>
      <c r="P858" s="10">
        <f>+L858-O858</f>
        <v>0</v>
      </c>
      <c r="Q858" s="10">
        <v>0</v>
      </c>
      <c r="R858" s="7" t="s">
        <v>27</v>
      </c>
    </row>
    <row r="859" spans="1:18" hidden="1">
      <c r="A859" s="7" t="s">
        <v>29</v>
      </c>
      <c r="B859" s="8">
        <v>19961</v>
      </c>
      <c r="C859" s="9">
        <v>45820.695358796293</v>
      </c>
      <c r="D859" s="9">
        <v>45817</v>
      </c>
      <c r="E859" s="9">
        <v>45805</v>
      </c>
      <c r="F859" s="7" t="s">
        <v>3019</v>
      </c>
      <c r="G859" s="7" t="s">
        <v>3020</v>
      </c>
      <c r="H859" s="7" t="s">
        <v>3021</v>
      </c>
      <c r="I859" s="7" t="s">
        <v>3022</v>
      </c>
      <c r="J859" s="7" t="s">
        <v>176</v>
      </c>
      <c r="K859" s="7" t="s">
        <v>3023</v>
      </c>
      <c r="L859" s="10">
        <v>4177</v>
      </c>
      <c r="M859" s="10">
        <v>4177</v>
      </c>
      <c r="N859" s="10">
        <f>+L859-M859</f>
        <v>0</v>
      </c>
      <c r="O859" s="10">
        <v>4177</v>
      </c>
      <c r="P859" s="10">
        <f>+L859-O859</f>
        <v>0</v>
      </c>
      <c r="Q859" s="10">
        <v>0</v>
      </c>
      <c r="R859" s="7" t="s">
        <v>27</v>
      </c>
    </row>
    <row r="860" spans="1:18" hidden="1">
      <c r="A860" s="7" t="s">
        <v>29</v>
      </c>
      <c r="B860" s="8">
        <v>20267</v>
      </c>
      <c r="C860" s="9">
        <v>45880.484490740739</v>
      </c>
      <c r="D860" s="9">
        <v>45880</v>
      </c>
      <c r="E860" s="9">
        <v>45915</v>
      </c>
      <c r="F860" s="7" t="s">
        <v>3024</v>
      </c>
      <c r="G860" s="7" t="s">
        <v>3025</v>
      </c>
      <c r="H860" s="7" t="s">
        <v>3026</v>
      </c>
      <c r="I860" s="7" t="s">
        <v>3027</v>
      </c>
      <c r="J860" s="7" t="s">
        <v>34</v>
      </c>
      <c r="K860" s="7" t="s">
        <v>35</v>
      </c>
      <c r="L860" s="10">
        <v>4172.5600000000004</v>
      </c>
      <c r="M860" s="10">
        <v>4172.5600000000004</v>
      </c>
      <c r="N860" s="10">
        <f>+L860-M860</f>
        <v>0</v>
      </c>
      <c r="O860" s="10">
        <v>4172.5600000000004</v>
      </c>
      <c r="P860" s="10">
        <f>+L860-O860</f>
        <v>0</v>
      </c>
      <c r="Q860" s="10">
        <v>0</v>
      </c>
      <c r="R860" s="7" t="s">
        <v>27</v>
      </c>
    </row>
    <row r="861" spans="1:18" hidden="1">
      <c r="A861" s="7" t="s">
        <v>29</v>
      </c>
      <c r="B861" s="8">
        <v>20258</v>
      </c>
      <c r="C861" s="9">
        <v>45877.363437499997</v>
      </c>
      <c r="D861" s="9">
        <v>45909</v>
      </c>
      <c r="E861" s="9">
        <v>45876</v>
      </c>
      <c r="F861" s="7" t="s">
        <v>3028</v>
      </c>
      <c r="G861" s="7" t="s">
        <v>3029</v>
      </c>
      <c r="H861" s="7" t="s">
        <v>3030</v>
      </c>
      <c r="I861" s="7" t="s">
        <v>3031</v>
      </c>
      <c r="J861" s="7" t="s">
        <v>176</v>
      </c>
      <c r="K861" s="7" t="s">
        <v>177</v>
      </c>
      <c r="L861" s="10">
        <v>4163.6000000000004</v>
      </c>
      <c r="M861" s="10">
        <v>4163.6000000000004</v>
      </c>
      <c r="N861" s="10">
        <f>+L861-M861</f>
        <v>0</v>
      </c>
      <c r="O861" s="10">
        <v>4163.6000000000004</v>
      </c>
      <c r="P861" s="10">
        <f>+L861-O861</f>
        <v>0</v>
      </c>
      <c r="Q861" s="10">
        <v>0</v>
      </c>
      <c r="R861" s="7" t="s">
        <v>27</v>
      </c>
    </row>
    <row r="862" spans="1:18" hidden="1">
      <c r="A862" s="7" t="s">
        <v>29</v>
      </c>
      <c r="B862" s="8">
        <v>4242</v>
      </c>
      <c r="C862" s="9">
        <v>45847.477905092594</v>
      </c>
      <c r="D862" s="9">
        <v>45838</v>
      </c>
      <c r="E862" s="9">
        <v>45867</v>
      </c>
      <c r="F862" s="7" t="s">
        <v>3032</v>
      </c>
      <c r="G862" s="7" t="s">
        <v>2621</v>
      </c>
      <c r="H862" s="7" t="s">
        <v>3033</v>
      </c>
      <c r="I862" s="7" t="s">
        <v>3034</v>
      </c>
      <c r="J862" s="7" t="s">
        <v>25</v>
      </c>
      <c r="K862" s="7" t="s">
        <v>3035</v>
      </c>
      <c r="L862" s="10">
        <v>9303.86</v>
      </c>
      <c r="M862" s="10">
        <v>9303.86</v>
      </c>
      <c r="N862" s="15">
        <f>+L862-M862</f>
        <v>0</v>
      </c>
      <c r="O862" s="15">
        <v>9303.86</v>
      </c>
      <c r="P862" s="15">
        <f>+L862-O862</f>
        <v>0</v>
      </c>
      <c r="Q862" s="10">
        <v>0</v>
      </c>
      <c r="R862" s="7" t="s">
        <v>87</v>
      </c>
    </row>
    <row r="863" spans="1:18">
      <c r="A863" s="7" t="s">
        <v>29</v>
      </c>
      <c r="B863" s="8">
        <v>19978</v>
      </c>
      <c r="C863" s="9">
        <v>45825.572719907403</v>
      </c>
      <c r="D863" s="9">
        <v>45807</v>
      </c>
      <c r="E863" s="9">
        <v>45742</v>
      </c>
      <c r="F863" s="7" t="s">
        <v>3036</v>
      </c>
      <c r="G863" s="7" t="s">
        <v>3037</v>
      </c>
      <c r="H863" s="7" t="s">
        <v>3038</v>
      </c>
      <c r="I863" s="7" t="s">
        <v>788</v>
      </c>
      <c r="J863" s="7" t="s">
        <v>25</v>
      </c>
      <c r="K863" s="7" t="s">
        <v>55</v>
      </c>
      <c r="L863" s="10">
        <v>9089.4500000000007</v>
      </c>
      <c r="M863" s="10">
        <v>9089.4500000000007</v>
      </c>
      <c r="N863" s="10">
        <f>+L863-M863</f>
        <v>0</v>
      </c>
      <c r="O863" s="10">
        <v>9089.4500000000007</v>
      </c>
      <c r="P863" s="10">
        <f>+L863-O863</f>
        <v>0</v>
      </c>
      <c r="Q863" s="10">
        <v>0</v>
      </c>
      <c r="R863" s="7" t="s">
        <v>27</v>
      </c>
    </row>
    <row r="864" spans="1:18" hidden="1">
      <c r="A864" s="7" t="s">
        <v>29</v>
      </c>
      <c r="B864" s="8">
        <v>19596</v>
      </c>
      <c r="C864" s="9">
        <v>45747.672002314815</v>
      </c>
      <c r="D864" s="9">
        <v>45747</v>
      </c>
      <c r="E864" s="9">
        <v>45741</v>
      </c>
      <c r="F864" s="7" t="s">
        <v>3039</v>
      </c>
      <c r="G864" s="7" t="s">
        <v>3040</v>
      </c>
      <c r="H864" s="7" t="s">
        <v>3041</v>
      </c>
      <c r="I864" s="7" t="s">
        <v>3042</v>
      </c>
      <c r="J864" s="7" t="s">
        <v>34</v>
      </c>
      <c r="K864" s="7" t="s">
        <v>269</v>
      </c>
      <c r="L864" s="10">
        <v>4134.84</v>
      </c>
      <c r="M864" s="10">
        <v>4134.84</v>
      </c>
      <c r="N864" s="10">
        <f>+L864-M864</f>
        <v>0</v>
      </c>
      <c r="O864" s="10">
        <v>4134.84</v>
      </c>
      <c r="P864" s="10">
        <f>+L864-O864</f>
        <v>0</v>
      </c>
      <c r="Q864" s="10">
        <v>0</v>
      </c>
      <c r="R864" s="7" t="s">
        <v>27</v>
      </c>
    </row>
    <row r="865" spans="1:18" hidden="1">
      <c r="A865" s="7" t="s">
        <v>29</v>
      </c>
      <c r="B865" s="8">
        <v>4199</v>
      </c>
      <c r="C865" s="9">
        <v>45782.388344907406</v>
      </c>
      <c r="D865" s="9">
        <v>45769</v>
      </c>
      <c r="E865" s="9">
        <v>45809</v>
      </c>
      <c r="F865" s="7" t="s">
        <v>3043</v>
      </c>
      <c r="G865" s="7" t="s">
        <v>3044</v>
      </c>
      <c r="H865" s="7" t="s">
        <v>3045</v>
      </c>
      <c r="I865" s="7" t="s">
        <v>3046</v>
      </c>
      <c r="J865" s="7" t="s">
        <v>25</v>
      </c>
      <c r="K865" s="7" t="s">
        <v>125</v>
      </c>
      <c r="L865" s="10">
        <v>8940</v>
      </c>
      <c r="M865" s="10">
        <v>8940</v>
      </c>
      <c r="N865" s="15">
        <f>+L865-M865</f>
        <v>0</v>
      </c>
      <c r="O865" s="15">
        <v>8940</v>
      </c>
      <c r="P865" s="15">
        <f>+L865-O865</f>
        <v>0</v>
      </c>
      <c r="Q865" s="10">
        <v>0</v>
      </c>
      <c r="R865" s="7" t="s">
        <v>87</v>
      </c>
    </row>
    <row r="866" spans="1:18" hidden="1">
      <c r="A866" s="7" t="s">
        <v>29</v>
      </c>
      <c r="B866" s="8">
        <v>20468</v>
      </c>
      <c r="C866" s="9">
        <v>45918.500625000001</v>
      </c>
      <c r="D866" s="9">
        <v>45845</v>
      </c>
      <c r="E866" s="9">
        <v>45831</v>
      </c>
      <c r="F866" s="7" t="s">
        <v>3047</v>
      </c>
      <c r="G866" s="7" t="s">
        <v>3048</v>
      </c>
      <c r="H866" s="7" t="s">
        <v>2177</v>
      </c>
      <c r="I866" s="7" t="s">
        <v>2178</v>
      </c>
      <c r="J866" s="7" t="s">
        <v>176</v>
      </c>
      <c r="K866" s="7" t="s">
        <v>317</v>
      </c>
      <c r="L866" s="10">
        <v>4100</v>
      </c>
      <c r="M866" s="10">
        <v>4100</v>
      </c>
      <c r="N866" s="10">
        <f>+L866-M866</f>
        <v>0</v>
      </c>
      <c r="O866" s="10">
        <v>4100</v>
      </c>
      <c r="P866" s="10">
        <f>+L866-O866</f>
        <v>0</v>
      </c>
      <c r="Q866" s="10">
        <v>0</v>
      </c>
      <c r="R866" s="7" t="s">
        <v>27</v>
      </c>
    </row>
    <row r="867" spans="1:18">
      <c r="A867" s="7" t="s">
        <v>29</v>
      </c>
      <c r="B867" s="8">
        <v>19398</v>
      </c>
      <c r="C867" s="9">
        <v>45695.649282407408</v>
      </c>
      <c r="D867" s="9">
        <v>45756</v>
      </c>
      <c r="E867" s="9">
        <v>45691</v>
      </c>
      <c r="F867" s="7" t="s">
        <v>3049</v>
      </c>
      <c r="G867" s="7" t="s">
        <v>3050</v>
      </c>
      <c r="H867" s="7" t="s">
        <v>3051</v>
      </c>
      <c r="I867" s="7" t="s">
        <v>3052</v>
      </c>
      <c r="J867" s="7" t="s">
        <v>25</v>
      </c>
      <c r="K867" s="7" t="s">
        <v>170</v>
      </c>
      <c r="L867" s="10">
        <v>8902.14</v>
      </c>
      <c r="M867" s="10">
        <v>8902.14</v>
      </c>
      <c r="N867" s="10">
        <f>+L867-M867</f>
        <v>0</v>
      </c>
      <c r="O867" s="10">
        <v>8902.14</v>
      </c>
      <c r="P867" s="10">
        <f>+L867-O867</f>
        <v>0</v>
      </c>
      <c r="Q867" s="10">
        <v>0</v>
      </c>
      <c r="R867" s="7" t="s">
        <v>27</v>
      </c>
    </row>
    <row r="868" spans="1:18">
      <c r="A868" s="7" t="s">
        <v>29</v>
      </c>
      <c r="B868" s="8">
        <v>20660</v>
      </c>
      <c r="C868" s="9">
        <v>45965.434297997686</v>
      </c>
      <c r="D868" s="9">
        <v>46031</v>
      </c>
      <c r="E868" s="9">
        <v>46031</v>
      </c>
      <c r="F868" s="7" t="s">
        <v>3053</v>
      </c>
      <c r="G868" s="7" t="s">
        <v>3054</v>
      </c>
      <c r="H868" s="7" t="s">
        <v>783</v>
      </c>
      <c r="I868" s="7" t="s">
        <v>784</v>
      </c>
      <c r="J868" s="7" t="s">
        <v>25</v>
      </c>
      <c r="K868" s="7" t="s">
        <v>55</v>
      </c>
      <c r="L868" s="10">
        <v>8659.0499999999993</v>
      </c>
      <c r="M868" s="10">
        <v>8659.0499999999993</v>
      </c>
      <c r="N868" s="10">
        <f>+L868-M868</f>
        <v>0</v>
      </c>
      <c r="O868" s="10">
        <v>8659.0499999999993</v>
      </c>
      <c r="P868" s="10">
        <f>+L868-O868</f>
        <v>0</v>
      </c>
      <c r="Q868" s="10">
        <v>0</v>
      </c>
      <c r="R868" s="7" t="s">
        <v>27</v>
      </c>
    </row>
    <row r="869" spans="1:18" hidden="1">
      <c r="A869" s="7" t="s">
        <v>29</v>
      </c>
      <c r="B869" s="8">
        <v>20186</v>
      </c>
      <c r="C869" s="9">
        <v>45866.417384259257</v>
      </c>
      <c r="D869" s="9">
        <v>45862</v>
      </c>
      <c r="E869" s="9">
        <v>45862</v>
      </c>
      <c r="F869" s="7" t="s">
        <v>3055</v>
      </c>
      <c r="G869" s="7" t="s">
        <v>3056</v>
      </c>
      <c r="H869" s="7" t="s">
        <v>3057</v>
      </c>
      <c r="I869" s="7" t="s">
        <v>3058</v>
      </c>
      <c r="J869" s="7" t="s">
        <v>176</v>
      </c>
      <c r="K869" s="7" t="s">
        <v>494</v>
      </c>
      <c r="L869" s="10">
        <v>4078</v>
      </c>
      <c r="M869" s="10">
        <v>4078</v>
      </c>
      <c r="N869" s="10">
        <f>+L869-M869</f>
        <v>0</v>
      </c>
      <c r="O869" s="10">
        <v>4078</v>
      </c>
      <c r="P869" s="10">
        <f>+L869-O869</f>
        <v>0</v>
      </c>
      <c r="Q869" s="10">
        <v>0</v>
      </c>
      <c r="R869" s="7" t="s">
        <v>27</v>
      </c>
    </row>
    <row r="870" spans="1:18" hidden="1">
      <c r="A870" s="7" t="s">
        <v>29</v>
      </c>
      <c r="B870" s="8">
        <v>19877</v>
      </c>
      <c r="C870" s="9">
        <v>45805.734988425924</v>
      </c>
      <c r="D870" s="9">
        <v>45804</v>
      </c>
      <c r="E870" s="9">
        <v>45805</v>
      </c>
      <c r="F870" s="7" t="s">
        <v>3059</v>
      </c>
      <c r="G870" s="7" t="s">
        <v>3060</v>
      </c>
      <c r="H870" s="7" t="s">
        <v>1998</v>
      </c>
      <c r="I870" s="7" t="s">
        <v>1999</v>
      </c>
      <c r="J870" s="7" t="s">
        <v>176</v>
      </c>
      <c r="K870" s="7" t="s">
        <v>374</v>
      </c>
      <c r="L870" s="10">
        <v>4076</v>
      </c>
      <c r="M870" s="10">
        <v>4076</v>
      </c>
      <c r="N870" s="10">
        <f>+L870-M870</f>
        <v>0</v>
      </c>
      <c r="O870" s="10">
        <v>4076</v>
      </c>
      <c r="P870" s="10">
        <f>+L870-O870</f>
        <v>0</v>
      </c>
      <c r="Q870" s="10">
        <v>0</v>
      </c>
      <c r="R870" s="7" t="s">
        <v>27</v>
      </c>
    </row>
    <row r="871" spans="1:18" hidden="1">
      <c r="A871" s="7" t="s">
        <v>29</v>
      </c>
      <c r="B871" s="8">
        <v>19301</v>
      </c>
      <c r="C871" s="9">
        <v>45659.476782407408</v>
      </c>
      <c r="D871" s="9">
        <v>45659</v>
      </c>
      <c r="E871" s="9">
        <v>45690</v>
      </c>
      <c r="F871" s="7" t="s">
        <v>3061</v>
      </c>
      <c r="G871" s="7" t="s">
        <v>3062</v>
      </c>
      <c r="H871" s="7" t="s">
        <v>681</v>
      </c>
      <c r="I871" s="7" t="s">
        <v>54</v>
      </c>
      <c r="J871" s="7" t="s">
        <v>34</v>
      </c>
      <c r="K871" s="7" t="s">
        <v>118</v>
      </c>
      <c r="L871" s="10">
        <v>4057.73</v>
      </c>
      <c r="M871" s="10">
        <v>4057.73</v>
      </c>
      <c r="N871" s="10">
        <f>+L871-M871</f>
        <v>0</v>
      </c>
      <c r="O871" s="10">
        <v>4057.73</v>
      </c>
      <c r="P871" s="10">
        <f>+L871-O871</f>
        <v>0</v>
      </c>
      <c r="Q871" s="10">
        <v>0</v>
      </c>
      <c r="R871" s="7" t="s">
        <v>27</v>
      </c>
    </row>
    <row r="872" spans="1:18" hidden="1">
      <c r="A872" s="7" t="s">
        <v>29</v>
      </c>
      <c r="B872" s="8">
        <v>20908</v>
      </c>
      <c r="C872" s="9">
        <v>46045.652719907404</v>
      </c>
      <c r="D872" s="9">
        <v>46044</v>
      </c>
      <c r="E872" s="9">
        <v>46044</v>
      </c>
      <c r="F872" s="7" t="s">
        <v>3063</v>
      </c>
      <c r="G872" s="7" t="s">
        <v>3064</v>
      </c>
      <c r="H872" s="7" t="s">
        <v>3065</v>
      </c>
      <c r="I872" s="7" t="s">
        <v>3066</v>
      </c>
      <c r="J872" s="7" t="s">
        <v>176</v>
      </c>
      <c r="K872" s="7" t="s">
        <v>360</v>
      </c>
      <c r="L872" s="10">
        <v>4042</v>
      </c>
      <c r="M872" s="10">
        <v>4042</v>
      </c>
      <c r="N872" s="10">
        <f>+L872-M872</f>
        <v>0</v>
      </c>
      <c r="O872" s="10">
        <v>4042</v>
      </c>
      <c r="P872" s="10">
        <f>+L872-O872</f>
        <v>0</v>
      </c>
      <c r="Q872" s="10">
        <v>0</v>
      </c>
      <c r="R872" s="7" t="s">
        <v>27</v>
      </c>
    </row>
    <row r="873" spans="1:18" hidden="1">
      <c r="A873" s="7" t="s">
        <v>29</v>
      </c>
      <c r="B873" s="8">
        <v>20041</v>
      </c>
      <c r="C873" s="9">
        <v>45836.634189814809</v>
      </c>
      <c r="D873" s="9">
        <v>45898</v>
      </c>
      <c r="E873" s="9">
        <v>45889</v>
      </c>
      <c r="F873" s="7" t="s">
        <v>3067</v>
      </c>
      <c r="G873" s="7" t="s">
        <v>3068</v>
      </c>
      <c r="H873" s="7" t="s">
        <v>2245</v>
      </c>
      <c r="I873" s="7" t="s">
        <v>2246</v>
      </c>
      <c r="J873" s="7" t="s">
        <v>176</v>
      </c>
      <c r="K873" s="7" t="s">
        <v>177</v>
      </c>
      <c r="L873" s="10">
        <v>4025.19</v>
      </c>
      <c r="M873" s="10">
        <v>4025.19</v>
      </c>
      <c r="N873" s="10">
        <f>+L873-M873</f>
        <v>0</v>
      </c>
      <c r="O873" s="10">
        <v>4025.19</v>
      </c>
      <c r="P873" s="10">
        <f>+L873-O873</f>
        <v>0</v>
      </c>
      <c r="Q873" s="10">
        <v>0</v>
      </c>
      <c r="R873" s="7" t="s">
        <v>27</v>
      </c>
    </row>
    <row r="874" spans="1:18" hidden="1">
      <c r="A874" s="7" t="s">
        <v>29</v>
      </c>
      <c r="B874" s="8">
        <v>20363</v>
      </c>
      <c r="C874" s="9">
        <v>45900.775868055556</v>
      </c>
      <c r="D874" s="9">
        <v>45923</v>
      </c>
      <c r="E874" s="9">
        <v>45867</v>
      </c>
      <c r="F874" s="7" t="s">
        <v>3069</v>
      </c>
      <c r="G874" s="7" t="s">
        <v>3070</v>
      </c>
      <c r="H874" s="7" t="s">
        <v>2688</v>
      </c>
      <c r="I874" s="7" t="s">
        <v>2689</v>
      </c>
      <c r="J874" s="7" t="s">
        <v>176</v>
      </c>
      <c r="K874" s="7" t="s">
        <v>177</v>
      </c>
      <c r="L874" s="10">
        <v>4016</v>
      </c>
      <c r="M874" s="10">
        <v>4016</v>
      </c>
      <c r="N874" s="10">
        <f>+L874-M874</f>
        <v>0</v>
      </c>
      <c r="O874" s="10">
        <v>4016</v>
      </c>
      <c r="P874" s="10">
        <f>+L874-O874</f>
        <v>0</v>
      </c>
      <c r="Q874" s="10">
        <v>0</v>
      </c>
      <c r="R874" s="7" t="s">
        <v>27</v>
      </c>
    </row>
    <row r="875" spans="1:18" hidden="1">
      <c r="A875" s="7" t="s">
        <v>29</v>
      </c>
      <c r="B875" s="8">
        <v>20305</v>
      </c>
      <c r="C875" s="9">
        <v>45889.708402777775</v>
      </c>
      <c r="D875" s="9">
        <v>45866</v>
      </c>
      <c r="E875" s="9">
        <v>45838</v>
      </c>
      <c r="F875" s="7" t="s">
        <v>3071</v>
      </c>
      <c r="G875" s="7" t="s">
        <v>3072</v>
      </c>
      <c r="H875" s="7" t="s">
        <v>3073</v>
      </c>
      <c r="I875" s="7" t="s">
        <v>3074</v>
      </c>
      <c r="J875" s="7" t="s">
        <v>176</v>
      </c>
      <c r="K875" s="7" t="s">
        <v>177</v>
      </c>
      <c r="L875" s="10">
        <v>4000</v>
      </c>
      <c r="M875" s="10">
        <v>4000</v>
      </c>
      <c r="N875" s="10">
        <f>+L875-M875</f>
        <v>0</v>
      </c>
      <c r="O875" s="10">
        <v>4000</v>
      </c>
      <c r="P875" s="10">
        <f>+L875-O875</f>
        <v>0</v>
      </c>
      <c r="Q875" s="10">
        <v>0</v>
      </c>
      <c r="R875" s="7" t="s">
        <v>27</v>
      </c>
    </row>
    <row r="876" spans="1:18">
      <c r="A876" s="7" t="s">
        <v>29</v>
      </c>
      <c r="B876" s="8">
        <v>20005</v>
      </c>
      <c r="C876" s="9">
        <v>45832.565011574072</v>
      </c>
      <c r="D876" s="9">
        <v>45836</v>
      </c>
      <c r="E876" s="9">
        <v>45831</v>
      </c>
      <c r="F876" s="7" t="s">
        <v>3075</v>
      </c>
      <c r="G876" s="7" t="s">
        <v>3076</v>
      </c>
      <c r="H876" s="7" t="s">
        <v>3077</v>
      </c>
      <c r="I876" s="7" t="s">
        <v>327</v>
      </c>
      <c r="J876" s="7" t="s">
        <v>25</v>
      </c>
      <c r="K876" s="7" t="s">
        <v>170</v>
      </c>
      <c r="L876" s="10">
        <v>8588</v>
      </c>
      <c r="M876" s="10">
        <v>8588</v>
      </c>
      <c r="N876" s="10">
        <f>+L876-M876</f>
        <v>0</v>
      </c>
      <c r="O876" s="10">
        <v>8588</v>
      </c>
      <c r="P876" s="10">
        <f>+L876-O876</f>
        <v>0</v>
      </c>
      <c r="Q876" s="10">
        <v>0</v>
      </c>
      <c r="R876" s="7" t="s">
        <v>27</v>
      </c>
    </row>
    <row r="877" spans="1:18" hidden="1">
      <c r="A877" s="7" t="s">
        <v>29</v>
      </c>
      <c r="B877" s="8">
        <v>19558</v>
      </c>
      <c r="C877" s="9">
        <v>45741.617523148147</v>
      </c>
      <c r="D877" s="9">
        <v>45770</v>
      </c>
      <c r="E877" s="9">
        <v>45735</v>
      </c>
      <c r="F877" s="7" t="s">
        <v>3078</v>
      </c>
      <c r="G877" s="7" t="s">
        <v>3079</v>
      </c>
      <c r="H877" s="7" t="s">
        <v>3080</v>
      </c>
      <c r="I877" s="7" t="s">
        <v>3081</v>
      </c>
      <c r="J877" s="7" t="s">
        <v>176</v>
      </c>
      <c r="K877" s="7" t="s">
        <v>494</v>
      </c>
      <c r="L877" s="10">
        <v>3990</v>
      </c>
      <c r="M877" s="10">
        <v>3990</v>
      </c>
      <c r="N877" s="10">
        <f>+L877-M877</f>
        <v>0</v>
      </c>
      <c r="O877" s="10">
        <v>3990</v>
      </c>
      <c r="P877" s="10">
        <f>+L877-O877</f>
        <v>0</v>
      </c>
      <c r="Q877" s="10">
        <v>0</v>
      </c>
      <c r="R877" s="7" t="s">
        <v>27</v>
      </c>
    </row>
    <row r="878" spans="1:18" hidden="1">
      <c r="A878" s="7" t="s">
        <v>29</v>
      </c>
      <c r="B878" s="8">
        <v>19778</v>
      </c>
      <c r="C878" s="9">
        <v>45784.441307870366</v>
      </c>
      <c r="D878" s="9">
        <v>45790</v>
      </c>
      <c r="E878" s="9">
        <v>45783</v>
      </c>
      <c r="F878" s="7" t="s">
        <v>3082</v>
      </c>
      <c r="G878" s="7" t="s">
        <v>3083</v>
      </c>
      <c r="H878" s="7" t="s">
        <v>3084</v>
      </c>
      <c r="I878" s="7" t="s">
        <v>3085</v>
      </c>
      <c r="J878" s="7" t="s">
        <v>176</v>
      </c>
      <c r="K878" s="7" t="s">
        <v>584</v>
      </c>
      <c r="L878" s="10">
        <v>3975</v>
      </c>
      <c r="M878" s="10">
        <v>3975</v>
      </c>
      <c r="N878" s="10">
        <f>+L878-M878</f>
        <v>0</v>
      </c>
      <c r="O878" s="10">
        <v>3975</v>
      </c>
      <c r="P878" s="10">
        <f>+L878-O878</f>
        <v>0</v>
      </c>
      <c r="Q878" s="10">
        <v>0</v>
      </c>
      <c r="R878" s="7" t="s">
        <v>27</v>
      </c>
    </row>
    <row r="879" spans="1:18" hidden="1">
      <c r="A879" s="7" t="s">
        <v>29</v>
      </c>
      <c r="B879" s="8">
        <v>4265</v>
      </c>
      <c r="C879" s="9">
        <v>45931.604733796295</v>
      </c>
      <c r="D879" s="9">
        <v>45925</v>
      </c>
      <c r="E879" s="9">
        <v>45925</v>
      </c>
      <c r="F879" s="7" t="s">
        <v>3086</v>
      </c>
      <c r="G879" s="7" t="s">
        <v>1917</v>
      </c>
      <c r="H879" s="7" t="s">
        <v>3087</v>
      </c>
      <c r="I879" s="7" t="s">
        <v>1483</v>
      </c>
      <c r="J879" s="7" t="s">
        <v>25</v>
      </c>
      <c r="K879" s="7" t="s">
        <v>206</v>
      </c>
      <c r="L879" s="10">
        <v>8555.4</v>
      </c>
      <c r="M879" s="10">
        <v>8555.4</v>
      </c>
      <c r="N879" s="15">
        <f>+L879-M879</f>
        <v>0</v>
      </c>
      <c r="O879" s="15">
        <v>8555.4</v>
      </c>
      <c r="P879" s="15">
        <f>+L879-O879</f>
        <v>0</v>
      </c>
      <c r="Q879" s="10">
        <v>0</v>
      </c>
      <c r="R879" s="7" t="s">
        <v>87</v>
      </c>
    </row>
    <row r="880" spans="1:18" hidden="1">
      <c r="A880" s="7" t="s">
        <v>29</v>
      </c>
      <c r="B880" s="8">
        <v>4306</v>
      </c>
      <c r="C880" s="9">
        <v>45987.595254629625</v>
      </c>
      <c r="D880" s="9">
        <v>45987</v>
      </c>
      <c r="E880" s="9">
        <v>46017</v>
      </c>
      <c r="F880" s="7" t="s">
        <v>3088</v>
      </c>
      <c r="G880" s="7" t="s">
        <v>3089</v>
      </c>
      <c r="H880" s="7" t="s">
        <v>2685</v>
      </c>
      <c r="I880" s="7" t="s">
        <v>1298</v>
      </c>
      <c r="J880" s="7" t="s">
        <v>25</v>
      </c>
      <c r="K880" s="7" t="s">
        <v>206</v>
      </c>
      <c r="L880" s="10">
        <v>8260.32</v>
      </c>
      <c r="M880" s="10">
        <v>8260.32</v>
      </c>
      <c r="N880" s="15">
        <f>+L880-M880</f>
        <v>0</v>
      </c>
      <c r="O880" s="15">
        <v>8260.32</v>
      </c>
      <c r="P880" s="15">
        <f>+L880-O880</f>
        <v>0</v>
      </c>
      <c r="Q880" s="10">
        <v>0</v>
      </c>
      <c r="R880" s="7" t="s">
        <v>87</v>
      </c>
    </row>
    <row r="881" spans="1:18">
      <c r="A881" s="7" t="s">
        <v>29</v>
      </c>
      <c r="B881" s="8">
        <v>19908</v>
      </c>
      <c r="C881" s="9">
        <v>45810.591018518513</v>
      </c>
      <c r="D881" s="9">
        <v>45807</v>
      </c>
      <c r="E881" s="9">
        <v>45866</v>
      </c>
      <c r="F881" s="7" t="s">
        <v>3090</v>
      </c>
      <c r="G881" s="7" t="s">
        <v>3091</v>
      </c>
      <c r="H881" s="7" t="s">
        <v>1803</v>
      </c>
      <c r="I881" s="7" t="s">
        <v>1804</v>
      </c>
      <c r="J881" s="7" t="s">
        <v>25</v>
      </c>
      <c r="K881" s="7" t="s">
        <v>55</v>
      </c>
      <c r="L881" s="10">
        <v>8252.84</v>
      </c>
      <c r="M881" s="10">
        <v>8252.84</v>
      </c>
      <c r="N881" s="10">
        <f>+L881-M881</f>
        <v>0</v>
      </c>
      <c r="O881" s="10">
        <v>8252.84</v>
      </c>
      <c r="P881" s="10">
        <f>+L881-O881</f>
        <v>0</v>
      </c>
      <c r="Q881" s="10">
        <v>0</v>
      </c>
      <c r="R881" s="7" t="s">
        <v>27</v>
      </c>
    </row>
    <row r="882" spans="1:18" hidden="1">
      <c r="A882" s="7" t="s">
        <v>29</v>
      </c>
      <c r="B882" s="8">
        <v>19704</v>
      </c>
      <c r="C882" s="9">
        <v>45771.421064814815</v>
      </c>
      <c r="D882" s="9">
        <v>45694</v>
      </c>
      <c r="E882" s="9">
        <v>45687</v>
      </c>
      <c r="F882" s="7" t="s">
        <v>3092</v>
      </c>
      <c r="G882" s="7" t="s">
        <v>3093</v>
      </c>
      <c r="H882" s="7" t="s">
        <v>3094</v>
      </c>
      <c r="I882" s="7" t="s">
        <v>3095</v>
      </c>
      <c r="J882" s="7" t="s">
        <v>176</v>
      </c>
      <c r="K882" s="7" t="s">
        <v>569</v>
      </c>
      <c r="L882" s="10">
        <v>3818.2</v>
      </c>
      <c r="M882" s="10">
        <v>3818.2</v>
      </c>
      <c r="N882" s="10">
        <f>+L882-M882</f>
        <v>0</v>
      </c>
      <c r="O882" s="10">
        <v>3818.2</v>
      </c>
      <c r="P882" s="10">
        <f>+L882-O882</f>
        <v>0</v>
      </c>
      <c r="Q882" s="10">
        <v>0</v>
      </c>
      <c r="R882" s="7" t="s">
        <v>27</v>
      </c>
    </row>
    <row r="883" spans="1:18" hidden="1">
      <c r="A883" s="7" t="s">
        <v>29</v>
      </c>
      <c r="B883" s="8">
        <v>20675</v>
      </c>
      <c r="C883" s="9">
        <v>45966.675069444442</v>
      </c>
      <c r="D883" s="9">
        <v>45930</v>
      </c>
      <c r="E883" s="9">
        <v>45966</v>
      </c>
      <c r="F883" s="7" t="s">
        <v>3096</v>
      </c>
      <c r="G883" s="7" t="s">
        <v>3097</v>
      </c>
      <c r="H883" s="7" t="s">
        <v>2241</v>
      </c>
      <c r="I883" s="7" t="s">
        <v>2242</v>
      </c>
      <c r="J883" s="7" t="s">
        <v>176</v>
      </c>
      <c r="K883" s="7" t="s">
        <v>374</v>
      </c>
      <c r="L883" s="10">
        <v>3811</v>
      </c>
      <c r="M883" s="10">
        <v>3811</v>
      </c>
      <c r="N883" s="10">
        <f>+L883-M883</f>
        <v>0</v>
      </c>
      <c r="O883" s="10">
        <v>3811</v>
      </c>
      <c r="P883" s="10">
        <f>+L883-O883</f>
        <v>0</v>
      </c>
      <c r="Q883" s="10">
        <v>0</v>
      </c>
      <c r="R883" s="7" t="s">
        <v>27</v>
      </c>
    </row>
    <row r="884" spans="1:18" hidden="1">
      <c r="A884" s="7" t="s">
        <v>29</v>
      </c>
      <c r="B884" s="8">
        <v>19584</v>
      </c>
      <c r="C884" s="9">
        <v>45744.4846875</v>
      </c>
      <c r="D884" s="9">
        <v>45743</v>
      </c>
      <c r="E884" s="9">
        <v>45744</v>
      </c>
      <c r="F884" s="7" t="s">
        <v>3098</v>
      </c>
      <c r="G884" s="7" t="s">
        <v>3099</v>
      </c>
      <c r="H884" s="7" t="s">
        <v>2163</v>
      </c>
      <c r="I884" s="7" t="s">
        <v>2164</v>
      </c>
      <c r="J884" s="7" t="s">
        <v>176</v>
      </c>
      <c r="K884" s="7" t="s">
        <v>374</v>
      </c>
      <c r="L884" s="10">
        <v>3800</v>
      </c>
      <c r="M884" s="10">
        <v>3800</v>
      </c>
      <c r="N884" s="10">
        <f>+L884-M884</f>
        <v>0</v>
      </c>
      <c r="O884" s="10">
        <v>3800</v>
      </c>
      <c r="P884" s="10">
        <f>+L884-O884</f>
        <v>0</v>
      </c>
      <c r="Q884" s="10">
        <v>0</v>
      </c>
      <c r="R884" s="7" t="s">
        <v>27</v>
      </c>
    </row>
    <row r="885" spans="1:18" hidden="1">
      <c r="A885" s="7" t="s">
        <v>29</v>
      </c>
      <c r="B885" s="8">
        <v>19364</v>
      </c>
      <c r="C885" s="9">
        <v>45687.367488425924</v>
      </c>
      <c r="D885" s="9">
        <v>45684</v>
      </c>
      <c r="E885" s="9">
        <v>45684</v>
      </c>
      <c r="F885" s="7" t="s">
        <v>3100</v>
      </c>
      <c r="G885" s="7" t="s">
        <v>3101</v>
      </c>
      <c r="H885" s="7" t="s">
        <v>3102</v>
      </c>
      <c r="I885" s="7" t="s">
        <v>3103</v>
      </c>
      <c r="J885" s="7" t="s">
        <v>40</v>
      </c>
      <c r="K885" s="7" t="s">
        <v>41</v>
      </c>
      <c r="L885" s="10">
        <v>2904.73</v>
      </c>
      <c r="M885" s="10">
        <v>2904.73</v>
      </c>
      <c r="N885" s="10">
        <f>+L885-M885</f>
        <v>0</v>
      </c>
      <c r="O885" s="10">
        <v>2904.73</v>
      </c>
      <c r="P885" s="10">
        <f>+L885-O885</f>
        <v>0</v>
      </c>
      <c r="Q885" s="10">
        <v>0</v>
      </c>
      <c r="R885" s="7" t="s">
        <v>27</v>
      </c>
    </row>
    <row r="886" spans="1:18" hidden="1">
      <c r="A886" s="7" t="s">
        <v>29</v>
      </c>
      <c r="B886" s="8">
        <v>20719</v>
      </c>
      <c r="C886" s="9">
        <v>45986.372974537036</v>
      </c>
      <c r="D886" s="9">
        <v>45986</v>
      </c>
      <c r="E886" s="9">
        <v>46095</v>
      </c>
      <c r="F886" s="7" t="s">
        <v>3104</v>
      </c>
      <c r="G886" s="7" t="s">
        <v>3105</v>
      </c>
      <c r="H886" s="7" t="s">
        <v>1815</v>
      </c>
      <c r="I886" s="7" t="s">
        <v>1816</v>
      </c>
      <c r="J886" s="7" t="s">
        <v>34</v>
      </c>
      <c r="K886" s="7" t="s">
        <v>35</v>
      </c>
      <c r="L886" s="10">
        <v>3740.75</v>
      </c>
      <c r="M886" s="10">
        <v>3740.75</v>
      </c>
      <c r="N886" s="10">
        <f>+L886-M886</f>
        <v>0</v>
      </c>
      <c r="O886" s="10">
        <v>3740.75</v>
      </c>
      <c r="P886" s="10">
        <f>+L886-O886</f>
        <v>0</v>
      </c>
      <c r="Q886" s="10">
        <v>0</v>
      </c>
      <c r="R886" s="7" t="s">
        <v>27</v>
      </c>
    </row>
    <row r="887" spans="1:18" hidden="1">
      <c r="A887" s="7" t="s">
        <v>29</v>
      </c>
      <c r="B887" s="8">
        <v>19452</v>
      </c>
      <c r="C887" s="9">
        <v>45713.415370370371</v>
      </c>
      <c r="D887" s="9">
        <v>45713</v>
      </c>
      <c r="E887" s="9">
        <v>45712</v>
      </c>
      <c r="F887" s="7" t="s">
        <v>3106</v>
      </c>
      <c r="G887" s="7" t="s">
        <v>3107</v>
      </c>
      <c r="H887" s="7" t="s">
        <v>3108</v>
      </c>
      <c r="I887" s="7" t="s">
        <v>3109</v>
      </c>
      <c r="J887" s="7" t="s">
        <v>34</v>
      </c>
      <c r="K887" s="7" t="s">
        <v>269</v>
      </c>
      <c r="L887" s="10">
        <v>3726.89</v>
      </c>
      <c r="M887" s="10">
        <v>3726.89</v>
      </c>
      <c r="N887" s="10">
        <f>+L887-M887</f>
        <v>0</v>
      </c>
      <c r="O887" s="10">
        <v>3726.89</v>
      </c>
      <c r="P887" s="10">
        <f>+L887-O887</f>
        <v>0</v>
      </c>
      <c r="Q887" s="10">
        <v>0</v>
      </c>
      <c r="R887" s="7" t="s">
        <v>27</v>
      </c>
    </row>
    <row r="888" spans="1:18" hidden="1">
      <c r="A888" s="7" t="s">
        <v>29</v>
      </c>
      <c r="B888" s="8">
        <v>20331</v>
      </c>
      <c r="C888" s="9">
        <v>45895.503333333334</v>
      </c>
      <c r="D888" s="9">
        <v>45895</v>
      </c>
      <c r="E888" s="9">
        <v>45945</v>
      </c>
      <c r="F888" s="7" t="s">
        <v>3110</v>
      </c>
      <c r="G888" s="7" t="s">
        <v>3111</v>
      </c>
      <c r="H888" s="7" t="s">
        <v>1017</v>
      </c>
      <c r="I888" s="7" t="s">
        <v>1018</v>
      </c>
      <c r="J888" s="7" t="s">
        <v>34</v>
      </c>
      <c r="K888" s="7" t="s">
        <v>451</v>
      </c>
      <c r="L888" s="10">
        <v>3714.16</v>
      </c>
      <c r="M888" s="10">
        <v>3714.16</v>
      </c>
      <c r="N888" s="10">
        <f>+L888-M888</f>
        <v>0</v>
      </c>
      <c r="O888" s="10">
        <v>3714.16</v>
      </c>
      <c r="P888" s="10">
        <f>+L888-O888</f>
        <v>0</v>
      </c>
      <c r="Q888" s="10">
        <v>0</v>
      </c>
      <c r="R888" s="7" t="s">
        <v>27</v>
      </c>
    </row>
    <row r="889" spans="1:18" hidden="1">
      <c r="A889" s="7" t="s">
        <v>29</v>
      </c>
      <c r="B889" s="8">
        <v>19556</v>
      </c>
      <c r="C889" s="9">
        <v>45741.604710648149</v>
      </c>
      <c r="D889" s="9">
        <v>45686</v>
      </c>
      <c r="E889" s="9">
        <v>45686</v>
      </c>
      <c r="F889" s="7" t="s">
        <v>3112</v>
      </c>
      <c r="G889" s="7" t="s">
        <v>3113</v>
      </c>
      <c r="H889" s="7" t="s">
        <v>3114</v>
      </c>
      <c r="I889" s="7" t="s">
        <v>3115</v>
      </c>
      <c r="J889" s="7" t="s">
        <v>176</v>
      </c>
      <c r="K889" s="7" t="s">
        <v>494</v>
      </c>
      <c r="L889" s="10">
        <v>3672.9</v>
      </c>
      <c r="M889" s="10">
        <v>3672.9</v>
      </c>
      <c r="N889" s="10">
        <f>+L889-M889</f>
        <v>0</v>
      </c>
      <c r="O889" s="10">
        <v>3672.9</v>
      </c>
      <c r="P889" s="10">
        <f>+L889-O889</f>
        <v>0</v>
      </c>
      <c r="Q889" s="10">
        <v>0</v>
      </c>
      <c r="R889" s="7" t="s">
        <v>27</v>
      </c>
    </row>
    <row r="890" spans="1:18" hidden="1">
      <c r="A890" s="7" t="s">
        <v>29</v>
      </c>
      <c r="B890" s="8">
        <v>20429</v>
      </c>
      <c r="C890" s="9">
        <v>45910.352048611108</v>
      </c>
      <c r="D890" s="9">
        <v>45906</v>
      </c>
      <c r="E890" s="9">
        <v>45864</v>
      </c>
      <c r="F890" s="7" t="s">
        <v>3116</v>
      </c>
      <c r="G890" s="7" t="s">
        <v>3117</v>
      </c>
      <c r="H890" s="7" t="s">
        <v>3118</v>
      </c>
      <c r="I890" s="7" t="s">
        <v>3119</v>
      </c>
      <c r="J890" s="7" t="s">
        <v>176</v>
      </c>
      <c r="K890" s="7" t="s">
        <v>584</v>
      </c>
      <c r="L890" s="10">
        <v>3650</v>
      </c>
      <c r="M890" s="10">
        <v>3650</v>
      </c>
      <c r="N890" s="10">
        <f>+L890-M890</f>
        <v>0</v>
      </c>
      <c r="O890" s="10">
        <v>3650</v>
      </c>
      <c r="P890" s="10">
        <f>+L890-O890</f>
        <v>0</v>
      </c>
      <c r="Q890" s="10">
        <v>0</v>
      </c>
      <c r="R890" s="7" t="s">
        <v>27</v>
      </c>
    </row>
    <row r="891" spans="1:18">
      <c r="A891" s="7" t="s">
        <v>29</v>
      </c>
      <c r="B891" s="8">
        <v>20143</v>
      </c>
      <c r="C891" s="9">
        <v>45852.548819444441</v>
      </c>
      <c r="D891" s="9">
        <v>45849</v>
      </c>
      <c r="E891" s="9">
        <v>45762</v>
      </c>
      <c r="F891" s="7" t="s">
        <v>3120</v>
      </c>
      <c r="G891" s="7" t="s">
        <v>3121</v>
      </c>
      <c r="H891" s="7" t="s">
        <v>1154</v>
      </c>
      <c r="I891" s="7" t="s">
        <v>1155</v>
      </c>
      <c r="J891" s="7" t="s">
        <v>25</v>
      </c>
      <c r="K891" s="7" t="s">
        <v>537</v>
      </c>
      <c r="L891" s="10">
        <v>8198.9500000000007</v>
      </c>
      <c r="M891" s="10">
        <v>8198.9500000000007</v>
      </c>
      <c r="N891" s="10">
        <f>+L891-M891</f>
        <v>0</v>
      </c>
      <c r="O891" s="10">
        <v>8198.9500000000007</v>
      </c>
      <c r="P891" s="10">
        <f>+L891-O891</f>
        <v>0</v>
      </c>
      <c r="Q891" s="10">
        <v>0</v>
      </c>
      <c r="R891" s="7" t="s">
        <v>27</v>
      </c>
    </row>
    <row r="892" spans="1:18" hidden="1">
      <c r="A892" s="7" t="s">
        <v>29</v>
      </c>
      <c r="B892" s="8">
        <v>19609</v>
      </c>
      <c r="C892" s="9">
        <v>45750.745636574073</v>
      </c>
      <c r="D892" s="9">
        <v>45791</v>
      </c>
      <c r="E892" s="9">
        <v>45765</v>
      </c>
      <c r="F892" s="7" t="s">
        <v>3122</v>
      </c>
      <c r="G892" s="7" t="s">
        <v>3123</v>
      </c>
      <c r="H892" s="7" t="s">
        <v>3124</v>
      </c>
      <c r="I892" s="7" t="s">
        <v>3125</v>
      </c>
      <c r="J892" s="7" t="s">
        <v>176</v>
      </c>
      <c r="K892" s="7" t="s">
        <v>569</v>
      </c>
      <c r="L892" s="10">
        <v>3641.57</v>
      </c>
      <c r="M892" s="10">
        <v>3641.57</v>
      </c>
      <c r="N892" s="10">
        <f>+L892-M892</f>
        <v>0</v>
      </c>
      <c r="O892" s="10">
        <v>3641.57</v>
      </c>
      <c r="P892" s="10">
        <f>+L892-O892</f>
        <v>0</v>
      </c>
      <c r="Q892" s="10">
        <v>0</v>
      </c>
      <c r="R892" s="7" t="s">
        <v>27</v>
      </c>
    </row>
    <row r="893" spans="1:18" hidden="1">
      <c r="A893" s="7" t="s">
        <v>29</v>
      </c>
      <c r="B893" s="8">
        <v>4243</v>
      </c>
      <c r="C893" s="9">
        <v>45847.48060185185</v>
      </c>
      <c r="D893" s="9">
        <v>45832</v>
      </c>
      <c r="E893" s="9">
        <v>45835</v>
      </c>
      <c r="F893" s="7" t="s">
        <v>3126</v>
      </c>
      <c r="G893" s="7" t="s">
        <v>2146</v>
      </c>
      <c r="H893" s="7" t="s">
        <v>3127</v>
      </c>
      <c r="I893" s="7" t="s">
        <v>3128</v>
      </c>
      <c r="J893" s="7" t="s">
        <v>25</v>
      </c>
      <c r="K893" s="7" t="s">
        <v>125</v>
      </c>
      <c r="L893" s="10">
        <v>8138.26</v>
      </c>
      <c r="M893" s="10">
        <v>8138.26</v>
      </c>
      <c r="N893" s="15">
        <f>+L893-M893</f>
        <v>0</v>
      </c>
      <c r="O893" s="15">
        <v>8138.26</v>
      </c>
      <c r="P893" s="15">
        <f>+L893-O893</f>
        <v>0</v>
      </c>
      <c r="Q893" s="10">
        <v>0</v>
      </c>
      <c r="R893" s="7" t="s">
        <v>87</v>
      </c>
    </row>
    <row r="894" spans="1:18">
      <c r="A894" s="7" t="s">
        <v>29</v>
      </c>
      <c r="B894" s="8">
        <v>19346</v>
      </c>
      <c r="C894" s="9">
        <v>45679.656805555554</v>
      </c>
      <c r="D894" s="9">
        <v>45502</v>
      </c>
      <c r="E894" s="9">
        <v>45471</v>
      </c>
      <c r="F894" s="7" t="s">
        <v>3129</v>
      </c>
      <c r="G894" s="7" t="s">
        <v>1110</v>
      </c>
      <c r="H894" s="7" t="s">
        <v>3130</v>
      </c>
      <c r="I894" s="7" t="s">
        <v>3131</v>
      </c>
      <c r="J894" s="7" t="s">
        <v>25</v>
      </c>
      <c r="K894" s="7" t="s">
        <v>3132</v>
      </c>
      <c r="L894" s="10">
        <v>8034.3</v>
      </c>
      <c r="M894" s="10">
        <v>8034.3</v>
      </c>
      <c r="N894" s="10">
        <f>+L894-M894</f>
        <v>0</v>
      </c>
      <c r="O894" s="10">
        <v>8034.3</v>
      </c>
      <c r="P894" s="10">
        <f>+L894-O894</f>
        <v>0</v>
      </c>
      <c r="Q894" s="10">
        <v>0</v>
      </c>
      <c r="R894" s="7" t="s">
        <v>27</v>
      </c>
    </row>
    <row r="895" spans="1:18" hidden="1">
      <c r="A895" s="7" t="s">
        <v>29</v>
      </c>
      <c r="B895" s="8">
        <v>19644</v>
      </c>
      <c r="C895" s="9">
        <v>45756.634826388887</v>
      </c>
      <c r="D895" s="9">
        <v>45789</v>
      </c>
      <c r="E895" s="9">
        <v>45748</v>
      </c>
      <c r="F895" s="7" t="s">
        <v>3133</v>
      </c>
      <c r="G895" s="7" t="s">
        <v>3134</v>
      </c>
      <c r="H895" s="7" t="s">
        <v>1859</v>
      </c>
      <c r="I895" s="7" t="s">
        <v>1860</v>
      </c>
      <c r="J895" s="7" t="s">
        <v>176</v>
      </c>
      <c r="K895" s="7" t="s">
        <v>374</v>
      </c>
      <c r="L895" s="10">
        <v>3614</v>
      </c>
      <c r="M895" s="10">
        <v>3614</v>
      </c>
      <c r="N895" s="10">
        <f>+L895-M895</f>
        <v>0</v>
      </c>
      <c r="O895" s="10">
        <v>3614</v>
      </c>
      <c r="P895" s="10">
        <f>+L895-O895</f>
        <v>0</v>
      </c>
      <c r="Q895" s="10">
        <v>0</v>
      </c>
      <c r="R895" s="7" t="s">
        <v>27</v>
      </c>
    </row>
    <row r="896" spans="1:18" hidden="1">
      <c r="A896" s="7" t="s">
        <v>29</v>
      </c>
      <c r="B896" s="8">
        <v>20808</v>
      </c>
      <c r="C896" s="9">
        <v>46019.921689814815</v>
      </c>
      <c r="D896" s="9">
        <v>46038</v>
      </c>
      <c r="E896" s="9">
        <v>45982</v>
      </c>
      <c r="F896" s="7" t="s">
        <v>3135</v>
      </c>
      <c r="G896" s="7" t="s">
        <v>3136</v>
      </c>
      <c r="H896" s="7" t="s">
        <v>3137</v>
      </c>
      <c r="I896" s="7" t="s">
        <v>3138</v>
      </c>
      <c r="J896" s="7" t="s">
        <v>176</v>
      </c>
      <c r="K896" s="7" t="s">
        <v>584</v>
      </c>
      <c r="L896" s="10">
        <v>3600</v>
      </c>
      <c r="M896" s="10">
        <v>3600</v>
      </c>
      <c r="N896" s="10">
        <f>+L896-M896</f>
        <v>0</v>
      </c>
      <c r="O896" s="10">
        <v>3600</v>
      </c>
      <c r="P896" s="10">
        <f>+L896-O896</f>
        <v>0</v>
      </c>
      <c r="Q896" s="10">
        <v>0</v>
      </c>
      <c r="R896" s="7" t="s">
        <v>27</v>
      </c>
    </row>
    <row r="897" spans="1:18" hidden="1">
      <c r="A897" s="7" t="s">
        <v>29</v>
      </c>
      <c r="B897" s="8">
        <v>4311</v>
      </c>
      <c r="C897" s="9">
        <v>45988.397256944445</v>
      </c>
      <c r="D897" s="9">
        <v>46017</v>
      </c>
      <c r="E897" s="9">
        <v>46017</v>
      </c>
      <c r="F897" s="7" t="s">
        <v>3139</v>
      </c>
      <c r="G897" s="7" t="s">
        <v>3140</v>
      </c>
      <c r="H897" s="7" t="s">
        <v>2685</v>
      </c>
      <c r="I897" s="7" t="s">
        <v>1298</v>
      </c>
      <c r="J897" s="7" t="s">
        <v>25</v>
      </c>
      <c r="K897" s="7" t="s">
        <v>206</v>
      </c>
      <c r="L897" s="10">
        <v>7999.86</v>
      </c>
      <c r="M897" s="10">
        <v>7999.86</v>
      </c>
      <c r="N897" s="15">
        <f>+L897-M897</f>
        <v>0</v>
      </c>
      <c r="O897" s="15">
        <v>7999.86</v>
      </c>
      <c r="P897" s="15">
        <f>+L897-O897</f>
        <v>0</v>
      </c>
      <c r="Q897" s="10">
        <v>0</v>
      </c>
      <c r="R897" s="7" t="s">
        <v>87</v>
      </c>
    </row>
    <row r="898" spans="1:18" hidden="1">
      <c r="A898" s="7" t="s">
        <v>29</v>
      </c>
      <c r="B898" s="8">
        <v>19809</v>
      </c>
      <c r="C898" s="9">
        <v>45791.453518518516</v>
      </c>
      <c r="D898" s="9">
        <v>45614</v>
      </c>
      <c r="E898" s="9">
        <v>45791</v>
      </c>
      <c r="F898" s="7" t="s">
        <v>3141</v>
      </c>
      <c r="G898" s="7" t="s">
        <v>3142</v>
      </c>
      <c r="H898" s="7" t="s">
        <v>3143</v>
      </c>
      <c r="I898" s="7" t="s">
        <v>3144</v>
      </c>
      <c r="J898" s="7" t="s">
        <v>176</v>
      </c>
      <c r="K898" s="7" t="s">
        <v>494</v>
      </c>
      <c r="L898" s="10">
        <v>3588.42</v>
      </c>
      <c r="M898" s="10">
        <v>3588.42</v>
      </c>
      <c r="N898" s="10">
        <f>+L898-M898</f>
        <v>0</v>
      </c>
      <c r="O898" s="10">
        <v>3588.42</v>
      </c>
      <c r="P898" s="10">
        <f>+L898-O898</f>
        <v>0</v>
      </c>
      <c r="Q898" s="10">
        <v>0</v>
      </c>
      <c r="R898" s="7" t="s">
        <v>27</v>
      </c>
    </row>
    <row r="899" spans="1:18" hidden="1">
      <c r="A899" s="7" t="s">
        <v>29</v>
      </c>
      <c r="B899" s="8">
        <v>20526</v>
      </c>
      <c r="C899" s="9">
        <v>45930.378946759258</v>
      </c>
      <c r="D899" s="9">
        <v>45930</v>
      </c>
      <c r="E899" s="9">
        <v>45924</v>
      </c>
      <c r="F899" s="7" t="s">
        <v>3145</v>
      </c>
      <c r="G899" s="7" t="s">
        <v>3146</v>
      </c>
      <c r="H899" s="7" t="s">
        <v>1084</v>
      </c>
      <c r="I899" s="7" t="s">
        <v>1085</v>
      </c>
      <c r="J899" s="7" t="s">
        <v>34</v>
      </c>
      <c r="K899" s="7" t="s">
        <v>990</v>
      </c>
      <c r="L899" s="10">
        <v>3587.57</v>
      </c>
      <c r="M899" s="10">
        <v>3587.57</v>
      </c>
      <c r="N899" s="10">
        <f>+L899-M899</f>
        <v>0</v>
      </c>
      <c r="O899" s="10">
        <v>3587.57</v>
      </c>
      <c r="P899" s="10">
        <f>+L899-O899</f>
        <v>0</v>
      </c>
      <c r="Q899" s="10">
        <v>0</v>
      </c>
      <c r="R899" s="7" t="s">
        <v>27</v>
      </c>
    </row>
    <row r="900" spans="1:18" hidden="1">
      <c r="A900" s="7" t="s">
        <v>29</v>
      </c>
      <c r="B900" s="8">
        <v>20206</v>
      </c>
      <c r="C900" s="9">
        <v>45869.382928240739</v>
      </c>
      <c r="D900" s="9">
        <v>45869</v>
      </c>
      <c r="E900" s="9">
        <v>45975</v>
      </c>
      <c r="F900" s="7" t="s">
        <v>3147</v>
      </c>
      <c r="G900" s="7" t="s">
        <v>3148</v>
      </c>
      <c r="H900" s="7" t="s">
        <v>1815</v>
      </c>
      <c r="I900" s="7" t="s">
        <v>1816</v>
      </c>
      <c r="J900" s="7" t="s">
        <v>34</v>
      </c>
      <c r="K900" s="7" t="s">
        <v>35</v>
      </c>
      <c r="L900" s="10">
        <v>3554.36</v>
      </c>
      <c r="M900" s="10">
        <v>3554.36</v>
      </c>
      <c r="N900" s="10">
        <f>+L900-M900</f>
        <v>0</v>
      </c>
      <c r="O900" s="10">
        <v>3554.36</v>
      </c>
      <c r="P900" s="10">
        <f>+L900-O900</f>
        <v>0</v>
      </c>
      <c r="Q900" s="10">
        <v>0</v>
      </c>
      <c r="R900" s="7" t="s">
        <v>27</v>
      </c>
    </row>
    <row r="901" spans="1:18">
      <c r="A901" s="7" t="s">
        <v>29</v>
      </c>
      <c r="B901" s="8">
        <v>19415</v>
      </c>
      <c r="C901" s="9">
        <v>45702.475613425922</v>
      </c>
      <c r="D901" s="9">
        <v>45723</v>
      </c>
      <c r="E901" s="9">
        <v>45743</v>
      </c>
      <c r="F901" s="7" t="s">
        <v>3149</v>
      </c>
      <c r="G901" s="7" t="s">
        <v>3150</v>
      </c>
      <c r="H901" s="7" t="s">
        <v>3151</v>
      </c>
      <c r="I901" s="7" t="s">
        <v>3152</v>
      </c>
      <c r="J901" s="7" t="s">
        <v>25</v>
      </c>
      <c r="K901" s="7" t="s">
        <v>55</v>
      </c>
      <c r="L901" s="10">
        <v>7546.37</v>
      </c>
      <c r="M901" s="10">
        <v>7546.37</v>
      </c>
      <c r="N901" s="10">
        <f>+L901-M901</f>
        <v>0</v>
      </c>
      <c r="O901" s="10">
        <v>7546.37</v>
      </c>
      <c r="P901" s="10">
        <f>+L901-O901</f>
        <v>0</v>
      </c>
      <c r="Q901" s="10">
        <v>0</v>
      </c>
      <c r="R901" s="7" t="s">
        <v>27</v>
      </c>
    </row>
    <row r="902" spans="1:18" hidden="1">
      <c r="A902" s="7" t="s">
        <v>29</v>
      </c>
      <c r="B902" s="8">
        <v>20063</v>
      </c>
      <c r="C902" s="9">
        <v>45838.456030092588</v>
      </c>
      <c r="D902" s="9">
        <v>45820</v>
      </c>
      <c r="E902" s="9">
        <v>45835</v>
      </c>
      <c r="F902" s="7" t="s">
        <v>3153</v>
      </c>
      <c r="G902" s="7" t="s">
        <v>3154</v>
      </c>
      <c r="H902" s="7" t="s">
        <v>3155</v>
      </c>
      <c r="I902" s="7" t="s">
        <v>3156</v>
      </c>
      <c r="J902" s="7" t="s">
        <v>176</v>
      </c>
      <c r="K902" s="7" t="s">
        <v>584</v>
      </c>
      <c r="L902" s="10">
        <v>3525</v>
      </c>
      <c r="M902" s="10">
        <v>3525</v>
      </c>
      <c r="N902" s="10">
        <f>+L902-M902</f>
        <v>0</v>
      </c>
      <c r="O902" s="10">
        <v>3525</v>
      </c>
      <c r="P902" s="10">
        <f>+L902-O902</f>
        <v>0</v>
      </c>
      <c r="Q902" s="10">
        <v>0</v>
      </c>
      <c r="R902" s="7" t="s">
        <v>27</v>
      </c>
    </row>
    <row r="903" spans="1:18" hidden="1">
      <c r="A903" s="7" t="s">
        <v>29</v>
      </c>
      <c r="B903" s="8">
        <v>20023</v>
      </c>
      <c r="C903" s="9">
        <v>45833.653090277774</v>
      </c>
      <c r="D903" s="9">
        <v>45833</v>
      </c>
      <c r="E903" s="9">
        <v>45863</v>
      </c>
      <c r="F903" s="7" t="s">
        <v>3157</v>
      </c>
      <c r="G903" s="7" t="s">
        <v>3158</v>
      </c>
      <c r="H903" s="7" t="s">
        <v>3159</v>
      </c>
      <c r="I903" s="7" t="s">
        <v>3160</v>
      </c>
      <c r="J903" s="7" t="s">
        <v>34</v>
      </c>
      <c r="K903" s="7" t="s">
        <v>269</v>
      </c>
      <c r="L903" s="10">
        <v>3493.19</v>
      </c>
      <c r="M903" s="10">
        <v>3493.19</v>
      </c>
      <c r="N903" s="10">
        <f>+L903-M903</f>
        <v>0</v>
      </c>
      <c r="O903" s="10">
        <v>3493.19</v>
      </c>
      <c r="P903" s="10">
        <f>+L903-O903</f>
        <v>0</v>
      </c>
      <c r="Q903" s="10">
        <v>0</v>
      </c>
      <c r="R903" s="7" t="s">
        <v>27</v>
      </c>
    </row>
    <row r="904" spans="1:18" hidden="1">
      <c r="A904" s="7" t="s">
        <v>29</v>
      </c>
      <c r="B904" s="8">
        <v>19640</v>
      </c>
      <c r="C904" s="9">
        <v>45756.40388888889</v>
      </c>
      <c r="D904" s="9">
        <v>45782</v>
      </c>
      <c r="E904" s="9">
        <v>45755</v>
      </c>
      <c r="F904" s="7" t="s">
        <v>3161</v>
      </c>
      <c r="G904" s="7" t="s">
        <v>3162</v>
      </c>
      <c r="H904" s="7" t="s">
        <v>2260</v>
      </c>
      <c r="I904" s="7" t="s">
        <v>2261</v>
      </c>
      <c r="J904" s="7" t="s">
        <v>40</v>
      </c>
      <c r="K904" s="7" t="s">
        <v>355</v>
      </c>
      <c r="L904" s="10">
        <v>2810.02</v>
      </c>
      <c r="M904" s="10">
        <v>2810.02</v>
      </c>
      <c r="N904" s="10">
        <f>+L904-M904</f>
        <v>0</v>
      </c>
      <c r="O904" s="10">
        <v>2810.02</v>
      </c>
      <c r="P904" s="10">
        <f>+L904-O904</f>
        <v>0</v>
      </c>
      <c r="Q904" s="10">
        <v>0</v>
      </c>
      <c r="R904" s="7" t="s">
        <v>27</v>
      </c>
    </row>
    <row r="905" spans="1:18" hidden="1">
      <c r="A905" s="7" t="s">
        <v>29</v>
      </c>
      <c r="B905" s="8">
        <v>19302</v>
      </c>
      <c r="C905" s="9">
        <v>45659.487037037034</v>
      </c>
      <c r="D905" s="9">
        <v>45659</v>
      </c>
      <c r="E905" s="9">
        <v>45690</v>
      </c>
      <c r="F905" s="7" t="s">
        <v>3163</v>
      </c>
      <c r="G905" s="7" t="s">
        <v>3164</v>
      </c>
      <c r="H905" s="7" t="s">
        <v>1910</v>
      </c>
      <c r="I905" s="7" t="s">
        <v>1911</v>
      </c>
      <c r="J905" s="7" t="s">
        <v>34</v>
      </c>
      <c r="K905" s="7" t="s">
        <v>35</v>
      </c>
      <c r="L905" s="10">
        <v>3445.79</v>
      </c>
      <c r="M905" s="10">
        <v>3445.79</v>
      </c>
      <c r="N905" s="10">
        <f>+L905-M905</f>
        <v>0</v>
      </c>
      <c r="O905" s="10">
        <v>3445.79</v>
      </c>
      <c r="P905" s="10">
        <f>+L905-O905</f>
        <v>0</v>
      </c>
      <c r="Q905" s="10">
        <v>0</v>
      </c>
      <c r="R905" s="7" t="s">
        <v>27</v>
      </c>
    </row>
    <row r="906" spans="1:18">
      <c r="A906" s="7" t="s">
        <v>29</v>
      </c>
      <c r="B906" s="8">
        <v>19598</v>
      </c>
      <c r="C906" s="9">
        <v>45748.613449074073</v>
      </c>
      <c r="D906" s="9">
        <v>45807</v>
      </c>
      <c r="E906" s="9">
        <v>45761</v>
      </c>
      <c r="F906" s="7" t="s">
        <v>3165</v>
      </c>
      <c r="G906" s="7" t="s">
        <v>3166</v>
      </c>
      <c r="H906" s="7" t="s">
        <v>434</v>
      </c>
      <c r="I906" s="7" t="s">
        <v>435</v>
      </c>
      <c r="J906" s="7" t="s">
        <v>25</v>
      </c>
      <c r="K906" s="7" t="s">
        <v>26</v>
      </c>
      <c r="L906" s="10">
        <v>7457.99</v>
      </c>
      <c r="M906" s="10">
        <v>7457.99</v>
      </c>
      <c r="N906" s="10">
        <f>+L906-M906</f>
        <v>0</v>
      </c>
      <c r="O906" s="10">
        <v>7457.99</v>
      </c>
      <c r="P906" s="10">
        <f>+L906-O906</f>
        <v>0</v>
      </c>
      <c r="Q906" s="10">
        <v>0</v>
      </c>
      <c r="R906" s="7" t="s">
        <v>27</v>
      </c>
    </row>
    <row r="907" spans="1:18" hidden="1">
      <c r="A907" s="7" t="s">
        <v>29</v>
      </c>
      <c r="B907" s="8">
        <v>20274</v>
      </c>
      <c r="C907" s="9">
        <v>45881.508113425924</v>
      </c>
      <c r="D907" s="9">
        <v>45881</v>
      </c>
      <c r="E907" s="9">
        <v>45877</v>
      </c>
      <c r="F907" s="7" t="s">
        <v>3167</v>
      </c>
      <c r="G907" s="7" t="s">
        <v>3168</v>
      </c>
      <c r="H907" s="7" t="s">
        <v>3169</v>
      </c>
      <c r="I907" s="7" t="s">
        <v>3170</v>
      </c>
      <c r="J907" s="7" t="s">
        <v>34</v>
      </c>
      <c r="K907" s="7" t="s">
        <v>902</v>
      </c>
      <c r="L907" s="10">
        <v>3435.31</v>
      </c>
      <c r="M907" s="10">
        <v>3435.31</v>
      </c>
      <c r="N907" s="10">
        <f>+L907-M907</f>
        <v>0</v>
      </c>
      <c r="O907" s="10">
        <v>3435.31</v>
      </c>
      <c r="P907" s="10">
        <f>+L907-O907</f>
        <v>0</v>
      </c>
      <c r="Q907" s="10">
        <v>0</v>
      </c>
      <c r="R907" s="7" t="s">
        <v>27</v>
      </c>
    </row>
    <row r="908" spans="1:18" hidden="1">
      <c r="A908" s="7" t="s">
        <v>29</v>
      </c>
      <c r="B908" s="8">
        <v>20884</v>
      </c>
      <c r="C908" s="9">
        <v>46042.545486111107</v>
      </c>
      <c r="D908" s="9">
        <v>45917</v>
      </c>
      <c r="E908" s="9">
        <v>45917</v>
      </c>
      <c r="F908" s="7" t="s">
        <v>3171</v>
      </c>
      <c r="G908" s="7" t="s">
        <v>3172</v>
      </c>
      <c r="H908" s="7" t="s">
        <v>3173</v>
      </c>
      <c r="I908" s="7" t="s">
        <v>3174</v>
      </c>
      <c r="J908" s="7" t="s">
        <v>176</v>
      </c>
      <c r="K908" s="7" t="s">
        <v>360</v>
      </c>
      <c r="L908" s="10">
        <v>3408.42</v>
      </c>
      <c r="M908" s="10">
        <v>3408.42</v>
      </c>
      <c r="N908" s="10">
        <f>+L908-M908</f>
        <v>0</v>
      </c>
      <c r="O908" s="10">
        <v>3408.42</v>
      </c>
      <c r="P908" s="10">
        <f>+L908-O908</f>
        <v>0</v>
      </c>
      <c r="Q908" s="10">
        <v>0</v>
      </c>
      <c r="R908" s="7" t="s">
        <v>27</v>
      </c>
    </row>
    <row r="909" spans="1:18">
      <c r="A909" s="7" t="s">
        <v>29</v>
      </c>
      <c r="B909" s="8">
        <v>19715</v>
      </c>
      <c r="C909" s="9">
        <v>45771.646967592591</v>
      </c>
      <c r="D909" s="9">
        <v>45792</v>
      </c>
      <c r="E909" s="9">
        <v>45792</v>
      </c>
      <c r="F909" s="7" t="s">
        <v>3175</v>
      </c>
      <c r="G909" s="7" t="s">
        <v>3176</v>
      </c>
      <c r="H909" s="7" t="s">
        <v>3177</v>
      </c>
      <c r="I909" s="7" t="s">
        <v>3178</v>
      </c>
      <c r="J909" s="7" t="s">
        <v>25</v>
      </c>
      <c r="K909" s="7" t="s">
        <v>55</v>
      </c>
      <c r="L909" s="10">
        <v>7417.04</v>
      </c>
      <c r="M909" s="10">
        <v>7417.04</v>
      </c>
      <c r="N909" s="10">
        <f>+L909-M909</f>
        <v>0</v>
      </c>
      <c r="O909" s="10">
        <v>7417.04</v>
      </c>
      <c r="P909" s="10">
        <f>+L909-O909</f>
        <v>0</v>
      </c>
      <c r="Q909" s="10">
        <v>0</v>
      </c>
      <c r="R909" s="7" t="s">
        <v>27</v>
      </c>
    </row>
    <row r="910" spans="1:18" hidden="1">
      <c r="A910" s="7" t="s">
        <v>29</v>
      </c>
      <c r="B910" s="8">
        <v>19623</v>
      </c>
      <c r="C910" s="9">
        <v>45751.685740740737</v>
      </c>
      <c r="D910" s="9">
        <v>45770</v>
      </c>
      <c r="E910" s="9">
        <v>45762</v>
      </c>
      <c r="F910" s="7" t="s">
        <v>3179</v>
      </c>
      <c r="G910" s="7" t="s">
        <v>3180</v>
      </c>
      <c r="H910" s="7" t="s">
        <v>2253</v>
      </c>
      <c r="I910" s="7" t="s">
        <v>2254</v>
      </c>
      <c r="J910" s="7" t="s">
        <v>176</v>
      </c>
      <c r="K910" s="7" t="s">
        <v>374</v>
      </c>
      <c r="L910" s="10">
        <v>3400</v>
      </c>
      <c r="M910" s="10">
        <v>3400</v>
      </c>
      <c r="N910" s="10">
        <f>+L910-M910</f>
        <v>0</v>
      </c>
      <c r="O910" s="10">
        <v>3400</v>
      </c>
      <c r="P910" s="10">
        <f>+L910-O910</f>
        <v>0</v>
      </c>
      <c r="Q910" s="10">
        <v>0</v>
      </c>
      <c r="R910" s="7" t="s">
        <v>27</v>
      </c>
    </row>
    <row r="911" spans="1:18">
      <c r="A911" s="7" t="s">
        <v>29</v>
      </c>
      <c r="B911" s="8">
        <v>19887</v>
      </c>
      <c r="C911" s="9">
        <v>45807.355649687495</v>
      </c>
      <c r="D911" s="9">
        <v>45813</v>
      </c>
      <c r="E911" s="9">
        <v>45813</v>
      </c>
      <c r="F911" s="7" t="s">
        <v>3181</v>
      </c>
      <c r="G911" s="7" t="s">
        <v>3182</v>
      </c>
      <c r="H911" s="7" t="s">
        <v>3183</v>
      </c>
      <c r="I911" s="7" t="s">
        <v>2878</v>
      </c>
      <c r="J911" s="7" t="s">
        <v>25</v>
      </c>
      <c r="K911" s="7" t="s">
        <v>55</v>
      </c>
      <c r="L911" s="10">
        <v>7317.52</v>
      </c>
      <c r="M911" s="10">
        <v>7317.52</v>
      </c>
      <c r="N911" s="10">
        <f>+L911-M911</f>
        <v>0</v>
      </c>
      <c r="O911" s="10">
        <v>7317.52</v>
      </c>
      <c r="P911" s="10">
        <f>+L911-O911</f>
        <v>0</v>
      </c>
      <c r="Q911" s="10">
        <v>0</v>
      </c>
      <c r="R911" s="7" t="s">
        <v>27</v>
      </c>
    </row>
    <row r="912" spans="1:18" hidden="1">
      <c r="A912" s="7" t="s">
        <v>29</v>
      </c>
      <c r="B912" s="8">
        <v>20885</v>
      </c>
      <c r="C912" s="9">
        <v>46042.557187499995</v>
      </c>
      <c r="D912" s="9">
        <v>45988</v>
      </c>
      <c r="E912" s="9">
        <v>45988</v>
      </c>
      <c r="F912" s="7" t="s">
        <v>3184</v>
      </c>
      <c r="G912" s="7" t="s">
        <v>3185</v>
      </c>
      <c r="H912" s="7" t="s">
        <v>3186</v>
      </c>
      <c r="I912" s="7" t="s">
        <v>3187</v>
      </c>
      <c r="J912" s="7" t="s">
        <v>176</v>
      </c>
      <c r="K912" s="7" t="s">
        <v>360</v>
      </c>
      <c r="L912" s="10">
        <v>3389.11</v>
      </c>
      <c r="M912" s="10">
        <v>3389.11</v>
      </c>
      <c r="N912" s="10">
        <f>+L912-M912</f>
        <v>0</v>
      </c>
      <c r="O912" s="10">
        <v>3389.11</v>
      </c>
      <c r="P912" s="10">
        <f>+L912-O912</f>
        <v>0</v>
      </c>
      <c r="Q912" s="10">
        <v>0</v>
      </c>
      <c r="R912" s="7" t="s">
        <v>27</v>
      </c>
    </row>
    <row r="913" spans="1:18" hidden="1">
      <c r="A913" s="7" t="s">
        <v>29</v>
      </c>
      <c r="B913" s="8">
        <v>4141</v>
      </c>
      <c r="C913" s="9">
        <v>45664.481296296297</v>
      </c>
      <c r="D913" s="9">
        <v>45547</v>
      </c>
      <c r="E913" s="9">
        <v>45657</v>
      </c>
      <c r="F913" s="7" t="s">
        <v>3188</v>
      </c>
      <c r="G913" s="7" t="s">
        <v>3189</v>
      </c>
      <c r="H913" s="7" t="s">
        <v>3190</v>
      </c>
      <c r="I913" s="7" t="s">
        <v>3191</v>
      </c>
      <c r="J913" s="7" t="s">
        <v>25</v>
      </c>
      <c r="K913" s="7" t="s">
        <v>125</v>
      </c>
      <c r="L913" s="10">
        <v>7205.15</v>
      </c>
      <c r="M913" s="10">
        <v>7205.15</v>
      </c>
      <c r="N913" s="15">
        <f>+L913-M913</f>
        <v>0</v>
      </c>
      <c r="O913" s="15">
        <v>7205.15</v>
      </c>
      <c r="P913" s="15">
        <f>+L913-O913</f>
        <v>0</v>
      </c>
      <c r="Q913" s="10">
        <v>0</v>
      </c>
      <c r="R913" s="7" t="s">
        <v>87</v>
      </c>
    </row>
    <row r="914" spans="1:18" hidden="1">
      <c r="A914" s="7" t="s">
        <v>29</v>
      </c>
      <c r="B914" s="8">
        <v>4314</v>
      </c>
      <c r="C914" s="9">
        <v>46001.988159722219</v>
      </c>
      <c r="D914" s="9">
        <v>46080</v>
      </c>
      <c r="E914" s="9">
        <v>46000</v>
      </c>
      <c r="F914" s="7" t="s">
        <v>3192</v>
      </c>
      <c r="G914" s="7" t="s">
        <v>1414</v>
      </c>
      <c r="H914" s="7" t="s">
        <v>1121</v>
      </c>
      <c r="I914" s="7" t="s">
        <v>615</v>
      </c>
      <c r="J914" s="7" t="s">
        <v>25</v>
      </c>
      <c r="K914" s="7" t="s">
        <v>3193</v>
      </c>
      <c r="L914" s="10">
        <v>7119</v>
      </c>
      <c r="M914" s="10">
        <v>7119</v>
      </c>
      <c r="N914" s="15">
        <f>+L914-M914</f>
        <v>0</v>
      </c>
      <c r="O914" s="15">
        <v>7119</v>
      </c>
      <c r="P914" s="15">
        <f>+L914-O914</f>
        <v>0</v>
      </c>
      <c r="Q914" s="10">
        <v>0</v>
      </c>
      <c r="R914" s="7" t="s">
        <v>87</v>
      </c>
    </row>
    <row r="915" spans="1:18" hidden="1">
      <c r="A915" s="7" t="s">
        <v>29</v>
      </c>
      <c r="B915" s="8">
        <v>19763</v>
      </c>
      <c r="C915" s="9">
        <v>45777.732604166667</v>
      </c>
      <c r="D915" s="9">
        <v>45826</v>
      </c>
      <c r="E915" s="9">
        <v>45770</v>
      </c>
      <c r="F915" s="7" t="s">
        <v>3194</v>
      </c>
      <c r="G915" s="7" t="s">
        <v>3195</v>
      </c>
      <c r="H915" s="7" t="s">
        <v>2137</v>
      </c>
      <c r="I915" s="7" t="s">
        <v>2138</v>
      </c>
      <c r="J915" s="7" t="s">
        <v>176</v>
      </c>
      <c r="K915" s="7" t="s">
        <v>317</v>
      </c>
      <c r="L915" s="10">
        <v>3361</v>
      </c>
      <c r="M915" s="10">
        <v>3361</v>
      </c>
      <c r="N915" s="10">
        <f>+L915-M915</f>
        <v>0</v>
      </c>
      <c r="O915" s="10">
        <v>3361</v>
      </c>
      <c r="P915" s="10">
        <f>+L915-O915</f>
        <v>0</v>
      </c>
      <c r="Q915" s="10">
        <v>0</v>
      </c>
      <c r="R915" s="7" t="s">
        <v>27</v>
      </c>
    </row>
    <row r="916" spans="1:18">
      <c r="A916" s="7" t="s">
        <v>29</v>
      </c>
      <c r="B916" s="8">
        <v>19314</v>
      </c>
      <c r="C916" s="9">
        <v>45664.571064814816</v>
      </c>
      <c r="D916" s="9">
        <v>45502</v>
      </c>
      <c r="E916" s="9">
        <v>45468</v>
      </c>
      <c r="F916" s="7" t="s">
        <v>3196</v>
      </c>
      <c r="G916" s="7" t="s">
        <v>1676</v>
      </c>
      <c r="H916" s="7" t="s">
        <v>3197</v>
      </c>
      <c r="I916" s="7" t="s">
        <v>3198</v>
      </c>
      <c r="J916" s="7" t="s">
        <v>25</v>
      </c>
      <c r="K916" s="7" t="s">
        <v>1416</v>
      </c>
      <c r="L916" s="10">
        <v>7111.66</v>
      </c>
      <c r="M916" s="10">
        <v>7111.66</v>
      </c>
      <c r="N916" s="10">
        <f>+L916-M916</f>
        <v>0</v>
      </c>
      <c r="O916" s="10">
        <v>7111.66</v>
      </c>
      <c r="P916" s="10">
        <f>+L916-O916</f>
        <v>0</v>
      </c>
      <c r="Q916" s="10">
        <v>0</v>
      </c>
      <c r="R916" s="7" t="s">
        <v>27</v>
      </c>
    </row>
    <row r="917" spans="1:18">
      <c r="A917" s="7" t="s">
        <v>29</v>
      </c>
      <c r="B917" s="8">
        <v>20243</v>
      </c>
      <c r="C917" s="9">
        <v>45875.363715277774</v>
      </c>
      <c r="D917" s="9">
        <v>45873</v>
      </c>
      <c r="E917" s="9">
        <v>45873</v>
      </c>
      <c r="F917" s="7" t="s">
        <v>3199</v>
      </c>
      <c r="G917" s="7" t="s">
        <v>3200</v>
      </c>
      <c r="H917" s="7" t="s">
        <v>2284</v>
      </c>
      <c r="I917" s="7" t="s">
        <v>1763</v>
      </c>
      <c r="J917" s="7" t="s">
        <v>25</v>
      </c>
      <c r="K917" s="7" t="s">
        <v>55</v>
      </c>
      <c r="L917" s="10">
        <v>6720</v>
      </c>
      <c r="M917" s="10">
        <v>6720</v>
      </c>
      <c r="N917" s="10">
        <f>+L917-M917</f>
        <v>0</v>
      </c>
      <c r="O917" s="10">
        <v>6720</v>
      </c>
      <c r="P917" s="10">
        <f>+L917-O917</f>
        <v>0</v>
      </c>
      <c r="Q917" s="10">
        <v>0</v>
      </c>
      <c r="R917" s="7" t="s">
        <v>27</v>
      </c>
    </row>
    <row r="918" spans="1:18" hidden="1">
      <c r="A918" s="7" t="s">
        <v>29</v>
      </c>
      <c r="B918" s="8">
        <v>19842</v>
      </c>
      <c r="C918" s="9">
        <v>45798.364699074074</v>
      </c>
      <c r="D918" s="9">
        <v>45797</v>
      </c>
      <c r="E918" s="9">
        <v>45797</v>
      </c>
      <c r="F918" s="7" t="s">
        <v>3201</v>
      </c>
      <c r="G918" s="7" t="s">
        <v>3202</v>
      </c>
      <c r="H918" s="7" t="s">
        <v>3203</v>
      </c>
      <c r="I918" s="7" t="s">
        <v>3204</v>
      </c>
      <c r="J918" s="7" t="s">
        <v>176</v>
      </c>
      <c r="K918" s="7" t="s">
        <v>494</v>
      </c>
      <c r="L918" s="10">
        <v>3339</v>
      </c>
      <c r="M918" s="10">
        <v>3339</v>
      </c>
      <c r="N918" s="10">
        <f>+L918-M918</f>
        <v>0</v>
      </c>
      <c r="O918" s="10">
        <v>3339</v>
      </c>
      <c r="P918" s="10">
        <f>+L918-O918</f>
        <v>0</v>
      </c>
      <c r="Q918" s="10">
        <v>0</v>
      </c>
      <c r="R918" s="7" t="s">
        <v>27</v>
      </c>
    </row>
    <row r="919" spans="1:18" hidden="1">
      <c r="A919" s="7" t="s">
        <v>29</v>
      </c>
      <c r="B919" s="8">
        <v>19655</v>
      </c>
      <c r="C919" s="9">
        <v>45758.43954861111</v>
      </c>
      <c r="D919" s="9">
        <v>45741</v>
      </c>
      <c r="E919" s="9">
        <v>45741</v>
      </c>
      <c r="F919" s="7" t="s">
        <v>3205</v>
      </c>
      <c r="G919" s="7" t="s">
        <v>3206</v>
      </c>
      <c r="H919" s="7" t="s">
        <v>3207</v>
      </c>
      <c r="I919" s="7" t="s">
        <v>3208</v>
      </c>
      <c r="J919" s="7" t="s">
        <v>176</v>
      </c>
      <c r="K919" s="7" t="s">
        <v>494</v>
      </c>
      <c r="L919" s="10">
        <v>3262</v>
      </c>
      <c r="M919" s="10">
        <v>3262</v>
      </c>
      <c r="N919" s="10">
        <f>+L919-M919</f>
        <v>0</v>
      </c>
      <c r="O919" s="10">
        <v>3262</v>
      </c>
      <c r="P919" s="10">
        <f>+L919-O919</f>
        <v>0</v>
      </c>
      <c r="Q919" s="10">
        <v>0</v>
      </c>
      <c r="R919" s="7" t="s">
        <v>27</v>
      </c>
    </row>
    <row r="920" spans="1:18">
      <c r="A920" s="7" t="s">
        <v>29</v>
      </c>
      <c r="B920" s="8">
        <v>20835</v>
      </c>
      <c r="C920" s="9">
        <v>46029.375183946759</v>
      </c>
      <c r="D920" s="9">
        <v>46051</v>
      </c>
      <c r="E920" s="9">
        <v>46037</v>
      </c>
      <c r="F920" s="7" t="s">
        <v>3209</v>
      </c>
      <c r="G920" s="7" t="s">
        <v>3210</v>
      </c>
      <c r="H920" s="7" t="s">
        <v>3211</v>
      </c>
      <c r="I920" s="7" t="s">
        <v>3212</v>
      </c>
      <c r="J920" s="7" t="s">
        <v>25</v>
      </c>
      <c r="K920" s="7" t="s">
        <v>170</v>
      </c>
      <c r="L920" s="10">
        <v>6039.32</v>
      </c>
      <c r="M920" s="10">
        <v>6039.32</v>
      </c>
      <c r="N920" s="10">
        <f>+L920-M920</f>
        <v>0</v>
      </c>
      <c r="O920" s="10">
        <v>6039.32</v>
      </c>
      <c r="P920" s="10">
        <f>+L920-O920</f>
        <v>0</v>
      </c>
      <c r="Q920" s="10">
        <v>0</v>
      </c>
      <c r="R920" s="7" t="s">
        <v>27</v>
      </c>
    </row>
    <row r="921" spans="1:18" hidden="1">
      <c r="A921" s="7" t="s">
        <v>29</v>
      </c>
      <c r="B921" s="8">
        <v>19643</v>
      </c>
      <c r="C921" s="9">
        <v>45756.620289351849</v>
      </c>
      <c r="D921" s="9">
        <v>45786</v>
      </c>
      <c r="E921" s="9">
        <v>45775</v>
      </c>
      <c r="F921" s="7" t="s">
        <v>3213</v>
      </c>
      <c r="G921" s="7" t="s">
        <v>3214</v>
      </c>
      <c r="H921" s="7" t="s">
        <v>2577</v>
      </c>
      <c r="I921" s="7" t="s">
        <v>2578</v>
      </c>
      <c r="J921" s="7" t="s">
        <v>176</v>
      </c>
      <c r="K921" s="7" t="s">
        <v>374</v>
      </c>
      <c r="L921" s="10">
        <v>3248</v>
      </c>
      <c r="M921" s="10">
        <v>3248</v>
      </c>
      <c r="N921" s="10">
        <f>+L921-M921</f>
        <v>0</v>
      </c>
      <c r="O921" s="10">
        <v>3248</v>
      </c>
      <c r="P921" s="10">
        <f>+L921-O921</f>
        <v>0</v>
      </c>
      <c r="Q921" s="10">
        <v>0</v>
      </c>
      <c r="R921" s="7" t="s">
        <v>27</v>
      </c>
    </row>
    <row r="922" spans="1:18" hidden="1">
      <c r="A922" s="7" t="s">
        <v>29</v>
      </c>
      <c r="B922" s="8">
        <v>19366</v>
      </c>
      <c r="C922" s="9">
        <v>45687.368831018517</v>
      </c>
      <c r="D922" s="9">
        <v>45684</v>
      </c>
      <c r="E922" s="9">
        <v>45684</v>
      </c>
      <c r="F922" s="7" t="s">
        <v>3215</v>
      </c>
      <c r="G922" s="7" t="s">
        <v>3216</v>
      </c>
      <c r="H922" s="7" t="s">
        <v>3217</v>
      </c>
      <c r="I922" s="7" t="s">
        <v>3218</v>
      </c>
      <c r="J922" s="7" t="s">
        <v>40</v>
      </c>
      <c r="K922" s="7" t="s">
        <v>41</v>
      </c>
      <c r="L922" s="10">
        <v>2644.2</v>
      </c>
      <c r="M922" s="10">
        <v>2644.2</v>
      </c>
      <c r="N922" s="10">
        <f>+L922-M922</f>
        <v>0</v>
      </c>
      <c r="O922" s="10">
        <v>2644.2</v>
      </c>
      <c r="P922" s="10">
        <f>+L922-O922</f>
        <v>0</v>
      </c>
      <c r="Q922" s="10">
        <v>0</v>
      </c>
      <c r="R922" s="7" t="s">
        <v>27</v>
      </c>
    </row>
    <row r="923" spans="1:18">
      <c r="A923" s="7" t="s">
        <v>29</v>
      </c>
      <c r="B923" s="8">
        <v>20608</v>
      </c>
      <c r="C923" s="9">
        <v>45952.508437500001</v>
      </c>
      <c r="D923" s="9">
        <v>45953</v>
      </c>
      <c r="E923" s="9">
        <v>45985</v>
      </c>
      <c r="F923" s="7" t="s">
        <v>3219</v>
      </c>
      <c r="G923" s="7" t="s">
        <v>3220</v>
      </c>
      <c r="H923" s="7" t="s">
        <v>2284</v>
      </c>
      <c r="I923" s="7" t="s">
        <v>1763</v>
      </c>
      <c r="J923" s="7" t="s">
        <v>25</v>
      </c>
      <c r="K923" s="7" t="s">
        <v>55</v>
      </c>
      <c r="L923" s="10">
        <v>5954.12</v>
      </c>
      <c r="M923" s="10">
        <v>5954.12</v>
      </c>
      <c r="N923" s="10">
        <f>+L923-M923</f>
        <v>0</v>
      </c>
      <c r="O923" s="10">
        <v>5954.12</v>
      </c>
      <c r="P923" s="10">
        <f>+L923-O923</f>
        <v>0</v>
      </c>
      <c r="Q923" s="10">
        <v>0</v>
      </c>
      <c r="R923" s="7" t="s">
        <v>27</v>
      </c>
    </row>
    <row r="924" spans="1:18" hidden="1">
      <c r="A924" s="7" t="s">
        <v>29</v>
      </c>
      <c r="B924" s="8">
        <v>20721</v>
      </c>
      <c r="C924" s="9">
        <v>45986.519703275459</v>
      </c>
      <c r="D924" s="9">
        <v>45978</v>
      </c>
      <c r="E924" s="9">
        <v>45975</v>
      </c>
      <c r="F924" s="7" t="s">
        <v>3221</v>
      </c>
      <c r="G924" s="7" t="s">
        <v>3222</v>
      </c>
      <c r="H924" s="7" t="s">
        <v>3223</v>
      </c>
      <c r="I924" s="7" t="s">
        <v>3224</v>
      </c>
      <c r="J924" s="7" t="s">
        <v>176</v>
      </c>
      <c r="K924" s="7" t="s">
        <v>2667</v>
      </c>
      <c r="L924" s="10">
        <v>3187</v>
      </c>
      <c r="M924" s="10">
        <v>3187</v>
      </c>
      <c r="N924" s="10">
        <f>+L924-M924</f>
        <v>0</v>
      </c>
      <c r="O924" s="10">
        <v>3187</v>
      </c>
      <c r="P924" s="10">
        <f>+L924-O924</f>
        <v>0</v>
      </c>
      <c r="Q924" s="10">
        <v>0</v>
      </c>
      <c r="R924" s="7" t="s">
        <v>27</v>
      </c>
    </row>
    <row r="925" spans="1:18">
      <c r="A925" s="7" t="s">
        <v>29</v>
      </c>
      <c r="B925" s="8">
        <v>20110</v>
      </c>
      <c r="C925" s="9">
        <v>45845.676192129627</v>
      </c>
      <c r="D925" s="9">
        <v>45839</v>
      </c>
      <c r="E925" s="9">
        <v>45827</v>
      </c>
      <c r="F925" s="7" t="s">
        <v>3225</v>
      </c>
      <c r="G925" s="7" t="s">
        <v>3226</v>
      </c>
      <c r="H925" s="7" t="s">
        <v>3227</v>
      </c>
      <c r="I925" s="7" t="s">
        <v>3228</v>
      </c>
      <c r="J925" s="7" t="s">
        <v>25</v>
      </c>
      <c r="K925" s="7" t="s">
        <v>170</v>
      </c>
      <c r="L925" s="10">
        <v>5869.9</v>
      </c>
      <c r="M925" s="10">
        <v>5869.9</v>
      </c>
      <c r="N925" s="10">
        <f>+L925-M925</f>
        <v>0</v>
      </c>
      <c r="O925" s="10">
        <v>5869.9</v>
      </c>
      <c r="P925" s="10">
        <f>+L925-O925</f>
        <v>0</v>
      </c>
      <c r="Q925" s="10">
        <v>0</v>
      </c>
      <c r="R925" s="7" t="s">
        <v>27</v>
      </c>
    </row>
    <row r="926" spans="1:18" hidden="1">
      <c r="A926" s="7" t="s">
        <v>29</v>
      </c>
      <c r="B926" s="8">
        <v>20731</v>
      </c>
      <c r="C926" s="9">
        <v>45989.366180555553</v>
      </c>
      <c r="D926" s="9">
        <v>46045</v>
      </c>
      <c r="E926" s="9">
        <v>45961</v>
      </c>
      <c r="F926" s="7" t="s">
        <v>3229</v>
      </c>
      <c r="G926" s="7" t="s">
        <v>3230</v>
      </c>
      <c r="H926" s="7" t="s">
        <v>2546</v>
      </c>
      <c r="I926" s="7" t="s">
        <v>2547</v>
      </c>
      <c r="J926" s="7" t="s">
        <v>176</v>
      </c>
      <c r="K926" s="7" t="s">
        <v>945</v>
      </c>
      <c r="L926" s="10">
        <v>3169</v>
      </c>
      <c r="M926" s="10">
        <v>3169</v>
      </c>
      <c r="N926" s="10">
        <f>+L926-M926</f>
        <v>0</v>
      </c>
      <c r="O926" s="10">
        <v>3169</v>
      </c>
      <c r="P926" s="10">
        <f>+L926-O926</f>
        <v>0</v>
      </c>
      <c r="Q926" s="10">
        <v>0</v>
      </c>
      <c r="R926" s="7" t="s">
        <v>27</v>
      </c>
    </row>
    <row r="927" spans="1:18" hidden="1">
      <c r="A927" s="7" t="s">
        <v>29</v>
      </c>
      <c r="B927" s="8">
        <v>20070</v>
      </c>
      <c r="C927" s="9">
        <v>45838.697233796294</v>
      </c>
      <c r="D927" s="9">
        <v>45838</v>
      </c>
      <c r="E927" s="9">
        <v>45869</v>
      </c>
      <c r="F927" s="7" t="s">
        <v>3231</v>
      </c>
      <c r="G927" s="7" t="s">
        <v>3232</v>
      </c>
      <c r="H927" s="7" t="s">
        <v>3233</v>
      </c>
      <c r="I927" s="7" t="s">
        <v>3234</v>
      </c>
      <c r="J927" s="7" t="s">
        <v>34</v>
      </c>
      <c r="K927" s="7" t="s">
        <v>118</v>
      </c>
      <c r="L927" s="10">
        <v>3164</v>
      </c>
      <c r="M927" s="10">
        <v>3164</v>
      </c>
      <c r="N927" s="10">
        <f>+L927-M927</f>
        <v>0</v>
      </c>
      <c r="O927" s="10">
        <v>3164</v>
      </c>
      <c r="P927" s="10">
        <f>+L927-O927</f>
        <v>0</v>
      </c>
      <c r="Q927" s="10">
        <v>0</v>
      </c>
      <c r="R927" s="7" t="s">
        <v>27</v>
      </c>
    </row>
    <row r="928" spans="1:18" hidden="1">
      <c r="A928" s="7" t="s">
        <v>29</v>
      </c>
      <c r="B928" s="8">
        <v>20228</v>
      </c>
      <c r="C928" s="9">
        <v>45873.681469907402</v>
      </c>
      <c r="D928" s="9">
        <v>45873</v>
      </c>
      <c r="E928" s="9">
        <v>45915</v>
      </c>
      <c r="F928" s="7" t="s">
        <v>3235</v>
      </c>
      <c r="G928" s="7" t="s">
        <v>3236</v>
      </c>
      <c r="H928" s="7" t="s">
        <v>3233</v>
      </c>
      <c r="I928" s="7" t="s">
        <v>3234</v>
      </c>
      <c r="J928" s="7" t="s">
        <v>34</v>
      </c>
      <c r="K928" s="7" t="s">
        <v>118</v>
      </c>
      <c r="L928" s="10">
        <v>3157.17</v>
      </c>
      <c r="M928" s="10">
        <v>3157.17</v>
      </c>
      <c r="N928" s="10">
        <f>+L928-M928</f>
        <v>0</v>
      </c>
      <c r="O928" s="10">
        <v>3157.17</v>
      </c>
      <c r="P928" s="10">
        <f>+L928-O928</f>
        <v>0</v>
      </c>
      <c r="Q928" s="10">
        <v>0</v>
      </c>
      <c r="R928" s="7" t="s">
        <v>27</v>
      </c>
    </row>
    <row r="929" spans="1:18">
      <c r="A929" s="7" t="s">
        <v>29</v>
      </c>
      <c r="B929" s="8">
        <v>19514</v>
      </c>
      <c r="C929" s="9">
        <v>45727.468321759261</v>
      </c>
      <c r="D929" s="9">
        <v>45723</v>
      </c>
      <c r="E929" s="9">
        <v>45723</v>
      </c>
      <c r="F929" s="7" t="s">
        <v>3237</v>
      </c>
      <c r="G929" s="7" t="s">
        <v>3238</v>
      </c>
      <c r="H929" s="7" t="s">
        <v>3239</v>
      </c>
      <c r="I929" s="7" t="s">
        <v>3240</v>
      </c>
      <c r="J929" s="7" t="s">
        <v>25</v>
      </c>
      <c r="K929" s="7" t="s">
        <v>55</v>
      </c>
      <c r="L929" s="10">
        <v>5713.11</v>
      </c>
      <c r="M929" s="10">
        <v>5713.11</v>
      </c>
      <c r="N929" s="10">
        <f>+L929-M929</f>
        <v>0</v>
      </c>
      <c r="O929" s="10">
        <v>5713.11</v>
      </c>
      <c r="P929" s="10">
        <f>+L929-O929</f>
        <v>0</v>
      </c>
      <c r="Q929" s="10">
        <v>0</v>
      </c>
      <c r="R929" s="7" t="s">
        <v>27</v>
      </c>
    </row>
    <row r="930" spans="1:18">
      <c r="A930" s="7" t="s">
        <v>29</v>
      </c>
      <c r="B930" s="8">
        <v>20142</v>
      </c>
      <c r="C930" s="9">
        <v>45852.54843761574</v>
      </c>
      <c r="D930" s="9">
        <v>45849</v>
      </c>
      <c r="E930" s="9">
        <v>45849</v>
      </c>
      <c r="F930" s="7" t="s">
        <v>3241</v>
      </c>
      <c r="G930" s="7" t="s">
        <v>3242</v>
      </c>
      <c r="H930" s="7" t="s">
        <v>3243</v>
      </c>
      <c r="I930" s="7" t="s">
        <v>2523</v>
      </c>
      <c r="J930" s="7" t="s">
        <v>25</v>
      </c>
      <c r="K930" s="7" t="s">
        <v>55</v>
      </c>
      <c r="L930" s="10">
        <v>5643.02</v>
      </c>
      <c r="M930" s="10">
        <v>5643.02</v>
      </c>
      <c r="N930" s="10">
        <f>+L930-M930</f>
        <v>0</v>
      </c>
      <c r="O930" s="10">
        <v>5643.02</v>
      </c>
      <c r="P930" s="10">
        <f>+L930-O930</f>
        <v>0</v>
      </c>
      <c r="Q930" s="10">
        <v>0</v>
      </c>
      <c r="R930" s="7" t="s">
        <v>27</v>
      </c>
    </row>
    <row r="931" spans="1:18" hidden="1">
      <c r="A931" s="7" t="s">
        <v>29</v>
      </c>
      <c r="B931" s="8">
        <v>4148</v>
      </c>
      <c r="C931" s="9">
        <v>45680.393313541666</v>
      </c>
      <c r="D931" s="9">
        <v>45629</v>
      </c>
      <c r="E931" s="9">
        <v>45629</v>
      </c>
      <c r="F931" s="7" t="s">
        <v>3244</v>
      </c>
      <c r="G931" s="7" t="s">
        <v>3245</v>
      </c>
      <c r="H931" s="7" t="s">
        <v>1789</v>
      </c>
      <c r="I931" s="7" t="s">
        <v>1730</v>
      </c>
      <c r="J931" s="7" t="s">
        <v>25</v>
      </c>
      <c r="K931" s="7" t="s">
        <v>86</v>
      </c>
      <c r="L931" s="10">
        <v>5399.14</v>
      </c>
      <c r="M931" s="10">
        <v>5399.14</v>
      </c>
      <c r="N931" s="15">
        <f>+L931-M931</f>
        <v>0</v>
      </c>
      <c r="O931" s="15">
        <v>5399.14</v>
      </c>
      <c r="P931" s="15">
        <f>+L931-O931</f>
        <v>0</v>
      </c>
      <c r="Q931" s="10">
        <v>0</v>
      </c>
      <c r="R931" s="7" t="s">
        <v>87</v>
      </c>
    </row>
    <row r="932" spans="1:18" hidden="1">
      <c r="A932" s="7" t="s">
        <v>29</v>
      </c>
      <c r="B932" s="8">
        <v>19922</v>
      </c>
      <c r="C932" s="9">
        <v>45812.44862268518</v>
      </c>
      <c r="D932" s="9">
        <v>45811</v>
      </c>
      <c r="E932" s="9">
        <v>45811</v>
      </c>
      <c r="F932" s="7" t="s">
        <v>3246</v>
      </c>
      <c r="G932" s="7" t="s">
        <v>3247</v>
      </c>
      <c r="H932" s="7" t="s">
        <v>3248</v>
      </c>
      <c r="I932" s="7" t="s">
        <v>3249</v>
      </c>
      <c r="J932" s="7" t="s">
        <v>176</v>
      </c>
      <c r="K932" s="7" t="s">
        <v>494</v>
      </c>
      <c r="L932" s="10">
        <v>3002.58</v>
      </c>
      <c r="M932" s="10">
        <v>3002.58</v>
      </c>
      <c r="N932" s="10">
        <f>+L932-M932</f>
        <v>0</v>
      </c>
      <c r="O932" s="10">
        <v>3002.58</v>
      </c>
      <c r="P932" s="10">
        <f>+L932-O932</f>
        <v>0</v>
      </c>
      <c r="Q932" s="10">
        <v>0</v>
      </c>
      <c r="R932" s="7" t="s">
        <v>27</v>
      </c>
    </row>
    <row r="933" spans="1:18" hidden="1">
      <c r="A933" s="7" t="s">
        <v>29</v>
      </c>
      <c r="B933" s="8">
        <v>19559</v>
      </c>
      <c r="C933" s="9">
        <v>45741.626388888886</v>
      </c>
      <c r="D933" s="9">
        <v>45742</v>
      </c>
      <c r="E933" s="9">
        <v>45714</v>
      </c>
      <c r="F933" s="7" t="s">
        <v>3250</v>
      </c>
      <c r="G933" s="7" t="s">
        <v>3251</v>
      </c>
      <c r="H933" s="7" t="s">
        <v>3252</v>
      </c>
      <c r="I933" s="7" t="s">
        <v>3253</v>
      </c>
      <c r="J933" s="7" t="s">
        <v>176</v>
      </c>
      <c r="K933" s="7" t="s">
        <v>584</v>
      </c>
      <c r="L933" s="10">
        <v>3000</v>
      </c>
      <c r="M933" s="10">
        <v>3000</v>
      </c>
      <c r="N933" s="10">
        <f>+L933-M933</f>
        <v>0</v>
      </c>
      <c r="O933" s="10">
        <v>3000</v>
      </c>
      <c r="P933" s="10">
        <f>+L933-O933</f>
        <v>0</v>
      </c>
      <c r="Q933" s="10">
        <v>0</v>
      </c>
      <c r="R933" s="7" t="s">
        <v>27</v>
      </c>
    </row>
    <row r="934" spans="1:18" hidden="1">
      <c r="A934" s="7" t="s">
        <v>29</v>
      </c>
      <c r="B934" s="8">
        <v>4211</v>
      </c>
      <c r="C934" s="9">
        <v>45800.665300925924</v>
      </c>
      <c r="D934" s="9">
        <v>45800</v>
      </c>
      <c r="E934" s="9">
        <v>45876</v>
      </c>
      <c r="F934" s="7" t="s">
        <v>3254</v>
      </c>
      <c r="G934" s="7" t="s">
        <v>3255</v>
      </c>
      <c r="H934" s="7" t="s">
        <v>1133</v>
      </c>
      <c r="I934" s="7" t="s">
        <v>1030</v>
      </c>
      <c r="J934" s="7" t="s">
        <v>25</v>
      </c>
      <c r="K934" s="7" t="s">
        <v>86</v>
      </c>
      <c r="L934" s="10">
        <v>5347.16</v>
      </c>
      <c r="M934" s="10">
        <v>5347.16</v>
      </c>
      <c r="N934" s="15">
        <f>+L934-M934</f>
        <v>0</v>
      </c>
      <c r="O934" s="15">
        <v>5347.16</v>
      </c>
      <c r="P934" s="15">
        <f>+L934-O934</f>
        <v>0</v>
      </c>
      <c r="Q934" s="10">
        <v>0</v>
      </c>
      <c r="R934" s="7" t="s">
        <v>87</v>
      </c>
    </row>
    <row r="935" spans="1:18" hidden="1">
      <c r="A935" s="7" t="s">
        <v>29</v>
      </c>
      <c r="B935" s="8">
        <v>20169</v>
      </c>
      <c r="C935" s="9">
        <v>45859.649050925924</v>
      </c>
      <c r="D935" s="9">
        <v>45853</v>
      </c>
      <c r="E935" s="9">
        <v>45853</v>
      </c>
      <c r="F935" s="7" t="s">
        <v>3256</v>
      </c>
      <c r="G935" s="7" t="s">
        <v>3257</v>
      </c>
      <c r="H935" s="7" t="s">
        <v>1986</v>
      </c>
      <c r="I935" s="7" t="s">
        <v>1987</v>
      </c>
      <c r="J935" s="7" t="s">
        <v>176</v>
      </c>
      <c r="K935" s="7" t="s">
        <v>584</v>
      </c>
      <c r="L935" s="10">
        <v>2996.63</v>
      </c>
      <c r="M935" s="10">
        <v>2996.63</v>
      </c>
      <c r="N935" s="10">
        <f>+L935-M935</f>
        <v>0</v>
      </c>
      <c r="O935" s="10">
        <v>2996.63</v>
      </c>
      <c r="P935" s="10">
        <f>+L935-O935</f>
        <v>0</v>
      </c>
      <c r="Q935" s="10">
        <v>0</v>
      </c>
      <c r="R935" s="7" t="s">
        <v>27</v>
      </c>
    </row>
    <row r="936" spans="1:18">
      <c r="A936" s="7" t="s">
        <v>29</v>
      </c>
      <c r="B936" s="8">
        <v>20125</v>
      </c>
      <c r="C936" s="9">
        <v>45847.729189814811</v>
      </c>
      <c r="D936" s="9">
        <v>45873</v>
      </c>
      <c r="E936" s="9">
        <v>45831</v>
      </c>
      <c r="F936" s="7" t="s">
        <v>3258</v>
      </c>
      <c r="G936" s="7" t="s">
        <v>3259</v>
      </c>
      <c r="H936" s="7" t="s">
        <v>2205</v>
      </c>
      <c r="I936" s="7" t="s">
        <v>2206</v>
      </c>
      <c r="J936" s="7" t="s">
        <v>25</v>
      </c>
      <c r="K936" s="7" t="s">
        <v>26</v>
      </c>
      <c r="L936" s="10">
        <v>5343.55</v>
      </c>
      <c r="M936" s="10">
        <v>5343.55</v>
      </c>
      <c r="N936" s="10">
        <f>+L936-M936</f>
        <v>0</v>
      </c>
      <c r="O936" s="10">
        <v>5343.55</v>
      </c>
      <c r="P936" s="10">
        <f>+L936-O936</f>
        <v>0</v>
      </c>
      <c r="Q936" s="10">
        <v>0</v>
      </c>
      <c r="R936" s="7" t="s">
        <v>27</v>
      </c>
    </row>
    <row r="937" spans="1:18" hidden="1">
      <c r="A937" s="7" t="s">
        <v>29</v>
      </c>
      <c r="B937" s="8">
        <v>19349</v>
      </c>
      <c r="C937" s="9">
        <v>45679.736481481479</v>
      </c>
      <c r="D937" s="9">
        <v>45679</v>
      </c>
      <c r="E937" s="9">
        <v>45711</v>
      </c>
      <c r="F937" s="7" t="s">
        <v>3260</v>
      </c>
      <c r="G937" s="7" t="s">
        <v>2256</v>
      </c>
      <c r="H937" s="7" t="s">
        <v>3261</v>
      </c>
      <c r="I937" s="7" t="s">
        <v>3262</v>
      </c>
      <c r="J937" s="7" t="s">
        <v>34</v>
      </c>
      <c r="K937" s="7" t="s">
        <v>35</v>
      </c>
      <c r="L937" s="10">
        <v>2950.54</v>
      </c>
      <c r="M937" s="10">
        <v>2950.54</v>
      </c>
      <c r="N937" s="10">
        <f>+L937-M937</f>
        <v>0</v>
      </c>
      <c r="O937" s="10">
        <v>2950.54</v>
      </c>
      <c r="P937" s="10">
        <f>+L937-O937</f>
        <v>0</v>
      </c>
      <c r="Q937" s="10">
        <v>0</v>
      </c>
      <c r="R937" s="7" t="s">
        <v>27</v>
      </c>
    </row>
    <row r="938" spans="1:18">
      <c r="A938" s="7" t="s">
        <v>29</v>
      </c>
      <c r="B938" s="8">
        <v>19457</v>
      </c>
      <c r="C938" s="9">
        <v>45713.484826388885</v>
      </c>
      <c r="D938" s="9">
        <v>45722</v>
      </c>
      <c r="E938" s="9">
        <v>45721</v>
      </c>
      <c r="F938" s="7" t="s">
        <v>3263</v>
      </c>
      <c r="G938" s="7" t="s">
        <v>3089</v>
      </c>
      <c r="H938" s="7" t="s">
        <v>3264</v>
      </c>
      <c r="I938" s="7" t="s">
        <v>3265</v>
      </c>
      <c r="J938" s="7" t="s">
        <v>25</v>
      </c>
      <c r="K938" s="7" t="s">
        <v>55</v>
      </c>
      <c r="L938" s="10">
        <v>5198</v>
      </c>
      <c r="M938" s="10">
        <v>5198</v>
      </c>
      <c r="N938" s="10">
        <f>+L938-M938</f>
        <v>0</v>
      </c>
      <c r="O938" s="10">
        <v>5198</v>
      </c>
      <c r="P938" s="10">
        <f>+L938-O938</f>
        <v>0</v>
      </c>
      <c r="Q938" s="10">
        <v>0</v>
      </c>
      <c r="R938" s="7" t="s">
        <v>27</v>
      </c>
    </row>
    <row r="939" spans="1:18">
      <c r="A939" s="7" t="s">
        <v>29</v>
      </c>
      <c r="B939" s="8">
        <v>19685</v>
      </c>
      <c r="C939" s="9">
        <v>45762.441516203704</v>
      </c>
      <c r="D939" s="9">
        <v>45799</v>
      </c>
      <c r="E939" s="9">
        <v>45758</v>
      </c>
      <c r="F939" s="7" t="s">
        <v>3266</v>
      </c>
      <c r="G939" s="7" t="s">
        <v>3267</v>
      </c>
      <c r="H939" s="7" t="s">
        <v>2522</v>
      </c>
      <c r="I939" s="7" t="s">
        <v>2523</v>
      </c>
      <c r="J939" s="7" t="s">
        <v>25</v>
      </c>
      <c r="K939" s="7" t="s">
        <v>55</v>
      </c>
      <c r="L939" s="10">
        <v>5024.22</v>
      </c>
      <c r="M939" s="10">
        <v>5024.22</v>
      </c>
      <c r="N939" s="10">
        <f>+L939-M939</f>
        <v>0</v>
      </c>
      <c r="O939" s="10">
        <v>5024.22</v>
      </c>
      <c r="P939" s="10">
        <f>+L939-O939</f>
        <v>0</v>
      </c>
      <c r="Q939" s="10">
        <v>0</v>
      </c>
      <c r="R939" s="7" t="s">
        <v>27</v>
      </c>
    </row>
    <row r="940" spans="1:18" hidden="1">
      <c r="A940" s="7" t="s">
        <v>29</v>
      </c>
      <c r="B940" s="8">
        <v>19658</v>
      </c>
      <c r="C940" s="9">
        <v>45758.456759259258</v>
      </c>
      <c r="D940" s="9">
        <v>45829</v>
      </c>
      <c r="E940" s="9">
        <v>45745</v>
      </c>
      <c r="F940" s="7" t="s">
        <v>3268</v>
      </c>
      <c r="G940" s="7" t="s">
        <v>3269</v>
      </c>
      <c r="H940" s="7" t="s">
        <v>3270</v>
      </c>
      <c r="I940" s="7" t="s">
        <v>3271</v>
      </c>
      <c r="J940" s="7" t="s">
        <v>176</v>
      </c>
      <c r="K940" s="7" t="s">
        <v>584</v>
      </c>
      <c r="L940" s="10">
        <v>2945</v>
      </c>
      <c r="M940" s="10">
        <v>2945</v>
      </c>
      <c r="N940" s="10">
        <f>+L940-M940</f>
        <v>0</v>
      </c>
      <c r="O940" s="10">
        <v>2945</v>
      </c>
      <c r="P940" s="10">
        <f>+L940-O940</f>
        <v>0</v>
      </c>
      <c r="Q940" s="10">
        <v>0</v>
      </c>
      <c r="R940" s="7" t="s">
        <v>27</v>
      </c>
    </row>
    <row r="941" spans="1:18">
      <c r="A941" s="7" t="s">
        <v>29</v>
      </c>
      <c r="B941" s="8">
        <v>20087</v>
      </c>
      <c r="C941" s="9">
        <v>45840.710914351846</v>
      </c>
      <c r="D941" s="9">
        <v>45870</v>
      </c>
      <c r="E941" s="9">
        <v>45821</v>
      </c>
      <c r="F941" s="7" t="s">
        <v>3272</v>
      </c>
      <c r="G941" s="7" t="s">
        <v>3273</v>
      </c>
      <c r="H941" s="7" t="s">
        <v>2905</v>
      </c>
      <c r="I941" s="7" t="s">
        <v>2906</v>
      </c>
      <c r="J941" s="7" t="s">
        <v>25</v>
      </c>
      <c r="K941" s="7" t="s">
        <v>55</v>
      </c>
      <c r="L941" s="10">
        <v>4936.47</v>
      </c>
      <c r="M941" s="10">
        <v>4936.47</v>
      </c>
      <c r="N941" s="10">
        <f>+L941-M941</f>
        <v>0</v>
      </c>
      <c r="O941" s="10">
        <v>4936.47</v>
      </c>
      <c r="P941" s="10">
        <f>+L941-O941</f>
        <v>0</v>
      </c>
      <c r="Q941" s="10">
        <v>0</v>
      </c>
      <c r="R941" s="7" t="s">
        <v>27</v>
      </c>
    </row>
    <row r="942" spans="1:18" hidden="1">
      <c r="A942" s="7" t="s">
        <v>29</v>
      </c>
      <c r="B942" s="8">
        <v>4174</v>
      </c>
      <c r="C942" s="9">
        <v>45722.426747685182</v>
      </c>
      <c r="D942" s="9">
        <v>45699</v>
      </c>
      <c r="E942" s="9">
        <v>45699</v>
      </c>
      <c r="F942" s="7" t="s">
        <v>3274</v>
      </c>
      <c r="G942" s="7" t="s">
        <v>2848</v>
      </c>
      <c r="H942" s="7" t="s">
        <v>3275</v>
      </c>
      <c r="I942" s="7" t="s">
        <v>3276</v>
      </c>
      <c r="J942" s="7" t="s">
        <v>25</v>
      </c>
      <c r="K942" s="7" t="s">
        <v>86</v>
      </c>
      <c r="L942" s="10">
        <v>4859</v>
      </c>
      <c r="M942" s="10">
        <v>4859</v>
      </c>
      <c r="N942" s="15">
        <f>+L942-M942</f>
        <v>0</v>
      </c>
      <c r="O942" s="15">
        <v>4859</v>
      </c>
      <c r="P942" s="15">
        <f>+L942-O942</f>
        <v>0</v>
      </c>
      <c r="Q942" s="10">
        <v>0</v>
      </c>
      <c r="R942" s="7" t="s">
        <v>87</v>
      </c>
    </row>
    <row r="943" spans="1:18" hidden="1">
      <c r="A943" s="7" t="s">
        <v>29</v>
      </c>
      <c r="B943" s="8">
        <v>20753</v>
      </c>
      <c r="C943" s="9">
        <v>45995.442800925921</v>
      </c>
      <c r="D943" s="9">
        <v>45877</v>
      </c>
      <c r="E943" s="9">
        <v>45979</v>
      </c>
      <c r="F943" s="7" t="s">
        <v>3277</v>
      </c>
      <c r="G943" s="7" t="s">
        <v>3278</v>
      </c>
      <c r="H943" s="7" t="s">
        <v>2608</v>
      </c>
      <c r="I943" s="7" t="s">
        <v>2609</v>
      </c>
      <c r="J943" s="7" t="s">
        <v>176</v>
      </c>
      <c r="K943" s="7" t="s">
        <v>177</v>
      </c>
      <c r="L943" s="10">
        <v>2918.77</v>
      </c>
      <c r="M943" s="10">
        <v>2918.77</v>
      </c>
      <c r="N943" s="10">
        <f>+L943-M943</f>
        <v>0</v>
      </c>
      <c r="O943" s="10">
        <v>2918.77</v>
      </c>
      <c r="P943" s="10">
        <f>+L943-O943</f>
        <v>0</v>
      </c>
      <c r="Q943" s="10">
        <v>0</v>
      </c>
      <c r="R943" s="7" t="s">
        <v>27</v>
      </c>
    </row>
    <row r="944" spans="1:18">
      <c r="A944" s="7" t="s">
        <v>29</v>
      </c>
      <c r="B944" s="8">
        <v>20667</v>
      </c>
      <c r="C944" s="9">
        <v>45965.73737268518</v>
      </c>
      <c r="D944" s="9">
        <v>46022</v>
      </c>
      <c r="E944" s="9">
        <v>46022</v>
      </c>
      <c r="F944" s="7" t="s">
        <v>3279</v>
      </c>
      <c r="G944" s="7" t="s">
        <v>3280</v>
      </c>
      <c r="H944" s="7" t="s">
        <v>2284</v>
      </c>
      <c r="I944" s="7" t="s">
        <v>1763</v>
      </c>
      <c r="J944" s="7" t="s">
        <v>25</v>
      </c>
      <c r="K944" s="7" t="s">
        <v>55</v>
      </c>
      <c r="L944" s="10">
        <v>4715</v>
      </c>
      <c r="M944" s="10">
        <v>4715</v>
      </c>
      <c r="N944" s="10">
        <f>+L944-M944</f>
        <v>0</v>
      </c>
      <c r="O944" s="10">
        <v>4715</v>
      </c>
      <c r="P944" s="10">
        <f>+L944-O944</f>
        <v>0</v>
      </c>
      <c r="Q944" s="10">
        <v>0</v>
      </c>
      <c r="R944" s="7" t="s">
        <v>27</v>
      </c>
    </row>
    <row r="945" spans="1:18" hidden="1">
      <c r="A945" s="7" t="s">
        <v>29</v>
      </c>
      <c r="B945" s="8">
        <v>19463</v>
      </c>
      <c r="C945" s="9">
        <v>45714.703032407408</v>
      </c>
      <c r="D945" s="9">
        <v>45714</v>
      </c>
      <c r="E945" s="9">
        <v>45721</v>
      </c>
      <c r="F945" s="7" t="s">
        <v>3281</v>
      </c>
      <c r="G945" s="7" t="s">
        <v>1606</v>
      </c>
      <c r="H945" s="7" t="s">
        <v>3282</v>
      </c>
      <c r="I945" s="7" t="s">
        <v>3283</v>
      </c>
      <c r="J945" s="7" t="s">
        <v>40</v>
      </c>
      <c r="K945" s="7" t="s">
        <v>41</v>
      </c>
      <c r="L945" s="10">
        <v>2545.89</v>
      </c>
      <c r="M945" s="10">
        <v>2545.89</v>
      </c>
      <c r="N945" s="10">
        <f>+L945-M945</f>
        <v>0</v>
      </c>
      <c r="O945" s="10">
        <v>2545.89</v>
      </c>
      <c r="P945" s="10">
        <f>+L945-O945</f>
        <v>0</v>
      </c>
      <c r="Q945" s="10">
        <v>0</v>
      </c>
      <c r="R945" s="7" t="s">
        <v>27</v>
      </c>
    </row>
    <row r="946" spans="1:18" hidden="1">
      <c r="A946" s="7" t="s">
        <v>29</v>
      </c>
      <c r="B946" s="8">
        <v>20496</v>
      </c>
      <c r="C946" s="9">
        <v>45923.490393518514</v>
      </c>
      <c r="D946" s="9">
        <v>45915</v>
      </c>
      <c r="E946" s="9">
        <v>45887</v>
      </c>
      <c r="F946" s="7" t="s">
        <v>3284</v>
      </c>
      <c r="G946" s="7" t="s">
        <v>3285</v>
      </c>
      <c r="H946" s="7" t="s">
        <v>3286</v>
      </c>
      <c r="I946" s="7" t="s">
        <v>3287</v>
      </c>
      <c r="J946" s="7" t="s">
        <v>176</v>
      </c>
      <c r="K946" s="7" t="s">
        <v>584</v>
      </c>
      <c r="L946" s="10">
        <v>2900</v>
      </c>
      <c r="M946" s="10">
        <v>2900</v>
      </c>
      <c r="N946" s="10">
        <f>+L946-M946</f>
        <v>0</v>
      </c>
      <c r="O946" s="10">
        <v>2900</v>
      </c>
      <c r="P946" s="10">
        <f>+L946-O946</f>
        <v>0</v>
      </c>
      <c r="Q946" s="10">
        <v>0</v>
      </c>
      <c r="R946" s="7" t="s">
        <v>27</v>
      </c>
    </row>
    <row r="947" spans="1:18">
      <c r="A947" s="7" t="s">
        <v>29</v>
      </c>
      <c r="B947" s="8">
        <v>20552</v>
      </c>
      <c r="C947" s="9">
        <v>45933.567280590272</v>
      </c>
      <c r="D947" s="9">
        <v>45929</v>
      </c>
      <c r="E947" s="9">
        <v>45932</v>
      </c>
      <c r="F947" s="7" t="s">
        <v>3288</v>
      </c>
      <c r="G947" s="7" t="s">
        <v>3289</v>
      </c>
      <c r="H947" s="7" t="s">
        <v>3290</v>
      </c>
      <c r="I947" s="7" t="s">
        <v>996</v>
      </c>
      <c r="J947" s="7" t="s">
        <v>25</v>
      </c>
      <c r="K947" s="7" t="s">
        <v>26</v>
      </c>
      <c r="L947" s="10">
        <v>4703.8999999999996</v>
      </c>
      <c r="M947" s="10">
        <v>4703.8999999999996</v>
      </c>
      <c r="N947" s="10">
        <f>+L947-M947</f>
        <v>0</v>
      </c>
      <c r="O947" s="10">
        <v>4703.8999999999996</v>
      </c>
      <c r="P947" s="10">
        <f>+L947-O947</f>
        <v>0</v>
      </c>
      <c r="Q947" s="10">
        <v>0</v>
      </c>
      <c r="R947" s="7" t="s">
        <v>27</v>
      </c>
    </row>
    <row r="948" spans="1:18" hidden="1">
      <c r="A948" s="7" t="s">
        <v>29</v>
      </c>
      <c r="B948" s="8">
        <v>20268</v>
      </c>
      <c r="C948" s="9">
        <v>45880.618611111109</v>
      </c>
      <c r="D948" s="9">
        <v>45941</v>
      </c>
      <c r="E948" s="9">
        <v>45880</v>
      </c>
      <c r="F948" s="7" t="s">
        <v>3291</v>
      </c>
      <c r="G948" s="7" t="s">
        <v>3292</v>
      </c>
      <c r="H948" s="7" t="s">
        <v>3293</v>
      </c>
      <c r="I948" s="7" t="s">
        <v>3294</v>
      </c>
      <c r="J948" s="7" t="s">
        <v>40</v>
      </c>
      <c r="K948" s="7" t="s">
        <v>355</v>
      </c>
      <c r="L948" s="10">
        <v>2465.3200000000002</v>
      </c>
      <c r="M948" s="10">
        <v>2465.3200000000002</v>
      </c>
      <c r="N948" s="10">
        <f>+L948-M948</f>
        <v>0</v>
      </c>
      <c r="O948" s="10">
        <v>2465.3200000000002</v>
      </c>
      <c r="P948" s="10">
        <f>+L948-O948</f>
        <v>0</v>
      </c>
      <c r="Q948" s="10">
        <v>0</v>
      </c>
      <c r="R948" s="7" t="s">
        <v>27</v>
      </c>
    </row>
    <row r="949" spans="1:18" hidden="1">
      <c r="A949" s="7" t="s">
        <v>29</v>
      </c>
      <c r="B949" s="8">
        <v>4168</v>
      </c>
      <c r="C949" s="9">
        <v>45705.682780937495</v>
      </c>
      <c r="D949" s="9">
        <v>45702</v>
      </c>
      <c r="E949" s="9">
        <v>45734</v>
      </c>
      <c r="F949" s="7" t="s">
        <v>3295</v>
      </c>
      <c r="G949" s="7" t="s">
        <v>3296</v>
      </c>
      <c r="H949" s="7" t="s">
        <v>3297</v>
      </c>
      <c r="I949" s="7" t="s">
        <v>3298</v>
      </c>
      <c r="J949" s="7" t="s">
        <v>25</v>
      </c>
      <c r="K949" s="7" t="s">
        <v>916</v>
      </c>
      <c r="L949" s="10">
        <v>4574.8599999999997</v>
      </c>
      <c r="M949" s="10">
        <v>4574.8599999999997</v>
      </c>
      <c r="N949" s="15">
        <f>+L949-M949</f>
        <v>0</v>
      </c>
      <c r="O949" s="15">
        <v>4574.8599999999997</v>
      </c>
      <c r="P949" s="15">
        <f>+L949-O949</f>
        <v>0</v>
      </c>
      <c r="Q949" s="10">
        <v>0</v>
      </c>
      <c r="R949" s="7" t="s">
        <v>87</v>
      </c>
    </row>
    <row r="950" spans="1:18">
      <c r="A950" s="7" t="s">
        <v>29</v>
      </c>
      <c r="B950" s="8">
        <v>19320</v>
      </c>
      <c r="C950" s="9">
        <v>45667.40415509259</v>
      </c>
      <c r="D950" s="9">
        <v>45693</v>
      </c>
      <c r="E950" s="9">
        <v>45693</v>
      </c>
      <c r="F950" s="7" t="s">
        <v>3299</v>
      </c>
      <c r="G950" s="7" t="s">
        <v>683</v>
      </c>
      <c r="H950" s="7" t="s">
        <v>3300</v>
      </c>
      <c r="I950" s="7" t="s">
        <v>3301</v>
      </c>
      <c r="J950" s="7" t="s">
        <v>25</v>
      </c>
      <c r="K950" s="7" t="s">
        <v>55</v>
      </c>
      <c r="L950" s="10">
        <v>4558.5</v>
      </c>
      <c r="M950" s="10">
        <v>4558.5</v>
      </c>
      <c r="N950" s="10">
        <f>+L950-M950</f>
        <v>0</v>
      </c>
      <c r="O950" s="10">
        <v>4558.5</v>
      </c>
      <c r="P950" s="10">
        <f>+L950-O950</f>
        <v>0</v>
      </c>
      <c r="Q950" s="10">
        <v>0</v>
      </c>
      <c r="R950" s="7" t="s">
        <v>27</v>
      </c>
    </row>
    <row r="951" spans="1:18">
      <c r="A951" s="7" t="s">
        <v>29</v>
      </c>
      <c r="B951" s="8">
        <v>19813</v>
      </c>
      <c r="C951" s="9">
        <v>45791.611886574072</v>
      </c>
      <c r="D951" s="9">
        <v>45800</v>
      </c>
      <c r="E951" s="9">
        <v>45793</v>
      </c>
      <c r="F951" s="7" t="s">
        <v>3302</v>
      </c>
      <c r="G951" s="7" t="s">
        <v>3303</v>
      </c>
      <c r="H951" s="7" t="s">
        <v>3264</v>
      </c>
      <c r="I951" s="7" t="s">
        <v>3265</v>
      </c>
      <c r="J951" s="7" t="s">
        <v>25</v>
      </c>
      <c r="K951" s="7" t="s">
        <v>55</v>
      </c>
      <c r="L951" s="10">
        <v>4474.8</v>
      </c>
      <c r="M951" s="10">
        <v>4474.8</v>
      </c>
      <c r="N951" s="10">
        <f>+L951-M951</f>
        <v>0</v>
      </c>
      <c r="O951" s="10">
        <v>4474.8</v>
      </c>
      <c r="P951" s="10">
        <f>+L951-O951</f>
        <v>0</v>
      </c>
      <c r="Q951" s="10">
        <v>0</v>
      </c>
      <c r="R951" s="7" t="s">
        <v>27</v>
      </c>
    </row>
    <row r="952" spans="1:18" hidden="1">
      <c r="A952" s="7" t="s">
        <v>29</v>
      </c>
      <c r="B952" s="8">
        <v>20388</v>
      </c>
      <c r="C952" s="9">
        <v>45902.601018518515</v>
      </c>
      <c r="D952" s="9">
        <v>45902</v>
      </c>
      <c r="E952" s="9">
        <v>45891</v>
      </c>
      <c r="F952" s="7" t="s">
        <v>3304</v>
      </c>
      <c r="G952" s="7" t="s">
        <v>3305</v>
      </c>
      <c r="H952" s="7" t="s">
        <v>3306</v>
      </c>
      <c r="I952" s="7" t="s">
        <v>3307</v>
      </c>
      <c r="J952" s="7" t="s">
        <v>34</v>
      </c>
      <c r="K952" s="7" t="s">
        <v>412</v>
      </c>
      <c r="L952" s="10">
        <v>2786.41</v>
      </c>
      <c r="M952" s="10">
        <v>2786.41</v>
      </c>
      <c r="N952" s="10">
        <f>+L952-M952</f>
        <v>0</v>
      </c>
      <c r="O952" s="10">
        <v>2786.41</v>
      </c>
      <c r="P952" s="10">
        <f>+L952-O952</f>
        <v>0</v>
      </c>
      <c r="Q952" s="10">
        <v>0</v>
      </c>
      <c r="R952" s="7" t="s">
        <v>27</v>
      </c>
    </row>
    <row r="953" spans="1:18" hidden="1">
      <c r="A953" s="7" t="s">
        <v>29</v>
      </c>
      <c r="B953" s="8">
        <v>4181</v>
      </c>
      <c r="C953" s="9">
        <v>45737.446203703701</v>
      </c>
      <c r="D953" s="9">
        <v>45726</v>
      </c>
      <c r="E953" s="9">
        <v>45726</v>
      </c>
      <c r="F953" s="7" t="s">
        <v>3308</v>
      </c>
      <c r="G953" s="7" t="s">
        <v>1757</v>
      </c>
      <c r="H953" s="7" t="s">
        <v>3309</v>
      </c>
      <c r="I953" s="7" t="s">
        <v>1770</v>
      </c>
      <c r="J953" s="7" t="s">
        <v>25</v>
      </c>
      <c r="K953" s="7" t="s">
        <v>86</v>
      </c>
      <c r="L953" s="10">
        <v>4453.04</v>
      </c>
      <c r="M953" s="10">
        <v>4453.04</v>
      </c>
      <c r="N953" s="15">
        <f>+L953-M953</f>
        <v>0</v>
      </c>
      <c r="O953" s="15">
        <v>4453.04</v>
      </c>
      <c r="P953" s="15">
        <f>+L953-O953</f>
        <v>0</v>
      </c>
      <c r="Q953" s="10">
        <v>0</v>
      </c>
      <c r="R953" s="7" t="s">
        <v>87</v>
      </c>
    </row>
    <row r="954" spans="1:18">
      <c r="A954" s="7" t="s">
        <v>29</v>
      </c>
      <c r="B954" s="8">
        <v>19295</v>
      </c>
      <c r="C954" s="9">
        <v>45659.440381944441</v>
      </c>
      <c r="D954" s="9">
        <v>45688</v>
      </c>
      <c r="E954" s="9">
        <v>45688</v>
      </c>
      <c r="F954" s="7" t="s">
        <v>3310</v>
      </c>
      <c r="G954" s="7" t="s">
        <v>3311</v>
      </c>
      <c r="H954" s="7" t="s">
        <v>1165</v>
      </c>
      <c r="I954" s="7" t="s">
        <v>1166</v>
      </c>
      <c r="J954" s="7" t="s">
        <v>25</v>
      </c>
      <c r="K954" s="7" t="s">
        <v>26</v>
      </c>
      <c r="L954" s="10">
        <v>4371.74</v>
      </c>
      <c r="M954" s="10">
        <v>4371.74</v>
      </c>
      <c r="N954" s="10">
        <f>+L954-M954</f>
        <v>0</v>
      </c>
      <c r="O954" s="10">
        <v>4371.74</v>
      </c>
      <c r="P954" s="10">
        <f>+L954-O954</f>
        <v>0</v>
      </c>
      <c r="Q954" s="10">
        <v>0</v>
      </c>
      <c r="R954" s="7" t="s">
        <v>27</v>
      </c>
    </row>
    <row r="955" spans="1:18">
      <c r="A955" s="7" t="s">
        <v>29</v>
      </c>
      <c r="B955" s="8">
        <v>19309</v>
      </c>
      <c r="C955" s="9">
        <v>45660.694016203699</v>
      </c>
      <c r="D955" s="9">
        <v>45652</v>
      </c>
      <c r="E955" s="9">
        <v>45656</v>
      </c>
      <c r="F955" s="7" t="s">
        <v>3312</v>
      </c>
      <c r="G955" s="7" t="s">
        <v>3313</v>
      </c>
      <c r="H955" s="7" t="s">
        <v>3314</v>
      </c>
      <c r="I955" s="7" t="s">
        <v>336</v>
      </c>
      <c r="J955" s="7" t="s">
        <v>25</v>
      </c>
      <c r="K955" s="7" t="s">
        <v>55</v>
      </c>
      <c r="L955" s="10">
        <v>4252.17</v>
      </c>
      <c r="M955" s="10">
        <v>4252.17</v>
      </c>
      <c r="N955" s="10">
        <f>+L955-M955</f>
        <v>0</v>
      </c>
      <c r="O955" s="10">
        <v>4252.17</v>
      </c>
      <c r="P955" s="10">
        <f>+L955-O955</f>
        <v>0</v>
      </c>
      <c r="Q955" s="10">
        <v>0</v>
      </c>
      <c r="R955" s="7" t="s">
        <v>27</v>
      </c>
    </row>
    <row r="956" spans="1:18">
      <c r="A956" s="7" t="s">
        <v>29</v>
      </c>
      <c r="B956" s="8">
        <v>19439</v>
      </c>
      <c r="C956" s="9">
        <v>45712.443506944444</v>
      </c>
      <c r="D956" s="9">
        <v>45677</v>
      </c>
      <c r="E956" s="9">
        <v>45652</v>
      </c>
      <c r="F956" s="7" t="s">
        <v>3315</v>
      </c>
      <c r="G956" s="7" t="s">
        <v>3316</v>
      </c>
      <c r="H956" s="7" t="s">
        <v>3317</v>
      </c>
      <c r="I956" s="7" t="s">
        <v>3318</v>
      </c>
      <c r="J956" s="7" t="s">
        <v>25</v>
      </c>
      <c r="K956" s="7" t="s">
        <v>55</v>
      </c>
      <c r="L956" s="10">
        <v>4214.8999999999996</v>
      </c>
      <c r="M956" s="10">
        <v>4214.8999999999996</v>
      </c>
      <c r="N956" s="10">
        <f>+L956-M956</f>
        <v>0</v>
      </c>
      <c r="O956" s="10">
        <v>4214.8999999999996</v>
      </c>
      <c r="P956" s="10">
        <f>+L956-O956</f>
        <v>0</v>
      </c>
      <c r="Q956" s="10">
        <v>0</v>
      </c>
      <c r="R956" s="7" t="s">
        <v>27</v>
      </c>
    </row>
    <row r="957" spans="1:18">
      <c r="A957" s="7" t="s">
        <v>29</v>
      </c>
      <c r="B957" s="8">
        <v>20500</v>
      </c>
      <c r="C957" s="9">
        <v>45924.340949074074</v>
      </c>
      <c r="D957" s="9">
        <v>45926</v>
      </c>
      <c r="E957" s="9">
        <v>45923</v>
      </c>
      <c r="F957" s="7" t="s">
        <v>3319</v>
      </c>
      <c r="G957" s="7" t="s">
        <v>3320</v>
      </c>
      <c r="H957" s="7" t="s">
        <v>1080</v>
      </c>
      <c r="I957" s="7" t="s">
        <v>1081</v>
      </c>
      <c r="J957" s="7" t="s">
        <v>25</v>
      </c>
      <c r="K957" s="7" t="s">
        <v>170</v>
      </c>
      <c r="L957" s="10">
        <v>4154.76</v>
      </c>
      <c r="M957" s="10">
        <v>4154.76</v>
      </c>
      <c r="N957" s="10">
        <f>+L957-M957</f>
        <v>0</v>
      </c>
      <c r="O957" s="10">
        <v>4154.76</v>
      </c>
      <c r="P957" s="10">
        <f>+L957-O957</f>
        <v>0</v>
      </c>
      <c r="Q957" s="10">
        <v>0</v>
      </c>
      <c r="R957" s="7" t="s">
        <v>27</v>
      </c>
    </row>
    <row r="958" spans="1:18">
      <c r="A958" s="7" t="s">
        <v>29</v>
      </c>
      <c r="B958" s="8">
        <v>20379</v>
      </c>
      <c r="C958" s="9">
        <v>45902.549270833333</v>
      </c>
      <c r="D958" s="9">
        <v>45892</v>
      </c>
      <c r="E958" s="9">
        <v>45897</v>
      </c>
      <c r="F958" s="7" t="s">
        <v>3321</v>
      </c>
      <c r="G958" s="7" t="s">
        <v>3322</v>
      </c>
      <c r="H958" s="7" t="s">
        <v>2205</v>
      </c>
      <c r="I958" s="7" t="s">
        <v>2206</v>
      </c>
      <c r="J958" s="7" t="s">
        <v>25</v>
      </c>
      <c r="K958" s="7" t="s">
        <v>26</v>
      </c>
      <c r="L958" s="10">
        <v>4145.88</v>
      </c>
      <c r="M958" s="10">
        <v>4145.88</v>
      </c>
      <c r="N958" s="10">
        <f>+L958-M958</f>
        <v>0</v>
      </c>
      <c r="O958" s="10">
        <v>4145.88</v>
      </c>
      <c r="P958" s="10">
        <f>+L958-O958</f>
        <v>0</v>
      </c>
      <c r="Q958" s="10">
        <v>0</v>
      </c>
      <c r="R958" s="7" t="s">
        <v>27</v>
      </c>
    </row>
    <row r="959" spans="1:18" hidden="1">
      <c r="A959" s="7" t="s">
        <v>29</v>
      </c>
      <c r="B959" s="8">
        <v>4256</v>
      </c>
      <c r="C959" s="9">
        <v>45911.421446759254</v>
      </c>
      <c r="D959" s="9">
        <v>45890</v>
      </c>
      <c r="E959" s="9">
        <v>45890</v>
      </c>
      <c r="F959" s="7" t="s">
        <v>3323</v>
      </c>
      <c r="G959" s="7" t="s">
        <v>1567</v>
      </c>
      <c r="H959" s="7" t="s">
        <v>280</v>
      </c>
      <c r="I959" s="7" t="s">
        <v>205</v>
      </c>
      <c r="J959" s="7" t="s">
        <v>25</v>
      </c>
      <c r="K959" s="7" t="s">
        <v>206</v>
      </c>
      <c r="L959" s="10">
        <v>4136.4799999999996</v>
      </c>
      <c r="M959" s="10">
        <v>4136.4799999999996</v>
      </c>
      <c r="N959" s="15">
        <f>+L959-M959</f>
        <v>0</v>
      </c>
      <c r="O959" s="15">
        <v>4136.4799999999996</v>
      </c>
      <c r="P959" s="15">
        <f>+L959-O959</f>
        <v>0</v>
      </c>
      <c r="Q959" s="10">
        <v>0</v>
      </c>
      <c r="R959" s="7" t="s">
        <v>87</v>
      </c>
    </row>
    <row r="960" spans="1:18">
      <c r="A960" s="7" t="s">
        <v>29</v>
      </c>
      <c r="B960" s="8">
        <v>19781</v>
      </c>
      <c r="C960" s="9">
        <v>45784.72924768518</v>
      </c>
      <c r="D960" s="9">
        <v>45792</v>
      </c>
      <c r="E960" s="9">
        <v>45782</v>
      </c>
      <c r="F960" s="7" t="s">
        <v>3324</v>
      </c>
      <c r="G960" s="7" t="s">
        <v>3325</v>
      </c>
      <c r="H960" s="7" t="s">
        <v>3077</v>
      </c>
      <c r="I960" s="7" t="s">
        <v>327</v>
      </c>
      <c r="J960" s="7" t="s">
        <v>25</v>
      </c>
      <c r="K960" s="7" t="s">
        <v>1307</v>
      </c>
      <c r="L960" s="10">
        <v>3957.26</v>
      </c>
      <c r="M960" s="10">
        <v>3957.26</v>
      </c>
      <c r="N960" s="10">
        <f>+L960-M960</f>
        <v>0</v>
      </c>
      <c r="O960" s="10">
        <v>3957.26</v>
      </c>
      <c r="P960" s="10">
        <f>+L960-O960</f>
        <v>0</v>
      </c>
      <c r="Q960" s="10">
        <v>0</v>
      </c>
      <c r="R960" s="7" t="s">
        <v>27</v>
      </c>
    </row>
    <row r="961" spans="1:18" hidden="1">
      <c r="A961" s="7" t="s">
        <v>29</v>
      </c>
      <c r="B961" s="8">
        <v>4298</v>
      </c>
      <c r="C961" s="9">
        <v>45986.6877662037</v>
      </c>
      <c r="D961" s="9">
        <v>45989</v>
      </c>
      <c r="E961" s="9">
        <v>46020</v>
      </c>
      <c r="F961" s="7" t="s">
        <v>3326</v>
      </c>
      <c r="G961" s="7" t="s">
        <v>3327</v>
      </c>
      <c r="H961" s="7" t="s">
        <v>3328</v>
      </c>
      <c r="I961" s="7" t="s">
        <v>1749</v>
      </c>
      <c r="J961" s="7" t="s">
        <v>25</v>
      </c>
      <c r="K961" s="7" t="s">
        <v>260</v>
      </c>
      <c r="L961" s="10">
        <v>3877.21</v>
      </c>
      <c r="M961" s="10">
        <v>3877.21</v>
      </c>
      <c r="N961" s="15">
        <f>+L961-M961</f>
        <v>0</v>
      </c>
      <c r="O961" s="15">
        <v>3877.21</v>
      </c>
      <c r="P961" s="15">
        <f>+L961-O961</f>
        <v>0</v>
      </c>
      <c r="Q961" s="10">
        <v>0</v>
      </c>
      <c r="R961" s="7" t="s">
        <v>87</v>
      </c>
    </row>
    <row r="962" spans="1:18" hidden="1">
      <c r="A962" s="7" t="s">
        <v>29</v>
      </c>
      <c r="B962" s="8">
        <v>4156</v>
      </c>
      <c r="C962" s="9">
        <v>45688.662131365738</v>
      </c>
      <c r="D962" s="9">
        <v>45684</v>
      </c>
      <c r="E962" s="9">
        <v>45684</v>
      </c>
      <c r="F962" s="7" t="s">
        <v>3329</v>
      </c>
      <c r="G962" s="7" t="s">
        <v>2655</v>
      </c>
      <c r="H962" s="7" t="s">
        <v>3330</v>
      </c>
      <c r="I962" s="7" t="s">
        <v>2971</v>
      </c>
      <c r="J962" s="7" t="s">
        <v>25</v>
      </c>
      <c r="K962" s="7" t="s">
        <v>916</v>
      </c>
      <c r="L962" s="10">
        <v>3698.59</v>
      </c>
      <c r="M962" s="10">
        <v>3698.59</v>
      </c>
      <c r="N962" s="15">
        <f>+L962-M962</f>
        <v>0</v>
      </c>
      <c r="O962" s="15">
        <v>3698.59</v>
      </c>
      <c r="P962" s="15">
        <f>+L962-O962</f>
        <v>0</v>
      </c>
      <c r="Q962" s="10">
        <v>0</v>
      </c>
      <c r="R962" s="7" t="s">
        <v>87</v>
      </c>
    </row>
    <row r="963" spans="1:18" hidden="1">
      <c r="A963" s="7" t="s">
        <v>29</v>
      </c>
      <c r="B963" s="8">
        <v>20168</v>
      </c>
      <c r="C963" s="9">
        <v>45859.642777777779</v>
      </c>
      <c r="D963" s="9">
        <v>45859</v>
      </c>
      <c r="E963" s="9">
        <v>45845</v>
      </c>
      <c r="F963" s="7" t="s">
        <v>3331</v>
      </c>
      <c r="G963" s="7" t="s">
        <v>3332</v>
      </c>
      <c r="H963" s="7" t="s">
        <v>3333</v>
      </c>
      <c r="I963" s="7" t="s">
        <v>3334</v>
      </c>
      <c r="J963" s="7" t="s">
        <v>34</v>
      </c>
      <c r="K963" s="7" t="s">
        <v>35</v>
      </c>
      <c r="L963" s="10">
        <v>2731.96</v>
      </c>
      <c r="M963" s="10">
        <v>2731.96</v>
      </c>
      <c r="N963" s="10">
        <f>+L963-M963</f>
        <v>0</v>
      </c>
      <c r="O963" s="10">
        <v>2731.96</v>
      </c>
      <c r="P963" s="10">
        <f>+L963-O963</f>
        <v>0</v>
      </c>
      <c r="Q963" s="10">
        <v>0</v>
      </c>
      <c r="R963" s="7" t="s">
        <v>27</v>
      </c>
    </row>
    <row r="964" spans="1:18" hidden="1">
      <c r="A964" s="7" t="s">
        <v>29</v>
      </c>
      <c r="B964" s="8">
        <v>20907</v>
      </c>
      <c r="C964" s="9">
        <v>46045.647372685184</v>
      </c>
      <c r="D964" s="9">
        <v>46044</v>
      </c>
      <c r="E964" s="9">
        <v>46044</v>
      </c>
      <c r="F964" s="7" t="s">
        <v>3335</v>
      </c>
      <c r="G964" s="7" t="s">
        <v>3336</v>
      </c>
      <c r="H964" s="7" t="s">
        <v>3337</v>
      </c>
      <c r="I964" s="7" t="s">
        <v>3338</v>
      </c>
      <c r="J964" s="7" t="s">
        <v>176</v>
      </c>
      <c r="K964" s="7" t="s">
        <v>360</v>
      </c>
      <c r="L964" s="10">
        <v>2725.2</v>
      </c>
      <c r="M964" s="10">
        <v>2725.2</v>
      </c>
      <c r="N964" s="10">
        <f>+L964-M964</f>
        <v>0</v>
      </c>
      <c r="O964" s="10">
        <v>2725.2</v>
      </c>
      <c r="P964" s="10">
        <f>+L964-O964</f>
        <v>0</v>
      </c>
      <c r="Q964" s="10">
        <v>0</v>
      </c>
      <c r="R964" s="7" t="s">
        <v>27</v>
      </c>
    </row>
    <row r="965" spans="1:18">
      <c r="A965" s="7" t="s">
        <v>29</v>
      </c>
      <c r="B965" s="8">
        <v>20533</v>
      </c>
      <c r="C965" s="9">
        <v>45930.733328206014</v>
      </c>
      <c r="D965" s="9">
        <v>45908</v>
      </c>
      <c r="E965" s="9">
        <v>45932</v>
      </c>
      <c r="F965" s="7" t="s">
        <v>3339</v>
      </c>
      <c r="G965" s="7" t="s">
        <v>3340</v>
      </c>
      <c r="H965" s="7" t="s">
        <v>783</v>
      </c>
      <c r="I965" s="7" t="s">
        <v>784</v>
      </c>
      <c r="J965" s="7" t="s">
        <v>25</v>
      </c>
      <c r="K965" s="7" t="s">
        <v>55</v>
      </c>
      <c r="L965" s="10">
        <v>3644.87</v>
      </c>
      <c r="M965" s="10">
        <v>3644.87</v>
      </c>
      <c r="N965" s="10">
        <f>+L965-M965</f>
        <v>0</v>
      </c>
      <c r="O965" s="10">
        <v>3644.87</v>
      </c>
      <c r="P965" s="10">
        <f>+L965-O965</f>
        <v>0</v>
      </c>
      <c r="Q965" s="10">
        <v>0</v>
      </c>
      <c r="R965" s="7" t="s">
        <v>27</v>
      </c>
    </row>
    <row r="966" spans="1:18">
      <c r="A966" s="7" t="s">
        <v>29</v>
      </c>
      <c r="B966" s="8">
        <v>19606</v>
      </c>
      <c r="C966" s="9">
        <v>45750.699994247683</v>
      </c>
      <c r="D966" s="9">
        <v>45777</v>
      </c>
      <c r="E966" s="9">
        <v>45807</v>
      </c>
      <c r="F966" s="7" t="s">
        <v>3341</v>
      </c>
      <c r="G966" s="7" t="s">
        <v>3342</v>
      </c>
      <c r="H966" s="7" t="s">
        <v>3343</v>
      </c>
      <c r="I966" s="7" t="s">
        <v>2906</v>
      </c>
      <c r="J966" s="7" t="s">
        <v>25</v>
      </c>
      <c r="K966" s="7" t="s">
        <v>55</v>
      </c>
      <c r="L966" s="10">
        <v>3618.7</v>
      </c>
      <c r="M966" s="10">
        <v>3618.7</v>
      </c>
      <c r="N966" s="10">
        <f>+L966-M966</f>
        <v>0</v>
      </c>
      <c r="O966" s="10">
        <v>3618.7</v>
      </c>
      <c r="P966" s="10">
        <f>+L966-O966</f>
        <v>0</v>
      </c>
      <c r="Q966" s="10">
        <v>0</v>
      </c>
      <c r="R966" s="7" t="s">
        <v>27</v>
      </c>
    </row>
    <row r="967" spans="1:18" hidden="1">
      <c r="A967" s="7" t="s">
        <v>29</v>
      </c>
      <c r="B967" s="8">
        <v>4308</v>
      </c>
      <c r="C967" s="9">
        <v>45987.600347222222</v>
      </c>
      <c r="D967" s="9">
        <v>46017</v>
      </c>
      <c r="E967" s="9">
        <v>46017</v>
      </c>
      <c r="F967" s="7" t="s">
        <v>3344</v>
      </c>
      <c r="G967" s="7" t="s">
        <v>2463</v>
      </c>
      <c r="H967" s="7" t="s">
        <v>2685</v>
      </c>
      <c r="I967" s="7" t="s">
        <v>1298</v>
      </c>
      <c r="J967" s="7" t="s">
        <v>25</v>
      </c>
      <c r="K967" s="7" t="s">
        <v>206</v>
      </c>
      <c r="L967" s="10">
        <v>3428.51</v>
      </c>
      <c r="M967" s="10">
        <v>3428.51</v>
      </c>
      <c r="N967" s="15">
        <f>+L967-M967</f>
        <v>0</v>
      </c>
      <c r="O967" s="15">
        <v>3428.51</v>
      </c>
      <c r="P967" s="15">
        <f>+L967-O967</f>
        <v>0</v>
      </c>
      <c r="Q967" s="10">
        <v>0</v>
      </c>
      <c r="R967" s="7" t="s">
        <v>87</v>
      </c>
    </row>
    <row r="968" spans="1:18" hidden="1">
      <c r="A968" s="7" t="s">
        <v>29</v>
      </c>
      <c r="B968" s="8">
        <v>19551</v>
      </c>
      <c r="C968" s="9">
        <v>45740.651099537034</v>
      </c>
      <c r="D968" s="9">
        <v>45740</v>
      </c>
      <c r="E968" s="9">
        <v>45740</v>
      </c>
      <c r="F968" s="7" t="s">
        <v>3345</v>
      </c>
      <c r="G968" s="7" t="s">
        <v>3346</v>
      </c>
      <c r="H968" s="7" t="s">
        <v>3347</v>
      </c>
      <c r="I968" s="7" t="s">
        <v>3348</v>
      </c>
      <c r="J968" s="7" t="s">
        <v>34</v>
      </c>
      <c r="K968" s="7" t="s">
        <v>902</v>
      </c>
      <c r="L968" s="10">
        <v>2688.51</v>
      </c>
      <c r="M968" s="10">
        <v>2688.51</v>
      </c>
      <c r="N968" s="10">
        <f>+L968-M968</f>
        <v>0</v>
      </c>
      <c r="O968" s="10">
        <v>2688.51</v>
      </c>
      <c r="P968" s="10">
        <f>+L968-O968</f>
        <v>0</v>
      </c>
      <c r="Q968" s="10">
        <v>0</v>
      </c>
      <c r="R968" s="7" t="s">
        <v>27</v>
      </c>
    </row>
    <row r="969" spans="1:18" hidden="1">
      <c r="A969" s="7" t="s">
        <v>29</v>
      </c>
      <c r="B969" s="8">
        <v>19525</v>
      </c>
      <c r="C969" s="9">
        <v>45730.617893518516</v>
      </c>
      <c r="D969" s="9">
        <v>45730</v>
      </c>
      <c r="E969" s="9">
        <v>45728</v>
      </c>
      <c r="F969" s="7" t="s">
        <v>3349</v>
      </c>
      <c r="G969" s="7" t="s">
        <v>3350</v>
      </c>
      <c r="H969" s="7" t="s">
        <v>3351</v>
      </c>
      <c r="I969" s="7" t="s">
        <v>3352</v>
      </c>
      <c r="J969" s="7" t="s">
        <v>34</v>
      </c>
      <c r="K969" s="7" t="s">
        <v>902</v>
      </c>
      <c r="L969" s="10">
        <v>2683.47</v>
      </c>
      <c r="M969" s="10">
        <v>2683.47</v>
      </c>
      <c r="N969" s="10">
        <f>+L969-M969</f>
        <v>0</v>
      </c>
      <c r="O969" s="10">
        <v>2683.47</v>
      </c>
      <c r="P969" s="10">
        <f>+L969-O969</f>
        <v>0</v>
      </c>
      <c r="Q969" s="10">
        <v>0</v>
      </c>
      <c r="R969" s="7" t="s">
        <v>27</v>
      </c>
    </row>
    <row r="970" spans="1:18" hidden="1">
      <c r="A970" s="7" t="s">
        <v>29</v>
      </c>
      <c r="B970" s="8">
        <v>20588</v>
      </c>
      <c r="C970" s="9">
        <v>45945.622129629628</v>
      </c>
      <c r="D970" s="9">
        <v>45939</v>
      </c>
      <c r="E970" s="9">
        <v>45918</v>
      </c>
      <c r="F970" s="7" t="s">
        <v>3353</v>
      </c>
      <c r="G970" s="7" t="s">
        <v>3354</v>
      </c>
      <c r="H970" s="7" t="s">
        <v>3355</v>
      </c>
      <c r="I970" s="7" t="s">
        <v>3356</v>
      </c>
      <c r="J970" s="7" t="s">
        <v>176</v>
      </c>
      <c r="K970" s="7" t="s">
        <v>2667</v>
      </c>
      <c r="L970" s="10">
        <v>2682.33</v>
      </c>
      <c r="M970" s="10">
        <v>2682.33</v>
      </c>
      <c r="N970" s="10">
        <f>+L970-M970</f>
        <v>0</v>
      </c>
      <c r="O970" s="10">
        <v>2682.33</v>
      </c>
      <c r="P970" s="10">
        <f>+L970-O970</f>
        <v>0</v>
      </c>
      <c r="Q970" s="10">
        <v>0</v>
      </c>
      <c r="R970" s="7" t="s">
        <v>27</v>
      </c>
    </row>
    <row r="971" spans="1:18" hidden="1">
      <c r="A971" s="7" t="s">
        <v>29</v>
      </c>
      <c r="B971" s="8">
        <v>20378</v>
      </c>
      <c r="C971" s="9">
        <v>45902.539155092592</v>
      </c>
      <c r="D971" s="9">
        <v>45931</v>
      </c>
      <c r="E971" s="9">
        <v>45901</v>
      </c>
      <c r="F971" s="7" t="s">
        <v>3357</v>
      </c>
      <c r="G971" s="7" t="s">
        <v>3358</v>
      </c>
      <c r="H971" s="7" t="s">
        <v>3359</v>
      </c>
      <c r="I971" s="7" t="s">
        <v>3360</v>
      </c>
      <c r="J971" s="7" t="s">
        <v>40</v>
      </c>
      <c r="K971" s="7" t="s">
        <v>355</v>
      </c>
      <c r="L971" s="10">
        <v>2462.17</v>
      </c>
      <c r="M971" s="10">
        <v>2462.17</v>
      </c>
      <c r="N971" s="10">
        <f>+L971-M971</f>
        <v>0</v>
      </c>
      <c r="O971" s="10">
        <v>2462.17</v>
      </c>
      <c r="P971" s="10">
        <f>+L971-O971</f>
        <v>0</v>
      </c>
      <c r="Q971" s="10">
        <v>0</v>
      </c>
      <c r="R971" s="7" t="s">
        <v>27</v>
      </c>
    </row>
    <row r="972" spans="1:18" hidden="1">
      <c r="A972" s="7" t="s">
        <v>29</v>
      </c>
      <c r="B972" s="8">
        <v>20787</v>
      </c>
      <c r="C972" s="9">
        <v>46010.46193287037</v>
      </c>
      <c r="D972" s="9">
        <v>46010</v>
      </c>
      <c r="E972" s="9">
        <v>46081</v>
      </c>
      <c r="F972" s="7" t="s">
        <v>3361</v>
      </c>
      <c r="G972" s="7" t="s">
        <v>3362</v>
      </c>
      <c r="H972" s="7" t="s">
        <v>3363</v>
      </c>
      <c r="I972" s="7" t="s">
        <v>3364</v>
      </c>
      <c r="J972" s="7" t="s">
        <v>34</v>
      </c>
      <c r="K972" s="7" t="s">
        <v>477</v>
      </c>
      <c r="L972" s="10">
        <v>2637.45</v>
      </c>
      <c r="M972" s="10">
        <v>2637.45</v>
      </c>
      <c r="N972" s="10">
        <f>+L972-M972</f>
        <v>0</v>
      </c>
      <c r="O972" s="10">
        <v>2637.45</v>
      </c>
      <c r="P972" s="10">
        <f>+L972-O972</f>
        <v>0</v>
      </c>
      <c r="Q972" s="10">
        <v>0</v>
      </c>
      <c r="R972" s="7" t="s">
        <v>27</v>
      </c>
    </row>
    <row r="973" spans="1:18" hidden="1">
      <c r="A973" s="7" t="s">
        <v>29</v>
      </c>
      <c r="B973" s="8">
        <v>20684</v>
      </c>
      <c r="C973" s="9">
        <v>45968.672372685185</v>
      </c>
      <c r="D973" s="9">
        <v>45968</v>
      </c>
      <c r="E973" s="9">
        <v>45968</v>
      </c>
      <c r="F973" s="7" t="s">
        <v>3365</v>
      </c>
      <c r="G973" s="7" t="s">
        <v>3366</v>
      </c>
      <c r="H973" s="7" t="s">
        <v>3367</v>
      </c>
      <c r="I973" s="7" t="s">
        <v>3368</v>
      </c>
      <c r="J973" s="7" t="s">
        <v>34</v>
      </c>
      <c r="K973" s="7" t="s">
        <v>369</v>
      </c>
      <c r="L973" s="10">
        <v>2634.82</v>
      </c>
      <c r="M973" s="10">
        <v>2634.82</v>
      </c>
      <c r="N973" s="10">
        <f>+L973-M973</f>
        <v>0</v>
      </c>
      <c r="O973" s="10">
        <v>2634.82</v>
      </c>
      <c r="P973" s="10">
        <f>+L973-O973</f>
        <v>0</v>
      </c>
      <c r="Q973" s="10">
        <v>0</v>
      </c>
      <c r="R973" s="7" t="s">
        <v>27</v>
      </c>
    </row>
    <row r="974" spans="1:18" hidden="1">
      <c r="A974" s="7" t="s">
        <v>29</v>
      </c>
      <c r="B974" s="8">
        <v>19743</v>
      </c>
      <c r="C974" s="9">
        <v>45776.654189814813</v>
      </c>
      <c r="D974" s="9">
        <v>45770</v>
      </c>
      <c r="E974" s="9">
        <v>45770</v>
      </c>
      <c r="F974" s="7" t="s">
        <v>3369</v>
      </c>
      <c r="G974" s="7" t="s">
        <v>3370</v>
      </c>
      <c r="H974" s="7" t="s">
        <v>2500</v>
      </c>
      <c r="I974" s="7" t="s">
        <v>2501</v>
      </c>
      <c r="J974" s="7" t="s">
        <v>176</v>
      </c>
      <c r="K974" s="7" t="s">
        <v>494</v>
      </c>
      <c r="L974" s="10">
        <v>2612</v>
      </c>
      <c r="M974" s="10">
        <v>2612</v>
      </c>
      <c r="N974" s="10">
        <f>+L974-M974</f>
        <v>0</v>
      </c>
      <c r="O974" s="10">
        <v>2612</v>
      </c>
      <c r="P974" s="10">
        <f>+L974-O974</f>
        <v>0</v>
      </c>
      <c r="Q974" s="10">
        <v>0</v>
      </c>
      <c r="R974" s="7" t="s">
        <v>27</v>
      </c>
    </row>
    <row r="975" spans="1:18" hidden="1">
      <c r="A975" s="7" t="s">
        <v>29</v>
      </c>
      <c r="B975" s="8">
        <v>20367</v>
      </c>
      <c r="C975" s="9">
        <v>45900.949861111112</v>
      </c>
      <c r="D975" s="9">
        <v>45884</v>
      </c>
      <c r="E975" s="9">
        <v>45856</v>
      </c>
      <c r="F975" s="7" t="s">
        <v>3371</v>
      </c>
      <c r="G975" s="7" t="s">
        <v>3372</v>
      </c>
      <c r="H975" s="7" t="s">
        <v>3373</v>
      </c>
      <c r="I975" s="7" t="s">
        <v>3374</v>
      </c>
      <c r="J975" s="7" t="s">
        <v>176</v>
      </c>
      <c r="K975" s="7" t="s">
        <v>374</v>
      </c>
      <c r="L975" s="10">
        <v>2600</v>
      </c>
      <c r="M975" s="10">
        <v>2600</v>
      </c>
      <c r="N975" s="10">
        <f>+L975-M975</f>
        <v>0</v>
      </c>
      <c r="O975" s="10">
        <v>2600</v>
      </c>
      <c r="P975" s="10">
        <f>+L975-O975</f>
        <v>0</v>
      </c>
      <c r="Q975" s="10">
        <v>0</v>
      </c>
      <c r="R975" s="7" t="s">
        <v>27</v>
      </c>
    </row>
    <row r="976" spans="1:18" hidden="1">
      <c r="A976" s="7" t="s">
        <v>29</v>
      </c>
      <c r="B976" s="8">
        <v>20903</v>
      </c>
      <c r="C976" s="9">
        <v>46045.4768287037</v>
      </c>
      <c r="D976" s="9">
        <v>46036</v>
      </c>
      <c r="E976" s="9">
        <v>46042</v>
      </c>
      <c r="F976" s="7" t="s">
        <v>3375</v>
      </c>
      <c r="G976" s="7" t="s">
        <v>3376</v>
      </c>
      <c r="H976" s="7" t="s">
        <v>3377</v>
      </c>
      <c r="I976" s="7" t="s">
        <v>3378</v>
      </c>
      <c r="J976" s="7" t="s">
        <v>176</v>
      </c>
      <c r="K976" s="7" t="s">
        <v>360</v>
      </c>
      <c r="L976" s="10">
        <v>2560</v>
      </c>
      <c r="M976" s="10">
        <v>2560</v>
      </c>
      <c r="N976" s="10">
        <f>+L976-M976</f>
        <v>0</v>
      </c>
      <c r="O976" s="10">
        <v>2560</v>
      </c>
      <c r="P976" s="10">
        <f>+L976-O976</f>
        <v>0</v>
      </c>
      <c r="Q976" s="10">
        <v>0</v>
      </c>
      <c r="R976" s="7" t="s">
        <v>27</v>
      </c>
    </row>
    <row r="977" spans="1:18" hidden="1">
      <c r="A977" s="7" t="s">
        <v>29</v>
      </c>
      <c r="B977" s="8">
        <v>20234</v>
      </c>
      <c r="C977" s="9">
        <v>45874.650138888886</v>
      </c>
      <c r="D977" s="9">
        <v>45867</v>
      </c>
      <c r="E977" s="9">
        <v>45859</v>
      </c>
      <c r="F977" s="7" t="s">
        <v>3379</v>
      </c>
      <c r="G977" s="7" t="s">
        <v>3380</v>
      </c>
      <c r="H977" s="7" t="s">
        <v>2530</v>
      </c>
      <c r="I977" s="7" t="s">
        <v>2531</v>
      </c>
      <c r="J977" s="7" t="s">
        <v>176</v>
      </c>
      <c r="K977" s="7" t="s">
        <v>584</v>
      </c>
      <c r="L977" s="10">
        <v>2550</v>
      </c>
      <c r="M977" s="10">
        <v>2550</v>
      </c>
      <c r="N977" s="10">
        <f>+L977-M977</f>
        <v>0</v>
      </c>
      <c r="O977" s="10">
        <v>2550</v>
      </c>
      <c r="P977" s="10">
        <f>+L977-O977</f>
        <v>0</v>
      </c>
      <c r="Q977" s="10">
        <v>0</v>
      </c>
      <c r="R977" s="7" t="s">
        <v>27</v>
      </c>
    </row>
    <row r="978" spans="1:18" hidden="1">
      <c r="A978" s="7" t="s">
        <v>29</v>
      </c>
      <c r="B978" s="8">
        <v>20561</v>
      </c>
      <c r="C978" s="9">
        <v>45939.472916666666</v>
      </c>
      <c r="D978" s="9">
        <v>45901</v>
      </c>
      <c r="E978" s="9">
        <v>45373</v>
      </c>
      <c r="F978" s="7" t="s">
        <v>3381</v>
      </c>
      <c r="G978" s="7" t="s">
        <v>3382</v>
      </c>
      <c r="H978" s="7" t="s">
        <v>3383</v>
      </c>
      <c r="I978" s="7" t="s">
        <v>3384</v>
      </c>
      <c r="J978" s="7" t="s">
        <v>40</v>
      </c>
      <c r="K978" s="7" t="s">
        <v>355</v>
      </c>
      <c r="L978" s="10">
        <v>2416.54</v>
      </c>
      <c r="M978" s="10">
        <v>2416.54</v>
      </c>
      <c r="N978" s="10">
        <f>+L978-M978</f>
        <v>0</v>
      </c>
      <c r="O978" s="10">
        <v>2416.54</v>
      </c>
      <c r="P978" s="10">
        <f>+L978-O978</f>
        <v>0</v>
      </c>
      <c r="Q978" s="10">
        <v>0</v>
      </c>
      <c r="R978" s="7" t="s">
        <v>27</v>
      </c>
    </row>
    <row r="979" spans="1:18" hidden="1">
      <c r="A979" s="7" t="s">
        <v>29</v>
      </c>
      <c r="B979" s="8">
        <v>4197</v>
      </c>
      <c r="C979" s="9">
        <v>45770.386643518519</v>
      </c>
      <c r="D979" s="9">
        <v>45768</v>
      </c>
      <c r="E979" s="9">
        <v>45838</v>
      </c>
      <c r="F979" s="7" t="s">
        <v>3385</v>
      </c>
      <c r="G979" s="7" t="s">
        <v>3386</v>
      </c>
      <c r="H979" s="7" t="s">
        <v>3387</v>
      </c>
      <c r="I979" s="7" t="s">
        <v>383</v>
      </c>
      <c r="J979" s="7" t="s">
        <v>25</v>
      </c>
      <c r="K979" s="7" t="s">
        <v>86</v>
      </c>
      <c r="L979" s="10">
        <v>3414.58</v>
      </c>
      <c r="M979" s="10">
        <v>3414.58</v>
      </c>
      <c r="N979" s="15">
        <f>+L979-M979</f>
        <v>0</v>
      </c>
      <c r="O979" s="15">
        <v>3414.58</v>
      </c>
      <c r="P979" s="15">
        <f>+L979-O979</f>
        <v>0</v>
      </c>
      <c r="Q979" s="10">
        <v>0</v>
      </c>
      <c r="R979" s="7" t="s">
        <v>87</v>
      </c>
    </row>
    <row r="980" spans="1:18">
      <c r="A980" s="7" t="s">
        <v>29</v>
      </c>
      <c r="B980" s="8">
        <v>20578</v>
      </c>
      <c r="C980" s="9">
        <v>45944.362189039348</v>
      </c>
      <c r="D980" s="9">
        <v>45985</v>
      </c>
      <c r="E980" s="9">
        <v>45985</v>
      </c>
      <c r="F980" s="7" t="s">
        <v>3388</v>
      </c>
      <c r="G980" s="7" t="s">
        <v>3389</v>
      </c>
      <c r="H980" s="7" t="s">
        <v>1575</v>
      </c>
      <c r="I980" s="7" t="s">
        <v>1162</v>
      </c>
      <c r="J980" s="7" t="s">
        <v>25</v>
      </c>
      <c r="K980" s="7" t="s">
        <v>55</v>
      </c>
      <c r="L980" s="10">
        <v>3365.24</v>
      </c>
      <c r="M980" s="10">
        <v>3365.24</v>
      </c>
      <c r="N980" s="10">
        <f>+L980-M980</f>
        <v>0</v>
      </c>
      <c r="O980" s="10">
        <v>3365.24</v>
      </c>
      <c r="P980" s="10">
        <f>+L980-O980</f>
        <v>0</v>
      </c>
      <c r="Q980" s="10">
        <v>0</v>
      </c>
      <c r="R980" s="7" t="s">
        <v>27</v>
      </c>
    </row>
    <row r="981" spans="1:18" hidden="1">
      <c r="A981" s="7" t="s">
        <v>29</v>
      </c>
      <c r="B981" s="8">
        <v>4246</v>
      </c>
      <c r="C981" s="9">
        <v>45875.632827858797</v>
      </c>
      <c r="D981" s="9">
        <v>45869</v>
      </c>
      <c r="E981" s="9">
        <v>45933</v>
      </c>
      <c r="F981" s="7" t="s">
        <v>3390</v>
      </c>
      <c r="G981" s="7" t="s">
        <v>3391</v>
      </c>
      <c r="H981" s="7" t="s">
        <v>3392</v>
      </c>
      <c r="I981" s="7" t="s">
        <v>1030</v>
      </c>
      <c r="J981" s="7" t="s">
        <v>25</v>
      </c>
      <c r="K981" s="7" t="s">
        <v>86</v>
      </c>
      <c r="L981" s="10">
        <v>3345.86</v>
      </c>
      <c r="M981" s="10">
        <v>3345.86</v>
      </c>
      <c r="N981" s="15">
        <f>+L981-M981</f>
        <v>0</v>
      </c>
      <c r="O981" s="15">
        <v>3345.86</v>
      </c>
      <c r="P981" s="15">
        <f>+L981-O981</f>
        <v>0</v>
      </c>
      <c r="Q981" s="10">
        <v>0</v>
      </c>
      <c r="R981" s="7" t="s">
        <v>87</v>
      </c>
    </row>
    <row r="982" spans="1:18">
      <c r="A982" s="7" t="s">
        <v>29</v>
      </c>
      <c r="B982" s="8">
        <v>20334</v>
      </c>
      <c r="C982" s="9">
        <v>45895.686921296292</v>
      </c>
      <c r="D982" s="9">
        <v>45898</v>
      </c>
      <c r="E982" s="9">
        <v>45898</v>
      </c>
      <c r="F982" s="7" t="s">
        <v>3393</v>
      </c>
      <c r="G982" s="7" t="s">
        <v>3394</v>
      </c>
      <c r="H982" s="7" t="s">
        <v>2361</v>
      </c>
      <c r="I982" s="7" t="s">
        <v>2362</v>
      </c>
      <c r="J982" s="7" t="s">
        <v>25</v>
      </c>
      <c r="K982" s="7" t="s">
        <v>407</v>
      </c>
      <c r="L982" s="10">
        <v>3343.67</v>
      </c>
      <c r="M982" s="10">
        <v>3343.67</v>
      </c>
      <c r="N982" s="10">
        <f>+L982-M982</f>
        <v>0</v>
      </c>
      <c r="O982" s="10">
        <v>3343.67</v>
      </c>
      <c r="P982" s="10">
        <f>+L982-O982</f>
        <v>0</v>
      </c>
      <c r="Q982" s="10">
        <v>0</v>
      </c>
      <c r="R982" s="7" t="s">
        <v>27</v>
      </c>
    </row>
    <row r="983" spans="1:18">
      <c r="A983" s="7" t="s">
        <v>29</v>
      </c>
      <c r="B983" s="8">
        <v>20519</v>
      </c>
      <c r="C983" s="9">
        <v>45929.560243055552</v>
      </c>
      <c r="D983" s="9">
        <v>45975</v>
      </c>
      <c r="E983" s="9">
        <v>45975</v>
      </c>
      <c r="F983" s="7" t="s">
        <v>3395</v>
      </c>
      <c r="G983" s="7" t="s">
        <v>3396</v>
      </c>
      <c r="H983" s="7" t="s">
        <v>3397</v>
      </c>
      <c r="I983" s="7" t="s">
        <v>1622</v>
      </c>
      <c r="J983" s="7" t="s">
        <v>25</v>
      </c>
      <c r="K983" s="7" t="s">
        <v>55</v>
      </c>
      <c r="L983" s="10">
        <v>3249.96</v>
      </c>
      <c r="M983" s="10">
        <v>3249.96</v>
      </c>
      <c r="N983" s="10">
        <f>+L983-M983</f>
        <v>0</v>
      </c>
      <c r="O983" s="10">
        <v>3249.96</v>
      </c>
      <c r="P983" s="10">
        <f>+L983-O983</f>
        <v>0</v>
      </c>
      <c r="Q983" s="10">
        <v>0</v>
      </c>
      <c r="R983" s="7" t="s">
        <v>27</v>
      </c>
    </row>
    <row r="984" spans="1:18">
      <c r="A984" s="7" t="s">
        <v>29</v>
      </c>
      <c r="B984" s="8">
        <v>19799</v>
      </c>
      <c r="C984" s="9">
        <v>45790.377164351848</v>
      </c>
      <c r="D984" s="9">
        <v>45789</v>
      </c>
      <c r="E984" s="9">
        <v>45821</v>
      </c>
      <c r="F984" s="7" t="s">
        <v>3398</v>
      </c>
      <c r="G984" s="7" t="s">
        <v>3399</v>
      </c>
      <c r="H984" s="7" t="s">
        <v>267</v>
      </c>
      <c r="I984" s="7" t="s">
        <v>268</v>
      </c>
      <c r="J984" s="7" t="s">
        <v>25</v>
      </c>
      <c r="K984" s="7" t="s">
        <v>537</v>
      </c>
      <c r="L984" s="10">
        <v>3210</v>
      </c>
      <c r="M984" s="10">
        <v>3210</v>
      </c>
      <c r="N984" s="10">
        <f>+L984-M984</f>
        <v>0</v>
      </c>
      <c r="O984" s="10">
        <v>3210</v>
      </c>
      <c r="P984" s="10">
        <f>+L984-O984</f>
        <v>0</v>
      </c>
      <c r="Q984" s="10">
        <v>0</v>
      </c>
      <c r="R984" s="7" t="s">
        <v>27</v>
      </c>
    </row>
    <row r="985" spans="1:18" hidden="1">
      <c r="A985" s="7" t="s">
        <v>29</v>
      </c>
      <c r="B985" s="8">
        <v>4299</v>
      </c>
      <c r="C985" s="9">
        <v>45987.339780092589</v>
      </c>
      <c r="D985" s="9">
        <v>46017</v>
      </c>
      <c r="E985" s="9">
        <v>46017</v>
      </c>
      <c r="F985" s="7" t="s">
        <v>3400</v>
      </c>
      <c r="G985" s="7" t="s">
        <v>3401</v>
      </c>
      <c r="H985" s="7" t="s">
        <v>2685</v>
      </c>
      <c r="I985" s="7" t="s">
        <v>1298</v>
      </c>
      <c r="J985" s="7" t="s">
        <v>25</v>
      </c>
      <c r="K985" s="7" t="s">
        <v>206</v>
      </c>
      <c r="L985" s="10">
        <v>3172.04</v>
      </c>
      <c r="M985" s="10">
        <v>3172.04</v>
      </c>
      <c r="N985" s="15">
        <f>+L985-M985</f>
        <v>0</v>
      </c>
      <c r="O985" s="15">
        <v>3172.04</v>
      </c>
      <c r="P985" s="15">
        <f>+L985-O985</f>
        <v>0</v>
      </c>
      <c r="Q985" s="10">
        <v>0</v>
      </c>
      <c r="R985" s="7" t="s">
        <v>87</v>
      </c>
    </row>
    <row r="986" spans="1:18" hidden="1">
      <c r="A986" s="7" t="s">
        <v>29</v>
      </c>
      <c r="B986" s="8">
        <v>19744</v>
      </c>
      <c r="C986" s="9">
        <v>45776.658831018518</v>
      </c>
      <c r="D986" s="9">
        <v>45799</v>
      </c>
      <c r="E986" s="9">
        <v>45770</v>
      </c>
      <c r="F986" s="7" t="s">
        <v>3402</v>
      </c>
      <c r="G986" s="7" t="s">
        <v>3403</v>
      </c>
      <c r="H986" s="7" t="s">
        <v>3404</v>
      </c>
      <c r="I986" s="7" t="s">
        <v>3405</v>
      </c>
      <c r="J986" s="7" t="s">
        <v>176</v>
      </c>
      <c r="K986" s="7" t="s">
        <v>374</v>
      </c>
      <c r="L986" s="10">
        <v>2500</v>
      </c>
      <c r="M986" s="10">
        <v>2500</v>
      </c>
      <c r="N986" s="10">
        <f>+L986-M986</f>
        <v>0</v>
      </c>
      <c r="O986" s="10">
        <v>2500</v>
      </c>
      <c r="P986" s="10">
        <f>+L986-O986</f>
        <v>0</v>
      </c>
      <c r="Q986" s="10">
        <v>0</v>
      </c>
      <c r="R986" s="7" t="s">
        <v>27</v>
      </c>
    </row>
    <row r="987" spans="1:18">
      <c r="A987" s="7" t="s">
        <v>29</v>
      </c>
      <c r="B987" s="8">
        <v>19825</v>
      </c>
      <c r="C987" s="9">
        <v>45793.435277777775</v>
      </c>
      <c r="D987" s="9">
        <v>45814</v>
      </c>
      <c r="E987" s="9">
        <v>45814</v>
      </c>
      <c r="F987" s="7" t="s">
        <v>3406</v>
      </c>
      <c r="G987" s="7" t="s">
        <v>3407</v>
      </c>
      <c r="H987" s="7" t="s">
        <v>3408</v>
      </c>
      <c r="I987" s="7" t="s">
        <v>873</v>
      </c>
      <c r="J987" s="7" t="s">
        <v>25</v>
      </c>
      <c r="K987" s="7" t="s">
        <v>55</v>
      </c>
      <c r="L987" s="10">
        <v>3115.6</v>
      </c>
      <c r="M987" s="10">
        <v>3115.6</v>
      </c>
      <c r="N987" s="10">
        <f>+L987-M987</f>
        <v>0</v>
      </c>
      <c r="O987" s="10">
        <v>3115.6</v>
      </c>
      <c r="P987" s="10">
        <f>+L987-O987</f>
        <v>0</v>
      </c>
      <c r="Q987" s="10">
        <v>0</v>
      </c>
      <c r="R987" s="7" t="s">
        <v>27</v>
      </c>
    </row>
    <row r="988" spans="1:18">
      <c r="A988" s="7" t="s">
        <v>29</v>
      </c>
      <c r="B988" s="8">
        <v>20659</v>
      </c>
      <c r="C988" s="9">
        <v>45965.434081215273</v>
      </c>
      <c r="D988" s="9">
        <v>46011</v>
      </c>
      <c r="E988" s="9">
        <v>46011</v>
      </c>
      <c r="F988" s="7" t="s">
        <v>3409</v>
      </c>
      <c r="G988" s="7" t="s">
        <v>3410</v>
      </c>
      <c r="H988" s="7" t="s">
        <v>3411</v>
      </c>
      <c r="I988" s="7" t="s">
        <v>1804</v>
      </c>
      <c r="J988" s="7" t="s">
        <v>25</v>
      </c>
      <c r="K988" s="7" t="s">
        <v>55</v>
      </c>
      <c r="L988" s="10">
        <v>3098.71</v>
      </c>
      <c r="M988" s="10">
        <v>3098.71</v>
      </c>
      <c r="N988" s="10">
        <f>+L988-M988</f>
        <v>0</v>
      </c>
      <c r="O988" s="10">
        <v>3098.71</v>
      </c>
      <c r="P988" s="10">
        <f>+L988-O988</f>
        <v>0</v>
      </c>
      <c r="Q988" s="10">
        <v>0</v>
      </c>
      <c r="R988" s="7" t="s">
        <v>27</v>
      </c>
    </row>
    <row r="989" spans="1:18">
      <c r="A989" s="7" t="s">
        <v>29</v>
      </c>
      <c r="B989" s="8">
        <v>19347</v>
      </c>
      <c r="C989" s="9">
        <v>45679.657291666663</v>
      </c>
      <c r="D989" s="9">
        <v>45715</v>
      </c>
      <c r="E989" s="9">
        <v>45728</v>
      </c>
      <c r="F989" s="7" t="s">
        <v>3412</v>
      </c>
      <c r="G989" s="7" t="s">
        <v>660</v>
      </c>
      <c r="H989" s="7" t="s">
        <v>3413</v>
      </c>
      <c r="I989" s="7" t="s">
        <v>3414</v>
      </c>
      <c r="J989" s="7" t="s">
        <v>25</v>
      </c>
      <c r="K989" s="7" t="s">
        <v>55</v>
      </c>
      <c r="L989" s="10">
        <v>3075.35</v>
      </c>
      <c r="M989" s="10">
        <v>3075.35</v>
      </c>
      <c r="N989" s="10">
        <f>+L989-M989</f>
        <v>0</v>
      </c>
      <c r="O989" s="10">
        <v>3075.35</v>
      </c>
      <c r="P989" s="10">
        <f>+L989-O989</f>
        <v>0</v>
      </c>
      <c r="Q989" s="10">
        <v>0</v>
      </c>
      <c r="R989" s="7" t="s">
        <v>27</v>
      </c>
    </row>
    <row r="990" spans="1:18" hidden="1">
      <c r="A990" s="7" t="s">
        <v>29</v>
      </c>
      <c r="B990" s="8">
        <v>20107</v>
      </c>
      <c r="C990" s="9">
        <v>45845.543935185182</v>
      </c>
      <c r="D990" s="9">
        <v>45742</v>
      </c>
      <c r="E990" s="9">
        <v>45735</v>
      </c>
      <c r="F990" s="7" t="s">
        <v>3415</v>
      </c>
      <c r="G990" s="7" t="s">
        <v>3416</v>
      </c>
      <c r="H990" s="7" t="s">
        <v>2315</v>
      </c>
      <c r="I990" s="7" t="s">
        <v>2316</v>
      </c>
      <c r="J990" s="7" t="s">
        <v>176</v>
      </c>
      <c r="K990" s="7" t="s">
        <v>584</v>
      </c>
      <c r="L990" s="10">
        <v>2500</v>
      </c>
      <c r="M990" s="10">
        <v>2500</v>
      </c>
      <c r="N990" s="10">
        <f>+L990-M990</f>
        <v>0</v>
      </c>
      <c r="O990" s="10">
        <v>2500</v>
      </c>
      <c r="P990" s="10">
        <f>+L990-O990</f>
        <v>0</v>
      </c>
      <c r="Q990" s="10">
        <v>0</v>
      </c>
      <c r="R990" s="7" t="s">
        <v>27</v>
      </c>
    </row>
    <row r="991" spans="1:18" hidden="1">
      <c r="A991" s="7" t="s">
        <v>29</v>
      </c>
      <c r="B991" s="8">
        <v>20355</v>
      </c>
      <c r="C991" s="9">
        <v>45898.730497685181</v>
      </c>
      <c r="D991" s="9">
        <v>45960</v>
      </c>
      <c r="E991" s="9">
        <v>45898</v>
      </c>
      <c r="F991" s="7" t="s">
        <v>3417</v>
      </c>
      <c r="G991" s="7" t="s">
        <v>3418</v>
      </c>
      <c r="H991" s="7" t="s">
        <v>2670</v>
      </c>
      <c r="I991" s="7" t="s">
        <v>2671</v>
      </c>
      <c r="J991" s="7" t="s">
        <v>176</v>
      </c>
      <c r="K991" s="7" t="s">
        <v>584</v>
      </c>
      <c r="L991" s="10">
        <v>2500</v>
      </c>
      <c r="M991" s="10">
        <v>2500</v>
      </c>
      <c r="N991" s="10">
        <f>+L991-M991</f>
        <v>0</v>
      </c>
      <c r="O991" s="10">
        <v>2500</v>
      </c>
      <c r="P991" s="10">
        <f>+L991-O991</f>
        <v>0</v>
      </c>
      <c r="Q991" s="10">
        <v>0</v>
      </c>
      <c r="R991" s="7" t="s">
        <v>27</v>
      </c>
    </row>
    <row r="992" spans="1:18">
      <c r="A992" s="7" t="s">
        <v>29</v>
      </c>
      <c r="B992" s="8">
        <v>19397</v>
      </c>
      <c r="C992" s="9">
        <v>45695.64907407407</v>
      </c>
      <c r="D992" s="9">
        <v>45700</v>
      </c>
      <c r="E992" s="9">
        <v>45693</v>
      </c>
      <c r="F992" s="7" t="s">
        <v>3419</v>
      </c>
      <c r="G992" s="7" t="s">
        <v>3391</v>
      </c>
      <c r="H992" s="7" t="s">
        <v>3038</v>
      </c>
      <c r="I992" s="7" t="s">
        <v>788</v>
      </c>
      <c r="J992" s="7" t="s">
        <v>25</v>
      </c>
      <c r="K992" s="7" t="s">
        <v>3018</v>
      </c>
      <c r="L992" s="10">
        <v>3000</v>
      </c>
      <c r="M992" s="10">
        <v>3000</v>
      </c>
      <c r="N992" s="10">
        <f>+L992-M992</f>
        <v>0</v>
      </c>
      <c r="O992" s="10">
        <v>3000</v>
      </c>
      <c r="P992" s="10">
        <f>+L992-O992</f>
        <v>0</v>
      </c>
      <c r="Q992" s="10">
        <v>0</v>
      </c>
      <c r="R992" s="7" t="s">
        <v>27</v>
      </c>
    </row>
    <row r="993" spans="1:18" hidden="1">
      <c r="A993" s="7" t="s">
        <v>29</v>
      </c>
      <c r="B993" s="8">
        <v>19921</v>
      </c>
      <c r="C993" s="9">
        <v>45812.445706018516</v>
      </c>
      <c r="D993" s="9">
        <v>45797</v>
      </c>
      <c r="E993" s="9">
        <v>45797</v>
      </c>
      <c r="F993" s="7" t="s">
        <v>3420</v>
      </c>
      <c r="G993" s="7" t="s">
        <v>3421</v>
      </c>
      <c r="H993" s="7" t="s">
        <v>3422</v>
      </c>
      <c r="I993" s="7" t="s">
        <v>3423</v>
      </c>
      <c r="J993" s="7" t="s">
        <v>176</v>
      </c>
      <c r="K993" s="7" t="s">
        <v>494</v>
      </c>
      <c r="L993" s="10">
        <v>2493.8000000000002</v>
      </c>
      <c r="M993" s="10">
        <v>2493.8000000000002</v>
      </c>
      <c r="N993" s="10">
        <f>+L993-M993</f>
        <v>0</v>
      </c>
      <c r="O993" s="10">
        <v>2493.8000000000002</v>
      </c>
      <c r="P993" s="10">
        <f>+L993-O993</f>
        <v>0</v>
      </c>
      <c r="Q993" s="10">
        <v>0</v>
      </c>
      <c r="R993" s="7" t="s">
        <v>27</v>
      </c>
    </row>
    <row r="994" spans="1:18">
      <c r="A994" s="7" t="s">
        <v>29</v>
      </c>
      <c r="B994" s="8">
        <v>20550</v>
      </c>
      <c r="C994" s="9">
        <v>45933.566724537035</v>
      </c>
      <c r="D994" s="9">
        <v>45930</v>
      </c>
      <c r="E994" s="9">
        <v>45971</v>
      </c>
      <c r="F994" s="7" t="s">
        <v>3424</v>
      </c>
      <c r="G994" s="7" t="s">
        <v>3425</v>
      </c>
      <c r="H994" s="7" t="s">
        <v>3426</v>
      </c>
      <c r="I994" s="7" t="s">
        <v>1462</v>
      </c>
      <c r="J994" s="7" t="s">
        <v>25</v>
      </c>
      <c r="K994" s="7" t="s">
        <v>26</v>
      </c>
      <c r="L994" s="10">
        <v>2910.89</v>
      </c>
      <c r="M994" s="10">
        <v>2910.89</v>
      </c>
      <c r="N994" s="10">
        <f>+L994-M994</f>
        <v>0</v>
      </c>
      <c r="O994" s="10">
        <v>2910.89</v>
      </c>
      <c r="P994" s="10">
        <f>+L994-O994</f>
        <v>0</v>
      </c>
      <c r="Q994" s="10">
        <v>0</v>
      </c>
      <c r="R994" s="7" t="s">
        <v>27</v>
      </c>
    </row>
    <row r="995" spans="1:18" hidden="1">
      <c r="A995" s="7" t="s">
        <v>29</v>
      </c>
      <c r="B995" s="8">
        <v>4264</v>
      </c>
      <c r="C995" s="9">
        <v>45931.604537037034</v>
      </c>
      <c r="D995" s="9">
        <v>45925</v>
      </c>
      <c r="E995" s="9">
        <v>45925</v>
      </c>
      <c r="F995" s="7" t="s">
        <v>3427</v>
      </c>
      <c r="G995" s="7" t="s">
        <v>3150</v>
      </c>
      <c r="H995" s="7" t="s">
        <v>3428</v>
      </c>
      <c r="I995" s="7" t="s">
        <v>3429</v>
      </c>
      <c r="J995" s="7" t="s">
        <v>25</v>
      </c>
      <c r="K995" s="7" t="s">
        <v>206</v>
      </c>
      <c r="L995" s="10">
        <v>2857.09</v>
      </c>
      <c r="M995" s="10">
        <v>2857.09</v>
      </c>
      <c r="N995" s="15">
        <f>+L995-M995</f>
        <v>0</v>
      </c>
      <c r="O995" s="15">
        <v>2857.09</v>
      </c>
      <c r="P995" s="15">
        <f>+L995-O995</f>
        <v>0</v>
      </c>
      <c r="Q995" s="10">
        <v>0</v>
      </c>
      <c r="R995" s="7" t="s">
        <v>87</v>
      </c>
    </row>
    <row r="996" spans="1:18" hidden="1">
      <c r="A996" s="7" t="s">
        <v>29</v>
      </c>
      <c r="B996" s="8">
        <v>20400</v>
      </c>
      <c r="C996" s="9">
        <v>45904.674953703703</v>
      </c>
      <c r="D996" s="9">
        <v>45904</v>
      </c>
      <c r="E996" s="9">
        <v>45904</v>
      </c>
      <c r="F996" s="7" t="s">
        <v>3430</v>
      </c>
      <c r="G996" s="7" t="s">
        <v>3431</v>
      </c>
      <c r="H996" s="7" t="s">
        <v>77</v>
      </c>
      <c r="I996" s="7" t="s">
        <v>78</v>
      </c>
      <c r="J996" s="7" t="s">
        <v>40</v>
      </c>
      <c r="K996" s="7" t="s">
        <v>46</v>
      </c>
      <c r="L996" s="10">
        <v>2239.7199999999998</v>
      </c>
      <c r="M996" s="10">
        <v>2239.7199999999998</v>
      </c>
      <c r="N996" s="10">
        <f>+L996-M996</f>
        <v>0</v>
      </c>
      <c r="O996" s="10">
        <v>2239.7199999999998</v>
      </c>
      <c r="P996" s="10">
        <f>+L996-O996</f>
        <v>0</v>
      </c>
      <c r="Q996" s="10">
        <v>0</v>
      </c>
      <c r="R996" s="7" t="s">
        <v>27</v>
      </c>
    </row>
    <row r="997" spans="1:18" hidden="1">
      <c r="A997" s="7" t="s">
        <v>29</v>
      </c>
      <c r="B997" s="8">
        <v>20283</v>
      </c>
      <c r="C997" s="9">
        <v>45883.600752314815</v>
      </c>
      <c r="D997" s="9">
        <v>45883</v>
      </c>
      <c r="E997" s="9">
        <v>45883</v>
      </c>
      <c r="F997" s="7" t="s">
        <v>3432</v>
      </c>
      <c r="G997" s="7" t="s">
        <v>3433</v>
      </c>
      <c r="H997" s="7" t="s">
        <v>988</v>
      </c>
      <c r="I997" s="7" t="s">
        <v>989</v>
      </c>
      <c r="J997" s="7" t="s">
        <v>34</v>
      </c>
      <c r="K997" s="7" t="s">
        <v>990</v>
      </c>
      <c r="L997" s="10">
        <v>2464.6</v>
      </c>
      <c r="M997" s="10">
        <v>2464.6</v>
      </c>
      <c r="N997" s="10">
        <f>+L997-M997</f>
        <v>0</v>
      </c>
      <c r="O997" s="10">
        <v>2464.6</v>
      </c>
      <c r="P997" s="10">
        <f>+L997-O997</f>
        <v>0</v>
      </c>
      <c r="Q997" s="10">
        <v>0</v>
      </c>
      <c r="R997" s="7" t="s">
        <v>27</v>
      </c>
    </row>
    <row r="998" spans="1:18" hidden="1">
      <c r="A998" s="7" t="s">
        <v>29</v>
      </c>
      <c r="B998" s="8">
        <v>20197</v>
      </c>
      <c r="C998" s="9">
        <v>45868.371030092589</v>
      </c>
      <c r="D998" s="9">
        <v>45867</v>
      </c>
      <c r="E998" s="9">
        <v>45867</v>
      </c>
      <c r="F998" s="7" t="s">
        <v>3434</v>
      </c>
      <c r="G998" s="7" t="s">
        <v>3435</v>
      </c>
      <c r="H998" s="7" t="s">
        <v>1602</v>
      </c>
      <c r="I998" s="7" t="s">
        <v>1603</v>
      </c>
      <c r="J998" s="7" t="s">
        <v>40</v>
      </c>
      <c r="K998" s="7" t="s">
        <v>355</v>
      </c>
      <c r="L998" s="10">
        <v>2195.61</v>
      </c>
      <c r="M998" s="10">
        <v>2195.61</v>
      </c>
      <c r="N998" s="10">
        <f>+L998-M998</f>
        <v>0</v>
      </c>
      <c r="O998" s="10">
        <v>2195.61</v>
      </c>
      <c r="P998" s="10">
        <f>+L998-O998</f>
        <v>0</v>
      </c>
      <c r="Q998" s="10">
        <v>0</v>
      </c>
      <c r="R998" s="7" t="s">
        <v>27</v>
      </c>
    </row>
    <row r="999" spans="1:18" hidden="1">
      <c r="A999" s="7" t="s">
        <v>29</v>
      </c>
      <c r="B999" s="8">
        <v>4162</v>
      </c>
      <c r="C999" s="9">
        <v>45698.666678240741</v>
      </c>
      <c r="D999" s="9">
        <v>45692</v>
      </c>
      <c r="E999" s="9">
        <v>45692</v>
      </c>
      <c r="F999" s="7" t="s">
        <v>3436</v>
      </c>
      <c r="G999" s="7" t="s">
        <v>2659</v>
      </c>
      <c r="H999" s="7" t="s">
        <v>3437</v>
      </c>
      <c r="I999" s="7" t="s">
        <v>3438</v>
      </c>
      <c r="J999" s="7" t="s">
        <v>25</v>
      </c>
      <c r="K999" s="7" t="s">
        <v>86</v>
      </c>
      <c r="L999" s="10">
        <v>2856</v>
      </c>
      <c r="M999" s="10">
        <v>2856</v>
      </c>
      <c r="N999" s="15">
        <f>+L999-M999</f>
        <v>0</v>
      </c>
      <c r="O999" s="15">
        <v>2856</v>
      </c>
      <c r="P999" s="15">
        <f>+L999-O999</f>
        <v>0</v>
      </c>
      <c r="Q999" s="10">
        <v>0</v>
      </c>
      <c r="R999" s="7" t="s">
        <v>87</v>
      </c>
    </row>
    <row r="1000" spans="1:18">
      <c r="A1000" s="7" t="s">
        <v>29</v>
      </c>
      <c r="B1000" s="8">
        <v>20678</v>
      </c>
      <c r="C1000" s="9">
        <v>45967.398472222223</v>
      </c>
      <c r="D1000" s="9">
        <v>45975</v>
      </c>
      <c r="E1000" s="9">
        <v>45891</v>
      </c>
      <c r="F1000" s="7" t="s">
        <v>3439</v>
      </c>
      <c r="G1000" s="7" t="s">
        <v>3440</v>
      </c>
      <c r="H1000" s="7" t="s">
        <v>3441</v>
      </c>
      <c r="I1000" s="7" t="s">
        <v>3442</v>
      </c>
      <c r="J1000" s="7" t="s">
        <v>25</v>
      </c>
      <c r="K1000" s="7" t="s">
        <v>407</v>
      </c>
      <c r="L1000" s="10">
        <v>2839.69</v>
      </c>
      <c r="M1000" s="10">
        <v>2839.69</v>
      </c>
      <c r="N1000" s="10">
        <f>+L1000-M1000</f>
        <v>0</v>
      </c>
      <c r="O1000" s="10">
        <v>2839.69</v>
      </c>
      <c r="P1000" s="10">
        <f>+L1000-O1000</f>
        <v>0</v>
      </c>
      <c r="Q1000" s="10">
        <v>0</v>
      </c>
      <c r="R1000" s="7" t="s">
        <v>27</v>
      </c>
    </row>
    <row r="1001" spans="1:18" hidden="1">
      <c r="A1001" s="7" t="s">
        <v>29</v>
      </c>
      <c r="B1001" s="8">
        <v>20389</v>
      </c>
      <c r="C1001" s="9">
        <v>45902.611550925925</v>
      </c>
      <c r="D1001" s="9">
        <v>45902</v>
      </c>
      <c r="E1001" s="9">
        <v>45932</v>
      </c>
      <c r="F1001" s="7" t="s">
        <v>3443</v>
      </c>
      <c r="G1001" s="7" t="s">
        <v>3444</v>
      </c>
      <c r="H1001" s="7" t="s">
        <v>3445</v>
      </c>
      <c r="I1001" s="7" t="s">
        <v>3446</v>
      </c>
      <c r="J1001" s="7" t="s">
        <v>34</v>
      </c>
      <c r="K1001" s="7" t="s">
        <v>35</v>
      </c>
      <c r="L1001" s="10">
        <v>2452.9699999999998</v>
      </c>
      <c r="M1001" s="10">
        <v>2452.9699999999998</v>
      </c>
      <c r="N1001" s="10">
        <f>+L1001-M1001</f>
        <v>0</v>
      </c>
      <c r="O1001" s="10">
        <v>2452.9699999999998</v>
      </c>
      <c r="P1001" s="10">
        <f>+L1001-O1001</f>
        <v>0</v>
      </c>
      <c r="Q1001" s="10">
        <v>0</v>
      </c>
      <c r="R1001" s="7" t="s">
        <v>27</v>
      </c>
    </row>
    <row r="1002" spans="1:18">
      <c r="A1002" s="7" t="s">
        <v>29</v>
      </c>
      <c r="B1002" s="8">
        <v>20461</v>
      </c>
      <c r="C1002" s="9">
        <v>45918.404814814814</v>
      </c>
      <c r="D1002" s="9">
        <v>45983</v>
      </c>
      <c r="E1002" s="9">
        <v>45950</v>
      </c>
      <c r="F1002" s="7" t="s">
        <v>3447</v>
      </c>
      <c r="G1002" s="7" t="s">
        <v>3448</v>
      </c>
      <c r="H1002" s="7" t="s">
        <v>1150</v>
      </c>
      <c r="I1002" s="7" t="s">
        <v>1151</v>
      </c>
      <c r="J1002" s="7" t="s">
        <v>25</v>
      </c>
      <c r="K1002" s="7" t="s">
        <v>170</v>
      </c>
      <c r="L1002" s="10">
        <v>2833.54</v>
      </c>
      <c r="M1002" s="10">
        <v>2833.54</v>
      </c>
      <c r="N1002" s="10">
        <f>+L1002-M1002</f>
        <v>0</v>
      </c>
      <c r="O1002" s="10">
        <v>2833.54</v>
      </c>
      <c r="P1002" s="10">
        <f>+L1002-O1002</f>
        <v>0</v>
      </c>
      <c r="Q1002" s="10">
        <v>0</v>
      </c>
      <c r="R1002" s="7" t="s">
        <v>27</v>
      </c>
    </row>
    <row r="1003" spans="1:18">
      <c r="A1003" s="7" t="s">
        <v>29</v>
      </c>
      <c r="B1003" s="8">
        <v>19911</v>
      </c>
      <c r="C1003" s="9">
        <v>45810.592914583329</v>
      </c>
      <c r="D1003" s="9">
        <v>45814</v>
      </c>
      <c r="E1003" s="9">
        <v>45845</v>
      </c>
      <c r="F1003" s="7" t="s">
        <v>3449</v>
      </c>
      <c r="G1003" s="7" t="s">
        <v>3450</v>
      </c>
      <c r="H1003" s="7" t="s">
        <v>872</v>
      </c>
      <c r="I1003" s="7" t="s">
        <v>873</v>
      </c>
      <c r="J1003" s="7" t="s">
        <v>25</v>
      </c>
      <c r="K1003" s="7" t="s">
        <v>55</v>
      </c>
      <c r="L1003" s="10">
        <v>2797.12</v>
      </c>
      <c r="M1003" s="10">
        <v>2797.12</v>
      </c>
      <c r="N1003" s="10">
        <f>+L1003-M1003</f>
        <v>0</v>
      </c>
      <c r="O1003" s="10">
        <v>2797.12</v>
      </c>
      <c r="P1003" s="10">
        <f>+L1003-O1003</f>
        <v>0</v>
      </c>
      <c r="Q1003" s="10">
        <v>0</v>
      </c>
      <c r="R1003" s="7" t="s">
        <v>27</v>
      </c>
    </row>
    <row r="1004" spans="1:18">
      <c r="A1004" s="7" t="s">
        <v>29</v>
      </c>
      <c r="B1004" s="8">
        <v>20473</v>
      </c>
      <c r="C1004" s="9">
        <v>45919.438703703701</v>
      </c>
      <c r="D1004" s="9">
        <v>45917</v>
      </c>
      <c r="E1004" s="9">
        <v>45917</v>
      </c>
      <c r="F1004" s="7" t="s">
        <v>3451</v>
      </c>
      <c r="G1004" s="7" t="s">
        <v>3452</v>
      </c>
      <c r="H1004" s="7" t="s">
        <v>3408</v>
      </c>
      <c r="I1004" s="7" t="s">
        <v>873</v>
      </c>
      <c r="J1004" s="7" t="s">
        <v>25</v>
      </c>
      <c r="K1004" s="7" t="s">
        <v>55</v>
      </c>
      <c r="L1004" s="10">
        <v>2797.12</v>
      </c>
      <c r="M1004" s="10">
        <v>2797.12</v>
      </c>
      <c r="N1004" s="10">
        <f>+L1004-M1004</f>
        <v>0</v>
      </c>
      <c r="O1004" s="10">
        <v>2797.12</v>
      </c>
      <c r="P1004" s="10">
        <f>+L1004-O1004</f>
        <v>0</v>
      </c>
      <c r="Q1004" s="10">
        <v>0</v>
      </c>
      <c r="R1004" s="7" t="s">
        <v>27</v>
      </c>
    </row>
    <row r="1005" spans="1:18">
      <c r="A1005" s="7" t="s">
        <v>29</v>
      </c>
      <c r="B1005" s="8">
        <v>20729</v>
      </c>
      <c r="C1005" s="9">
        <v>45988.411562499998</v>
      </c>
      <c r="D1005" s="9">
        <v>45939</v>
      </c>
      <c r="E1005" s="9">
        <v>45939</v>
      </c>
      <c r="F1005" s="7" t="s">
        <v>3453</v>
      </c>
      <c r="G1005" s="7" t="s">
        <v>3454</v>
      </c>
      <c r="H1005" s="7" t="s">
        <v>3426</v>
      </c>
      <c r="I1005" s="7" t="s">
        <v>1462</v>
      </c>
      <c r="J1005" s="7" t="s">
        <v>25</v>
      </c>
      <c r="K1005" s="7" t="s">
        <v>26</v>
      </c>
      <c r="L1005" s="10">
        <v>2790.42</v>
      </c>
      <c r="M1005" s="10">
        <v>2790.42</v>
      </c>
      <c r="N1005" s="10">
        <f>+L1005-M1005</f>
        <v>0</v>
      </c>
      <c r="O1005" s="10">
        <v>2790.42</v>
      </c>
      <c r="P1005" s="10">
        <f>+L1005-O1005</f>
        <v>0</v>
      </c>
      <c r="Q1005" s="10">
        <v>0</v>
      </c>
      <c r="R1005" s="7" t="s">
        <v>27</v>
      </c>
    </row>
    <row r="1006" spans="1:18">
      <c r="A1006" s="7" t="s">
        <v>29</v>
      </c>
      <c r="B1006" s="8">
        <v>20656</v>
      </c>
      <c r="C1006" s="9">
        <v>45965.433483796296</v>
      </c>
      <c r="D1006" s="9">
        <v>46037</v>
      </c>
      <c r="E1006" s="9">
        <v>46037</v>
      </c>
      <c r="F1006" s="7" t="s">
        <v>3455</v>
      </c>
      <c r="G1006" s="7" t="s">
        <v>3456</v>
      </c>
      <c r="H1006" s="7" t="s">
        <v>3457</v>
      </c>
      <c r="I1006" s="7" t="s">
        <v>3458</v>
      </c>
      <c r="J1006" s="7" t="s">
        <v>25</v>
      </c>
      <c r="K1006" s="7" t="s">
        <v>55</v>
      </c>
      <c r="L1006" s="10">
        <v>2766.32</v>
      </c>
      <c r="M1006" s="10">
        <v>2766.32</v>
      </c>
      <c r="N1006" s="10">
        <f>+L1006-M1006</f>
        <v>0</v>
      </c>
      <c r="O1006" s="10">
        <v>2766.32</v>
      </c>
      <c r="P1006" s="10">
        <f>+L1006-O1006</f>
        <v>0</v>
      </c>
      <c r="Q1006" s="10">
        <v>0</v>
      </c>
      <c r="R1006" s="7" t="s">
        <v>27</v>
      </c>
    </row>
    <row r="1007" spans="1:18" hidden="1">
      <c r="A1007" s="7" t="s">
        <v>29</v>
      </c>
      <c r="B1007" s="8">
        <v>19975</v>
      </c>
      <c r="C1007" s="9">
        <v>45825.451215277775</v>
      </c>
      <c r="D1007" s="9">
        <v>45825</v>
      </c>
      <c r="E1007" s="9">
        <v>45825</v>
      </c>
      <c r="F1007" s="7" t="s">
        <v>3459</v>
      </c>
      <c r="G1007" s="7" t="s">
        <v>3460</v>
      </c>
      <c r="H1007" s="7" t="s">
        <v>3461</v>
      </c>
      <c r="I1007" s="7" t="s">
        <v>3462</v>
      </c>
      <c r="J1007" s="7" t="s">
        <v>34</v>
      </c>
      <c r="K1007" s="7" t="s">
        <v>990</v>
      </c>
      <c r="L1007" s="10">
        <v>2420.8000000000002</v>
      </c>
      <c r="M1007" s="10">
        <v>2420.8000000000002</v>
      </c>
      <c r="N1007" s="10">
        <f>+L1007-M1007</f>
        <v>0</v>
      </c>
      <c r="O1007" s="10">
        <v>2420.8000000000002</v>
      </c>
      <c r="P1007" s="10">
        <f>+L1007-O1007</f>
        <v>0</v>
      </c>
      <c r="Q1007" s="10">
        <v>0</v>
      </c>
      <c r="R1007" s="7" t="s">
        <v>27</v>
      </c>
    </row>
    <row r="1008" spans="1:18">
      <c r="A1008" s="7" t="s">
        <v>29</v>
      </c>
      <c r="B1008" s="8">
        <v>20774</v>
      </c>
      <c r="C1008" s="9">
        <v>46001.986087962963</v>
      </c>
      <c r="D1008" s="9">
        <v>46009</v>
      </c>
      <c r="E1008" s="9">
        <v>46001</v>
      </c>
      <c r="F1008" s="7" t="s">
        <v>3463</v>
      </c>
      <c r="G1008" s="7" t="s">
        <v>3464</v>
      </c>
      <c r="H1008" s="7" t="s">
        <v>3038</v>
      </c>
      <c r="I1008" s="7" t="s">
        <v>788</v>
      </c>
      <c r="J1008" s="7" t="s">
        <v>25</v>
      </c>
      <c r="K1008" s="7" t="s">
        <v>55</v>
      </c>
      <c r="L1008" s="10">
        <v>2755.6</v>
      </c>
      <c r="M1008" s="10">
        <v>2755.6</v>
      </c>
      <c r="N1008" s="10">
        <f>+L1008-M1008</f>
        <v>0</v>
      </c>
      <c r="O1008" s="10">
        <v>2755.6</v>
      </c>
      <c r="P1008" s="10">
        <f>+L1008-O1008</f>
        <v>0</v>
      </c>
      <c r="Q1008" s="10">
        <v>0</v>
      </c>
      <c r="R1008" s="7" t="s">
        <v>27</v>
      </c>
    </row>
    <row r="1009" spans="1:18">
      <c r="A1009" s="7" t="s">
        <v>29</v>
      </c>
      <c r="B1009" s="8">
        <v>20216</v>
      </c>
      <c r="C1009" s="9">
        <v>45870.390092592592</v>
      </c>
      <c r="D1009" s="9">
        <v>45883</v>
      </c>
      <c r="E1009" s="9">
        <v>45848</v>
      </c>
      <c r="F1009" s="7" t="s">
        <v>3465</v>
      </c>
      <c r="G1009" s="7" t="s">
        <v>3466</v>
      </c>
      <c r="H1009" s="7" t="s">
        <v>3467</v>
      </c>
      <c r="I1009" s="7" t="s">
        <v>3468</v>
      </c>
      <c r="J1009" s="7" t="s">
        <v>25</v>
      </c>
      <c r="K1009" s="7" t="s">
        <v>55</v>
      </c>
      <c r="L1009" s="10">
        <v>2723.3</v>
      </c>
      <c r="M1009" s="10">
        <v>2723.3</v>
      </c>
      <c r="N1009" s="10">
        <f>+L1009-M1009</f>
        <v>0</v>
      </c>
      <c r="O1009" s="10">
        <v>2723.3</v>
      </c>
      <c r="P1009" s="10">
        <f>+L1009-O1009</f>
        <v>0</v>
      </c>
      <c r="Q1009" s="10">
        <v>0</v>
      </c>
      <c r="R1009" s="7" t="s">
        <v>27</v>
      </c>
    </row>
    <row r="1010" spans="1:18" hidden="1">
      <c r="A1010" s="7" t="s">
        <v>29</v>
      </c>
      <c r="B1010" s="8">
        <v>4200</v>
      </c>
      <c r="C1010" s="9">
        <v>45782.438275462962</v>
      </c>
      <c r="D1010" s="9">
        <v>45775</v>
      </c>
      <c r="E1010" s="9">
        <v>45775</v>
      </c>
      <c r="F1010" s="7" t="s">
        <v>3469</v>
      </c>
      <c r="G1010" s="7" t="s">
        <v>3470</v>
      </c>
      <c r="H1010" s="7" t="s">
        <v>280</v>
      </c>
      <c r="I1010" s="7" t="s">
        <v>205</v>
      </c>
      <c r="J1010" s="7" t="s">
        <v>25</v>
      </c>
      <c r="K1010" s="7" t="s">
        <v>206</v>
      </c>
      <c r="L1010" s="10">
        <v>2665.76</v>
      </c>
      <c r="M1010" s="10">
        <v>2665.76</v>
      </c>
      <c r="N1010" s="15">
        <f>+L1010-M1010</f>
        <v>0</v>
      </c>
      <c r="O1010" s="15">
        <v>2665.76</v>
      </c>
      <c r="P1010" s="15">
        <f>+L1010-O1010</f>
        <v>0</v>
      </c>
      <c r="Q1010" s="10">
        <v>0</v>
      </c>
      <c r="R1010" s="7" t="s">
        <v>87</v>
      </c>
    </row>
    <row r="1011" spans="1:18" hidden="1">
      <c r="A1011" s="7" t="s">
        <v>29</v>
      </c>
      <c r="B1011" s="8">
        <v>4259</v>
      </c>
      <c r="C1011" s="9">
        <v>45926.646956018514</v>
      </c>
      <c r="D1011" s="9">
        <v>45926</v>
      </c>
      <c r="E1011" s="9">
        <v>45926</v>
      </c>
      <c r="F1011" s="7" t="s">
        <v>3471</v>
      </c>
      <c r="G1011" s="7" t="s">
        <v>2709</v>
      </c>
      <c r="H1011" s="7" t="s">
        <v>3472</v>
      </c>
      <c r="I1011" s="7" t="s">
        <v>3473</v>
      </c>
      <c r="J1011" s="7" t="s">
        <v>25</v>
      </c>
      <c r="K1011" s="7" t="s">
        <v>260</v>
      </c>
      <c r="L1011" s="10">
        <v>2610.3000000000002</v>
      </c>
      <c r="M1011" s="10">
        <v>2610.3000000000002</v>
      </c>
      <c r="N1011" s="15">
        <f>+L1011-M1011</f>
        <v>0</v>
      </c>
      <c r="O1011" s="15">
        <v>2610.3000000000002</v>
      </c>
      <c r="P1011" s="15">
        <f>+L1011-O1011</f>
        <v>0</v>
      </c>
      <c r="Q1011" s="10">
        <v>0</v>
      </c>
      <c r="R1011" s="7" t="s">
        <v>87</v>
      </c>
    </row>
    <row r="1012" spans="1:18" hidden="1">
      <c r="A1012" s="7" t="s">
        <v>29</v>
      </c>
      <c r="B1012" s="8">
        <v>4276</v>
      </c>
      <c r="C1012" s="9">
        <v>45958.620439814811</v>
      </c>
      <c r="D1012" s="9">
        <v>45958</v>
      </c>
      <c r="E1012" s="9">
        <v>45958</v>
      </c>
      <c r="F1012" s="7" t="s">
        <v>3474</v>
      </c>
      <c r="G1012" s="7" t="s">
        <v>2673</v>
      </c>
      <c r="H1012" s="7" t="s">
        <v>1131</v>
      </c>
      <c r="I1012" s="7" t="s">
        <v>915</v>
      </c>
      <c r="J1012" s="7" t="s">
        <v>25</v>
      </c>
      <c r="K1012" s="7" t="s">
        <v>206</v>
      </c>
      <c r="L1012" s="10">
        <v>2575.44</v>
      </c>
      <c r="M1012" s="10">
        <v>2575.44</v>
      </c>
      <c r="N1012" s="15">
        <f>+L1012-M1012</f>
        <v>0</v>
      </c>
      <c r="O1012" s="15">
        <v>2575.44</v>
      </c>
      <c r="P1012" s="15">
        <f>+L1012-O1012</f>
        <v>0</v>
      </c>
      <c r="Q1012" s="10">
        <v>0</v>
      </c>
      <c r="R1012" s="7" t="s">
        <v>87</v>
      </c>
    </row>
    <row r="1013" spans="1:18" hidden="1">
      <c r="A1013" s="7" t="s">
        <v>29</v>
      </c>
      <c r="B1013" s="8">
        <v>4165</v>
      </c>
      <c r="C1013" s="9">
        <v>45702.467881944445</v>
      </c>
      <c r="D1013" s="9">
        <v>45702</v>
      </c>
      <c r="E1013" s="9">
        <v>45702</v>
      </c>
      <c r="F1013" s="7" t="s">
        <v>3475</v>
      </c>
      <c r="G1013" s="7" t="s">
        <v>824</v>
      </c>
      <c r="H1013" s="7" t="s">
        <v>2694</v>
      </c>
      <c r="I1013" s="7" t="s">
        <v>2695</v>
      </c>
      <c r="J1013" s="7" t="s">
        <v>25</v>
      </c>
      <c r="K1013" s="7" t="s">
        <v>86</v>
      </c>
      <c r="L1013" s="10">
        <v>2547.02</v>
      </c>
      <c r="M1013" s="10">
        <v>2547.02</v>
      </c>
      <c r="N1013" s="15">
        <f>+L1013-M1013</f>
        <v>0</v>
      </c>
      <c r="O1013" s="15">
        <v>2547.02</v>
      </c>
      <c r="P1013" s="15">
        <f>+L1013-O1013</f>
        <v>0</v>
      </c>
      <c r="Q1013" s="10">
        <v>0</v>
      </c>
      <c r="R1013" s="7" t="s">
        <v>87</v>
      </c>
    </row>
    <row r="1014" spans="1:18" hidden="1">
      <c r="A1014" s="7" t="s">
        <v>29</v>
      </c>
      <c r="B1014" s="8">
        <v>20018</v>
      </c>
      <c r="C1014" s="9">
        <v>45833.562569444446</v>
      </c>
      <c r="D1014" s="9">
        <v>45831</v>
      </c>
      <c r="E1014" s="9">
        <v>45831</v>
      </c>
      <c r="F1014" s="7" t="s">
        <v>3476</v>
      </c>
      <c r="G1014" s="7" t="s">
        <v>3477</v>
      </c>
      <c r="H1014" s="7" t="s">
        <v>3478</v>
      </c>
      <c r="I1014" s="7" t="s">
        <v>3479</v>
      </c>
      <c r="J1014" s="7" t="s">
        <v>40</v>
      </c>
      <c r="K1014" s="7" t="s">
        <v>355</v>
      </c>
      <c r="L1014" s="10">
        <v>2151.85</v>
      </c>
      <c r="M1014" s="10">
        <v>2151.85</v>
      </c>
      <c r="N1014" s="10">
        <f>+L1014-M1014</f>
        <v>0</v>
      </c>
      <c r="O1014" s="10">
        <v>2151.85</v>
      </c>
      <c r="P1014" s="10">
        <f>+L1014-O1014</f>
        <v>0</v>
      </c>
      <c r="Q1014" s="10">
        <v>0</v>
      </c>
      <c r="R1014" s="7" t="s">
        <v>27</v>
      </c>
    </row>
    <row r="1015" spans="1:18" hidden="1">
      <c r="A1015" s="7" t="s">
        <v>29</v>
      </c>
      <c r="B1015" s="8">
        <v>19940</v>
      </c>
      <c r="C1015" s="9">
        <v>45818.435624999998</v>
      </c>
      <c r="D1015" s="9">
        <v>45812</v>
      </c>
      <c r="E1015" s="9">
        <v>45818</v>
      </c>
      <c r="F1015" s="7" t="s">
        <v>3480</v>
      </c>
      <c r="G1015" s="7" t="s">
        <v>3481</v>
      </c>
      <c r="H1015" s="7" t="s">
        <v>701</v>
      </c>
      <c r="I1015" s="7" t="s">
        <v>702</v>
      </c>
      <c r="J1015" s="7" t="s">
        <v>176</v>
      </c>
      <c r="K1015" s="7" t="s">
        <v>374</v>
      </c>
      <c r="L1015" s="10">
        <v>2414</v>
      </c>
      <c r="M1015" s="10">
        <v>2414</v>
      </c>
      <c r="N1015" s="10">
        <f>+L1015-M1015</f>
        <v>0</v>
      </c>
      <c r="O1015" s="10">
        <v>2414</v>
      </c>
      <c r="P1015" s="10">
        <f>+L1015-O1015</f>
        <v>0</v>
      </c>
      <c r="Q1015" s="10">
        <v>0</v>
      </c>
      <c r="R1015" s="7" t="s">
        <v>27</v>
      </c>
    </row>
    <row r="1016" spans="1:18">
      <c r="A1016" s="7" t="s">
        <v>29</v>
      </c>
      <c r="B1016" s="8">
        <v>20386</v>
      </c>
      <c r="C1016" s="9">
        <v>45902.551030092589</v>
      </c>
      <c r="D1016" s="9">
        <v>45899</v>
      </c>
      <c r="E1016" s="9">
        <v>45899</v>
      </c>
      <c r="F1016" s="7" t="s">
        <v>3482</v>
      </c>
      <c r="G1016" s="7" t="s">
        <v>3483</v>
      </c>
      <c r="H1016" s="7" t="s">
        <v>2205</v>
      </c>
      <c r="I1016" s="7" t="s">
        <v>2206</v>
      </c>
      <c r="J1016" s="7" t="s">
        <v>25</v>
      </c>
      <c r="K1016" s="7" t="s">
        <v>26</v>
      </c>
      <c r="L1016" s="10">
        <v>2496.69</v>
      </c>
      <c r="M1016" s="10">
        <v>2496.69</v>
      </c>
      <c r="N1016" s="10">
        <f>+L1016-M1016</f>
        <v>0</v>
      </c>
      <c r="O1016" s="10">
        <v>2496.69</v>
      </c>
      <c r="P1016" s="10">
        <f>+L1016-O1016</f>
        <v>0</v>
      </c>
      <c r="Q1016" s="10">
        <v>0</v>
      </c>
      <c r="R1016" s="7" t="s">
        <v>27</v>
      </c>
    </row>
    <row r="1017" spans="1:18" hidden="1">
      <c r="A1017" s="7" t="s">
        <v>29</v>
      </c>
      <c r="B1017" s="8">
        <v>4190</v>
      </c>
      <c r="C1017" s="9">
        <v>45747.650312500002</v>
      </c>
      <c r="D1017" s="9">
        <v>45737</v>
      </c>
      <c r="E1017" s="9">
        <v>45737</v>
      </c>
      <c r="F1017" s="7" t="s">
        <v>3484</v>
      </c>
      <c r="G1017" s="7" t="s">
        <v>159</v>
      </c>
      <c r="H1017" s="7" t="s">
        <v>3485</v>
      </c>
      <c r="I1017" s="7" t="s">
        <v>3486</v>
      </c>
      <c r="J1017" s="7" t="s">
        <v>25</v>
      </c>
      <c r="K1017" s="7" t="s">
        <v>86</v>
      </c>
      <c r="L1017" s="10">
        <v>2452.1</v>
      </c>
      <c r="M1017" s="10">
        <v>2452.1</v>
      </c>
      <c r="N1017" s="15">
        <f>+L1017-M1017</f>
        <v>0</v>
      </c>
      <c r="O1017" s="15">
        <v>2452.1</v>
      </c>
      <c r="P1017" s="15">
        <f>+L1017-O1017</f>
        <v>0</v>
      </c>
      <c r="Q1017" s="10">
        <v>0</v>
      </c>
      <c r="R1017" s="7" t="s">
        <v>87</v>
      </c>
    </row>
    <row r="1018" spans="1:18" hidden="1">
      <c r="A1018" s="7" t="s">
        <v>29</v>
      </c>
      <c r="B1018" s="8">
        <v>19998</v>
      </c>
      <c r="C1018" s="9">
        <v>45831.518657407403</v>
      </c>
      <c r="D1018" s="9">
        <v>45881</v>
      </c>
      <c r="E1018" s="9">
        <v>45985</v>
      </c>
      <c r="F1018" s="7" t="s">
        <v>3487</v>
      </c>
      <c r="G1018" s="7" t="s">
        <v>3488</v>
      </c>
      <c r="H1018" s="7" t="s">
        <v>1609</v>
      </c>
      <c r="I1018" s="7" t="s">
        <v>1610</v>
      </c>
      <c r="J1018" s="7" t="s">
        <v>34</v>
      </c>
      <c r="K1018" s="7" t="s">
        <v>118</v>
      </c>
      <c r="L1018" s="10">
        <v>2401.61</v>
      </c>
      <c r="M1018" s="10">
        <v>2401.61</v>
      </c>
      <c r="N1018" s="10">
        <f>+L1018-M1018</f>
        <v>0</v>
      </c>
      <c r="O1018" s="10">
        <v>2401.61</v>
      </c>
      <c r="P1018" s="10">
        <f>+L1018-O1018</f>
        <v>0</v>
      </c>
      <c r="Q1018" s="10">
        <v>0</v>
      </c>
      <c r="R1018" s="7" t="s">
        <v>27</v>
      </c>
    </row>
    <row r="1019" spans="1:18" hidden="1">
      <c r="A1019" s="7" t="s">
        <v>29</v>
      </c>
      <c r="B1019" s="8">
        <v>19873</v>
      </c>
      <c r="C1019" s="9">
        <v>45805.715520833328</v>
      </c>
      <c r="D1019" s="9">
        <v>45810</v>
      </c>
      <c r="E1019" s="9">
        <v>45779</v>
      </c>
      <c r="F1019" s="7" t="s">
        <v>3489</v>
      </c>
      <c r="G1019" s="7" t="s">
        <v>3490</v>
      </c>
      <c r="H1019" s="7" t="s">
        <v>3491</v>
      </c>
      <c r="I1019" s="7" t="s">
        <v>3492</v>
      </c>
      <c r="J1019" s="7" t="s">
        <v>176</v>
      </c>
      <c r="K1019" s="7" t="s">
        <v>584</v>
      </c>
      <c r="L1019" s="10">
        <v>2400</v>
      </c>
      <c r="M1019" s="10">
        <v>2400</v>
      </c>
      <c r="N1019" s="10">
        <f>+L1019-M1019</f>
        <v>0</v>
      </c>
      <c r="O1019" s="10">
        <v>2400</v>
      </c>
      <c r="P1019" s="10">
        <f>+L1019-O1019</f>
        <v>0</v>
      </c>
      <c r="Q1019" s="10">
        <v>0</v>
      </c>
      <c r="R1019" s="7" t="s">
        <v>27</v>
      </c>
    </row>
    <row r="1020" spans="1:18">
      <c r="A1020" s="7" t="s">
        <v>29</v>
      </c>
      <c r="B1020" s="8">
        <v>20837</v>
      </c>
      <c r="C1020" s="9">
        <v>46029.375659722224</v>
      </c>
      <c r="D1020" s="9">
        <v>46024</v>
      </c>
      <c r="E1020" s="9">
        <v>46013</v>
      </c>
      <c r="F1020" s="7" t="s">
        <v>3493</v>
      </c>
      <c r="G1020" s="7" t="s">
        <v>738</v>
      </c>
      <c r="H1020" s="7" t="s">
        <v>2450</v>
      </c>
      <c r="I1020" s="7" t="s">
        <v>2451</v>
      </c>
      <c r="J1020" s="7" t="s">
        <v>25</v>
      </c>
      <c r="K1020" s="7" t="s">
        <v>26</v>
      </c>
      <c r="L1020" s="10">
        <v>2405.3200000000002</v>
      </c>
      <c r="M1020" s="10">
        <v>2405.3200000000002</v>
      </c>
      <c r="N1020" s="10">
        <f>+L1020-M1020</f>
        <v>0</v>
      </c>
      <c r="O1020" s="10">
        <v>2405.3200000000002</v>
      </c>
      <c r="P1020" s="10">
        <f>+L1020-O1020</f>
        <v>0</v>
      </c>
      <c r="Q1020" s="10">
        <v>0</v>
      </c>
      <c r="R1020" s="7" t="s">
        <v>27</v>
      </c>
    </row>
    <row r="1021" spans="1:18">
      <c r="A1021" s="7" t="s">
        <v>29</v>
      </c>
      <c r="B1021" s="8">
        <v>19528</v>
      </c>
      <c r="C1021" s="9">
        <v>45733.445162037038</v>
      </c>
      <c r="D1021" s="9">
        <v>45772</v>
      </c>
      <c r="E1021" s="9">
        <v>45772</v>
      </c>
      <c r="F1021" s="7" t="s">
        <v>3494</v>
      </c>
      <c r="G1021" s="7" t="s">
        <v>3495</v>
      </c>
      <c r="H1021" s="7" t="s">
        <v>2591</v>
      </c>
      <c r="I1021" s="7" t="s">
        <v>536</v>
      </c>
      <c r="J1021" s="7" t="s">
        <v>25</v>
      </c>
      <c r="K1021" s="7" t="s">
        <v>537</v>
      </c>
      <c r="L1021" s="10">
        <v>2392.35</v>
      </c>
      <c r="M1021" s="10">
        <v>2392.35</v>
      </c>
      <c r="N1021" s="10">
        <f>+L1021-M1021</f>
        <v>0</v>
      </c>
      <c r="O1021" s="10">
        <v>2392.35</v>
      </c>
      <c r="P1021" s="10">
        <f>+L1021-O1021</f>
        <v>0</v>
      </c>
      <c r="Q1021" s="10">
        <v>0</v>
      </c>
      <c r="R1021" s="7" t="s">
        <v>27</v>
      </c>
    </row>
    <row r="1022" spans="1:18">
      <c r="A1022" s="7" t="s">
        <v>29</v>
      </c>
      <c r="B1022" s="8">
        <v>20382</v>
      </c>
      <c r="C1022" s="9">
        <v>45902.549953703703</v>
      </c>
      <c r="D1022" s="9">
        <v>45905</v>
      </c>
      <c r="E1022" s="9">
        <v>45933</v>
      </c>
      <c r="F1022" s="7" t="s">
        <v>3496</v>
      </c>
      <c r="G1022" s="7" t="s">
        <v>3497</v>
      </c>
      <c r="H1022" s="7" t="s">
        <v>1161</v>
      </c>
      <c r="I1022" s="7" t="s">
        <v>1162</v>
      </c>
      <c r="J1022" s="7" t="s">
        <v>25</v>
      </c>
      <c r="K1022" s="7" t="s">
        <v>170</v>
      </c>
      <c r="L1022" s="10">
        <v>2345.5700000000002</v>
      </c>
      <c r="M1022" s="10">
        <v>2345.5700000000002</v>
      </c>
      <c r="N1022" s="10">
        <f>+L1022-M1022</f>
        <v>0</v>
      </c>
      <c r="O1022" s="10">
        <v>2345.5700000000002</v>
      </c>
      <c r="P1022" s="10">
        <f>+L1022-O1022</f>
        <v>0</v>
      </c>
      <c r="Q1022" s="10">
        <v>0</v>
      </c>
      <c r="R1022" s="7" t="s">
        <v>27</v>
      </c>
    </row>
    <row r="1023" spans="1:18" hidden="1">
      <c r="A1023" s="7" t="s">
        <v>29</v>
      </c>
      <c r="B1023" s="8">
        <v>4320</v>
      </c>
      <c r="C1023" s="9">
        <v>46008.446655092594</v>
      </c>
      <c r="D1023" s="9">
        <v>45957</v>
      </c>
      <c r="E1023" s="9">
        <v>45957</v>
      </c>
      <c r="F1023" s="7" t="s">
        <v>3498</v>
      </c>
      <c r="G1023" s="7" t="s">
        <v>3499</v>
      </c>
      <c r="H1023" s="7" t="s">
        <v>445</v>
      </c>
      <c r="I1023" s="7" t="s">
        <v>321</v>
      </c>
      <c r="J1023" s="7" t="s">
        <v>25</v>
      </c>
      <c r="K1023" s="7" t="s">
        <v>125</v>
      </c>
      <c r="L1023" s="10">
        <v>2321.42</v>
      </c>
      <c r="M1023" s="10">
        <v>2321.42</v>
      </c>
      <c r="N1023" s="15">
        <f>+L1023-M1023</f>
        <v>0</v>
      </c>
      <c r="O1023" s="15">
        <v>2321.42</v>
      </c>
      <c r="P1023" s="15">
        <f>+L1023-O1023</f>
        <v>0</v>
      </c>
      <c r="Q1023" s="10">
        <v>0</v>
      </c>
      <c r="R1023" s="7" t="s">
        <v>87</v>
      </c>
    </row>
    <row r="1024" spans="1:18">
      <c r="A1024" s="7" t="s">
        <v>29</v>
      </c>
      <c r="B1024" s="8">
        <v>20551</v>
      </c>
      <c r="C1024" s="9">
        <v>45933.567071759258</v>
      </c>
      <c r="D1024" s="9">
        <v>45929</v>
      </c>
      <c r="E1024" s="9">
        <v>45929</v>
      </c>
      <c r="F1024" s="7" t="s">
        <v>3500</v>
      </c>
      <c r="G1024" s="7" t="s">
        <v>3501</v>
      </c>
      <c r="H1024" s="7" t="s">
        <v>2205</v>
      </c>
      <c r="I1024" s="7" t="s">
        <v>2206</v>
      </c>
      <c r="J1024" s="7" t="s">
        <v>25</v>
      </c>
      <c r="K1024" s="7" t="s">
        <v>26</v>
      </c>
      <c r="L1024" s="10">
        <v>2306.56</v>
      </c>
      <c r="M1024" s="10">
        <v>2306.56</v>
      </c>
      <c r="N1024" s="10">
        <f>+L1024-M1024</f>
        <v>0</v>
      </c>
      <c r="O1024" s="10">
        <v>2306.56</v>
      </c>
      <c r="P1024" s="10">
        <f>+L1024-O1024</f>
        <v>0</v>
      </c>
      <c r="Q1024" s="10">
        <v>0</v>
      </c>
      <c r="R1024" s="7" t="s">
        <v>27</v>
      </c>
    </row>
    <row r="1025" spans="1:18" hidden="1">
      <c r="A1025" s="7" t="s">
        <v>29</v>
      </c>
      <c r="B1025" s="8">
        <v>19612</v>
      </c>
      <c r="C1025" s="9">
        <v>45751.628298611111</v>
      </c>
      <c r="D1025" s="9">
        <v>45772</v>
      </c>
      <c r="E1025" s="9">
        <v>45744</v>
      </c>
      <c r="F1025" s="7" t="s">
        <v>3502</v>
      </c>
      <c r="G1025" s="7" t="s">
        <v>3503</v>
      </c>
      <c r="H1025" s="7" t="s">
        <v>2227</v>
      </c>
      <c r="I1025" s="7" t="s">
        <v>2228</v>
      </c>
      <c r="J1025" s="7" t="s">
        <v>176</v>
      </c>
      <c r="K1025" s="7" t="s">
        <v>374</v>
      </c>
      <c r="L1025" s="10">
        <v>2338</v>
      </c>
      <c r="M1025" s="10">
        <v>2338</v>
      </c>
      <c r="N1025" s="10">
        <f>+L1025-M1025</f>
        <v>0</v>
      </c>
      <c r="O1025" s="10">
        <v>2338</v>
      </c>
      <c r="P1025" s="10">
        <f>+L1025-O1025</f>
        <v>0</v>
      </c>
      <c r="Q1025" s="10">
        <v>0</v>
      </c>
      <c r="R1025" s="7" t="s">
        <v>27</v>
      </c>
    </row>
    <row r="1026" spans="1:18" hidden="1">
      <c r="A1026" s="7" t="s">
        <v>29</v>
      </c>
      <c r="B1026" s="8">
        <v>20846</v>
      </c>
      <c r="C1026" s="9">
        <v>46031.378298611111</v>
      </c>
      <c r="D1026" s="9">
        <v>45848</v>
      </c>
      <c r="E1026" s="9">
        <v>46030</v>
      </c>
      <c r="F1026" s="7" t="s">
        <v>3504</v>
      </c>
      <c r="G1026" s="7" t="s">
        <v>780</v>
      </c>
      <c r="H1026" s="7" t="s">
        <v>3505</v>
      </c>
      <c r="I1026" s="7" t="s">
        <v>3506</v>
      </c>
      <c r="J1026" s="7" t="s">
        <v>176</v>
      </c>
      <c r="K1026" s="7" t="s">
        <v>494</v>
      </c>
      <c r="L1026" s="10">
        <v>2336.81</v>
      </c>
      <c r="M1026" s="10">
        <v>2336.81</v>
      </c>
      <c r="N1026" s="10">
        <f>+L1026-M1026</f>
        <v>0</v>
      </c>
      <c r="O1026" s="10">
        <v>2336.81</v>
      </c>
      <c r="P1026" s="10">
        <f>+L1026-O1026</f>
        <v>0</v>
      </c>
      <c r="Q1026" s="10">
        <v>0</v>
      </c>
      <c r="R1026" s="7" t="s">
        <v>27</v>
      </c>
    </row>
    <row r="1027" spans="1:18" hidden="1">
      <c r="A1027" s="7" t="s">
        <v>29</v>
      </c>
      <c r="B1027" s="8">
        <v>20094</v>
      </c>
      <c r="C1027" s="9">
        <v>45841.390775462962</v>
      </c>
      <c r="D1027" s="9">
        <v>45841</v>
      </c>
      <c r="E1027" s="9">
        <v>45873</v>
      </c>
      <c r="F1027" s="7" t="s">
        <v>3507</v>
      </c>
      <c r="G1027" s="7" t="s">
        <v>3508</v>
      </c>
      <c r="H1027" s="7" t="s">
        <v>267</v>
      </c>
      <c r="I1027" s="7" t="s">
        <v>268</v>
      </c>
      <c r="J1027" s="7" t="s">
        <v>34</v>
      </c>
      <c r="K1027" s="7" t="s">
        <v>269</v>
      </c>
      <c r="L1027" s="10">
        <v>2329.1999999999998</v>
      </c>
      <c r="M1027" s="10">
        <v>2329.1999999999998</v>
      </c>
      <c r="N1027" s="10">
        <f>+L1027-M1027</f>
        <v>0</v>
      </c>
      <c r="O1027" s="10">
        <v>2329.1999999999998</v>
      </c>
      <c r="P1027" s="10">
        <f>+L1027-O1027</f>
        <v>0</v>
      </c>
      <c r="Q1027" s="10">
        <v>0</v>
      </c>
      <c r="R1027" s="7" t="s">
        <v>27</v>
      </c>
    </row>
    <row r="1028" spans="1:18" hidden="1">
      <c r="A1028" s="7" t="s">
        <v>29</v>
      </c>
      <c r="B1028" s="8">
        <v>20454</v>
      </c>
      <c r="C1028" s="9">
        <v>45916.722719907404</v>
      </c>
      <c r="D1028" s="9">
        <v>45916</v>
      </c>
      <c r="E1028" s="9">
        <v>45916</v>
      </c>
      <c r="F1028" s="7" t="s">
        <v>3509</v>
      </c>
      <c r="G1028" s="7" t="s">
        <v>3510</v>
      </c>
      <c r="H1028" s="7" t="s">
        <v>3511</v>
      </c>
      <c r="I1028" s="7" t="s">
        <v>3512</v>
      </c>
      <c r="J1028" s="7" t="s">
        <v>176</v>
      </c>
      <c r="K1028" s="7" t="s">
        <v>360</v>
      </c>
      <c r="L1028" s="10">
        <v>2313</v>
      </c>
      <c r="M1028" s="10">
        <v>2313</v>
      </c>
      <c r="N1028" s="10">
        <f>+L1028-M1028</f>
        <v>0</v>
      </c>
      <c r="O1028" s="10">
        <v>2313</v>
      </c>
      <c r="P1028" s="10">
        <f>+L1028-O1028</f>
        <v>0</v>
      </c>
      <c r="Q1028" s="10">
        <v>0</v>
      </c>
      <c r="R1028" s="7" t="s">
        <v>27</v>
      </c>
    </row>
    <row r="1029" spans="1:18" hidden="1">
      <c r="A1029" s="7" t="s">
        <v>29</v>
      </c>
      <c r="B1029" s="8">
        <v>4145</v>
      </c>
      <c r="C1029" s="9">
        <v>45670.49145833333</v>
      </c>
      <c r="D1029" s="9">
        <v>45635</v>
      </c>
      <c r="E1029" s="9">
        <v>45635</v>
      </c>
      <c r="F1029" s="7" t="s">
        <v>3513</v>
      </c>
      <c r="G1029" s="7" t="s">
        <v>1164</v>
      </c>
      <c r="H1029" s="7" t="s">
        <v>3514</v>
      </c>
      <c r="I1029" s="7" t="s">
        <v>3515</v>
      </c>
      <c r="J1029" s="7" t="s">
        <v>25</v>
      </c>
      <c r="K1029" s="7" t="s">
        <v>86</v>
      </c>
      <c r="L1029" s="10">
        <v>2300</v>
      </c>
      <c r="M1029" s="10">
        <v>2300</v>
      </c>
      <c r="N1029" s="15">
        <f>+L1029-M1029</f>
        <v>0</v>
      </c>
      <c r="O1029" s="15">
        <v>2300</v>
      </c>
      <c r="P1029" s="15">
        <f>+L1029-O1029</f>
        <v>0</v>
      </c>
      <c r="Q1029" s="10">
        <v>0</v>
      </c>
      <c r="R1029" s="7" t="s">
        <v>87</v>
      </c>
    </row>
    <row r="1030" spans="1:18" hidden="1">
      <c r="A1030" s="7" t="s">
        <v>29</v>
      </c>
      <c r="B1030" s="8">
        <v>20420</v>
      </c>
      <c r="C1030" s="9">
        <v>45908.748113425921</v>
      </c>
      <c r="D1030" s="9">
        <v>45654</v>
      </c>
      <c r="E1030" s="9">
        <v>45598</v>
      </c>
      <c r="F1030" s="7" t="s">
        <v>3516</v>
      </c>
      <c r="G1030" s="7" t="s">
        <v>3517</v>
      </c>
      <c r="H1030" s="7" t="s">
        <v>3518</v>
      </c>
      <c r="I1030" s="7" t="s">
        <v>3519</v>
      </c>
      <c r="J1030" s="7" t="s">
        <v>176</v>
      </c>
      <c r="K1030" s="7" t="s">
        <v>550</v>
      </c>
      <c r="L1030" s="10">
        <v>2303</v>
      </c>
      <c r="M1030" s="10">
        <v>2303</v>
      </c>
      <c r="N1030" s="10">
        <f>+L1030-M1030</f>
        <v>0</v>
      </c>
      <c r="O1030" s="10">
        <v>2303</v>
      </c>
      <c r="P1030" s="10">
        <f>+L1030-O1030</f>
        <v>0</v>
      </c>
      <c r="Q1030" s="10">
        <v>0</v>
      </c>
      <c r="R1030" s="7" t="s">
        <v>27</v>
      </c>
    </row>
    <row r="1031" spans="1:18">
      <c r="A1031" s="7" t="s">
        <v>29</v>
      </c>
      <c r="B1031" s="8">
        <v>19437</v>
      </c>
      <c r="C1031" s="9">
        <v>45709.401689814811</v>
      </c>
      <c r="D1031" s="9">
        <v>45729</v>
      </c>
      <c r="E1031" s="9">
        <v>45743</v>
      </c>
      <c r="F1031" s="7" t="s">
        <v>3520</v>
      </c>
      <c r="G1031" s="7" t="s">
        <v>3521</v>
      </c>
      <c r="H1031" s="7" t="s">
        <v>3522</v>
      </c>
      <c r="I1031" s="7" t="s">
        <v>3523</v>
      </c>
      <c r="J1031" s="7" t="s">
        <v>25</v>
      </c>
      <c r="K1031" s="7" t="s">
        <v>537</v>
      </c>
      <c r="L1031" s="10">
        <v>2299.67</v>
      </c>
      <c r="M1031" s="10">
        <v>2299.67</v>
      </c>
      <c r="N1031" s="10">
        <f>+L1031-M1031</f>
        <v>0</v>
      </c>
      <c r="O1031" s="10">
        <v>2299.67</v>
      </c>
      <c r="P1031" s="10">
        <f>+L1031-O1031</f>
        <v>0</v>
      </c>
      <c r="Q1031" s="10">
        <v>0</v>
      </c>
      <c r="R1031" s="7" t="s">
        <v>27</v>
      </c>
    </row>
    <row r="1032" spans="1:18">
      <c r="A1032" s="7" t="s">
        <v>29</v>
      </c>
      <c r="B1032" s="8">
        <v>19576</v>
      </c>
      <c r="C1032" s="9">
        <v>45743.364247685182</v>
      </c>
      <c r="D1032" s="9">
        <v>45743</v>
      </c>
      <c r="E1032" s="9">
        <v>45743</v>
      </c>
      <c r="F1032" s="7" t="s">
        <v>3524</v>
      </c>
      <c r="G1032" s="7" t="s">
        <v>3525</v>
      </c>
      <c r="H1032" s="7" t="s">
        <v>3526</v>
      </c>
      <c r="I1032" s="7" t="s">
        <v>3527</v>
      </c>
      <c r="J1032" s="7" t="s">
        <v>25</v>
      </c>
      <c r="K1032" s="7" t="s">
        <v>55</v>
      </c>
      <c r="L1032" s="10">
        <v>2286.04</v>
      </c>
      <c r="M1032" s="10">
        <v>2286.04</v>
      </c>
      <c r="N1032" s="10">
        <f>+L1032-M1032</f>
        <v>0</v>
      </c>
      <c r="O1032" s="10">
        <v>2286.04</v>
      </c>
      <c r="P1032" s="10">
        <f>+L1032-O1032</f>
        <v>0</v>
      </c>
      <c r="Q1032" s="10">
        <v>0</v>
      </c>
      <c r="R1032" s="7" t="s">
        <v>27</v>
      </c>
    </row>
    <row r="1033" spans="1:18">
      <c r="A1033" s="7" t="s">
        <v>29</v>
      </c>
      <c r="B1033" s="8">
        <v>20710</v>
      </c>
      <c r="C1033" s="9">
        <v>45980.378333645829</v>
      </c>
      <c r="D1033" s="9">
        <v>45982</v>
      </c>
      <c r="E1033" s="9">
        <v>45982</v>
      </c>
      <c r="F1033" s="7" t="s">
        <v>3528</v>
      </c>
      <c r="G1033" s="7" t="s">
        <v>3529</v>
      </c>
      <c r="H1033" s="7" t="s">
        <v>23</v>
      </c>
      <c r="I1033" s="7" t="s">
        <v>24</v>
      </c>
      <c r="J1033" s="7" t="s">
        <v>25</v>
      </c>
      <c r="K1033" s="7" t="s">
        <v>407</v>
      </c>
      <c r="L1033" s="10">
        <v>2285.9299999999998</v>
      </c>
      <c r="M1033" s="10">
        <v>2285.9299999999998</v>
      </c>
      <c r="N1033" s="10">
        <f>+L1033-M1033</f>
        <v>0</v>
      </c>
      <c r="O1033" s="10">
        <v>2285.9299999999998</v>
      </c>
      <c r="P1033" s="10">
        <f>+L1033-O1033</f>
        <v>0</v>
      </c>
      <c r="Q1033" s="10">
        <v>0</v>
      </c>
      <c r="R1033" s="7" t="s">
        <v>27</v>
      </c>
    </row>
    <row r="1034" spans="1:18" hidden="1">
      <c r="A1034" s="7" t="s">
        <v>29</v>
      </c>
      <c r="B1034" s="8">
        <v>19461</v>
      </c>
      <c r="C1034" s="9">
        <v>45714.470057870371</v>
      </c>
      <c r="D1034" s="9">
        <v>45714</v>
      </c>
      <c r="E1034" s="9">
        <v>45724</v>
      </c>
      <c r="F1034" s="7" t="s">
        <v>3530</v>
      </c>
      <c r="G1034" s="7" t="s">
        <v>2684</v>
      </c>
      <c r="H1034" s="7" t="s">
        <v>3531</v>
      </c>
      <c r="I1034" s="7" t="s">
        <v>3532</v>
      </c>
      <c r="J1034" s="7" t="s">
        <v>34</v>
      </c>
      <c r="K1034" s="7" t="s">
        <v>902</v>
      </c>
      <c r="L1034" s="10">
        <v>2274.35</v>
      </c>
      <c r="M1034" s="10">
        <v>2274.35</v>
      </c>
      <c r="N1034" s="10">
        <f>+L1034-M1034</f>
        <v>0</v>
      </c>
      <c r="O1034" s="10">
        <v>2274.35</v>
      </c>
      <c r="P1034" s="10">
        <f>+L1034-O1034</f>
        <v>0</v>
      </c>
      <c r="Q1034" s="10">
        <v>0</v>
      </c>
      <c r="R1034" s="7" t="s">
        <v>27</v>
      </c>
    </row>
    <row r="1035" spans="1:18" hidden="1">
      <c r="A1035" s="7" t="s">
        <v>29</v>
      </c>
      <c r="B1035" s="8">
        <v>4223</v>
      </c>
      <c r="C1035" s="9">
        <v>45819.344641203701</v>
      </c>
      <c r="D1035" s="9">
        <v>45799</v>
      </c>
      <c r="E1035" s="9">
        <v>45849</v>
      </c>
      <c r="F1035" s="7" t="s">
        <v>3533</v>
      </c>
      <c r="G1035" s="7" t="s">
        <v>3534</v>
      </c>
      <c r="H1035" s="7" t="s">
        <v>2989</v>
      </c>
      <c r="I1035" s="7" t="s">
        <v>1804</v>
      </c>
      <c r="J1035" s="7" t="s">
        <v>25</v>
      </c>
      <c r="K1035" s="7" t="s">
        <v>206</v>
      </c>
      <c r="L1035" s="10">
        <v>2279.0300000000002</v>
      </c>
      <c r="M1035" s="10">
        <v>2279.0300000000002</v>
      </c>
      <c r="N1035" s="15">
        <f>+L1035-M1035</f>
        <v>0</v>
      </c>
      <c r="O1035" s="15">
        <v>2279.0300000000002</v>
      </c>
      <c r="P1035" s="15">
        <f>+L1035-O1035</f>
        <v>0</v>
      </c>
      <c r="Q1035" s="10">
        <v>0</v>
      </c>
      <c r="R1035" s="7" t="s">
        <v>87</v>
      </c>
    </row>
    <row r="1036" spans="1:18" hidden="1">
      <c r="A1036" s="7" t="s">
        <v>29</v>
      </c>
      <c r="B1036" s="8">
        <v>19593</v>
      </c>
      <c r="C1036" s="9">
        <v>45747.457997685182</v>
      </c>
      <c r="D1036" s="9">
        <v>45747</v>
      </c>
      <c r="E1036" s="9">
        <v>45740</v>
      </c>
      <c r="F1036" s="7" t="s">
        <v>3535</v>
      </c>
      <c r="G1036" s="7" t="s">
        <v>3536</v>
      </c>
      <c r="H1036" s="7" t="s">
        <v>3537</v>
      </c>
      <c r="I1036" s="7" t="s">
        <v>3538</v>
      </c>
      <c r="J1036" s="7" t="s">
        <v>34</v>
      </c>
      <c r="K1036" s="7" t="s">
        <v>35</v>
      </c>
      <c r="L1036" s="10">
        <v>2273.2199999999998</v>
      </c>
      <c r="M1036" s="10">
        <v>2273.2199999999998</v>
      </c>
      <c r="N1036" s="10">
        <f>+L1036-M1036</f>
        <v>0</v>
      </c>
      <c r="O1036" s="10">
        <v>2273.2199999999998</v>
      </c>
      <c r="P1036" s="10">
        <f>+L1036-O1036</f>
        <v>0</v>
      </c>
      <c r="Q1036" s="10">
        <v>0</v>
      </c>
      <c r="R1036" s="7" t="s">
        <v>27</v>
      </c>
    </row>
    <row r="1037" spans="1:18" hidden="1">
      <c r="A1037" s="7" t="s">
        <v>29</v>
      </c>
      <c r="B1037" s="8">
        <v>20902</v>
      </c>
      <c r="C1037" s="9">
        <v>46045.428854166668</v>
      </c>
      <c r="D1037" s="9">
        <v>46044</v>
      </c>
      <c r="E1037" s="9">
        <v>46044</v>
      </c>
      <c r="F1037" s="7" t="s">
        <v>3539</v>
      </c>
      <c r="G1037" s="7" t="s">
        <v>3540</v>
      </c>
      <c r="H1037" s="7" t="s">
        <v>2057</v>
      </c>
      <c r="I1037" s="7" t="s">
        <v>2058</v>
      </c>
      <c r="J1037" s="7" t="s">
        <v>176</v>
      </c>
      <c r="K1037" s="7" t="s">
        <v>317</v>
      </c>
      <c r="L1037" s="10">
        <v>2271</v>
      </c>
      <c r="M1037" s="10">
        <v>2271</v>
      </c>
      <c r="N1037" s="10">
        <f>+L1037-M1037</f>
        <v>0</v>
      </c>
      <c r="O1037" s="10">
        <v>2271</v>
      </c>
      <c r="P1037" s="10">
        <f>+L1037-O1037</f>
        <v>0</v>
      </c>
      <c r="Q1037" s="10">
        <v>0</v>
      </c>
      <c r="R1037" s="7" t="s">
        <v>27</v>
      </c>
    </row>
    <row r="1038" spans="1:18" hidden="1">
      <c r="A1038" s="7" t="s">
        <v>29</v>
      </c>
      <c r="B1038" s="8">
        <v>20893</v>
      </c>
      <c r="C1038" s="9">
        <v>46043.549097222218</v>
      </c>
      <c r="D1038" s="9">
        <v>46006</v>
      </c>
      <c r="E1038" s="9">
        <v>46006</v>
      </c>
      <c r="F1038" s="7" t="s">
        <v>3541</v>
      </c>
      <c r="G1038" s="7" t="s">
        <v>3542</v>
      </c>
      <c r="H1038" s="7" t="s">
        <v>3543</v>
      </c>
      <c r="I1038" s="7" t="s">
        <v>3544</v>
      </c>
      <c r="J1038" s="7" t="s">
        <v>176</v>
      </c>
      <c r="K1038" s="7" t="s">
        <v>360</v>
      </c>
      <c r="L1038" s="10">
        <v>2261.89</v>
      </c>
      <c r="M1038" s="10">
        <v>2261.89</v>
      </c>
      <c r="N1038" s="10">
        <f>+L1038-M1038</f>
        <v>0</v>
      </c>
      <c r="O1038" s="10">
        <v>2261.89</v>
      </c>
      <c r="P1038" s="10">
        <f>+L1038-O1038</f>
        <v>0</v>
      </c>
      <c r="Q1038" s="10">
        <v>0</v>
      </c>
      <c r="R1038" s="7" t="s">
        <v>27</v>
      </c>
    </row>
    <row r="1039" spans="1:18" hidden="1">
      <c r="A1039" s="7" t="s">
        <v>29</v>
      </c>
      <c r="B1039" s="8">
        <v>4175</v>
      </c>
      <c r="C1039" s="9">
        <v>45726.441157407404</v>
      </c>
      <c r="D1039" s="9">
        <v>45723</v>
      </c>
      <c r="E1039" s="9">
        <v>45723</v>
      </c>
      <c r="F1039" s="7" t="s">
        <v>3545</v>
      </c>
      <c r="G1039" s="7" t="s">
        <v>2997</v>
      </c>
      <c r="H1039" s="7" t="s">
        <v>3546</v>
      </c>
      <c r="I1039" s="7" t="s">
        <v>3547</v>
      </c>
      <c r="J1039" s="7" t="s">
        <v>25</v>
      </c>
      <c r="K1039" s="7" t="s">
        <v>86</v>
      </c>
      <c r="L1039" s="10">
        <v>2240.79</v>
      </c>
      <c r="M1039" s="10">
        <v>2240.79</v>
      </c>
      <c r="N1039" s="15">
        <f>+L1039-M1039</f>
        <v>0</v>
      </c>
      <c r="O1039" s="15">
        <v>2240.79</v>
      </c>
      <c r="P1039" s="15">
        <f>+L1039-O1039</f>
        <v>0</v>
      </c>
      <c r="Q1039" s="10">
        <v>0</v>
      </c>
      <c r="R1039" s="7" t="s">
        <v>87</v>
      </c>
    </row>
    <row r="1040" spans="1:18" hidden="1">
      <c r="A1040" s="7" t="s">
        <v>29</v>
      </c>
      <c r="B1040" s="8">
        <v>20368</v>
      </c>
      <c r="C1040" s="9">
        <v>45901.384953703702</v>
      </c>
      <c r="D1040" s="9">
        <v>45898</v>
      </c>
      <c r="E1040" s="9">
        <v>45898</v>
      </c>
      <c r="F1040" s="7" t="s">
        <v>3548</v>
      </c>
      <c r="G1040" s="7" t="s">
        <v>3549</v>
      </c>
      <c r="H1040" s="7" t="s">
        <v>3550</v>
      </c>
      <c r="I1040" s="7" t="s">
        <v>3551</v>
      </c>
      <c r="J1040" s="7" t="s">
        <v>40</v>
      </c>
      <c r="K1040" s="7" t="s">
        <v>355</v>
      </c>
      <c r="L1040" s="10">
        <v>2111.84</v>
      </c>
      <c r="M1040" s="10">
        <v>2111.84</v>
      </c>
      <c r="N1040" s="10">
        <f>+L1040-M1040</f>
        <v>0</v>
      </c>
      <c r="O1040" s="10">
        <v>2111.84</v>
      </c>
      <c r="P1040" s="10">
        <f>+L1040-O1040</f>
        <v>0</v>
      </c>
      <c r="Q1040" s="10">
        <v>0</v>
      </c>
      <c r="R1040" s="7" t="s">
        <v>27</v>
      </c>
    </row>
    <row r="1041" spans="1:18">
      <c r="A1041" s="7" t="s">
        <v>29</v>
      </c>
      <c r="B1041" s="8">
        <v>20504</v>
      </c>
      <c r="C1041" s="9">
        <v>45924.438738425924</v>
      </c>
      <c r="D1041" s="9">
        <v>45924</v>
      </c>
      <c r="E1041" s="9">
        <v>45925</v>
      </c>
      <c r="F1041" s="7" t="s">
        <v>3552</v>
      </c>
      <c r="G1041" s="7" t="s">
        <v>3553</v>
      </c>
      <c r="H1041" s="7" t="s">
        <v>1602</v>
      </c>
      <c r="I1041" s="7" t="s">
        <v>1603</v>
      </c>
      <c r="J1041" s="7" t="s">
        <v>25</v>
      </c>
      <c r="K1041" s="7" t="s">
        <v>407</v>
      </c>
      <c r="L1041" s="10">
        <v>2224.29</v>
      </c>
      <c r="M1041" s="10">
        <v>2224.29</v>
      </c>
      <c r="N1041" s="10">
        <f>+L1041-M1041</f>
        <v>0</v>
      </c>
      <c r="O1041" s="10">
        <v>2224.29</v>
      </c>
      <c r="P1041" s="10">
        <f>+L1041-O1041</f>
        <v>0</v>
      </c>
      <c r="Q1041" s="10">
        <v>0</v>
      </c>
      <c r="R1041" s="7" t="s">
        <v>27</v>
      </c>
    </row>
    <row r="1042" spans="1:18">
      <c r="A1042" s="7" t="s">
        <v>29</v>
      </c>
      <c r="B1042" s="8">
        <v>19849</v>
      </c>
      <c r="C1042" s="9">
        <v>45799.351631944446</v>
      </c>
      <c r="D1042" s="9">
        <v>45800</v>
      </c>
      <c r="E1042" s="9">
        <v>45800</v>
      </c>
      <c r="F1042" s="7" t="s">
        <v>3554</v>
      </c>
      <c r="G1042" s="7" t="s">
        <v>3555</v>
      </c>
      <c r="H1042" s="7" t="s">
        <v>2565</v>
      </c>
      <c r="I1042" s="7" t="s">
        <v>784</v>
      </c>
      <c r="J1042" s="7" t="s">
        <v>25</v>
      </c>
      <c r="K1042" s="7" t="s">
        <v>55</v>
      </c>
      <c r="L1042" s="10">
        <v>2203.5</v>
      </c>
      <c r="M1042" s="10">
        <v>2203.5</v>
      </c>
      <c r="N1042" s="10">
        <f>+L1042-M1042</f>
        <v>0</v>
      </c>
      <c r="O1042" s="10">
        <v>2203.5</v>
      </c>
      <c r="P1042" s="10">
        <f>+L1042-O1042</f>
        <v>0</v>
      </c>
      <c r="Q1042" s="10">
        <v>0</v>
      </c>
      <c r="R1042" s="7" t="s">
        <v>27</v>
      </c>
    </row>
    <row r="1043" spans="1:18">
      <c r="A1043" s="7" t="s">
        <v>29</v>
      </c>
      <c r="B1043" s="8">
        <v>20435</v>
      </c>
      <c r="C1043" s="9">
        <v>45911.422500347224</v>
      </c>
      <c r="D1043" s="9">
        <v>45908</v>
      </c>
      <c r="E1043" s="9">
        <v>45908</v>
      </c>
      <c r="F1043" s="7" t="s">
        <v>3556</v>
      </c>
      <c r="G1043" s="7" t="s">
        <v>3557</v>
      </c>
      <c r="H1043" s="7" t="s">
        <v>783</v>
      </c>
      <c r="I1043" s="7" t="s">
        <v>784</v>
      </c>
      <c r="J1043" s="7" t="s">
        <v>25</v>
      </c>
      <c r="K1043" s="7" t="s">
        <v>55</v>
      </c>
      <c r="L1043" s="10">
        <v>2203.5</v>
      </c>
      <c r="M1043" s="10">
        <v>2203.5</v>
      </c>
      <c r="N1043" s="10">
        <f>+L1043-M1043</f>
        <v>0</v>
      </c>
      <c r="O1043" s="10">
        <v>2203.5</v>
      </c>
      <c r="P1043" s="10">
        <f>+L1043-O1043</f>
        <v>0</v>
      </c>
      <c r="Q1043" s="10">
        <v>0</v>
      </c>
      <c r="R1043" s="7" t="s">
        <v>27</v>
      </c>
    </row>
    <row r="1044" spans="1:18" hidden="1">
      <c r="A1044" s="7" t="s">
        <v>29</v>
      </c>
      <c r="B1044" s="8">
        <v>20060</v>
      </c>
      <c r="C1044" s="9">
        <v>45838.338541666664</v>
      </c>
      <c r="D1044" s="9">
        <v>45834</v>
      </c>
      <c r="E1044" s="9">
        <v>45834</v>
      </c>
      <c r="F1044" s="7" t="s">
        <v>3558</v>
      </c>
      <c r="G1044" s="7" t="s">
        <v>3559</v>
      </c>
      <c r="H1044" s="7" t="s">
        <v>3560</v>
      </c>
      <c r="I1044" s="7" t="s">
        <v>3561</v>
      </c>
      <c r="J1044" s="7" t="s">
        <v>40</v>
      </c>
      <c r="K1044" s="7" t="s">
        <v>355</v>
      </c>
      <c r="L1044" s="10">
        <v>1954.29</v>
      </c>
      <c r="M1044" s="10">
        <v>1954.29</v>
      </c>
      <c r="N1044" s="10">
        <f>+L1044-M1044</f>
        <v>0</v>
      </c>
      <c r="O1044" s="10">
        <v>1954.29</v>
      </c>
      <c r="P1044" s="10">
        <f>+L1044-O1044</f>
        <v>0</v>
      </c>
      <c r="Q1044" s="10">
        <v>0</v>
      </c>
      <c r="R1044" s="7" t="s">
        <v>27</v>
      </c>
    </row>
    <row r="1045" spans="1:18" hidden="1">
      <c r="A1045" s="7" t="s">
        <v>29</v>
      </c>
      <c r="B1045" s="8">
        <v>19725</v>
      </c>
      <c r="C1045" s="9">
        <v>45772.738530092589</v>
      </c>
      <c r="D1045" s="9">
        <v>45802</v>
      </c>
      <c r="E1045" s="9">
        <v>45772</v>
      </c>
      <c r="F1045" s="7" t="s">
        <v>3562</v>
      </c>
      <c r="G1045" s="7" t="s">
        <v>3563</v>
      </c>
      <c r="H1045" s="7" t="s">
        <v>3564</v>
      </c>
      <c r="I1045" s="7" t="s">
        <v>3565</v>
      </c>
      <c r="J1045" s="7" t="s">
        <v>40</v>
      </c>
      <c r="K1045" s="7" t="s">
        <v>355</v>
      </c>
      <c r="L1045" s="10">
        <v>1925.2</v>
      </c>
      <c r="M1045" s="10">
        <v>1925.2</v>
      </c>
      <c r="N1045" s="10">
        <f>+L1045-M1045</f>
        <v>0</v>
      </c>
      <c r="O1045" s="10">
        <v>1925.2</v>
      </c>
      <c r="P1045" s="10">
        <f>+L1045-O1045</f>
        <v>0</v>
      </c>
      <c r="Q1045" s="10">
        <v>0</v>
      </c>
      <c r="R1045" s="7" t="s">
        <v>27</v>
      </c>
    </row>
    <row r="1046" spans="1:18" hidden="1">
      <c r="A1046" s="7" t="s">
        <v>29</v>
      </c>
      <c r="B1046" s="8">
        <v>19950</v>
      </c>
      <c r="C1046" s="9">
        <v>45820.451863425922</v>
      </c>
      <c r="D1046" s="9">
        <v>45819</v>
      </c>
      <c r="E1046" s="9">
        <v>45819</v>
      </c>
      <c r="F1046" s="7" t="s">
        <v>3566</v>
      </c>
      <c r="G1046" s="7" t="s">
        <v>3567</v>
      </c>
      <c r="H1046" s="7" t="s">
        <v>3568</v>
      </c>
      <c r="I1046" s="7" t="s">
        <v>3569</v>
      </c>
      <c r="J1046" s="7" t="s">
        <v>176</v>
      </c>
      <c r="K1046" s="7" t="s">
        <v>494</v>
      </c>
      <c r="L1046" s="10">
        <v>2192</v>
      </c>
      <c r="M1046" s="10">
        <v>2192</v>
      </c>
      <c r="N1046" s="10">
        <f>+L1046-M1046</f>
        <v>0</v>
      </c>
      <c r="O1046" s="10">
        <v>2192</v>
      </c>
      <c r="P1046" s="10">
        <f>+L1046-O1046</f>
        <v>0</v>
      </c>
      <c r="Q1046" s="10">
        <v>0</v>
      </c>
      <c r="R1046" s="7" t="s">
        <v>27</v>
      </c>
    </row>
    <row r="1047" spans="1:18" hidden="1">
      <c r="A1047" s="7" t="s">
        <v>29</v>
      </c>
      <c r="B1047" s="8">
        <v>20546</v>
      </c>
      <c r="C1047" s="9">
        <v>45933.48982638889</v>
      </c>
      <c r="D1047" s="9">
        <v>45933</v>
      </c>
      <c r="E1047" s="9">
        <v>46021</v>
      </c>
      <c r="F1047" s="7" t="s">
        <v>3570</v>
      </c>
      <c r="G1047" s="7" t="s">
        <v>3571</v>
      </c>
      <c r="H1047" s="7" t="s">
        <v>1049</v>
      </c>
      <c r="I1047" s="7" t="s">
        <v>1050</v>
      </c>
      <c r="J1047" s="7" t="s">
        <v>34</v>
      </c>
      <c r="K1047" s="7" t="s">
        <v>118</v>
      </c>
      <c r="L1047" s="10">
        <v>2169.1</v>
      </c>
      <c r="M1047" s="10">
        <v>2169.1</v>
      </c>
      <c r="N1047" s="10">
        <f>+L1047-M1047</f>
        <v>0</v>
      </c>
      <c r="O1047" s="10">
        <v>2169.1</v>
      </c>
      <c r="P1047" s="10">
        <f>+L1047-O1047</f>
        <v>0</v>
      </c>
      <c r="Q1047" s="10">
        <v>0</v>
      </c>
      <c r="R1047" s="7" t="s">
        <v>27</v>
      </c>
    </row>
    <row r="1048" spans="1:18" hidden="1">
      <c r="A1048" s="7" t="s">
        <v>29</v>
      </c>
      <c r="B1048" s="8">
        <v>19810</v>
      </c>
      <c r="C1048" s="9">
        <v>45791.462638888886</v>
      </c>
      <c r="D1048" s="9">
        <v>45707</v>
      </c>
      <c r="E1048" s="9">
        <v>45707</v>
      </c>
      <c r="F1048" s="7" t="s">
        <v>3572</v>
      </c>
      <c r="G1048" s="7" t="s">
        <v>3573</v>
      </c>
      <c r="H1048" s="7" t="s">
        <v>3143</v>
      </c>
      <c r="I1048" s="7" t="s">
        <v>3144</v>
      </c>
      <c r="J1048" s="7" t="s">
        <v>176</v>
      </c>
      <c r="K1048" s="7" t="s">
        <v>494</v>
      </c>
      <c r="L1048" s="10">
        <v>2160</v>
      </c>
      <c r="M1048" s="10">
        <v>2160</v>
      </c>
      <c r="N1048" s="10">
        <f>+L1048-M1048</f>
        <v>0</v>
      </c>
      <c r="O1048" s="10">
        <v>2160</v>
      </c>
      <c r="P1048" s="10">
        <f>+L1048-O1048</f>
        <v>0</v>
      </c>
      <c r="Q1048" s="10">
        <v>0</v>
      </c>
      <c r="R1048" s="7" t="s">
        <v>27</v>
      </c>
    </row>
    <row r="1049" spans="1:18" hidden="1">
      <c r="A1049" s="7" t="s">
        <v>29</v>
      </c>
      <c r="B1049" s="8">
        <v>19948</v>
      </c>
      <c r="C1049" s="9">
        <v>45819.638460648144</v>
      </c>
      <c r="D1049" s="9">
        <v>45811</v>
      </c>
      <c r="E1049" s="9">
        <v>45797</v>
      </c>
      <c r="F1049" s="7" t="s">
        <v>3574</v>
      </c>
      <c r="G1049" s="7" t="s">
        <v>3575</v>
      </c>
      <c r="H1049" s="7" t="s">
        <v>2177</v>
      </c>
      <c r="I1049" s="7" t="s">
        <v>2178</v>
      </c>
      <c r="J1049" s="7" t="s">
        <v>176</v>
      </c>
      <c r="K1049" s="7" t="s">
        <v>569</v>
      </c>
      <c r="L1049" s="10">
        <v>2152</v>
      </c>
      <c r="M1049" s="10">
        <v>2152</v>
      </c>
      <c r="N1049" s="10">
        <f>+L1049-M1049</f>
        <v>0</v>
      </c>
      <c r="O1049" s="10">
        <v>2152</v>
      </c>
      <c r="P1049" s="10">
        <f>+L1049-O1049</f>
        <v>0</v>
      </c>
      <c r="Q1049" s="10">
        <v>0</v>
      </c>
      <c r="R1049" s="7" t="s">
        <v>27</v>
      </c>
    </row>
    <row r="1050" spans="1:18" hidden="1">
      <c r="A1050" s="7" t="s">
        <v>29</v>
      </c>
      <c r="B1050" s="8">
        <v>19855</v>
      </c>
      <c r="C1050" s="9">
        <v>45800.414988425924</v>
      </c>
      <c r="D1050" s="9">
        <v>45800</v>
      </c>
      <c r="E1050" s="9">
        <v>45800</v>
      </c>
      <c r="F1050" s="7" t="s">
        <v>3576</v>
      </c>
      <c r="G1050" s="7" t="s">
        <v>3577</v>
      </c>
      <c r="H1050" s="7" t="s">
        <v>3578</v>
      </c>
      <c r="I1050" s="7" t="s">
        <v>3579</v>
      </c>
      <c r="J1050" s="7" t="s">
        <v>40</v>
      </c>
      <c r="K1050" s="7" t="s">
        <v>355</v>
      </c>
      <c r="L1050" s="10">
        <v>1859.82</v>
      </c>
      <c r="M1050" s="10">
        <v>1859.82</v>
      </c>
      <c r="N1050" s="10">
        <f>+L1050-M1050</f>
        <v>0</v>
      </c>
      <c r="O1050" s="10">
        <v>1859.82</v>
      </c>
      <c r="P1050" s="10">
        <f>+L1050-O1050</f>
        <v>0</v>
      </c>
      <c r="Q1050" s="10">
        <v>0</v>
      </c>
      <c r="R1050" s="7" t="s">
        <v>27</v>
      </c>
    </row>
    <row r="1051" spans="1:18" hidden="1">
      <c r="A1051" s="7" t="s">
        <v>29</v>
      </c>
      <c r="B1051" s="8">
        <v>4172</v>
      </c>
      <c r="C1051" s="9">
        <v>45714.651597222219</v>
      </c>
      <c r="D1051" s="9">
        <v>45713</v>
      </c>
      <c r="E1051" s="9">
        <v>45713</v>
      </c>
      <c r="F1051" s="7" t="s">
        <v>3580</v>
      </c>
      <c r="G1051" s="7" t="s">
        <v>2487</v>
      </c>
      <c r="H1051" s="7" t="s">
        <v>2694</v>
      </c>
      <c r="I1051" s="7" t="s">
        <v>2695</v>
      </c>
      <c r="J1051" s="7" t="s">
        <v>25</v>
      </c>
      <c r="K1051" s="7" t="s">
        <v>86</v>
      </c>
      <c r="L1051" s="10">
        <v>2183.16</v>
      </c>
      <c r="M1051" s="10">
        <v>2183.16</v>
      </c>
      <c r="N1051" s="15">
        <f>+L1051-M1051</f>
        <v>0</v>
      </c>
      <c r="O1051" s="15">
        <v>2183.16</v>
      </c>
      <c r="P1051" s="15">
        <f>+L1051-O1051</f>
        <v>0</v>
      </c>
      <c r="Q1051" s="10">
        <v>0</v>
      </c>
      <c r="R1051" s="7" t="s">
        <v>87</v>
      </c>
    </row>
    <row r="1052" spans="1:18" hidden="1">
      <c r="A1052" s="7" t="s">
        <v>29</v>
      </c>
      <c r="B1052" s="8">
        <v>4186</v>
      </c>
      <c r="C1052" s="9">
        <v>45743.346354166664</v>
      </c>
      <c r="D1052" s="9">
        <v>45737</v>
      </c>
      <c r="E1052" s="9">
        <v>45737</v>
      </c>
      <c r="F1052" s="7" t="s">
        <v>3581</v>
      </c>
      <c r="G1052" s="7" t="s">
        <v>1806</v>
      </c>
      <c r="H1052" s="7" t="s">
        <v>3485</v>
      </c>
      <c r="I1052" s="7" t="s">
        <v>3486</v>
      </c>
      <c r="J1052" s="7" t="s">
        <v>25</v>
      </c>
      <c r="K1052" s="7" t="s">
        <v>86</v>
      </c>
      <c r="L1052" s="10">
        <v>2171.86</v>
      </c>
      <c r="M1052" s="10">
        <v>2171.86</v>
      </c>
      <c r="N1052" s="15">
        <f>+L1052-M1052</f>
        <v>0</v>
      </c>
      <c r="O1052" s="15">
        <v>2171.86</v>
      </c>
      <c r="P1052" s="15">
        <f>+L1052-O1052</f>
        <v>0</v>
      </c>
      <c r="Q1052" s="10">
        <v>0</v>
      </c>
      <c r="R1052" s="7" t="s">
        <v>87</v>
      </c>
    </row>
    <row r="1053" spans="1:18" hidden="1">
      <c r="A1053" s="7" t="s">
        <v>29</v>
      </c>
      <c r="B1053" s="8">
        <v>19789</v>
      </c>
      <c r="C1053" s="9">
        <v>45786.687164351853</v>
      </c>
      <c r="D1053" s="9">
        <v>45792</v>
      </c>
      <c r="E1053" s="9">
        <v>45785</v>
      </c>
      <c r="F1053" s="7" t="s">
        <v>3582</v>
      </c>
      <c r="G1053" s="7" t="s">
        <v>3583</v>
      </c>
      <c r="H1053" s="7" t="s">
        <v>3584</v>
      </c>
      <c r="I1053" s="7" t="s">
        <v>3585</v>
      </c>
      <c r="J1053" s="7" t="s">
        <v>176</v>
      </c>
      <c r="K1053" s="7" t="s">
        <v>494</v>
      </c>
      <c r="L1053" s="10">
        <v>2145</v>
      </c>
      <c r="M1053" s="10">
        <v>2145</v>
      </c>
      <c r="N1053" s="10">
        <f>+L1053-M1053</f>
        <v>0</v>
      </c>
      <c r="O1053" s="10">
        <v>2145</v>
      </c>
      <c r="P1053" s="10">
        <f>+L1053-O1053</f>
        <v>0</v>
      </c>
      <c r="Q1053" s="10">
        <v>0</v>
      </c>
      <c r="R1053" s="7" t="s">
        <v>27</v>
      </c>
    </row>
    <row r="1054" spans="1:18" hidden="1">
      <c r="A1054" s="7" t="s">
        <v>29</v>
      </c>
      <c r="B1054" s="8">
        <v>4184</v>
      </c>
      <c r="C1054" s="9">
        <v>45740.617905092593</v>
      </c>
      <c r="D1054" s="9">
        <v>45733</v>
      </c>
      <c r="E1054" s="9">
        <v>45733</v>
      </c>
      <c r="F1054" s="7" t="s">
        <v>3586</v>
      </c>
      <c r="G1054" s="7" t="s">
        <v>3587</v>
      </c>
      <c r="H1054" s="7" t="s">
        <v>1714</v>
      </c>
      <c r="I1054" s="7" t="s">
        <v>910</v>
      </c>
      <c r="J1054" s="7" t="s">
        <v>25</v>
      </c>
      <c r="K1054" s="7" t="s">
        <v>206</v>
      </c>
      <c r="L1054" s="10">
        <v>2167.6999999999998</v>
      </c>
      <c r="M1054" s="10">
        <v>2167.6999999999998</v>
      </c>
      <c r="N1054" s="15">
        <f>+L1054-M1054</f>
        <v>0</v>
      </c>
      <c r="O1054" s="15">
        <v>2167.6999999999998</v>
      </c>
      <c r="P1054" s="15">
        <f>+L1054-O1054</f>
        <v>0</v>
      </c>
      <c r="Q1054" s="10">
        <v>0</v>
      </c>
      <c r="R1054" s="7" t="s">
        <v>87</v>
      </c>
    </row>
    <row r="1055" spans="1:18" hidden="1">
      <c r="A1055" s="7" t="s">
        <v>29</v>
      </c>
      <c r="B1055" s="8">
        <v>19732</v>
      </c>
      <c r="C1055" s="9">
        <v>45776.455590277779</v>
      </c>
      <c r="D1055" s="9">
        <v>45766</v>
      </c>
      <c r="E1055" s="9">
        <v>45766</v>
      </c>
      <c r="F1055" s="7" t="s">
        <v>3588</v>
      </c>
      <c r="G1055" s="7" t="s">
        <v>3589</v>
      </c>
      <c r="H1055" s="7" t="s">
        <v>3590</v>
      </c>
      <c r="I1055" s="7" t="s">
        <v>3591</v>
      </c>
      <c r="J1055" s="7" t="s">
        <v>176</v>
      </c>
      <c r="K1055" s="7" t="s">
        <v>494</v>
      </c>
      <c r="L1055" s="10">
        <v>2118.6</v>
      </c>
      <c r="M1055" s="10">
        <v>2118.6</v>
      </c>
      <c r="N1055" s="10">
        <f>+L1055-M1055</f>
        <v>0</v>
      </c>
      <c r="O1055" s="10">
        <v>2118.6</v>
      </c>
      <c r="P1055" s="10">
        <f>+L1055-O1055</f>
        <v>0</v>
      </c>
      <c r="Q1055" s="10">
        <v>0</v>
      </c>
      <c r="R1055" s="7" t="s">
        <v>27</v>
      </c>
    </row>
    <row r="1056" spans="1:18" hidden="1">
      <c r="A1056" s="7" t="s">
        <v>29</v>
      </c>
      <c r="B1056" s="8">
        <v>20137</v>
      </c>
      <c r="C1056" s="9">
        <v>45849.522743055553</v>
      </c>
      <c r="D1056" s="9">
        <v>45849</v>
      </c>
      <c r="E1056" s="9">
        <v>45849</v>
      </c>
      <c r="F1056" s="7" t="s">
        <v>3592</v>
      </c>
      <c r="G1056" s="7" t="s">
        <v>3593</v>
      </c>
      <c r="H1056" s="7" t="s">
        <v>3594</v>
      </c>
      <c r="I1056" s="7" t="s">
        <v>3592</v>
      </c>
      <c r="J1056" s="7" t="s">
        <v>40</v>
      </c>
      <c r="K1056" s="7" t="s">
        <v>1784</v>
      </c>
      <c r="L1056" s="10">
        <v>1732.83</v>
      </c>
      <c r="M1056" s="10">
        <v>1732.83</v>
      </c>
      <c r="N1056" s="10">
        <f>+L1056-M1056</f>
        <v>0</v>
      </c>
      <c r="O1056" s="10">
        <v>1732.83</v>
      </c>
      <c r="P1056" s="10">
        <f>+L1056-O1056</f>
        <v>0</v>
      </c>
      <c r="Q1056" s="10">
        <v>0</v>
      </c>
      <c r="R1056" s="7" t="s">
        <v>27</v>
      </c>
    </row>
    <row r="1057" spans="1:18">
      <c r="A1057" s="7" t="s">
        <v>29</v>
      </c>
      <c r="B1057" s="8">
        <v>20746</v>
      </c>
      <c r="C1057" s="9">
        <v>45994.388206018513</v>
      </c>
      <c r="D1057" s="9">
        <v>45999</v>
      </c>
      <c r="E1057" s="9">
        <v>45982</v>
      </c>
      <c r="F1057" s="7" t="s">
        <v>3595</v>
      </c>
      <c r="G1057" s="7" t="s">
        <v>3596</v>
      </c>
      <c r="H1057" s="7" t="s">
        <v>3597</v>
      </c>
      <c r="I1057" s="7" t="s">
        <v>3598</v>
      </c>
      <c r="J1057" s="7" t="s">
        <v>25</v>
      </c>
      <c r="K1057" s="7" t="s">
        <v>240</v>
      </c>
      <c r="L1057" s="10">
        <v>2134.9699999999998</v>
      </c>
      <c r="M1057" s="10">
        <v>2134.9699999999998</v>
      </c>
      <c r="N1057" s="10">
        <f>+L1057-M1057</f>
        <v>0</v>
      </c>
      <c r="O1057" s="10">
        <v>2134.9699999999998</v>
      </c>
      <c r="P1057" s="10">
        <f>+L1057-O1057</f>
        <v>0</v>
      </c>
      <c r="Q1057" s="10">
        <v>0</v>
      </c>
      <c r="R1057" s="7" t="s">
        <v>27</v>
      </c>
    </row>
    <row r="1058" spans="1:18" hidden="1">
      <c r="A1058" s="7" t="s">
        <v>29</v>
      </c>
      <c r="B1058" s="8">
        <v>4147</v>
      </c>
      <c r="C1058" s="9">
        <v>45680.39130787037</v>
      </c>
      <c r="D1058" s="9">
        <v>45670</v>
      </c>
      <c r="E1058" s="9">
        <v>45670</v>
      </c>
      <c r="F1058" s="7" t="s">
        <v>3599</v>
      </c>
      <c r="G1058" s="7" t="s">
        <v>1427</v>
      </c>
      <c r="H1058" s="7" t="s">
        <v>3600</v>
      </c>
      <c r="I1058" s="7" t="s">
        <v>3601</v>
      </c>
      <c r="J1058" s="7" t="s">
        <v>25</v>
      </c>
      <c r="K1058" s="7" t="s">
        <v>125</v>
      </c>
      <c r="L1058" s="10">
        <v>2111.5</v>
      </c>
      <c r="M1058" s="10">
        <v>2111.5</v>
      </c>
      <c r="N1058" s="15">
        <f>+L1058-M1058</f>
        <v>0</v>
      </c>
      <c r="O1058" s="15">
        <v>2111.5</v>
      </c>
      <c r="P1058" s="15">
        <f>+L1058-O1058</f>
        <v>0</v>
      </c>
      <c r="Q1058" s="10">
        <v>0</v>
      </c>
      <c r="R1058" s="7" t="s">
        <v>87</v>
      </c>
    </row>
    <row r="1059" spans="1:18" hidden="1">
      <c r="A1059" s="7" t="s">
        <v>29</v>
      </c>
      <c r="B1059" s="8">
        <v>20176</v>
      </c>
      <c r="C1059" s="9">
        <v>45860.631307870368</v>
      </c>
      <c r="D1059" s="9">
        <v>45855</v>
      </c>
      <c r="E1059" s="9">
        <v>45855</v>
      </c>
      <c r="F1059" s="7" t="s">
        <v>3602</v>
      </c>
      <c r="G1059" s="7" t="s">
        <v>3603</v>
      </c>
      <c r="H1059" s="7" t="s">
        <v>3604</v>
      </c>
      <c r="I1059" s="7" t="s">
        <v>3605</v>
      </c>
      <c r="J1059" s="7" t="s">
        <v>176</v>
      </c>
      <c r="K1059" s="7" t="s">
        <v>494</v>
      </c>
      <c r="L1059" s="10">
        <v>2050</v>
      </c>
      <c r="M1059" s="10">
        <v>2050</v>
      </c>
      <c r="N1059" s="10">
        <f>+L1059-M1059</f>
        <v>0</v>
      </c>
      <c r="O1059" s="10">
        <v>2050</v>
      </c>
      <c r="P1059" s="10">
        <f>+L1059-O1059</f>
        <v>0</v>
      </c>
      <c r="Q1059" s="10">
        <v>0</v>
      </c>
      <c r="R1059" s="7" t="s">
        <v>27</v>
      </c>
    </row>
    <row r="1060" spans="1:18" hidden="1">
      <c r="A1060" s="7" t="s">
        <v>29</v>
      </c>
      <c r="B1060" s="8">
        <v>20786</v>
      </c>
      <c r="C1060" s="9">
        <v>46010.440150462964</v>
      </c>
      <c r="D1060" s="9">
        <v>46010</v>
      </c>
      <c r="E1060" s="9">
        <v>46008</v>
      </c>
      <c r="F1060" s="7" t="s">
        <v>3606</v>
      </c>
      <c r="G1060" s="7" t="s">
        <v>3607</v>
      </c>
      <c r="H1060" s="7" t="s">
        <v>3608</v>
      </c>
      <c r="I1060" s="7" t="s">
        <v>3609</v>
      </c>
      <c r="J1060" s="7" t="s">
        <v>34</v>
      </c>
      <c r="K1060" s="7" t="s">
        <v>412</v>
      </c>
      <c r="L1060" s="10">
        <v>2036.12</v>
      </c>
      <c r="M1060" s="10">
        <v>2036.12</v>
      </c>
      <c r="N1060" s="10">
        <f>+L1060-M1060</f>
        <v>0</v>
      </c>
      <c r="O1060" s="10">
        <v>2036.12</v>
      </c>
      <c r="P1060" s="10">
        <f>+L1060-O1060</f>
        <v>0</v>
      </c>
      <c r="Q1060" s="10">
        <v>0</v>
      </c>
      <c r="R1060" s="7" t="s">
        <v>27</v>
      </c>
    </row>
    <row r="1061" spans="1:18" hidden="1">
      <c r="A1061" s="7" t="s">
        <v>29</v>
      </c>
      <c r="B1061" s="8">
        <v>19600</v>
      </c>
      <c r="C1061" s="9">
        <v>45749.564791666664</v>
      </c>
      <c r="D1061" s="9">
        <v>45749</v>
      </c>
      <c r="E1061" s="9">
        <v>45749</v>
      </c>
      <c r="F1061" s="7" t="s">
        <v>3610</v>
      </c>
      <c r="G1061" s="7" t="s">
        <v>3611</v>
      </c>
      <c r="H1061" s="7" t="s">
        <v>2944</v>
      </c>
      <c r="I1061" s="7" t="s">
        <v>2945</v>
      </c>
      <c r="J1061" s="7" t="s">
        <v>34</v>
      </c>
      <c r="K1061" s="7" t="s">
        <v>269</v>
      </c>
      <c r="L1061" s="10">
        <v>2033.74</v>
      </c>
      <c r="M1061" s="10">
        <v>2033.74</v>
      </c>
      <c r="N1061" s="10">
        <f>+L1061-M1061</f>
        <v>0</v>
      </c>
      <c r="O1061" s="10">
        <v>2033.74</v>
      </c>
      <c r="P1061" s="10">
        <f>+L1061-O1061</f>
        <v>0</v>
      </c>
      <c r="Q1061" s="10">
        <v>0</v>
      </c>
      <c r="R1061" s="7" t="s">
        <v>27</v>
      </c>
    </row>
    <row r="1062" spans="1:18" hidden="1">
      <c r="A1062" s="7" t="s">
        <v>29</v>
      </c>
      <c r="B1062" s="8">
        <v>20395</v>
      </c>
      <c r="C1062" s="9">
        <v>45903.599374999998</v>
      </c>
      <c r="D1062" s="9">
        <v>45903</v>
      </c>
      <c r="E1062" s="9">
        <v>45933</v>
      </c>
      <c r="F1062" s="7" t="s">
        <v>3612</v>
      </c>
      <c r="G1062" s="7" t="s">
        <v>3613</v>
      </c>
      <c r="H1062" s="7" t="s">
        <v>3445</v>
      </c>
      <c r="I1062" s="7" t="s">
        <v>3446</v>
      </c>
      <c r="J1062" s="7" t="s">
        <v>34</v>
      </c>
      <c r="K1062" s="7" t="s">
        <v>902</v>
      </c>
      <c r="L1062" s="10">
        <v>2027.9</v>
      </c>
      <c r="M1062" s="10">
        <v>2027.9</v>
      </c>
      <c r="N1062" s="10">
        <f>+L1062-M1062</f>
        <v>0</v>
      </c>
      <c r="O1062" s="10">
        <v>2027.9</v>
      </c>
      <c r="P1062" s="10">
        <f>+L1062-O1062</f>
        <v>0</v>
      </c>
      <c r="Q1062" s="10">
        <v>0</v>
      </c>
      <c r="R1062" s="7" t="s">
        <v>27</v>
      </c>
    </row>
    <row r="1063" spans="1:18" hidden="1">
      <c r="A1063" s="7" t="s">
        <v>29</v>
      </c>
      <c r="B1063" s="8">
        <v>20256</v>
      </c>
      <c r="C1063" s="9">
        <v>45876.65693287037</v>
      </c>
      <c r="D1063" s="9">
        <v>45876</v>
      </c>
      <c r="E1063" s="9">
        <v>45915</v>
      </c>
      <c r="F1063" s="7" t="s">
        <v>3614</v>
      </c>
      <c r="G1063" s="7" t="s">
        <v>3615</v>
      </c>
      <c r="H1063" s="7" t="s">
        <v>2656</v>
      </c>
      <c r="I1063" s="7" t="s">
        <v>2657</v>
      </c>
      <c r="J1063" s="7" t="s">
        <v>34</v>
      </c>
      <c r="K1063" s="7" t="s">
        <v>35</v>
      </c>
      <c r="L1063" s="10">
        <v>2021.46</v>
      </c>
      <c r="M1063" s="10">
        <v>2021.46</v>
      </c>
      <c r="N1063" s="10">
        <f>+L1063-M1063</f>
        <v>0</v>
      </c>
      <c r="O1063" s="10">
        <v>2021.46</v>
      </c>
      <c r="P1063" s="10">
        <f>+L1063-O1063</f>
        <v>0</v>
      </c>
      <c r="Q1063" s="10">
        <v>0</v>
      </c>
      <c r="R1063" s="7" t="s">
        <v>27</v>
      </c>
    </row>
    <row r="1064" spans="1:18" hidden="1">
      <c r="A1064" s="7" t="s">
        <v>29</v>
      </c>
      <c r="B1064" s="8">
        <v>19967</v>
      </c>
      <c r="C1064" s="9">
        <v>45824.449641203704</v>
      </c>
      <c r="D1064" s="9">
        <v>45808</v>
      </c>
      <c r="E1064" s="9">
        <v>45776</v>
      </c>
      <c r="F1064" s="7" t="s">
        <v>3616</v>
      </c>
      <c r="G1064" s="7" t="s">
        <v>3617</v>
      </c>
      <c r="H1064" s="7" t="s">
        <v>2573</v>
      </c>
      <c r="I1064" s="7" t="s">
        <v>2574</v>
      </c>
      <c r="J1064" s="7" t="s">
        <v>176</v>
      </c>
      <c r="K1064" s="7" t="s">
        <v>584</v>
      </c>
      <c r="L1064" s="10">
        <v>2000</v>
      </c>
      <c r="M1064" s="10">
        <v>2000</v>
      </c>
      <c r="N1064" s="10">
        <f>+L1064-M1064</f>
        <v>0</v>
      </c>
      <c r="O1064" s="10">
        <v>2000</v>
      </c>
      <c r="P1064" s="10">
        <f>+L1064-O1064</f>
        <v>0</v>
      </c>
      <c r="Q1064" s="10">
        <v>0</v>
      </c>
      <c r="R1064" s="7" t="s">
        <v>27</v>
      </c>
    </row>
    <row r="1065" spans="1:18" hidden="1">
      <c r="A1065" s="7" t="s">
        <v>29</v>
      </c>
      <c r="B1065" s="8">
        <v>20737</v>
      </c>
      <c r="C1065" s="9">
        <v>45991.927025462959</v>
      </c>
      <c r="D1065" s="9">
        <v>45995</v>
      </c>
      <c r="E1065" s="9">
        <v>45953</v>
      </c>
      <c r="F1065" s="7" t="s">
        <v>3618</v>
      </c>
      <c r="G1065" s="7" t="s">
        <v>3619</v>
      </c>
      <c r="H1065" s="7" t="s">
        <v>2384</v>
      </c>
      <c r="I1065" s="7" t="s">
        <v>2385</v>
      </c>
      <c r="J1065" s="7" t="s">
        <v>176</v>
      </c>
      <c r="K1065" s="7" t="s">
        <v>584</v>
      </c>
      <c r="L1065" s="10">
        <v>2000</v>
      </c>
      <c r="M1065" s="10">
        <v>2000</v>
      </c>
      <c r="N1065" s="10">
        <f>+L1065-M1065</f>
        <v>0</v>
      </c>
      <c r="O1065" s="10">
        <v>2000</v>
      </c>
      <c r="P1065" s="10">
        <f>+L1065-O1065</f>
        <v>0</v>
      </c>
      <c r="Q1065" s="10">
        <v>0</v>
      </c>
      <c r="R1065" s="7" t="s">
        <v>27</v>
      </c>
    </row>
    <row r="1066" spans="1:18" hidden="1">
      <c r="A1066" s="7" t="s">
        <v>29</v>
      </c>
      <c r="B1066" s="8">
        <v>19453</v>
      </c>
      <c r="C1066" s="9">
        <v>45713.430266203701</v>
      </c>
      <c r="D1066" s="9">
        <v>45712</v>
      </c>
      <c r="E1066" s="9">
        <v>45712</v>
      </c>
      <c r="F1066" s="7" t="s">
        <v>3620</v>
      </c>
      <c r="G1066" s="7" t="s">
        <v>3621</v>
      </c>
      <c r="H1066" s="7" t="s">
        <v>3622</v>
      </c>
      <c r="I1066" s="7" t="s">
        <v>3623</v>
      </c>
      <c r="J1066" s="7" t="s">
        <v>40</v>
      </c>
      <c r="K1066" s="7" t="s">
        <v>41</v>
      </c>
      <c r="L1066" s="10">
        <v>1683.7</v>
      </c>
      <c r="M1066" s="10">
        <v>1683.7</v>
      </c>
      <c r="N1066" s="10">
        <f>+L1066-M1066</f>
        <v>0</v>
      </c>
      <c r="O1066" s="10">
        <v>1683.7</v>
      </c>
      <c r="P1066" s="10">
        <f>+L1066-O1066</f>
        <v>0</v>
      </c>
      <c r="Q1066" s="10">
        <v>0</v>
      </c>
      <c r="R1066" s="7" t="s">
        <v>27</v>
      </c>
    </row>
    <row r="1067" spans="1:18" hidden="1">
      <c r="A1067" s="7" t="s">
        <v>29</v>
      </c>
      <c r="B1067" s="8">
        <v>19721</v>
      </c>
      <c r="C1067" s="9">
        <v>45772.370682870365</v>
      </c>
      <c r="D1067" s="9">
        <v>45772</v>
      </c>
      <c r="E1067" s="9">
        <v>45807</v>
      </c>
      <c r="F1067" s="7" t="s">
        <v>3624</v>
      </c>
      <c r="G1067" s="7" t="s">
        <v>3625</v>
      </c>
      <c r="H1067" s="7" t="s">
        <v>1598</v>
      </c>
      <c r="I1067" s="7" t="s">
        <v>1599</v>
      </c>
      <c r="J1067" s="7" t="s">
        <v>34</v>
      </c>
      <c r="K1067" s="7" t="s">
        <v>118</v>
      </c>
      <c r="L1067" s="10">
        <v>1944.66</v>
      </c>
      <c r="M1067" s="10">
        <v>1944.66</v>
      </c>
      <c r="N1067" s="10">
        <f>+L1067-M1067</f>
        <v>0</v>
      </c>
      <c r="O1067" s="10">
        <v>1944.66</v>
      </c>
      <c r="P1067" s="10">
        <f>+L1067-O1067</f>
        <v>0</v>
      </c>
      <c r="Q1067" s="10">
        <v>0</v>
      </c>
      <c r="R1067" s="7" t="s">
        <v>27</v>
      </c>
    </row>
    <row r="1068" spans="1:18">
      <c r="A1068" s="7" t="s">
        <v>29</v>
      </c>
      <c r="B1068" s="8">
        <v>20655</v>
      </c>
      <c r="C1068" s="9">
        <v>45965.433263888888</v>
      </c>
      <c r="D1068" s="9">
        <v>45967</v>
      </c>
      <c r="E1068" s="9">
        <v>45967</v>
      </c>
      <c r="F1068" s="7" t="s">
        <v>3626</v>
      </c>
      <c r="G1068" s="7" t="s">
        <v>3627</v>
      </c>
      <c r="H1068" s="7" t="s">
        <v>3531</v>
      </c>
      <c r="I1068" s="7" t="s">
        <v>3532</v>
      </c>
      <c r="J1068" s="7" t="s">
        <v>25</v>
      </c>
      <c r="K1068" s="7" t="s">
        <v>3628</v>
      </c>
      <c r="L1068" s="10">
        <v>2056.6</v>
      </c>
      <c r="M1068" s="10">
        <v>2056.6</v>
      </c>
      <c r="N1068" s="10">
        <f>+L1068-M1068</f>
        <v>0</v>
      </c>
      <c r="O1068" s="10">
        <v>2056.6</v>
      </c>
      <c r="P1068" s="10">
        <f>+L1068-O1068</f>
        <v>0</v>
      </c>
      <c r="Q1068" s="10">
        <v>0</v>
      </c>
      <c r="R1068" s="7" t="s">
        <v>27</v>
      </c>
    </row>
    <row r="1069" spans="1:18" hidden="1">
      <c r="A1069" s="7" t="s">
        <v>29</v>
      </c>
      <c r="B1069" s="8">
        <v>20856</v>
      </c>
      <c r="C1069" s="9">
        <v>46034.750555555554</v>
      </c>
      <c r="D1069" s="9">
        <v>46034</v>
      </c>
      <c r="E1069" s="9">
        <v>46034</v>
      </c>
      <c r="F1069" s="7" t="s">
        <v>3629</v>
      </c>
      <c r="G1069" s="7" t="s">
        <v>3630</v>
      </c>
      <c r="H1069" s="7" t="s">
        <v>3631</v>
      </c>
      <c r="I1069" s="7" t="s">
        <v>3632</v>
      </c>
      <c r="J1069" s="7" t="s">
        <v>176</v>
      </c>
      <c r="K1069" s="7" t="s">
        <v>360</v>
      </c>
      <c r="L1069" s="10">
        <v>1936</v>
      </c>
      <c r="M1069" s="10">
        <v>1936</v>
      </c>
      <c r="N1069" s="10">
        <f>+L1069-M1069</f>
        <v>0</v>
      </c>
      <c r="O1069" s="10">
        <v>1936</v>
      </c>
      <c r="P1069" s="10">
        <f>+L1069-O1069</f>
        <v>0</v>
      </c>
      <c r="Q1069" s="10">
        <v>0</v>
      </c>
      <c r="R1069" s="7" t="s">
        <v>27</v>
      </c>
    </row>
    <row r="1070" spans="1:18" hidden="1">
      <c r="A1070" s="7" t="s">
        <v>29</v>
      </c>
      <c r="B1070" s="8">
        <v>19462</v>
      </c>
      <c r="C1070" s="9">
        <v>45714.496134259258</v>
      </c>
      <c r="D1070" s="9">
        <v>45714</v>
      </c>
      <c r="E1070" s="9">
        <v>45714</v>
      </c>
      <c r="F1070" s="7" t="s">
        <v>3633</v>
      </c>
      <c r="G1070" s="7" t="s">
        <v>3140</v>
      </c>
      <c r="H1070" s="7" t="s">
        <v>3634</v>
      </c>
      <c r="I1070" s="7" t="s">
        <v>3635</v>
      </c>
      <c r="J1070" s="7" t="s">
        <v>40</v>
      </c>
      <c r="K1070" s="7" t="s">
        <v>46</v>
      </c>
      <c r="L1070" s="10">
        <v>1656</v>
      </c>
      <c r="M1070" s="10">
        <v>1656</v>
      </c>
      <c r="N1070" s="10">
        <f>+L1070-M1070</f>
        <v>0</v>
      </c>
      <c r="O1070" s="10">
        <v>1656</v>
      </c>
      <c r="P1070" s="10">
        <f>+L1070-O1070</f>
        <v>0</v>
      </c>
      <c r="Q1070" s="10">
        <v>0</v>
      </c>
      <c r="R1070" s="7" t="s">
        <v>27</v>
      </c>
    </row>
    <row r="1071" spans="1:18" hidden="1">
      <c r="A1071" s="7" t="s">
        <v>29</v>
      </c>
      <c r="B1071" s="8">
        <v>20304</v>
      </c>
      <c r="C1071" s="9">
        <v>45889.43063657407</v>
      </c>
      <c r="D1071" s="9">
        <v>45889</v>
      </c>
      <c r="E1071" s="9">
        <v>45930</v>
      </c>
      <c r="F1071" s="7" t="s">
        <v>3636</v>
      </c>
      <c r="G1071" s="7" t="s">
        <v>3637</v>
      </c>
      <c r="H1071" s="7" t="s">
        <v>1754</v>
      </c>
      <c r="I1071" s="7" t="s">
        <v>1755</v>
      </c>
      <c r="J1071" s="7" t="s">
        <v>34</v>
      </c>
      <c r="K1071" s="7" t="s">
        <v>35</v>
      </c>
      <c r="L1071" s="10">
        <v>1923.73</v>
      </c>
      <c r="M1071" s="10">
        <v>1923.73</v>
      </c>
      <c r="N1071" s="10">
        <f>+L1071-M1071</f>
        <v>0</v>
      </c>
      <c r="O1071" s="10">
        <v>1923.73</v>
      </c>
      <c r="P1071" s="10">
        <f>+L1071-O1071</f>
        <v>0</v>
      </c>
      <c r="Q1071" s="10">
        <v>0</v>
      </c>
      <c r="R1071" s="7" t="s">
        <v>27</v>
      </c>
    </row>
    <row r="1072" spans="1:18" hidden="1">
      <c r="A1072" s="7" t="s">
        <v>29</v>
      </c>
      <c r="B1072" s="8">
        <v>19712</v>
      </c>
      <c r="C1072" s="9">
        <v>45771.600092592591</v>
      </c>
      <c r="D1072" s="9">
        <v>45771</v>
      </c>
      <c r="E1072" s="9">
        <v>45804</v>
      </c>
      <c r="F1072" s="7" t="s">
        <v>3638</v>
      </c>
      <c r="G1072" s="7" t="s">
        <v>3639</v>
      </c>
      <c r="H1072" s="7" t="s">
        <v>1029</v>
      </c>
      <c r="I1072" s="7" t="s">
        <v>1030</v>
      </c>
      <c r="J1072" s="7" t="s">
        <v>34</v>
      </c>
      <c r="K1072" s="7" t="s">
        <v>35</v>
      </c>
      <c r="L1072" s="10">
        <v>1906.76</v>
      </c>
      <c r="M1072" s="10">
        <v>1906.76</v>
      </c>
      <c r="N1072" s="10">
        <f>+L1072-M1072</f>
        <v>0</v>
      </c>
      <c r="O1072" s="10">
        <v>1906.76</v>
      </c>
      <c r="P1072" s="10">
        <f>+L1072-O1072</f>
        <v>0</v>
      </c>
      <c r="Q1072" s="10">
        <v>0</v>
      </c>
      <c r="R1072" s="7" t="s">
        <v>27</v>
      </c>
    </row>
    <row r="1073" spans="1:18" hidden="1">
      <c r="A1073" s="7" t="s">
        <v>29</v>
      </c>
      <c r="B1073" s="8">
        <v>20252</v>
      </c>
      <c r="C1073" s="9">
        <v>45876.511932870366</v>
      </c>
      <c r="D1073" s="9">
        <v>45882</v>
      </c>
      <c r="E1073" s="9">
        <v>45875</v>
      </c>
      <c r="F1073" s="7" t="s">
        <v>3640</v>
      </c>
      <c r="G1073" s="7" t="s">
        <v>3641</v>
      </c>
      <c r="H1073" s="7" t="s">
        <v>3642</v>
      </c>
      <c r="I1073" s="7" t="s">
        <v>3643</v>
      </c>
      <c r="J1073" s="7" t="s">
        <v>176</v>
      </c>
      <c r="K1073" s="7" t="s">
        <v>177</v>
      </c>
      <c r="L1073" s="10">
        <v>1903</v>
      </c>
      <c r="M1073" s="10">
        <v>1903</v>
      </c>
      <c r="N1073" s="10">
        <f>+L1073-M1073</f>
        <v>0</v>
      </c>
      <c r="O1073" s="10">
        <v>1903</v>
      </c>
      <c r="P1073" s="10">
        <f>+L1073-O1073</f>
        <v>0</v>
      </c>
      <c r="Q1073" s="10">
        <v>0</v>
      </c>
      <c r="R1073" s="7" t="s">
        <v>27</v>
      </c>
    </row>
    <row r="1074" spans="1:18" hidden="1">
      <c r="A1074" s="7" t="s">
        <v>29</v>
      </c>
      <c r="B1074" s="8">
        <v>20062</v>
      </c>
      <c r="C1074" s="9">
        <v>45838.432129629626</v>
      </c>
      <c r="D1074" s="9">
        <v>45803</v>
      </c>
      <c r="E1074" s="9">
        <v>45735</v>
      </c>
      <c r="F1074" s="7" t="s">
        <v>3644</v>
      </c>
      <c r="G1074" s="7" t="s">
        <v>3645</v>
      </c>
      <c r="H1074" s="7" t="s">
        <v>3155</v>
      </c>
      <c r="I1074" s="7" t="s">
        <v>3156</v>
      </c>
      <c r="J1074" s="7" t="s">
        <v>176</v>
      </c>
      <c r="K1074" s="7" t="s">
        <v>584</v>
      </c>
      <c r="L1074" s="10">
        <v>1898</v>
      </c>
      <c r="M1074" s="10">
        <v>1898</v>
      </c>
      <c r="N1074" s="10">
        <f>+L1074-M1074</f>
        <v>0</v>
      </c>
      <c r="O1074" s="10">
        <v>1898</v>
      </c>
      <c r="P1074" s="10">
        <f>+L1074-O1074</f>
        <v>0</v>
      </c>
      <c r="Q1074" s="10">
        <v>0</v>
      </c>
      <c r="R1074" s="7" t="s">
        <v>27</v>
      </c>
    </row>
    <row r="1075" spans="1:18" hidden="1">
      <c r="A1075" s="7" t="s">
        <v>29</v>
      </c>
      <c r="B1075" s="8">
        <v>20465</v>
      </c>
      <c r="C1075" s="9">
        <v>45918.468402777777</v>
      </c>
      <c r="D1075" s="9">
        <v>45918</v>
      </c>
      <c r="E1075" s="9">
        <v>45918</v>
      </c>
      <c r="F1075" s="7" t="s">
        <v>3646</v>
      </c>
      <c r="G1075" s="7" t="s">
        <v>3647</v>
      </c>
      <c r="H1075" s="7" t="s">
        <v>1037</v>
      </c>
      <c r="I1075" s="7" t="s">
        <v>1038</v>
      </c>
      <c r="J1075" s="7" t="s">
        <v>34</v>
      </c>
      <c r="K1075" s="7" t="s">
        <v>118</v>
      </c>
      <c r="L1075" s="10">
        <v>1887.37</v>
      </c>
      <c r="M1075" s="10">
        <v>1887.37</v>
      </c>
      <c r="N1075" s="10">
        <f>+L1075-M1075</f>
        <v>0</v>
      </c>
      <c r="O1075" s="10">
        <v>1887.37</v>
      </c>
      <c r="P1075" s="10">
        <f>+L1075-O1075</f>
        <v>0</v>
      </c>
      <c r="Q1075" s="10">
        <v>0</v>
      </c>
      <c r="R1075" s="7" t="s">
        <v>27</v>
      </c>
    </row>
    <row r="1076" spans="1:18" hidden="1">
      <c r="A1076" s="7" t="s">
        <v>29</v>
      </c>
      <c r="B1076" s="8">
        <v>19806</v>
      </c>
      <c r="C1076" s="9">
        <v>45791.40347222222</v>
      </c>
      <c r="D1076" s="9">
        <v>45791</v>
      </c>
      <c r="E1076" s="9">
        <v>45791</v>
      </c>
      <c r="F1076" s="7" t="s">
        <v>3648</v>
      </c>
      <c r="G1076" s="7" t="s">
        <v>3649</v>
      </c>
      <c r="H1076" s="7" t="s">
        <v>3650</v>
      </c>
      <c r="I1076" s="7" t="s">
        <v>3651</v>
      </c>
      <c r="J1076" s="7" t="s">
        <v>34</v>
      </c>
      <c r="K1076" s="7" t="s">
        <v>35</v>
      </c>
      <c r="L1076" s="10">
        <v>1882.24</v>
      </c>
      <c r="M1076" s="10">
        <v>1882.24</v>
      </c>
      <c r="N1076" s="10">
        <f>+L1076-M1076</f>
        <v>0</v>
      </c>
      <c r="O1076" s="10">
        <v>1882.24</v>
      </c>
      <c r="P1076" s="10">
        <f>+L1076-O1076</f>
        <v>0</v>
      </c>
      <c r="Q1076" s="10">
        <v>0</v>
      </c>
      <c r="R1076" s="7" t="s">
        <v>27</v>
      </c>
    </row>
    <row r="1077" spans="1:18">
      <c r="A1077" s="7" t="s">
        <v>29</v>
      </c>
      <c r="B1077" s="8">
        <v>20381</v>
      </c>
      <c r="C1077" s="9">
        <v>45902.549756944441</v>
      </c>
      <c r="D1077" s="9">
        <v>45930</v>
      </c>
      <c r="E1077" s="9">
        <v>45894</v>
      </c>
      <c r="F1077" s="7" t="s">
        <v>3652</v>
      </c>
      <c r="G1077" s="7" t="s">
        <v>3653</v>
      </c>
      <c r="H1077" s="7" t="s">
        <v>3654</v>
      </c>
      <c r="I1077" s="7" t="s">
        <v>3655</v>
      </c>
      <c r="J1077" s="7" t="s">
        <v>25</v>
      </c>
      <c r="K1077" s="7" t="s">
        <v>525</v>
      </c>
      <c r="L1077" s="10">
        <v>1941.05</v>
      </c>
      <c r="M1077" s="10">
        <v>1941.05</v>
      </c>
      <c r="N1077" s="10">
        <f>+L1077-M1077</f>
        <v>0</v>
      </c>
      <c r="O1077" s="10">
        <v>1941.05</v>
      </c>
      <c r="P1077" s="10">
        <f>+L1077-O1077</f>
        <v>0</v>
      </c>
      <c r="Q1077" s="10">
        <v>0</v>
      </c>
      <c r="R1077" s="7" t="s">
        <v>27</v>
      </c>
    </row>
    <row r="1078" spans="1:18" hidden="1">
      <c r="A1078" s="7" t="s">
        <v>29</v>
      </c>
      <c r="B1078" s="8">
        <v>20476</v>
      </c>
      <c r="C1078" s="9">
        <v>45919.50168981481</v>
      </c>
      <c r="D1078" s="9">
        <v>45941</v>
      </c>
      <c r="E1078" s="9">
        <v>45843</v>
      </c>
      <c r="F1078" s="7" t="s">
        <v>3656</v>
      </c>
      <c r="G1078" s="7" t="s">
        <v>3657</v>
      </c>
      <c r="H1078" s="7" t="s">
        <v>2618</v>
      </c>
      <c r="I1078" s="7" t="s">
        <v>2619</v>
      </c>
      <c r="J1078" s="7" t="s">
        <v>176</v>
      </c>
      <c r="K1078" s="7" t="s">
        <v>177</v>
      </c>
      <c r="L1078" s="10">
        <v>1850.6</v>
      </c>
      <c r="M1078" s="10">
        <v>1850.6</v>
      </c>
      <c r="N1078" s="10">
        <f>+L1078-M1078</f>
        <v>0</v>
      </c>
      <c r="O1078" s="10">
        <v>1850.6</v>
      </c>
      <c r="P1078" s="10">
        <f>+L1078-O1078</f>
        <v>0</v>
      </c>
      <c r="Q1078" s="10">
        <v>0</v>
      </c>
      <c r="R1078" s="7" t="s">
        <v>27</v>
      </c>
    </row>
    <row r="1079" spans="1:18" hidden="1">
      <c r="A1079" s="7" t="s">
        <v>29</v>
      </c>
      <c r="B1079" s="8">
        <v>4332</v>
      </c>
      <c r="C1079" s="9">
        <v>46034.400219907402</v>
      </c>
      <c r="D1079" s="9">
        <v>46045</v>
      </c>
      <c r="E1079" s="9">
        <v>46051</v>
      </c>
      <c r="F1079" s="7" t="s">
        <v>3658</v>
      </c>
      <c r="G1079" s="7" t="s">
        <v>257</v>
      </c>
      <c r="H1079" s="7" t="s">
        <v>3659</v>
      </c>
      <c r="I1079" s="7" t="s">
        <v>3660</v>
      </c>
      <c r="J1079" s="7" t="s">
        <v>25</v>
      </c>
      <c r="K1079" s="7" t="s">
        <v>206</v>
      </c>
      <c r="L1079" s="10">
        <v>1918.94</v>
      </c>
      <c r="M1079" s="10">
        <v>1918.94</v>
      </c>
      <c r="N1079" s="15">
        <f>+L1079-M1079</f>
        <v>0</v>
      </c>
      <c r="O1079" s="15">
        <v>1918.94</v>
      </c>
      <c r="P1079" s="15">
        <f>+L1079-O1079</f>
        <v>0</v>
      </c>
      <c r="Q1079" s="10">
        <v>0</v>
      </c>
      <c r="R1079" s="7" t="s">
        <v>87</v>
      </c>
    </row>
    <row r="1080" spans="1:18">
      <c r="A1080" s="7" t="s">
        <v>29</v>
      </c>
      <c r="B1080" s="8">
        <v>19294</v>
      </c>
      <c r="C1080" s="9">
        <v>45659.440208333333</v>
      </c>
      <c r="D1080" s="9">
        <v>45672</v>
      </c>
      <c r="E1080" s="9">
        <v>45672</v>
      </c>
      <c r="F1080" s="7" t="s">
        <v>3661</v>
      </c>
      <c r="G1080" s="7" t="s">
        <v>3662</v>
      </c>
      <c r="H1080" s="7" t="s">
        <v>2956</v>
      </c>
      <c r="I1080" s="7" t="s">
        <v>915</v>
      </c>
      <c r="J1080" s="7" t="s">
        <v>25</v>
      </c>
      <c r="K1080" s="7" t="s">
        <v>26</v>
      </c>
      <c r="L1080" s="10">
        <v>1901.82</v>
      </c>
      <c r="M1080" s="10">
        <v>1901.82</v>
      </c>
      <c r="N1080" s="10">
        <f>+L1080-M1080</f>
        <v>0</v>
      </c>
      <c r="O1080" s="10">
        <v>1901.82</v>
      </c>
      <c r="P1080" s="10">
        <f>+L1080-O1080</f>
        <v>0</v>
      </c>
      <c r="Q1080" s="10">
        <v>0</v>
      </c>
      <c r="R1080" s="7" t="s">
        <v>27</v>
      </c>
    </row>
    <row r="1081" spans="1:18">
      <c r="A1081" s="7" t="s">
        <v>29</v>
      </c>
      <c r="B1081" s="8">
        <v>19987</v>
      </c>
      <c r="C1081" s="9">
        <v>45826.697141203702</v>
      </c>
      <c r="D1081" s="9">
        <v>45831</v>
      </c>
      <c r="E1081" s="9">
        <v>45825</v>
      </c>
      <c r="F1081" s="7" t="s">
        <v>3663</v>
      </c>
      <c r="G1081" s="7" t="s">
        <v>3664</v>
      </c>
      <c r="H1081" s="7" t="s">
        <v>3665</v>
      </c>
      <c r="I1081" s="7" t="s">
        <v>3666</v>
      </c>
      <c r="J1081" s="7" t="s">
        <v>25</v>
      </c>
      <c r="K1081" s="7" t="s">
        <v>170</v>
      </c>
      <c r="L1081" s="10">
        <v>1873.72</v>
      </c>
      <c r="M1081" s="10">
        <v>1873.72</v>
      </c>
      <c r="N1081" s="10">
        <f>+L1081-M1081</f>
        <v>0</v>
      </c>
      <c r="O1081" s="10">
        <v>1873.72</v>
      </c>
      <c r="P1081" s="10">
        <f>+L1081-O1081</f>
        <v>0</v>
      </c>
      <c r="Q1081" s="10">
        <v>0</v>
      </c>
      <c r="R1081" s="7" t="s">
        <v>27</v>
      </c>
    </row>
    <row r="1082" spans="1:18" hidden="1">
      <c r="A1082" s="7" t="s">
        <v>29</v>
      </c>
      <c r="B1082" s="8">
        <v>4249</v>
      </c>
      <c r="C1082" s="9">
        <v>45889.480162037034</v>
      </c>
      <c r="D1082" s="9">
        <v>45868</v>
      </c>
      <c r="E1082" s="9">
        <v>45868</v>
      </c>
      <c r="F1082" s="7" t="s">
        <v>3667</v>
      </c>
      <c r="G1082" s="7" t="s">
        <v>1114</v>
      </c>
      <c r="H1082" s="7" t="s">
        <v>2977</v>
      </c>
      <c r="I1082" s="7" t="s">
        <v>915</v>
      </c>
      <c r="J1082" s="7" t="s">
        <v>25</v>
      </c>
      <c r="K1082" s="7" t="s">
        <v>206</v>
      </c>
      <c r="L1082" s="10">
        <v>1858.67</v>
      </c>
      <c r="M1082" s="10">
        <v>1858.67</v>
      </c>
      <c r="N1082" s="15">
        <f>+L1082-M1082</f>
        <v>0</v>
      </c>
      <c r="O1082" s="15">
        <v>1858.67</v>
      </c>
      <c r="P1082" s="15">
        <f>+L1082-O1082</f>
        <v>0</v>
      </c>
      <c r="Q1082" s="10">
        <v>0</v>
      </c>
      <c r="R1082" s="7" t="s">
        <v>87</v>
      </c>
    </row>
    <row r="1083" spans="1:18" hidden="1">
      <c r="A1083" s="7" t="s">
        <v>29</v>
      </c>
      <c r="B1083" s="8">
        <v>20310</v>
      </c>
      <c r="C1083" s="9">
        <v>45890.640775462962</v>
      </c>
      <c r="D1083" s="9">
        <v>45890</v>
      </c>
      <c r="E1083" s="9">
        <v>45890</v>
      </c>
      <c r="F1083" s="7" t="s">
        <v>3668</v>
      </c>
      <c r="G1083" s="7" t="s">
        <v>3669</v>
      </c>
      <c r="H1083" s="7" t="s">
        <v>3670</v>
      </c>
      <c r="I1083" s="7" t="s">
        <v>3671</v>
      </c>
      <c r="J1083" s="7" t="s">
        <v>176</v>
      </c>
      <c r="K1083" s="7" t="s">
        <v>360</v>
      </c>
      <c r="L1083" s="10">
        <v>1830</v>
      </c>
      <c r="M1083" s="10">
        <v>1830</v>
      </c>
      <c r="N1083" s="10">
        <f>+L1083-M1083</f>
        <v>0</v>
      </c>
      <c r="O1083" s="10">
        <v>1830</v>
      </c>
      <c r="P1083" s="10">
        <f>+L1083-O1083</f>
        <v>0</v>
      </c>
      <c r="Q1083" s="10">
        <v>0</v>
      </c>
      <c r="R1083" s="7" t="s">
        <v>27</v>
      </c>
    </row>
    <row r="1084" spans="1:18" hidden="1">
      <c r="A1084" s="7" t="s">
        <v>29</v>
      </c>
      <c r="B1084" s="8">
        <v>19362</v>
      </c>
      <c r="C1084" s="9">
        <v>45686.562303240738</v>
      </c>
      <c r="D1084" s="9">
        <v>45686</v>
      </c>
      <c r="E1084" s="9">
        <v>45716</v>
      </c>
      <c r="F1084" s="7" t="s">
        <v>3672</v>
      </c>
      <c r="G1084" s="7" t="s">
        <v>3255</v>
      </c>
      <c r="H1084" s="7" t="s">
        <v>248</v>
      </c>
      <c r="I1084" s="7" t="s">
        <v>249</v>
      </c>
      <c r="J1084" s="7" t="s">
        <v>34</v>
      </c>
      <c r="K1084" s="7" t="s">
        <v>118</v>
      </c>
      <c r="L1084" s="10">
        <v>1821.2</v>
      </c>
      <c r="M1084" s="10">
        <v>1821.2</v>
      </c>
      <c r="N1084" s="10">
        <f>+L1084-M1084</f>
        <v>0</v>
      </c>
      <c r="O1084" s="10">
        <v>1821.2</v>
      </c>
      <c r="P1084" s="10">
        <f>+L1084-O1084</f>
        <v>0</v>
      </c>
      <c r="Q1084" s="10">
        <v>0</v>
      </c>
      <c r="R1084" s="7" t="s">
        <v>27</v>
      </c>
    </row>
    <row r="1085" spans="1:18" hidden="1">
      <c r="A1085" s="7" t="s">
        <v>29</v>
      </c>
      <c r="B1085" s="8">
        <v>4152</v>
      </c>
      <c r="C1085" s="9">
        <v>45680.65289351852</v>
      </c>
      <c r="D1085" s="9">
        <v>45678</v>
      </c>
      <c r="E1085" s="9">
        <v>45678</v>
      </c>
      <c r="F1085" s="7" t="s">
        <v>3673</v>
      </c>
      <c r="G1085" s="7" t="s">
        <v>3674</v>
      </c>
      <c r="H1085" s="7" t="s">
        <v>3675</v>
      </c>
      <c r="I1085" s="7" t="s">
        <v>3676</v>
      </c>
      <c r="J1085" s="7" t="s">
        <v>25</v>
      </c>
      <c r="K1085" s="7" t="s">
        <v>86</v>
      </c>
      <c r="L1085" s="10">
        <v>1825</v>
      </c>
      <c r="M1085" s="10">
        <v>1825</v>
      </c>
      <c r="N1085" s="15">
        <f>+L1085-M1085</f>
        <v>0</v>
      </c>
      <c r="O1085" s="15">
        <v>1825</v>
      </c>
      <c r="P1085" s="15">
        <f>+L1085-O1085</f>
        <v>0</v>
      </c>
      <c r="Q1085" s="10">
        <v>0</v>
      </c>
      <c r="R1085" s="7" t="s">
        <v>87</v>
      </c>
    </row>
    <row r="1086" spans="1:18" hidden="1">
      <c r="A1086" s="7" t="s">
        <v>29</v>
      </c>
      <c r="B1086" s="8">
        <v>4302</v>
      </c>
      <c r="C1086" s="9">
        <v>45987.342118055552</v>
      </c>
      <c r="D1086" s="9">
        <v>45986</v>
      </c>
      <c r="E1086" s="9">
        <v>46017</v>
      </c>
      <c r="F1086" s="7" t="s">
        <v>3677</v>
      </c>
      <c r="G1086" s="7" t="s">
        <v>3621</v>
      </c>
      <c r="H1086" s="7" t="s">
        <v>2685</v>
      </c>
      <c r="I1086" s="7" t="s">
        <v>1298</v>
      </c>
      <c r="J1086" s="7" t="s">
        <v>25</v>
      </c>
      <c r="K1086" s="7" t="s">
        <v>206</v>
      </c>
      <c r="L1086" s="10">
        <v>1823.22</v>
      </c>
      <c r="M1086" s="10">
        <v>1823.22</v>
      </c>
      <c r="N1086" s="15">
        <f>+L1086-M1086</f>
        <v>0</v>
      </c>
      <c r="O1086" s="15">
        <v>1823.22</v>
      </c>
      <c r="P1086" s="15">
        <f>+L1086-O1086</f>
        <v>0</v>
      </c>
      <c r="Q1086" s="10">
        <v>0</v>
      </c>
      <c r="R1086" s="7" t="s">
        <v>87</v>
      </c>
    </row>
    <row r="1087" spans="1:18" hidden="1">
      <c r="A1087" s="7" t="s">
        <v>29</v>
      </c>
      <c r="B1087" s="8">
        <v>20743</v>
      </c>
      <c r="C1087" s="9">
        <v>45993.664317129631</v>
      </c>
      <c r="D1087" s="9">
        <v>45993</v>
      </c>
      <c r="E1087" s="9">
        <v>45993</v>
      </c>
      <c r="F1087" s="7" t="s">
        <v>3678</v>
      </c>
      <c r="G1087" s="7" t="s">
        <v>3679</v>
      </c>
      <c r="H1087" s="7" t="s">
        <v>3169</v>
      </c>
      <c r="I1087" s="7" t="s">
        <v>3170</v>
      </c>
      <c r="J1087" s="7" t="s">
        <v>34</v>
      </c>
      <c r="K1087" s="7" t="s">
        <v>733</v>
      </c>
      <c r="L1087" s="10">
        <v>1798.81</v>
      </c>
      <c r="M1087" s="10">
        <v>1798.81</v>
      </c>
      <c r="N1087" s="10">
        <f>+L1087-M1087</f>
        <v>0</v>
      </c>
      <c r="O1087" s="10">
        <v>1798.81</v>
      </c>
      <c r="P1087" s="10">
        <f>+L1087-O1087</f>
        <v>0</v>
      </c>
      <c r="Q1087" s="10">
        <v>0</v>
      </c>
      <c r="R1087" s="7" t="s">
        <v>27</v>
      </c>
    </row>
    <row r="1088" spans="1:18" hidden="1">
      <c r="A1088" s="7" t="s">
        <v>29</v>
      </c>
      <c r="B1088" s="8">
        <v>20715</v>
      </c>
      <c r="C1088" s="9">
        <v>45982.661134259259</v>
      </c>
      <c r="D1088" s="9">
        <v>45982</v>
      </c>
      <c r="E1088" s="9">
        <v>45981</v>
      </c>
      <c r="F1088" s="7" t="s">
        <v>3680</v>
      </c>
      <c r="G1088" s="7" t="s">
        <v>3681</v>
      </c>
      <c r="H1088" s="7" t="s">
        <v>3169</v>
      </c>
      <c r="I1088" s="7" t="s">
        <v>3170</v>
      </c>
      <c r="J1088" s="7" t="s">
        <v>34</v>
      </c>
      <c r="K1088" s="7" t="s">
        <v>733</v>
      </c>
      <c r="L1088" s="10">
        <v>1769.22</v>
      </c>
      <c r="M1088" s="10">
        <v>1769.22</v>
      </c>
      <c r="N1088" s="10">
        <f>+L1088-M1088</f>
        <v>0</v>
      </c>
      <c r="O1088" s="10">
        <v>1769.22</v>
      </c>
      <c r="P1088" s="10">
        <f>+L1088-O1088</f>
        <v>0</v>
      </c>
      <c r="Q1088" s="10">
        <v>0</v>
      </c>
      <c r="R1088" s="7" t="s">
        <v>27</v>
      </c>
    </row>
    <row r="1089" spans="1:18" hidden="1">
      <c r="A1089" s="7" t="s">
        <v>29</v>
      </c>
      <c r="B1089" s="8">
        <v>20469</v>
      </c>
      <c r="C1089" s="9">
        <v>45918.526759259257</v>
      </c>
      <c r="D1089" s="9">
        <v>45918</v>
      </c>
      <c r="E1089" s="9">
        <v>46006</v>
      </c>
      <c r="F1089" s="7" t="s">
        <v>3682</v>
      </c>
      <c r="G1089" s="7" t="s">
        <v>3683</v>
      </c>
      <c r="H1089" s="7" t="s">
        <v>1037</v>
      </c>
      <c r="I1089" s="7" t="s">
        <v>1038</v>
      </c>
      <c r="J1089" s="7" t="s">
        <v>34</v>
      </c>
      <c r="K1089" s="7" t="s">
        <v>118</v>
      </c>
      <c r="L1089" s="10">
        <v>1767.84</v>
      </c>
      <c r="M1089" s="10">
        <v>1767.84</v>
      </c>
      <c r="N1089" s="10">
        <f>+L1089-M1089</f>
        <v>0</v>
      </c>
      <c r="O1089" s="10">
        <v>1767.84</v>
      </c>
      <c r="P1089" s="10">
        <f>+L1089-O1089</f>
        <v>0</v>
      </c>
      <c r="Q1089" s="10">
        <v>0</v>
      </c>
      <c r="R1089" s="7" t="s">
        <v>27</v>
      </c>
    </row>
    <row r="1090" spans="1:18" hidden="1">
      <c r="A1090" s="7" t="s">
        <v>29</v>
      </c>
      <c r="B1090" s="8">
        <v>19790</v>
      </c>
      <c r="C1090" s="9">
        <v>45786.82236111111</v>
      </c>
      <c r="D1090" s="9">
        <v>45786</v>
      </c>
      <c r="E1090" s="9">
        <v>45854</v>
      </c>
      <c r="F1090" s="7" t="s">
        <v>3684</v>
      </c>
      <c r="G1090" s="7" t="s">
        <v>3685</v>
      </c>
      <c r="H1090" s="7" t="s">
        <v>302</v>
      </c>
      <c r="I1090" s="7" t="s">
        <v>303</v>
      </c>
      <c r="J1090" s="7" t="s">
        <v>34</v>
      </c>
      <c r="K1090" s="7" t="s">
        <v>35</v>
      </c>
      <c r="L1090" s="10">
        <v>1745.22</v>
      </c>
      <c r="M1090" s="10">
        <v>1745.22</v>
      </c>
      <c r="N1090" s="10">
        <f>+L1090-M1090</f>
        <v>0</v>
      </c>
      <c r="O1090" s="10">
        <v>1745.22</v>
      </c>
      <c r="P1090" s="10">
        <f>+L1090-O1090</f>
        <v>0</v>
      </c>
      <c r="Q1090" s="10">
        <v>0</v>
      </c>
      <c r="R1090" s="7" t="s">
        <v>27</v>
      </c>
    </row>
    <row r="1091" spans="1:18" hidden="1">
      <c r="A1091" s="7" t="s">
        <v>29</v>
      </c>
      <c r="B1091" s="8">
        <v>20756</v>
      </c>
      <c r="C1091" s="9">
        <v>45995.653460648144</v>
      </c>
      <c r="D1091" s="9">
        <v>45995</v>
      </c>
      <c r="E1091" s="9">
        <v>45995</v>
      </c>
      <c r="F1091" s="7" t="s">
        <v>3686</v>
      </c>
      <c r="G1091" s="7" t="s">
        <v>3687</v>
      </c>
      <c r="H1091" s="7" t="s">
        <v>3688</v>
      </c>
      <c r="I1091" s="7" t="s">
        <v>3689</v>
      </c>
      <c r="J1091" s="7" t="s">
        <v>40</v>
      </c>
      <c r="K1091" s="7" t="s">
        <v>355</v>
      </c>
      <c r="L1091" s="10">
        <v>1539.89</v>
      </c>
      <c r="M1091" s="10">
        <v>1539.89</v>
      </c>
      <c r="N1091" s="10">
        <f>+L1091-M1091</f>
        <v>0</v>
      </c>
      <c r="O1091" s="10">
        <v>1539.89</v>
      </c>
      <c r="P1091" s="10">
        <f>+L1091-O1091</f>
        <v>0</v>
      </c>
      <c r="Q1091" s="10">
        <v>0</v>
      </c>
      <c r="R1091" s="7" t="s">
        <v>27</v>
      </c>
    </row>
    <row r="1092" spans="1:18">
      <c r="A1092" s="7" t="s">
        <v>29</v>
      </c>
      <c r="B1092" s="8">
        <v>20459</v>
      </c>
      <c r="C1092" s="9">
        <v>45917.672824108791</v>
      </c>
      <c r="D1092" s="9">
        <v>45873</v>
      </c>
      <c r="E1092" s="9">
        <v>45938</v>
      </c>
      <c r="F1092" s="7" t="s">
        <v>3690</v>
      </c>
      <c r="G1092" s="7" t="s">
        <v>3691</v>
      </c>
      <c r="H1092" s="7" t="s">
        <v>1575</v>
      </c>
      <c r="I1092" s="7" t="s">
        <v>1162</v>
      </c>
      <c r="J1092" s="7" t="s">
        <v>25</v>
      </c>
      <c r="K1092" s="7" t="s">
        <v>55</v>
      </c>
      <c r="L1092" s="10">
        <v>1822.9</v>
      </c>
      <c r="M1092" s="10">
        <v>1822.9</v>
      </c>
      <c r="N1092" s="10">
        <f>+L1092-M1092</f>
        <v>0</v>
      </c>
      <c r="O1092" s="10">
        <v>1822.9</v>
      </c>
      <c r="P1092" s="10">
        <f>+L1092-O1092</f>
        <v>0</v>
      </c>
      <c r="Q1092" s="10">
        <v>0</v>
      </c>
      <c r="R1092" s="7" t="s">
        <v>27</v>
      </c>
    </row>
    <row r="1093" spans="1:18">
      <c r="A1093" s="7" t="s">
        <v>29</v>
      </c>
      <c r="B1093" s="8">
        <v>19943</v>
      </c>
      <c r="C1093" s="9">
        <v>45818.466724537036</v>
      </c>
      <c r="D1093" s="9">
        <v>45889</v>
      </c>
      <c r="E1093" s="9">
        <v>45889</v>
      </c>
      <c r="F1093" s="7" t="s">
        <v>3692</v>
      </c>
      <c r="G1093" s="7" t="s">
        <v>3693</v>
      </c>
      <c r="H1093" s="7" t="s">
        <v>3694</v>
      </c>
      <c r="I1093" s="7" t="s">
        <v>3695</v>
      </c>
      <c r="J1093" s="7" t="s">
        <v>25</v>
      </c>
      <c r="K1093" s="7" t="s">
        <v>525</v>
      </c>
      <c r="L1093" s="10">
        <v>1800</v>
      </c>
      <c r="M1093" s="10">
        <v>1800</v>
      </c>
      <c r="N1093" s="10">
        <f>+L1093-M1093</f>
        <v>0</v>
      </c>
      <c r="O1093" s="10">
        <v>1800</v>
      </c>
      <c r="P1093" s="10">
        <f>+L1093-O1093</f>
        <v>0</v>
      </c>
      <c r="Q1093" s="10">
        <v>0</v>
      </c>
      <c r="R1093" s="7" t="s">
        <v>27</v>
      </c>
    </row>
    <row r="1094" spans="1:18" hidden="1">
      <c r="A1094" s="7" t="s">
        <v>29</v>
      </c>
      <c r="B1094" s="8">
        <v>19361</v>
      </c>
      <c r="C1094" s="9">
        <v>45686.52789351852</v>
      </c>
      <c r="D1094" s="9">
        <v>45686</v>
      </c>
      <c r="E1094" s="9">
        <v>45686</v>
      </c>
      <c r="F1094" s="7" t="s">
        <v>3696</v>
      </c>
      <c r="G1094" s="7" t="s">
        <v>596</v>
      </c>
      <c r="H1094" s="7" t="s">
        <v>3697</v>
      </c>
      <c r="I1094" s="7" t="s">
        <v>3698</v>
      </c>
      <c r="J1094" s="7" t="s">
        <v>40</v>
      </c>
      <c r="K1094" s="7" t="s">
        <v>46</v>
      </c>
      <c r="L1094" s="10">
        <v>1356</v>
      </c>
      <c r="M1094" s="10">
        <v>1356</v>
      </c>
      <c r="N1094" s="10">
        <f>+L1094-M1094</f>
        <v>0</v>
      </c>
      <c r="O1094" s="10">
        <v>1356</v>
      </c>
      <c r="P1094" s="10">
        <f>+L1094-O1094</f>
        <v>0</v>
      </c>
      <c r="Q1094" s="10">
        <v>0</v>
      </c>
      <c r="R1094" s="7" t="s">
        <v>27</v>
      </c>
    </row>
    <row r="1095" spans="1:18">
      <c r="A1095" s="7" t="s">
        <v>29</v>
      </c>
      <c r="B1095" s="8">
        <v>19942</v>
      </c>
      <c r="C1095" s="9">
        <v>45818.464074074072</v>
      </c>
      <c r="D1095" s="9">
        <v>45849</v>
      </c>
      <c r="E1095" s="9">
        <v>45849</v>
      </c>
      <c r="F1095" s="7" t="s">
        <v>3699</v>
      </c>
      <c r="G1095" s="7" t="s">
        <v>3700</v>
      </c>
      <c r="H1095" s="7" t="s">
        <v>3701</v>
      </c>
      <c r="I1095" s="7" t="s">
        <v>3702</v>
      </c>
      <c r="J1095" s="7" t="s">
        <v>25</v>
      </c>
      <c r="K1095" s="7" t="s">
        <v>3018</v>
      </c>
      <c r="L1095" s="10">
        <v>1799.95</v>
      </c>
      <c r="M1095" s="10">
        <v>1799.95</v>
      </c>
      <c r="N1095" s="10">
        <f>+L1095-M1095</f>
        <v>0</v>
      </c>
      <c r="O1095" s="10">
        <v>1799.95</v>
      </c>
      <c r="P1095" s="10">
        <f>+L1095-O1095</f>
        <v>0</v>
      </c>
      <c r="Q1095" s="10">
        <v>0</v>
      </c>
      <c r="R1095" s="7" t="s">
        <v>27</v>
      </c>
    </row>
    <row r="1096" spans="1:18" hidden="1">
      <c r="A1096" s="7" t="s">
        <v>29</v>
      </c>
      <c r="B1096" s="8">
        <v>19432</v>
      </c>
      <c r="C1096" s="9">
        <v>45708.355960648143</v>
      </c>
      <c r="D1096" s="9">
        <v>45708</v>
      </c>
      <c r="E1096" s="9">
        <v>45706</v>
      </c>
      <c r="F1096" s="7" t="s">
        <v>3703</v>
      </c>
      <c r="G1096" s="7" t="s">
        <v>1732</v>
      </c>
      <c r="H1096" s="7" t="s">
        <v>3704</v>
      </c>
      <c r="I1096" s="7" t="s">
        <v>3705</v>
      </c>
      <c r="J1096" s="7" t="s">
        <v>34</v>
      </c>
      <c r="K1096" s="7" t="s">
        <v>902</v>
      </c>
      <c r="L1096" s="10">
        <v>1678.05</v>
      </c>
      <c r="M1096" s="10">
        <v>1678.05</v>
      </c>
      <c r="N1096" s="10">
        <f>+L1096-M1096</f>
        <v>0</v>
      </c>
      <c r="O1096" s="10">
        <v>1678.05</v>
      </c>
      <c r="P1096" s="10">
        <f>+L1096-O1096</f>
        <v>0</v>
      </c>
      <c r="Q1096" s="10">
        <v>0</v>
      </c>
      <c r="R1096" s="7" t="s">
        <v>27</v>
      </c>
    </row>
    <row r="1097" spans="1:18" hidden="1">
      <c r="A1097" s="7" t="s">
        <v>29</v>
      </c>
      <c r="B1097" s="8">
        <v>20512</v>
      </c>
      <c r="C1097" s="9">
        <v>45925.74423611111</v>
      </c>
      <c r="D1097" s="9">
        <v>45925</v>
      </c>
      <c r="E1097" s="9">
        <v>45925</v>
      </c>
      <c r="F1097" s="7" t="s">
        <v>3706</v>
      </c>
      <c r="G1097" s="7" t="s">
        <v>3707</v>
      </c>
      <c r="H1097" s="7" t="s">
        <v>3708</v>
      </c>
      <c r="I1097" s="7" t="s">
        <v>3709</v>
      </c>
      <c r="J1097" s="7" t="s">
        <v>176</v>
      </c>
      <c r="K1097" s="7" t="s">
        <v>360</v>
      </c>
      <c r="L1097" s="10">
        <v>1676</v>
      </c>
      <c r="M1097" s="10">
        <v>1676</v>
      </c>
      <c r="N1097" s="10">
        <f>+L1097-M1097</f>
        <v>0</v>
      </c>
      <c r="O1097" s="10">
        <v>1676</v>
      </c>
      <c r="P1097" s="10">
        <f>+L1097-O1097</f>
        <v>0</v>
      </c>
      <c r="Q1097" s="10">
        <v>0</v>
      </c>
      <c r="R1097" s="7" t="s">
        <v>27</v>
      </c>
    </row>
    <row r="1098" spans="1:18" hidden="1">
      <c r="A1098" s="7" t="s">
        <v>29</v>
      </c>
      <c r="B1098" s="8">
        <v>4206</v>
      </c>
      <c r="C1098" s="9">
        <v>45798.343190358792</v>
      </c>
      <c r="D1098" s="9">
        <v>45768</v>
      </c>
      <c r="E1098" s="9">
        <v>45777</v>
      </c>
      <c r="F1098" s="7" t="s">
        <v>3710</v>
      </c>
      <c r="G1098" s="7" t="s">
        <v>3711</v>
      </c>
      <c r="H1098" s="7" t="s">
        <v>3712</v>
      </c>
      <c r="I1098" s="7" t="s">
        <v>3713</v>
      </c>
      <c r="J1098" s="7" t="s">
        <v>25</v>
      </c>
      <c r="K1098" s="7" t="s">
        <v>86</v>
      </c>
      <c r="L1098" s="10">
        <v>1786.67</v>
      </c>
      <c r="M1098" s="10">
        <v>1786.67</v>
      </c>
      <c r="N1098" s="15">
        <f>+L1098-M1098</f>
        <v>0</v>
      </c>
      <c r="O1098" s="15">
        <v>1786.67</v>
      </c>
      <c r="P1098" s="15">
        <f>+L1098-O1098</f>
        <v>0</v>
      </c>
      <c r="Q1098" s="10">
        <v>0</v>
      </c>
      <c r="R1098" s="7" t="s">
        <v>87</v>
      </c>
    </row>
    <row r="1099" spans="1:18" hidden="1">
      <c r="A1099" s="7" t="s">
        <v>29</v>
      </c>
      <c r="B1099" s="8">
        <v>20133</v>
      </c>
      <c r="C1099" s="9">
        <v>45849.453067129631</v>
      </c>
      <c r="D1099" s="9">
        <v>45848</v>
      </c>
      <c r="E1099" s="9">
        <v>45848</v>
      </c>
      <c r="F1099" s="7" t="s">
        <v>3714</v>
      </c>
      <c r="G1099" s="7" t="s">
        <v>3715</v>
      </c>
      <c r="H1099" s="7" t="s">
        <v>3716</v>
      </c>
      <c r="I1099" s="7" t="s">
        <v>3717</v>
      </c>
      <c r="J1099" s="7" t="s">
        <v>176</v>
      </c>
      <c r="K1099" s="7" t="s">
        <v>494</v>
      </c>
      <c r="L1099" s="10">
        <v>1672.82</v>
      </c>
      <c r="M1099" s="10">
        <v>1672.82</v>
      </c>
      <c r="N1099" s="10">
        <f>+L1099-M1099</f>
        <v>0</v>
      </c>
      <c r="O1099" s="10">
        <v>1672.82</v>
      </c>
      <c r="P1099" s="10">
        <f>+L1099-O1099</f>
        <v>0</v>
      </c>
      <c r="Q1099" s="10">
        <v>0</v>
      </c>
      <c r="R1099" s="7" t="s">
        <v>27</v>
      </c>
    </row>
    <row r="1100" spans="1:18" hidden="1">
      <c r="A1100" s="7" t="s">
        <v>29</v>
      </c>
      <c r="B1100" s="8">
        <v>19955</v>
      </c>
      <c r="C1100" s="9">
        <v>45820.553344907406</v>
      </c>
      <c r="D1100" s="9">
        <v>45820</v>
      </c>
      <c r="E1100" s="9">
        <v>45820</v>
      </c>
      <c r="F1100" s="7" t="s">
        <v>3718</v>
      </c>
      <c r="G1100" s="7" t="s">
        <v>3719</v>
      </c>
      <c r="H1100" s="7" t="s">
        <v>3720</v>
      </c>
      <c r="I1100" s="7" t="s">
        <v>3718</v>
      </c>
      <c r="J1100" s="7" t="s">
        <v>40</v>
      </c>
      <c r="K1100" s="7" t="s">
        <v>1784</v>
      </c>
      <c r="L1100" s="10">
        <v>1332.79</v>
      </c>
      <c r="M1100" s="10">
        <v>1332.79</v>
      </c>
      <c r="N1100" s="10">
        <f>+L1100-M1100</f>
        <v>0</v>
      </c>
      <c r="O1100" s="10">
        <v>1332.79</v>
      </c>
      <c r="P1100" s="10">
        <f>+L1100-O1100</f>
        <v>0</v>
      </c>
      <c r="Q1100" s="10">
        <v>0</v>
      </c>
      <c r="R1100" s="7" t="s">
        <v>27</v>
      </c>
    </row>
    <row r="1101" spans="1:18" hidden="1">
      <c r="A1101" s="7" t="s">
        <v>29</v>
      </c>
      <c r="B1101" s="8">
        <v>20232</v>
      </c>
      <c r="C1101" s="9">
        <v>45874.520729166667</v>
      </c>
      <c r="D1101" s="9">
        <v>45888</v>
      </c>
      <c r="E1101" s="9">
        <v>45785</v>
      </c>
      <c r="F1101" s="7" t="s">
        <v>3721</v>
      </c>
      <c r="G1101" s="7" t="s">
        <v>3722</v>
      </c>
      <c r="H1101" s="7" t="s">
        <v>3723</v>
      </c>
      <c r="I1101" s="7" t="s">
        <v>3724</v>
      </c>
      <c r="J1101" s="7" t="s">
        <v>176</v>
      </c>
      <c r="K1101" s="7" t="s">
        <v>3725</v>
      </c>
      <c r="L1101" s="10">
        <v>1652</v>
      </c>
      <c r="M1101" s="10">
        <v>1652</v>
      </c>
      <c r="N1101" s="10">
        <f>+L1101-M1101</f>
        <v>0</v>
      </c>
      <c r="O1101" s="10">
        <v>1652</v>
      </c>
      <c r="P1101" s="10">
        <f>+L1101-O1101</f>
        <v>0</v>
      </c>
      <c r="Q1101" s="10">
        <v>0</v>
      </c>
      <c r="R1101" s="7" t="s">
        <v>27</v>
      </c>
    </row>
    <row r="1102" spans="1:18" hidden="1">
      <c r="A1102" s="7" t="s">
        <v>29</v>
      </c>
      <c r="B1102" s="8">
        <v>19711</v>
      </c>
      <c r="C1102" s="9">
        <v>45771.485081018516</v>
      </c>
      <c r="D1102" s="9">
        <v>45727</v>
      </c>
      <c r="E1102" s="9">
        <v>45692</v>
      </c>
      <c r="F1102" s="7" t="s">
        <v>3726</v>
      </c>
      <c r="G1102" s="7" t="s">
        <v>3727</v>
      </c>
      <c r="H1102" s="7" t="s">
        <v>1219</v>
      </c>
      <c r="I1102" s="7" t="s">
        <v>1220</v>
      </c>
      <c r="J1102" s="7" t="s">
        <v>176</v>
      </c>
      <c r="K1102" s="7" t="s">
        <v>317</v>
      </c>
      <c r="L1102" s="10">
        <v>1640</v>
      </c>
      <c r="M1102" s="10">
        <v>1640</v>
      </c>
      <c r="N1102" s="10">
        <f>+L1102-M1102</f>
        <v>0</v>
      </c>
      <c r="O1102" s="10">
        <v>1640</v>
      </c>
      <c r="P1102" s="10">
        <f>+L1102-O1102</f>
        <v>0</v>
      </c>
      <c r="Q1102" s="10">
        <v>0</v>
      </c>
      <c r="R1102" s="7" t="s">
        <v>27</v>
      </c>
    </row>
    <row r="1103" spans="1:18" hidden="1">
      <c r="A1103" s="7" t="s">
        <v>29</v>
      </c>
      <c r="B1103" s="8">
        <v>19993</v>
      </c>
      <c r="C1103" s="9">
        <v>45828.474930555552</v>
      </c>
      <c r="D1103" s="9">
        <v>45888</v>
      </c>
      <c r="E1103" s="9">
        <v>45827</v>
      </c>
      <c r="F1103" s="7" t="s">
        <v>3728</v>
      </c>
      <c r="G1103" s="7" t="s">
        <v>3729</v>
      </c>
      <c r="H1103" s="7" t="s">
        <v>3730</v>
      </c>
      <c r="I1103" s="7" t="s">
        <v>3731</v>
      </c>
      <c r="J1103" s="7" t="s">
        <v>40</v>
      </c>
      <c r="K1103" s="7" t="s">
        <v>355</v>
      </c>
      <c r="L1103" s="10">
        <v>1131</v>
      </c>
      <c r="M1103" s="10">
        <v>1131</v>
      </c>
      <c r="N1103" s="10">
        <f>+L1103-M1103</f>
        <v>0</v>
      </c>
      <c r="O1103" s="10">
        <v>1131</v>
      </c>
      <c r="P1103" s="10">
        <f>+L1103-O1103</f>
        <v>0</v>
      </c>
      <c r="Q1103" s="10">
        <v>0</v>
      </c>
      <c r="R1103" s="7" t="s">
        <v>27</v>
      </c>
    </row>
    <row r="1104" spans="1:18" hidden="1">
      <c r="A1104" s="7" t="s">
        <v>29</v>
      </c>
      <c r="B1104" s="8">
        <v>4143</v>
      </c>
      <c r="C1104" s="9">
        <v>45670.48369212963</v>
      </c>
      <c r="D1104" s="9">
        <v>45630</v>
      </c>
      <c r="E1104" s="9">
        <v>45630</v>
      </c>
      <c r="F1104" s="7" t="s">
        <v>3732</v>
      </c>
      <c r="G1104" s="7" t="s">
        <v>3662</v>
      </c>
      <c r="H1104" s="7" t="s">
        <v>3733</v>
      </c>
      <c r="I1104" s="7" t="s">
        <v>259</v>
      </c>
      <c r="J1104" s="7" t="s">
        <v>25</v>
      </c>
      <c r="K1104" s="7" t="s">
        <v>686</v>
      </c>
      <c r="L1104" s="10">
        <v>1773.33</v>
      </c>
      <c r="M1104" s="10">
        <v>1773.33</v>
      </c>
      <c r="N1104" s="15">
        <f>+L1104-M1104</f>
        <v>0</v>
      </c>
      <c r="O1104" s="15">
        <v>1773.33</v>
      </c>
      <c r="P1104" s="15">
        <f>+L1104-O1104</f>
        <v>0</v>
      </c>
      <c r="Q1104" s="10">
        <v>0</v>
      </c>
      <c r="R1104" s="7" t="s">
        <v>87</v>
      </c>
    </row>
    <row r="1105" spans="1:18" hidden="1">
      <c r="A1105" s="7" t="s">
        <v>29</v>
      </c>
      <c r="B1105" s="8">
        <v>4244</v>
      </c>
      <c r="C1105" s="9">
        <v>45854.613159722219</v>
      </c>
      <c r="D1105" s="9">
        <v>45852</v>
      </c>
      <c r="E1105" s="9">
        <v>45845</v>
      </c>
      <c r="F1105" s="7" t="s">
        <v>3734</v>
      </c>
      <c r="G1105" s="7" t="s">
        <v>3735</v>
      </c>
      <c r="H1105" s="7" t="s">
        <v>3736</v>
      </c>
      <c r="I1105" s="7" t="s">
        <v>3737</v>
      </c>
      <c r="J1105" s="7" t="s">
        <v>25</v>
      </c>
      <c r="K1105" s="7" t="s">
        <v>86</v>
      </c>
      <c r="L1105" s="10">
        <v>1771.84</v>
      </c>
      <c r="M1105" s="10">
        <v>1771.84</v>
      </c>
      <c r="N1105" s="15">
        <f>+L1105-M1105</f>
        <v>0</v>
      </c>
      <c r="O1105" s="15">
        <v>1771.84</v>
      </c>
      <c r="P1105" s="15">
        <f>+L1105-O1105</f>
        <v>0</v>
      </c>
      <c r="Q1105" s="10">
        <v>0</v>
      </c>
      <c r="R1105" s="7" t="s">
        <v>87</v>
      </c>
    </row>
    <row r="1106" spans="1:18" hidden="1">
      <c r="A1106" s="7" t="s">
        <v>29</v>
      </c>
      <c r="B1106" s="8">
        <v>19833</v>
      </c>
      <c r="C1106" s="9">
        <v>45796.488217592589</v>
      </c>
      <c r="D1106" s="9">
        <v>45782</v>
      </c>
      <c r="E1106" s="9">
        <v>45798</v>
      </c>
      <c r="F1106" s="7" t="s">
        <v>3738</v>
      </c>
      <c r="G1106" s="7" t="s">
        <v>3739</v>
      </c>
      <c r="H1106" s="7" t="s">
        <v>2436</v>
      </c>
      <c r="I1106" s="7" t="s">
        <v>2437</v>
      </c>
      <c r="J1106" s="7" t="s">
        <v>176</v>
      </c>
      <c r="K1106" s="7" t="s">
        <v>945</v>
      </c>
      <c r="L1106" s="10">
        <v>1622</v>
      </c>
      <c r="M1106" s="10">
        <v>1622</v>
      </c>
      <c r="N1106" s="10">
        <f>+L1106-M1106</f>
        <v>0</v>
      </c>
      <c r="O1106" s="10">
        <v>1622</v>
      </c>
      <c r="P1106" s="10">
        <f>+L1106-O1106</f>
        <v>0</v>
      </c>
      <c r="Q1106" s="10">
        <v>0</v>
      </c>
      <c r="R1106" s="7" t="s">
        <v>27</v>
      </c>
    </row>
    <row r="1107" spans="1:18" hidden="1">
      <c r="A1107" s="7" t="s">
        <v>29</v>
      </c>
      <c r="B1107" s="8">
        <v>20854</v>
      </c>
      <c r="C1107" s="9">
        <v>46034.634849537033</v>
      </c>
      <c r="D1107" s="9">
        <v>46034</v>
      </c>
      <c r="E1107" s="9">
        <v>46034</v>
      </c>
      <c r="F1107" s="7" t="s">
        <v>3740</v>
      </c>
      <c r="G1107" s="7" t="s">
        <v>3741</v>
      </c>
      <c r="H1107" s="7" t="s">
        <v>3742</v>
      </c>
      <c r="I1107" s="7" t="s">
        <v>3743</v>
      </c>
      <c r="J1107" s="7" t="s">
        <v>34</v>
      </c>
      <c r="K1107" s="7" t="s">
        <v>733</v>
      </c>
      <c r="L1107" s="10">
        <v>1614.93</v>
      </c>
      <c r="M1107" s="10">
        <v>1614.93</v>
      </c>
      <c r="N1107" s="10">
        <f>+L1107-M1107</f>
        <v>0</v>
      </c>
      <c r="O1107" s="10">
        <v>1614.93</v>
      </c>
      <c r="P1107" s="10">
        <f>+L1107-O1107</f>
        <v>0</v>
      </c>
      <c r="Q1107" s="10">
        <v>0</v>
      </c>
      <c r="R1107" s="7" t="s">
        <v>27</v>
      </c>
    </row>
    <row r="1108" spans="1:18" hidden="1">
      <c r="A1108" s="7" t="s">
        <v>29</v>
      </c>
      <c r="B1108" s="8">
        <v>20747</v>
      </c>
      <c r="C1108" s="9">
        <v>45994.532812500001</v>
      </c>
      <c r="D1108" s="9">
        <v>45994</v>
      </c>
      <c r="E1108" s="9">
        <v>46052</v>
      </c>
      <c r="F1108" s="7" t="s">
        <v>3744</v>
      </c>
      <c r="G1108" s="7" t="s">
        <v>3745</v>
      </c>
      <c r="H1108" s="7" t="s">
        <v>2656</v>
      </c>
      <c r="I1108" s="7" t="s">
        <v>2657</v>
      </c>
      <c r="J1108" s="7" t="s">
        <v>34</v>
      </c>
      <c r="K1108" s="7" t="s">
        <v>392</v>
      </c>
      <c r="L1108" s="10">
        <v>1578.52</v>
      </c>
      <c r="M1108" s="10">
        <v>1578.52</v>
      </c>
      <c r="N1108" s="10">
        <f>+L1108-M1108</f>
        <v>0</v>
      </c>
      <c r="O1108" s="10">
        <v>1578.52</v>
      </c>
      <c r="P1108" s="10">
        <f>+L1108-O1108</f>
        <v>0</v>
      </c>
      <c r="Q1108" s="10">
        <v>0</v>
      </c>
      <c r="R1108" s="7" t="s">
        <v>27</v>
      </c>
    </row>
    <row r="1109" spans="1:18">
      <c r="A1109" s="7" t="s">
        <v>29</v>
      </c>
      <c r="B1109" s="8">
        <v>19980</v>
      </c>
      <c r="C1109" s="9">
        <v>45825.573379629626</v>
      </c>
      <c r="D1109" s="9">
        <v>45784</v>
      </c>
      <c r="E1109" s="9">
        <v>45740</v>
      </c>
      <c r="F1109" s="7" t="s">
        <v>3746</v>
      </c>
      <c r="G1109" s="7" t="s">
        <v>3747</v>
      </c>
      <c r="H1109" s="7" t="s">
        <v>3748</v>
      </c>
      <c r="I1109" s="7" t="s">
        <v>3749</v>
      </c>
      <c r="J1109" s="7" t="s">
        <v>25</v>
      </c>
      <c r="K1109" s="7" t="s">
        <v>55</v>
      </c>
      <c r="L1109" s="10">
        <v>1707.14</v>
      </c>
      <c r="M1109" s="10">
        <v>1707.14</v>
      </c>
      <c r="N1109" s="10">
        <f>+L1109-M1109</f>
        <v>0</v>
      </c>
      <c r="O1109" s="10">
        <v>1707.14</v>
      </c>
      <c r="P1109" s="10">
        <f>+L1109-O1109</f>
        <v>0</v>
      </c>
      <c r="Q1109" s="10">
        <v>0</v>
      </c>
      <c r="R1109" s="7" t="s">
        <v>27</v>
      </c>
    </row>
    <row r="1110" spans="1:18" hidden="1">
      <c r="A1110" s="7" t="s">
        <v>29</v>
      </c>
      <c r="B1110" s="8">
        <v>20024</v>
      </c>
      <c r="C1110" s="9">
        <v>45833.660729166666</v>
      </c>
      <c r="D1110" s="9">
        <v>45833</v>
      </c>
      <c r="E1110" s="9">
        <v>45863</v>
      </c>
      <c r="F1110" s="7" t="s">
        <v>3750</v>
      </c>
      <c r="G1110" s="7" t="s">
        <v>3751</v>
      </c>
      <c r="H1110" s="7" t="s">
        <v>1037</v>
      </c>
      <c r="I1110" s="7" t="s">
        <v>1038</v>
      </c>
      <c r="J1110" s="7" t="s">
        <v>34</v>
      </c>
      <c r="K1110" s="7" t="s">
        <v>118</v>
      </c>
      <c r="L1110" s="10">
        <v>1566.16</v>
      </c>
      <c r="M1110" s="10">
        <v>1566.16</v>
      </c>
      <c r="N1110" s="10">
        <f>+L1110-M1110</f>
        <v>0</v>
      </c>
      <c r="O1110" s="10">
        <v>1566.16</v>
      </c>
      <c r="P1110" s="10">
        <f>+L1110-O1110</f>
        <v>0</v>
      </c>
      <c r="Q1110" s="10">
        <v>0</v>
      </c>
      <c r="R1110" s="7" t="s">
        <v>27</v>
      </c>
    </row>
    <row r="1111" spans="1:18" hidden="1">
      <c r="A1111" s="7" t="s">
        <v>29</v>
      </c>
      <c r="B1111" s="8">
        <v>20591</v>
      </c>
      <c r="C1111" s="9">
        <v>45950.394224537034</v>
      </c>
      <c r="D1111" s="9">
        <v>45950</v>
      </c>
      <c r="E1111" s="9">
        <v>45989</v>
      </c>
      <c r="F1111" s="7" t="s">
        <v>3752</v>
      </c>
      <c r="G1111" s="7" t="s">
        <v>3753</v>
      </c>
      <c r="H1111" s="7" t="s">
        <v>3754</v>
      </c>
      <c r="I1111" s="7" t="s">
        <v>3755</v>
      </c>
      <c r="J1111" s="7" t="s">
        <v>34</v>
      </c>
      <c r="K1111" s="7" t="s">
        <v>392</v>
      </c>
      <c r="L1111" s="10">
        <v>1564.62</v>
      </c>
      <c r="M1111" s="10">
        <v>1564.62</v>
      </c>
      <c r="N1111" s="10">
        <f>+L1111-M1111</f>
        <v>0</v>
      </c>
      <c r="O1111" s="10">
        <v>1564.62</v>
      </c>
      <c r="P1111" s="10">
        <f>+L1111-O1111</f>
        <v>0</v>
      </c>
      <c r="Q1111" s="10">
        <v>0</v>
      </c>
      <c r="R1111" s="7" t="s">
        <v>27</v>
      </c>
    </row>
    <row r="1112" spans="1:18" hidden="1">
      <c r="A1112" s="7" t="s">
        <v>29</v>
      </c>
      <c r="B1112" s="8">
        <v>19616</v>
      </c>
      <c r="C1112" s="9">
        <v>45751.672962962963</v>
      </c>
      <c r="D1112" s="9">
        <v>45737</v>
      </c>
      <c r="E1112" s="9">
        <v>45737</v>
      </c>
      <c r="F1112" s="7" t="s">
        <v>3756</v>
      </c>
      <c r="G1112" s="7" t="s">
        <v>3757</v>
      </c>
      <c r="H1112" s="7" t="s">
        <v>3758</v>
      </c>
      <c r="I1112" s="7" t="s">
        <v>3759</v>
      </c>
      <c r="J1112" s="7" t="s">
        <v>176</v>
      </c>
      <c r="K1112" s="7" t="s">
        <v>494</v>
      </c>
      <c r="L1112" s="10">
        <v>1564</v>
      </c>
      <c r="M1112" s="10">
        <v>1564</v>
      </c>
      <c r="N1112" s="10">
        <f>+L1112-M1112</f>
        <v>0</v>
      </c>
      <c r="O1112" s="10">
        <v>1564</v>
      </c>
      <c r="P1112" s="10">
        <f>+L1112-O1112</f>
        <v>0</v>
      </c>
      <c r="Q1112" s="10">
        <v>0</v>
      </c>
      <c r="R1112" s="7" t="s">
        <v>27</v>
      </c>
    </row>
    <row r="1113" spans="1:18" hidden="1">
      <c r="A1113" s="7" t="s">
        <v>29</v>
      </c>
      <c r="B1113" s="8">
        <v>20855</v>
      </c>
      <c r="C1113" s="9">
        <v>46034.681250000001</v>
      </c>
      <c r="D1113" s="9">
        <v>46031</v>
      </c>
      <c r="E1113" s="9">
        <v>46031</v>
      </c>
      <c r="F1113" s="7" t="s">
        <v>3760</v>
      </c>
      <c r="G1113" s="7" t="s">
        <v>3761</v>
      </c>
      <c r="H1113" s="7" t="s">
        <v>3762</v>
      </c>
      <c r="I1113" s="7" t="s">
        <v>3763</v>
      </c>
      <c r="J1113" s="7" t="s">
        <v>40</v>
      </c>
      <c r="K1113" s="7" t="s">
        <v>113</v>
      </c>
      <c r="L1113" s="10">
        <v>1130</v>
      </c>
      <c r="M1113" s="10">
        <v>1130</v>
      </c>
      <c r="N1113" s="10">
        <f>+L1113-M1113</f>
        <v>0</v>
      </c>
      <c r="O1113" s="10">
        <v>1130</v>
      </c>
      <c r="P1113" s="10">
        <f>+L1113-O1113</f>
        <v>0</v>
      </c>
      <c r="Q1113" s="10">
        <v>0</v>
      </c>
      <c r="R1113" s="7" t="s">
        <v>27</v>
      </c>
    </row>
    <row r="1114" spans="1:18" hidden="1">
      <c r="A1114" s="7" t="s">
        <v>29</v>
      </c>
      <c r="B1114" s="8">
        <v>20574</v>
      </c>
      <c r="C1114" s="9">
        <v>45943.394016203703</v>
      </c>
      <c r="D1114" s="9">
        <v>45940</v>
      </c>
      <c r="E1114" s="9">
        <v>45940</v>
      </c>
      <c r="F1114" s="7" t="s">
        <v>3764</v>
      </c>
      <c r="G1114" s="7" t="s">
        <v>3765</v>
      </c>
      <c r="H1114" s="7" t="s">
        <v>3766</v>
      </c>
      <c r="I1114" s="7" t="s">
        <v>2999</v>
      </c>
      <c r="J1114" s="7" t="s">
        <v>40</v>
      </c>
      <c r="K1114" s="7" t="s">
        <v>355</v>
      </c>
      <c r="L1114" s="10">
        <v>1114.6300000000001</v>
      </c>
      <c r="M1114" s="10">
        <v>1114.6300000000001</v>
      </c>
      <c r="N1114" s="10">
        <f>+L1114-M1114</f>
        <v>0</v>
      </c>
      <c r="O1114" s="10">
        <v>1114.6300000000001</v>
      </c>
      <c r="P1114" s="10">
        <f>+L1114-O1114</f>
        <v>0</v>
      </c>
      <c r="Q1114" s="10">
        <v>0</v>
      </c>
      <c r="R1114" s="7" t="s">
        <v>27</v>
      </c>
    </row>
    <row r="1115" spans="1:18" hidden="1">
      <c r="A1115" s="7" t="s">
        <v>29</v>
      </c>
      <c r="B1115" s="8">
        <v>20899</v>
      </c>
      <c r="C1115" s="9">
        <v>46044.583634259259</v>
      </c>
      <c r="D1115" s="9">
        <v>46044</v>
      </c>
      <c r="E1115" s="9">
        <v>46080</v>
      </c>
      <c r="F1115" s="7" t="s">
        <v>3767</v>
      </c>
      <c r="G1115" s="7" t="s">
        <v>3768</v>
      </c>
      <c r="H1115" s="7" t="s">
        <v>3769</v>
      </c>
      <c r="I1115" s="7" t="s">
        <v>3770</v>
      </c>
      <c r="J1115" s="7" t="s">
        <v>34</v>
      </c>
      <c r="K1115" s="7" t="s">
        <v>118</v>
      </c>
      <c r="L1115" s="10">
        <v>1531.6</v>
      </c>
      <c r="M1115" s="10">
        <v>1531.6</v>
      </c>
      <c r="N1115" s="10">
        <f>+L1115-M1115</f>
        <v>0</v>
      </c>
      <c r="O1115" s="10">
        <v>1531.6</v>
      </c>
      <c r="P1115" s="10">
        <f>+L1115-O1115</f>
        <v>0</v>
      </c>
      <c r="Q1115" s="10">
        <v>0</v>
      </c>
      <c r="R1115" s="7" t="s">
        <v>27</v>
      </c>
    </row>
    <row r="1116" spans="1:18">
      <c r="A1116" s="7" t="s">
        <v>29</v>
      </c>
      <c r="B1116" s="8">
        <v>20298</v>
      </c>
      <c r="C1116" s="9">
        <v>45888.501932870371</v>
      </c>
      <c r="D1116" s="9">
        <v>45891</v>
      </c>
      <c r="E1116" s="9">
        <v>45891</v>
      </c>
      <c r="F1116" s="7" t="s">
        <v>3771</v>
      </c>
      <c r="G1116" s="7" t="s">
        <v>3772</v>
      </c>
      <c r="H1116" s="7" t="s">
        <v>3773</v>
      </c>
      <c r="I1116" s="7" t="s">
        <v>3774</v>
      </c>
      <c r="J1116" s="7" t="s">
        <v>25</v>
      </c>
      <c r="K1116" s="7" t="s">
        <v>240</v>
      </c>
      <c r="L1116" s="10">
        <v>1689.35</v>
      </c>
      <c r="M1116" s="10">
        <v>1689.35</v>
      </c>
      <c r="N1116" s="10">
        <f>+L1116-M1116</f>
        <v>0</v>
      </c>
      <c r="O1116" s="10">
        <v>1689.35</v>
      </c>
      <c r="P1116" s="10">
        <f>+L1116-O1116</f>
        <v>0</v>
      </c>
      <c r="Q1116" s="10">
        <v>0</v>
      </c>
      <c r="R1116" s="7" t="s">
        <v>27</v>
      </c>
    </row>
    <row r="1117" spans="1:18" hidden="1">
      <c r="A1117" s="7" t="s">
        <v>29</v>
      </c>
      <c r="B1117" s="8">
        <v>20394</v>
      </c>
      <c r="C1117" s="9">
        <v>45903.468657407408</v>
      </c>
      <c r="D1117" s="9">
        <v>45880</v>
      </c>
      <c r="E1117" s="9">
        <v>45880</v>
      </c>
      <c r="F1117" s="7" t="s">
        <v>3775</v>
      </c>
      <c r="G1117" s="7" t="s">
        <v>3776</v>
      </c>
      <c r="H1117" s="7" t="s">
        <v>3383</v>
      </c>
      <c r="I1117" s="7" t="s">
        <v>3384</v>
      </c>
      <c r="J1117" s="7" t="s">
        <v>176</v>
      </c>
      <c r="K1117" s="7" t="s">
        <v>569</v>
      </c>
      <c r="L1117" s="10">
        <v>1530</v>
      </c>
      <c r="M1117" s="10">
        <v>1530</v>
      </c>
      <c r="N1117" s="10">
        <f>+L1117-M1117</f>
        <v>0</v>
      </c>
      <c r="O1117" s="10">
        <v>1530</v>
      </c>
      <c r="P1117" s="10">
        <f>+L1117-O1117</f>
        <v>0</v>
      </c>
      <c r="Q1117" s="10">
        <v>0</v>
      </c>
      <c r="R1117" s="7" t="s">
        <v>27</v>
      </c>
    </row>
    <row r="1118" spans="1:18" hidden="1">
      <c r="A1118" s="7" t="s">
        <v>29</v>
      </c>
      <c r="B1118" s="8">
        <v>19805</v>
      </c>
      <c r="C1118" s="9">
        <v>45791.401053240741</v>
      </c>
      <c r="D1118" s="9">
        <v>45790</v>
      </c>
      <c r="E1118" s="9">
        <v>45790</v>
      </c>
      <c r="F1118" s="7" t="s">
        <v>3777</v>
      </c>
      <c r="G1118" s="7" t="s">
        <v>3778</v>
      </c>
      <c r="H1118" s="7" t="s">
        <v>3779</v>
      </c>
      <c r="I1118" s="7" t="s">
        <v>3780</v>
      </c>
      <c r="J1118" s="7" t="s">
        <v>176</v>
      </c>
      <c r="K1118" s="7" t="s">
        <v>494</v>
      </c>
      <c r="L1118" s="10">
        <v>1528</v>
      </c>
      <c r="M1118" s="10">
        <v>1528</v>
      </c>
      <c r="N1118" s="10">
        <f>+L1118-M1118</f>
        <v>0</v>
      </c>
      <c r="O1118" s="10">
        <v>1528</v>
      </c>
      <c r="P1118" s="10">
        <f>+L1118-O1118</f>
        <v>0</v>
      </c>
      <c r="Q1118" s="10">
        <v>0</v>
      </c>
      <c r="R1118" s="7" t="s">
        <v>27</v>
      </c>
    </row>
    <row r="1119" spans="1:18">
      <c r="A1119" s="7" t="s">
        <v>29</v>
      </c>
      <c r="B1119" s="8">
        <v>19599</v>
      </c>
      <c r="C1119" s="9">
        <v>45748.613935185182</v>
      </c>
      <c r="D1119" s="9">
        <v>45747</v>
      </c>
      <c r="E1119" s="9">
        <v>45747</v>
      </c>
      <c r="F1119" s="7" t="s">
        <v>3781</v>
      </c>
      <c r="G1119" s="7" t="s">
        <v>3782</v>
      </c>
      <c r="H1119" s="7" t="s">
        <v>434</v>
      </c>
      <c r="I1119" s="7" t="s">
        <v>435</v>
      </c>
      <c r="J1119" s="7" t="s">
        <v>25</v>
      </c>
      <c r="K1119" s="7" t="s">
        <v>26</v>
      </c>
      <c r="L1119" s="10">
        <v>1682.46</v>
      </c>
      <c r="M1119" s="10">
        <v>1682.46</v>
      </c>
      <c r="N1119" s="10">
        <f>+L1119-M1119</f>
        <v>0</v>
      </c>
      <c r="O1119" s="10">
        <v>1682.46</v>
      </c>
      <c r="P1119" s="10">
        <f>+L1119-O1119</f>
        <v>0</v>
      </c>
      <c r="Q1119" s="10">
        <v>0</v>
      </c>
      <c r="R1119" s="7" t="s">
        <v>27</v>
      </c>
    </row>
    <row r="1120" spans="1:18" hidden="1">
      <c r="A1120" s="7" t="s">
        <v>29</v>
      </c>
      <c r="B1120" s="8">
        <v>4279</v>
      </c>
      <c r="C1120" s="9">
        <v>45964.398101851853</v>
      </c>
      <c r="D1120" s="9">
        <v>45959</v>
      </c>
      <c r="E1120" s="9">
        <v>45959</v>
      </c>
      <c r="F1120" s="7" t="s">
        <v>3783</v>
      </c>
      <c r="G1120" s="7" t="s">
        <v>3784</v>
      </c>
      <c r="H1120" s="7" t="s">
        <v>3087</v>
      </c>
      <c r="I1120" s="7" t="s">
        <v>1483</v>
      </c>
      <c r="J1120" s="7" t="s">
        <v>25</v>
      </c>
      <c r="K1120" s="7" t="s">
        <v>206</v>
      </c>
      <c r="L1120" s="10">
        <v>1679.92</v>
      </c>
      <c r="M1120" s="10">
        <v>1679.92</v>
      </c>
      <c r="N1120" s="15">
        <f>+L1120-M1120</f>
        <v>0</v>
      </c>
      <c r="O1120" s="15">
        <v>1679.92</v>
      </c>
      <c r="P1120" s="15">
        <f>+L1120-O1120</f>
        <v>0</v>
      </c>
      <c r="Q1120" s="10">
        <v>0</v>
      </c>
      <c r="R1120" s="7" t="s">
        <v>87</v>
      </c>
    </row>
    <row r="1121" spans="1:18">
      <c r="A1121" s="7" t="s">
        <v>29</v>
      </c>
      <c r="B1121" s="8">
        <v>20242</v>
      </c>
      <c r="C1121" s="9">
        <v>45875.363423993054</v>
      </c>
      <c r="D1121" s="9">
        <v>45873</v>
      </c>
      <c r="E1121" s="9">
        <v>45873</v>
      </c>
      <c r="F1121" s="7" t="s">
        <v>3785</v>
      </c>
      <c r="G1121" s="7" t="s">
        <v>3786</v>
      </c>
      <c r="H1121" s="7" t="s">
        <v>783</v>
      </c>
      <c r="I1121" s="7" t="s">
        <v>784</v>
      </c>
      <c r="J1121" s="7" t="s">
        <v>25</v>
      </c>
      <c r="K1121" s="7" t="s">
        <v>55</v>
      </c>
      <c r="L1121" s="10">
        <v>1674.74</v>
      </c>
      <c r="M1121" s="10">
        <v>1674.74</v>
      </c>
      <c r="N1121" s="10">
        <f>+L1121-M1121</f>
        <v>0</v>
      </c>
      <c r="O1121" s="10">
        <v>1674.74</v>
      </c>
      <c r="P1121" s="10">
        <f>+L1121-O1121</f>
        <v>0</v>
      </c>
      <c r="Q1121" s="10">
        <v>0</v>
      </c>
      <c r="R1121" s="7" t="s">
        <v>27</v>
      </c>
    </row>
    <row r="1122" spans="1:18">
      <c r="A1122" s="7" t="s">
        <v>29</v>
      </c>
      <c r="B1122" s="8">
        <v>20558</v>
      </c>
      <c r="C1122" s="9">
        <v>45939.394907407404</v>
      </c>
      <c r="D1122" s="9">
        <v>45985</v>
      </c>
      <c r="E1122" s="9">
        <v>45985</v>
      </c>
      <c r="F1122" s="7" t="s">
        <v>3787</v>
      </c>
      <c r="G1122" s="7" t="s">
        <v>3788</v>
      </c>
      <c r="H1122" s="7" t="s">
        <v>3408</v>
      </c>
      <c r="I1122" s="7" t="s">
        <v>873</v>
      </c>
      <c r="J1122" s="7" t="s">
        <v>25</v>
      </c>
      <c r="K1122" s="7" t="s">
        <v>55</v>
      </c>
      <c r="L1122" s="10">
        <v>1634.3</v>
      </c>
      <c r="M1122" s="10">
        <v>1634.3</v>
      </c>
      <c r="N1122" s="10">
        <f>+L1122-M1122</f>
        <v>0</v>
      </c>
      <c r="O1122" s="10">
        <v>1634.3</v>
      </c>
      <c r="P1122" s="10">
        <f>+L1122-O1122</f>
        <v>0</v>
      </c>
      <c r="Q1122" s="10">
        <v>0</v>
      </c>
      <c r="R1122" s="7" t="s">
        <v>27</v>
      </c>
    </row>
    <row r="1123" spans="1:18" hidden="1">
      <c r="A1123" s="7" t="s">
        <v>29</v>
      </c>
      <c r="B1123" s="8">
        <v>20567</v>
      </c>
      <c r="C1123" s="9">
        <v>45940.648645833331</v>
      </c>
      <c r="D1123" s="9">
        <v>45940</v>
      </c>
      <c r="E1123" s="9">
        <v>45897</v>
      </c>
      <c r="F1123" s="7" t="s">
        <v>3789</v>
      </c>
      <c r="G1123" s="7" t="s">
        <v>3790</v>
      </c>
      <c r="H1123" s="7" t="s">
        <v>3791</v>
      </c>
      <c r="I1123" s="7" t="s">
        <v>3792</v>
      </c>
      <c r="J1123" s="7" t="s">
        <v>34</v>
      </c>
      <c r="K1123" s="7" t="s">
        <v>105</v>
      </c>
      <c r="L1123" s="10">
        <v>1524.82</v>
      </c>
      <c r="M1123" s="10">
        <v>1524.82</v>
      </c>
      <c r="N1123" s="10">
        <f>+L1123-M1123</f>
        <v>0</v>
      </c>
      <c r="O1123" s="10">
        <v>1524.82</v>
      </c>
      <c r="P1123" s="10">
        <f>+L1123-O1123</f>
        <v>0</v>
      </c>
      <c r="Q1123" s="10">
        <v>0</v>
      </c>
      <c r="R1123" s="7" t="s">
        <v>27</v>
      </c>
    </row>
    <row r="1124" spans="1:18" hidden="1">
      <c r="A1124" s="7" t="s">
        <v>29</v>
      </c>
      <c r="B1124" s="8">
        <v>20036</v>
      </c>
      <c r="C1124" s="9">
        <v>45835.449166666665</v>
      </c>
      <c r="D1124" s="9">
        <v>45834</v>
      </c>
      <c r="E1124" s="9">
        <v>45835</v>
      </c>
      <c r="F1124" s="7" t="s">
        <v>3793</v>
      </c>
      <c r="G1124" s="7" t="s">
        <v>3794</v>
      </c>
      <c r="H1124" s="7" t="s">
        <v>1161</v>
      </c>
      <c r="I1124" s="7" t="s">
        <v>1162</v>
      </c>
      <c r="J1124" s="7" t="s">
        <v>176</v>
      </c>
      <c r="K1124" s="7" t="s">
        <v>494</v>
      </c>
      <c r="L1124" s="10">
        <v>1520.88</v>
      </c>
      <c r="M1124" s="10">
        <v>1520.88</v>
      </c>
      <c r="N1124" s="10">
        <f>+L1124-M1124</f>
        <v>0</v>
      </c>
      <c r="O1124" s="10">
        <v>1520.88</v>
      </c>
      <c r="P1124" s="10">
        <f>+L1124-O1124</f>
        <v>0</v>
      </c>
      <c r="Q1124" s="10">
        <v>0</v>
      </c>
      <c r="R1124" s="7" t="s">
        <v>27</v>
      </c>
    </row>
    <row r="1125" spans="1:18" hidden="1">
      <c r="A1125" s="7" t="s">
        <v>29</v>
      </c>
      <c r="B1125" s="8">
        <v>20690</v>
      </c>
      <c r="C1125" s="9">
        <v>45972.592893518515</v>
      </c>
      <c r="D1125" s="9">
        <v>45972</v>
      </c>
      <c r="E1125" s="9">
        <v>45972</v>
      </c>
      <c r="F1125" s="7" t="s">
        <v>3795</v>
      </c>
      <c r="G1125" s="7" t="s">
        <v>3796</v>
      </c>
      <c r="H1125" s="7" t="s">
        <v>3797</v>
      </c>
      <c r="I1125" s="7" t="s">
        <v>3798</v>
      </c>
      <c r="J1125" s="7" t="s">
        <v>34</v>
      </c>
      <c r="K1125" s="7" t="s">
        <v>412</v>
      </c>
      <c r="L1125" s="10">
        <v>1518.99</v>
      </c>
      <c r="M1125" s="10">
        <v>1518.99</v>
      </c>
      <c r="N1125" s="10">
        <f>+L1125-M1125</f>
        <v>0</v>
      </c>
      <c r="O1125" s="10">
        <v>1518.99</v>
      </c>
      <c r="P1125" s="10">
        <f>+L1125-O1125</f>
        <v>0</v>
      </c>
      <c r="Q1125" s="10">
        <v>0</v>
      </c>
      <c r="R1125" s="7" t="s">
        <v>27</v>
      </c>
    </row>
    <row r="1126" spans="1:18" hidden="1">
      <c r="A1126" s="7" t="s">
        <v>29</v>
      </c>
      <c r="B1126" s="8">
        <v>4189</v>
      </c>
      <c r="C1126" s="9">
        <v>45744.426886574074</v>
      </c>
      <c r="D1126" s="9">
        <v>45719</v>
      </c>
      <c r="E1126" s="9">
        <v>45719</v>
      </c>
      <c r="F1126" s="7" t="s">
        <v>3799</v>
      </c>
      <c r="G1126" s="7" t="s">
        <v>3800</v>
      </c>
      <c r="H1126" s="7" t="s">
        <v>280</v>
      </c>
      <c r="I1126" s="7" t="s">
        <v>205</v>
      </c>
      <c r="J1126" s="7" t="s">
        <v>25</v>
      </c>
      <c r="K1126" s="7" t="s">
        <v>206</v>
      </c>
      <c r="L1126" s="10">
        <v>1624.56</v>
      </c>
      <c r="M1126" s="10">
        <v>1624.56</v>
      </c>
      <c r="N1126" s="15">
        <f>+L1126-M1126</f>
        <v>0</v>
      </c>
      <c r="O1126" s="15">
        <v>1624.56</v>
      </c>
      <c r="P1126" s="15">
        <f>+L1126-O1126</f>
        <v>0</v>
      </c>
      <c r="Q1126" s="10">
        <v>0</v>
      </c>
      <c r="R1126" s="7" t="s">
        <v>87</v>
      </c>
    </row>
    <row r="1127" spans="1:18">
      <c r="A1127" s="7" t="s">
        <v>29</v>
      </c>
      <c r="B1127" s="8">
        <v>20764</v>
      </c>
      <c r="C1127" s="9">
        <v>45999.432722488425</v>
      </c>
      <c r="D1127" s="9">
        <v>46052</v>
      </c>
      <c r="E1127" s="9">
        <v>46010</v>
      </c>
      <c r="F1127" s="7" t="s">
        <v>3801</v>
      </c>
      <c r="G1127" s="7" t="s">
        <v>3802</v>
      </c>
      <c r="H1127" s="7" t="s">
        <v>783</v>
      </c>
      <c r="I1127" s="7" t="s">
        <v>784</v>
      </c>
      <c r="J1127" s="7" t="s">
        <v>25</v>
      </c>
      <c r="K1127" s="7" t="s">
        <v>55</v>
      </c>
      <c r="L1127" s="10">
        <v>1602.89</v>
      </c>
      <c r="M1127" s="10">
        <v>1602.89</v>
      </c>
      <c r="N1127" s="10">
        <f>+L1127-M1127</f>
        <v>0</v>
      </c>
      <c r="O1127" s="10">
        <v>1602.89</v>
      </c>
      <c r="P1127" s="10">
        <f>+L1127-O1127</f>
        <v>0</v>
      </c>
      <c r="Q1127" s="10">
        <v>0</v>
      </c>
      <c r="R1127" s="7" t="s">
        <v>27</v>
      </c>
    </row>
    <row r="1128" spans="1:18">
      <c r="A1128" s="7" t="s">
        <v>29</v>
      </c>
      <c r="B1128" s="8">
        <v>19527</v>
      </c>
      <c r="C1128" s="9">
        <v>45733.437685185185</v>
      </c>
      <c r="D1128" s="9">
        <v>45772</v>
      </c>
      <c r="E1128" s="9">
        <v>45772</v>
      </c>
      <c r="F1128" s="7" t="s">
        <v>3803</v>
      </c>
      <c r="G1128" s="7" t="s">
        <v>3804</v>
      </c>
      <c r="H1128" s="7" t="s">
        <v>2591</v>
      </c>
      <c r="I1128" s="7" t="s">
        <v>536</v>
      </c>
      <c r="J1128" s="7" t="s">
        <v>25</v>
      </c>
      <c r="K1128" s="7" t="s">
        <v>537</v>
      </c>
      <c r="L1128" s="10">
        <v>1568.44</v>
      </c>
      <c r="M1128" s="10">
        <v>1568.44</v>
      </c>
      <c r="N1128" s="10">
        <f>+L1128-M1128</f>
        <v>0</v>
      </c>
      <c r="O1128" s="10">
        <v>1568.44</v>
      </c>
      <c r="P1128" s="10">
        <f>+L1128-O1128</f>
        <v>0</v>
      </c>
      <c r="Q1128" s="10">
        <v>0</v>
      </c>
      <c r="R1128" s="7" t="s">
        <v>27</v>
      </c>
    </row>
    <row r="1129" spans="1:18" hidden="1">
      <c r="A1129" s="7" t="s">
        <v>29</v>
      </c>
      <c r="B1129" s="8">
        <v>20736</v>
      </c>
      <c r="C1129" s="9">
        <v>45991.917280092588</v>
      </c>
      <c r="D1129" s="9">
        <v>46001</v>
      </c>
      <c r="E1129" s="9">
        <v>45968</v>
      </c>
      <c r="F1129" s="7" t="s">
        <v>3805</v>
      </c>
      <c r="G1129" s="7" t="s">
        <v>3806</v>
      </c>
      <c r="H1129" s="7" t="s">
        <v>3807</v>
      </c>
      <c r="I1129" s="7" t="s">
        <v>3808</v>
      </c>
      <c r="J1129" s="7" t="s">
        <v>176</v>
      </c>
      <c r="K1129" s="7" t="s">
        <v>584</v>
      </c>
      <c r="L1129" s="10">
        <v>1500</v>
      </c>
      <c r="M1129" s="10">
        <v>1500</v>
      </c>
      <c r="N1129" s="10">
        <f>+L1129-M1129</f>
        <v>0</v>
      </c>
      <c r="O1129" s="10">
        <v>1500</v>
      </c>
      <c r="P1129" s="10">
        <f>+L1129-O1129</f>
        <v>0</v>
      </c>
      <c r="Q1129" s="10">
        <v>0</v>
      </c>
      <c r="R1129" s="7" t="s">
        <v>27</v>
      </c>
    </row>
    <row r="1130" spans="1:18" hidden="1">
      <c r="A1130" s="7" t="s">
        <v>29</v>
      </c>
      <c r="B1130" s="8">
        <v>20800</v>
      </c>
      <c r="C1130" s="9">
        <v>46013.700486111113</v>
      </c>
      <c r="D1130" s="9">
        <v>46013</v>
      </c>
      <c r="E1130" s="9">
        <v>46013</v>
      </c>
      <c r="F1130" s="7" t="s">
        <v>3809</v>
      </c>
      <c r="G1130" s="7" t="s">
        <v>3810</v>
      </c>
      <c r="H1130" s="7" t="s">
        <v>3811</v>
      </c>
      <c r="I1130" s="7" t="s">
        <v>3812</v>
      </c>
      <c r="J1130" s="7" t="s">
        <v>176</v>
      </c>
      <c r="K1130" s="7" t="s">
        <v>360</v>
      </c>
      <c r="L1130" s="10">
        <v>1499.13</v>
      </c>
      <c r="M1130" s="10">
        <v>1499.13</v>
      </c>
      <c r="N1130" s="10">
        <f>+L1130-M1130</f>
        <v>0</v>
      </c>
      <c r="O1130" s="10">
        <v>1499.13</v>
      </c>
      <c r="P1130" s="10">
        <f>+L1130-O1130</f>
        <v>0</v>
      </c>
      <c r="Q1130" s="10">
        <v>0</v>
      </c>
      <c r="R1130" s="7" t="s">
        <v>27</v>
      </c>
    </row>
    <row r="1131" spans="1:18" hidden="1">
      <c r="A1131" s="7" t="s">
        <v>29</v>
      </c>
      <c r="B1131" s="8">
        <v>20442</v>
      </c>
      <c r="C1131" s="9">
        <v>45912.394930555551</v>
      </c>
      <c r="D1131" s="9">
        <v>45911</v>
      </c>
      <c r="E1131" s="9">
        <v>45911</v>
      </c>
      <c r="F1131" s="7" t="s">
        <v>3813</v>
      </c>
      <c r="G1131" s="7" t="s">
        <v>3814</v>
      </c>
      <c r="H1131" s="7" t="s">
        <v>3815</v>
      </c>
      <c r="I1131" s="7" t="s">
        <v>3816</v>
      </c>
      <c r="J1131" s="7" t="s">
        <v>176</v>
      </c>
      <c r="K1131" s="7" t="s">
        <v>360</v>
      </c>
      <c r="L1131" s="10">
        <v>1499</v>
      </c>
      <c r="M1131" s="10">
        <v>1499</v>
      </c>
      <c r="N1131" s="10">
        <f>+L1131-M1131</f>
        <v>0</v>
      </c>
      <c r="O1131" s="10">
        <v>1499</v>
      </c>
      <c r="P1131" s="10">
        <f>+L1131-O1131</f>
        <v>0</v>
      </c>
      <c r="Q1131" s="10">
        <v>0</v>
      </c>
      <c r="R1131" s="7" t="s">
        <v>27</v>
      </c>
    </row>
    <row r="1132" spans="1:18" hidden="1">
      <c r="A1132" s="7" t="s">
        <v>29</v>
      </c>
      <c r="B1132" s="8">
        <v>20337</v>
      </c>
      <c r="C1132" s="9">
        <v>45896.431851851848</v>
      </c>
      <c r="D1132" s="9">
        <v>45895</v>
      </c>
      <c r="E1132" s="9">
        <v>45895</v>
      </c>
      <c r="F1132" s="7" t="s">
        <v>3817</v>
      </c>
      <c r="G1132" s="7" t="s">
        <v>3818</v>
      </c>
      <c r="H1132" s="7" t="s">
        <v>3819</v>
      </c>
      <c r="I1132" s="7" t="s">
        <v>3820</v>
      </c>
      <c r="J1132" s="7" t="s">
        <v>176</v>
      </c>
      <c r="K1132" s="7" t="s">
        <v>360</v>
      </c>
      <c r="L1132" s="10">
        <v>1499</v>
      </c>
      <c r="M1132" s="10">
        <v>1499</v>
      </c>
      <c r="N1132" s="10">
        <f>+L1132-M1132</f>
        <v>0</v>
      </c>
      <c r="O1132" s="10">
        <v>1499</v>
      </c>
      <c r="P1132" s="10">
        <f>+L1132-O1132</f>
        <v>0</v>
      </c>
      <c r="Q1132" s="10">
        <v>0</v>
      </c>
      <c r="R1132" s="7" t="s">
        <v>27</v>
      </c>
    </row>
    <row r="1133" spans="1:18" hidden="1">
      <c r="A1133" s="7" t="s">
        <v>29</v>
      </c>
      <c r="B1133" s="8">
        <v>20270</v>
      </c>
      <c r="C1133" s="9">
        <v>45881.365717592591</v>
      </c>
      <c r="D1133" s="9">
        <v>45880</v>
      </c>
      <c r="E1133" s="9">
        <v>45880</v>
      </c>
      <c r="F1133" s="7" t="s">
        <v>3821</v>
      </c>
      <c r="G1133" s="7" t="s">
        <v>3822</v>
      </c>
      <c r="H1133" s="7" t="s">
        <v>3823</v>
      </c>
      <c r="I1133" s="7" t="s">
        <v>3824</v>
      </c>
      <c r="J1133" s="7" t="s">
        <v>176</v>
      </c>
      <c r="K1133" s="7" t="s">
        <v>494</v>
      </c>
      <c r="L1133" s="10">
        <v>1499</v>
      </c>
      <c r="M1133" s="10">
        <v>1499</v>
      </c>
      <c r="N1133" s="10">
        <f>+L1133-M1133</f>
        <v>0</v>
      </c>
      <c r="O1133" s="10">
        <v>1499</v>
      </c>
      <c r="P1133" s="10">
        <f>+L1133-O1133</f>
        <v>0</v>
      </c>
      <c r="Q1133" s="10">
        <v>0</v>
      </c>
      <c r="R1133" s="7" t="s">
        <v>27</v>
      </c>
    </row>
    <row r="1134" spans="1:18" hidden="1">
      <c r="A1134" s="7" t="s">
        <v>29</v>
      </c>
      <c r="B1134" s="8">
        <v>19951</v>
      </c>
      <c r="C1134" s="9">
        <v>45820.452384259261</v>
      </c>
      <c r="D1134" s="9">
        <v>45819</v>
      </c>
      <c r="E1134" s="9">
        <v>45819</v>
      </c>
      <c r="F1134" s="7" t="s">
        <v>3825</v>
      </c>
      <c r="G1134" s="7" t="s">
        <v>3826</v>
      </c>
      <c r="H1134" s="7" t="s">
        <v>3827</v>
      </c>
      <c r="I1134" s="7" t="s">
        <v>3828</v>
      </c>
      <c r="J1134" s="7" t="s">
        <v>176</v>
      </c>
      <c r="K1134" s="7" t="s">
        <v>494</v>
      </c>
      <c r="L1134" s="10">
        <v>1499</v>
      </c>
      <c r="M1134" s="10">
        <v>1499</v>
      </c>
      <c r="N1134" s="10">
        <f>+L1134-M1134</f>
        <v>0</v>
      </c>
      <c r="O1134" s="10">
        <v>1499</v>
      </c>
      <c r="P1134" s="10">
        <f>+L1134-O1134</f>
        <v>0</v>
      </c>
      <c r="Q1134" s="10">
        <v>0</v>
      </c>
      <c r="R1134" s="7" t="s">
        <v>27</v>
      </c>
    </row>
    <row r="1135" spans="1:18" hidden="1">
      <c r="A1135" s="7" t="s">
        <v>29</v>
      </c>
      <c r="B1135" s="8">
        <v>19793</v>
      </c>
      <c r="C1135" s="9">
        <v>45789.450648148144</v>
      </c>
      <c r="D1135" s="9">
        <v>45787</v>
      </c>
      <c r="E1135" s="9">
        <v>45787</v>
      </c>
      <c r="F1135" s="7" t="s">
        <v>3829</v>
      </c>
      <c r="G1135" s="7" t="s">
        <v>3830</v>
      </c>
      <c r="H1135" s="7" t="s">
        <v>3831</v>
      </c>
      <c r="I1135" s="7" t="s">
        <v>3832</v>
      </c>
      <c r="J1135" s="7" t="s">
        <v>176</v>
      </c>
      <c r="K1135" s="7" t="s">
        <v>494</v>
      </c>
      <c r="L1135" s="10">
        <v>1499</v>
      </c>
      <c r="M1135" s="10">
        <v>1499</v>
      </c>
      <c r="N1135" s="10">
        <f>+L1135-M1135</f>
        <v>0</v>
      </c>
      <c r="O1135" s="10">
        <v>1499</v>
      </c>
      <c r="P1135" s="10">
        <f>+L1135-O1135</f>
        <v>0</v>
      </c>
      <c r="Q1135" s="10">
        <v>0</v>
      </c>
      <c r="R1135" s="7" t="s">
        <v>27</v>
      </c>
    </row>
    <row r="1136" spans="1:18" hidden="1">
      <c r="A1136" s="7" t="s">
        <v>29</v>
      </c>
      <c r="B1136" s="8">
        <v>19800</v>
      </c>
      <c r="C1136" s="9">
        <v>45790.414027777777</v>
      </c>
      <c r="D1136" s="9">
        <v>45787</v>
      </c>
      <c r="E1136" s="9">
        <v>45789</v>
      </c>
      <c r="F1136" s="7" t="s">
        <v>3833</v>
      </c>
      <c r="G1136" s="7" t="s">
        <v>3834</v>
      </c>
      <c r="H1136" s="7" t="s">
        <v>3835</v>
      </c>
      <c r="I1136" s="7" t="s">
        <v>3836</v>
      </c>
      <c r="J1136" s="7" t="s">
        <v>176</v>
      </c>
      <c r="K1136" s="7" t="s">
        <v>494</v>
      </c>
      <c r="L1136" s="10">
        <v>1499</v>
      </c>
      <c r="M1136" s="10">
        <v>1499</v>
      </c>
      <c r="N1136" s="10">
        <f>+L1136-M1136</f>
        <v>0</v>
      </c>
      <c r="O1136" s="10">
        <v>1499</v>
      </c>
      <c r="P1136" s="10">
        <f>+L1136-O1136</f>
        <v>0</v>
      </c>
      <c r="Q1136" s="10">
        <v>0</v>
      </c>
      <c r="R1136" s="7" t="s">
        <v>27</v>
      </c>
    </row>
    <row r="1137" spans="1:18" hidden="1">
      <c r="A1137" s="7" t="s">
        <v>29</v>
      </c>
      <c r="B1137" s="8">
        <v>20528</v>
      </c>
      <c r="C1137" s="9">
        <v>45930.6408912037</v>
      </c>
      <c r="D1137" s="9">
        <v>45929</v>
      </c>
      <c r="E1137" s="9">
        <v>45929</v>
      </c>
      <c r="F1137" s="7" t="s">
        <v>3837</v>
      </c>
      <c r="G1137" s="7" t="s">
        <v>3838</v>
      </c>
      <c r="H1137" s="7" t="s">
        <v>3839</v>
      </c>
      <c r="I1137" s="7" t="s">
        <v>3840</v>
      </c>
      <c r="J1137" s="7" t="s">
        <v>176</v>
      </c>
      <c r="K1137" s="7" t="s">
        <v>360</v>
      </c>
      <c r="L1137" s="10">
        <v>1499</v>
      </c>
      <c r="M1137" s="10">
        <v>1499</v>
      </c>
      <c r="N1137" s="10">
        <f>+L1137-M1137</f>
        <v>0</v>
      </c>
      <c r="O1137" s="10">
        <v>1499</v>
      </c>
      <c r="P1137" s="10">
        <f>+L1137-O1137</f>
        <v>0</v>
      </c>
      <c r="Q1137" s="10">
        <v>0</v>
      </c>
      <c r="R1137" s="7" t="s">
        <v>27</v>
      </c>
    </row>
    <row r="1138" spans="1:18" hidden="1">
      <c r="A1138" s="7" t="s">
        <v>29</v>
      </c>
      <c r="B1138" s="8">
        <v>4304</v>
      </c>
      <c r="C1138" s="9">
        <v>45987.362581018519</v>
      </c>
      <c r="D1138" s="9">
        <v>46017</v>
      </c>
      <c r="E1138" s="9">
        <v>46017</v>
      </c>
      <c r="F1138" s="7" t="s">
        <v>3841</v>
      </c>
      <c r="G1138" s="7" t="s">
        <v>2026</v>
      </c>
      <c r="H1138" s="7" t="s">
        <v>3087</v>
      </c>
      <c r="I1138" s="7" t="s">
        <v>1483</v>
      </c>
      <c r="J1138" s="7" t="s">
        <v>25</v>
      </c>
      <c r="K1138" s="7" t="s">
        <v>206</v>
      </c>
      <c r="L1138" s="10">
        <v>1561.14</v>
      </c>
      <c r="M1138" s="10">
        <v>1561.14</v>
      </c>
      <c r="N1138" s="15">
        <f>+L1138-M1138</f>
        <v>0</v>
      </c>
      <c r="O1138" s="15">
        <v>1561.14</v>
      </c>
      <c r="P1138" s="15">
        <f>+L1138-O1138</f>
        <v>0</v>
      </c>
      <c r="Q1138" s="10">
        <v>0</v>
      </c>
      <c r="R1138" s="7" t="s">
        <v>87</v>
      </c>
    </row>
    <row r="1139" spans="1:18" hidden="1">
      <c r="A1139" s="7" t="s">
        <v>29</v>
      </c>
      <c r="B1139" s="8">
        <v>4251</v>
      </c>
      <c r="C1139" s="9">
        <v>45895.445821759255</v>
      </c>
      <c r="D1139" s="9">
        <v>45881</v>
      </c>
      <c r="E1139" s="9">
        <v>45881</v>
      </c>
      <c r="F1139" s="7" t="s">
        <v>3842</v>
      </c>
      <c r="G1139" s="7" t="s">
        <v>3843</v>
      </c>
      <c r="H1139" s="7" t="s">
        <v>3844</v>
      </c>
      <c r="I1139" s="7" t="s">
        <v>3845</v>
      </c>
      <c r="J1139" s="7" t="s">
        <v>25</v>
      </c>
      <c r="K1139" s="7" t="s">
        <v>125</v>
      </c>
      <c r="L1139" s="10">
        <v>1542.45</v>
      </c>
      <c r="M1139" s="10">
        <v>1542.45</v>
      </c>
      <c r="N1139" s="15">
        <f>+L1139-M1139</f>
        <v>0</v>
      </c>
      <c r="O1139" s="15">
        <v>1542.45</v>
      </c>
      <c r="P1139" s="15">
        <f>+L1139-O1139</f>
        <v>0</v>
      </c>
      <c r="Q1139" s="10">
        <v>0</v>
      </c>
      <c r="R1139" s="7" t="s">
        <v>87</v>
      </c>
    </row>
    <row r="1140" spans="1:18">
      <c r="A1140" s="7" t="s">
        <v>29</v>
      </c>
      <c r="B1140" s="8">
        <v>19895</v>
      </c>
      <c r="C1140" s="9">
        <v>45810.357719907406</v>
      </c>
      <c r="D1140" s="9">
        <v>45838</v>
      </c>
      <c r="E1140" s="9">
        <v>45838</v>
      </c>
      <c r="F1140" s="7" t="s">
        <v>3846</v>
      </c>
      <c r="G1140" s="7" t="s">
        <v>3847</v>
      </c>
      <c r="H1140" s="7" t="s">
        <v>1165</v>
      </c>
      <c r="I1140" s="7" t="s">
        <v>1166</v>
      </c>
      <c r="J1140" s="7" t="s">
        <v>25</v>
      </c>
      <c r="K1140" s="7" t="s">
        <v>3018</v>
      </c>
      <c r="L1140" s="10">
        <v>1502.9</v>
      </c>
      <c r="M1140" s="10">
        <v>1502.9</v>
      </c>
      <c r="N1140" s="10">
        <f>+L1140-M1140</f>
        <v>0</v>
      </c>
      <c r="O1140" s="10">
        <v>1502.9</v>
      </c>
      <c r="P1140" s="10">
        <f>+L1140-O1140</f>
        <v>0</v>
      </c>
      <c r="Q1140" s="10">
        <v>0</v>
      </c>
      <c r="R1140" s="7" t="s">
        <v>27</v>
      </c>
    </row>
    <row r="1141" spans="1:18" hidden="1">
      <c r="A1141" s="7" t="s">
        <v>29</v>
      </c>
      <c r="B1141" s="8">
        <v>20282</v>
      </c>
      <c r="C1141" s="9">
        <v>45883.434988425921</v>
      </c>
      <c r="D1141" s="9">
        <v>45873</v>
      </c>
      <c r="E1141" s="9">
        <v>45873</v>
      </c>
      <c r="F1141" s="7" t="s">
        <v>3848</v>
      </c>
      <c r="G1141" s="7" t="s">
        <v>3849</v>
      </c>
      <c r="H1141" s="7" t="s">
        <v>3850</v>
      </c>
      <c r="I1141" s="7" t="s">
        <v>3851</v>
      </c>
      <c r="J1141" s="7" t="s">
        <v>176</v>
      </c>
      <c r="K1141" s="7" t="s">
        <v>494</v>
      </c>
      <c r="L1141" s="10">
        <v>1499</v>
      </c>
      <c r="M1141" s="10">
        <v>1499</v>
      </c>
      <c r="N1141" s="10">
        <f>+L1141-M1141</f>
        <v>0</v>
      </c>
      <c r="O1141" s="10">
        <v>1499</v>
      </c>
      <c r="P1141" s="10">
        <f>+L1141-O1141</f>
        <v>0</v>
      </c>
      <c r="Q1141" s="10">
        <v>0</v>
      </c>
      <c r="R1141" s="7" t="s">
        <v>27</v>
      </c>
    </row>
    <row r="1142" spans="1:18" hidden="1">
      <c r="A1142" s="7" t="s">
        <v>29</v>
      </c>
      <c r="B1142" s="8">
        <v>19973</v>
      </c>
      <c r="C1142" s="9">
        <v>45825.379699074074</v>
      </c>
      <c r="D1142" s="9">
        <v>45822</v>
      </c>
      <c r="E1142" s="9">
        <v>45822</v>
      </c>
      <c r="F1142" s="7" t="s">
        <v>3852</v>
      </c>
      <c r="G1142" s="7" t="s">
        <v>3853</v>
      </c>
      <c r="H1142" s="7" t="s">
        <v>3854</v>
      </c>
      <c r="I1142" s="7" t="s">
        <v>3855</v>
      </c>
      <c r="J1142" s="7" t="s">
        <v>176</v>
      </c>
      <c r="K1142" s="7" t="s">
        <v>494</v>
      </c>
      <c r="L1142" s="10">
        <v>1499</v>
      </c>
      <c r="M1142" s="10">
        <v>1499</v>
      </c>
      <c r="N1142" s="10">
        <f>+L1142-M1142</f>
        <v>0</v>
      </c>
      <c r="O1142" s="10">
        <v>1499</v>
      </c>
      <c r="P1142" s="10">
        <f>+L1142-O1142</f>
        <v>0</v>
      </c>
      <c r="Q1142" s="10">
        <v>0</v>
      </c>
      <c r="R1142" s="7" t="s">
        <v>27</v>
      </c>
    </row>
    <row r="1143" spans="1:18" hidden="1">
      <c r="A1143" s="7" t="s">
        <v>29</v>
      </c>
      <c r="B1143" s="8">
        <v>19953</v>
      </c>
      <c r="C1143" s="9">
        <v>45820.486597222218</v>
      </c>
      <c r="D1143" s="9">
        <v>45820</v>
      </c>
      <c r="E1143" s="9">
        <v>45820</v>
      </c>
      <c r="F1143" s="7" t="s">
        <v>3856</v>
      </c>
      <c r="G1143" s="7" t="s">
        <v>3857</v>
      </c>
      <c r="H1143" s="7" t="s">
        <v>2728</v>
      </c>
      <c r="I1143" s="7" t="s">
        <v>2729</v>
      </c>
      <c r="J1143" s="7" t="s">
        <v>34</v>
      </c>
      <c r="K1143" s="7" t="s">
        <v>451</v>
      </c>
      <c r="L1143" s="10">
        <v>1495.88</v>
      </c>
      <c r="M1143" s="10">
        <v>1495.88</v>
      </c>
      <c r="N1143" s="10">
        <f>+L1143-M1143</f>
        <v>0</v>
      </c>
      <c r="O1143" s="10">
        <v>1495.88</v>
      </c>
      <c r="P1143" s="10">
        <f>+L1143-O1143</f>
        <v>0</v>
      </c>
      <c r="Q1143" s="10">
        <v>0</v>
      </c>
      <c r="R1143" s="7" t="s">
        <v>27</v>
      </c>
    </row>
    <row r="1144" spans="1:18" hidden="1">
      <c r="A1144" s="7" t="s">
        <v>29</v>
      </c>
      <c r="B1144" s="8">
        <v>20794</v>
      </c>
      <c r="C1144" s="9">
        <v>46010.701122685183</v>
      </c>
      <c r="D1144" s="9">
        <v>46010</v>
      </c>
      <c r="E1144" s="9">
        <v>46041</v>
      </c>
      <c r="F1144" s="7" t="s">
        <v>3858</v>
      </c>
      <c r="G1144" s="7" t="s">
        <v>3859</v>
      </c>
      <c r="H1144" s="7" t="s">
        <v>2205</v>
      </c>
      <c r="I1144" s="7" t="s">
        <v>2206</v>
      </c>
      <c r="J1144" s="7" t="s">
        <v>34</v>
      </c>
      <c r="K1144" s="7" t="s">
        <v>118</v>
      </c>
      <c r="L1144" s="10">
        <v>1490.13</v>
      </c>
      <c r="M1144" s="10">
        <v>1490.13</v>
      </c>
      <c r="N1144" s="10">
        <f>+L1144-M1144</f>
        <v>0</v>
      </c>
      <c r="O1144" s="10">
        <v>1490.13</v>
      </c>
      <c r="P1144" s="10">
        <f>+L1144-O1144</f>
        <v>0</v>
      </c>
      <c r="Q1144" s="10">
        <v>0</v>
      </c>
      <c r="R1144" s="7" t="s">
        <v>27</v>
      </c>
    </row>
    <row r="1145" spans="1:18">
      <c r="A1145" s="7" t="s">
        <v>29</v>
      </c>
      <c r="B1145" s="8">
        <v>20581</v>
      </c>
      <c r="C1145" s="9">
        <v>45944.362782835648</v>
      </c>
      <c r="D1145" s="9">
        <v>45966</v>
      </c>
      <c r="E1145" s="9">
        <v>45943</v>
      </c>
      <c r="F1145" s="7" t="s">
        <v>3860</v>
      </c>
      <c r="G1145" s="7" t="s">
        <v>3861</v>
      </c>
      <c r="H1145" s="7" t="s">
        <v>3862</v>
      </c>
      <c r="I1145" s="7" t="s">
        <v>1603</v>
      </c>
      <c r="J1145" s="7" t="s">
        <v>25</v>
      </c>
      <c r="K1145" s="7" t="s">
        <v>407</v>
      </c>
      <c r="L1145" s="10">
        <v>1500.64</v>
      </c>
      <c r="M1145" s="10">
        <v>1500.64</v>
      </c>
      <c r="N1145" s="10">
        <f>+L1145-M1145</f>
        <v>0</v>
      </c>
      <c r="O1145" s="10">
        <v>1500.64</v>
      </c>
      <c r="P1145" s="10">
        <f>+L1145-O1145</f>
        <v>0</v>
      </c>
      <c r="Q1145" s="10">
        <v>0</v>
      </c>
      <c r="R1145" s="7" t="s">
        <v>27</v>
      </c>
    </row>
    <row r="1146" spans="1:18" hidden="1">
      <c r="A1146" s="7" t="s">
        <v>29</v>
      </c>
      <c r="B1146" s="8">
        <v>20850</v>
      </c>
      <c r="C1146" s="9">
        <v>46031.685891203699</v>
      </c>
      <c r="D1146" s="9">
        <v>45973</v>
      </c>
      <c r="E1146" s="9">
        <v>45973</v>
      </c>
      <c r="F1146" s="7" t="s">
        <v>3863</v>
      </c>
      <c r="G1146" s="7" t="s">
        <v>22</v>
      </c>
      <c r="H1146" s="7" t="s">
        <v>3864</v>
      </c>
      <c r="I1146" s="7" t="s">
        <v>3865</v>
      </c>
      <c r="J1146" s="7" t="s">
        <v>176</v>
      </c>
      <c r="K1146" s="7" t="s">
        <v>360</v>
      </c>
      <c r="L1146" s="10">
        <v>1456</v>
      </c>
      <c r="M1146" s="10">
        <v>1456</v>
      </c>
      <c r="N1146" s="10">
        <f>+L1146-M1146</f>
        <v>0</v>
      </c>
      <c r="O1146" s="10">
        <v>1456</v>
      </c>
      <c r="P1146" s="10">
        <f>+L1146-O1146</f>
        <v>0</v>
      </c>
      <c r="Q1146" s="10">
        <v>0</v>
      </c>
      <c r="R1146" s="7" t="s">
        <v>27</v>
      </c>
    </row>
    <row r="1147" spans="1:18" hidden="1">
      <c r="A1147" s="7" t="s">
        <v>29</v>
      </c>
      <c r="B1147" s="8">
        <v>20576</v>
      </c>
      <c r="C1147" s="9">
        <v>45943.694386574069</v>
      </c>
      <c r="D1147" s="9">
        <v>45735</v>
      </c>
      <c r="E1147" s="9">
        <v>45700</v>
      </c>
      <c r="F1147" s="7" t="s">
        <v>3866</v>
      </c>
      <c r="G1147" s="7" t="s">
        <v>3867</v>
      </c>
      <c r="H1147" s="7" t="s">
        <v>1325</v>
      </c>
      <c r="I1147" s="7" t="s">
        <v>74</v>
      </c>
      <c r="J1147" s="7" t="s">
        <v>176</v>
      </c>
      <c r="K1147" s="7" t="s">
        <v>550</v>
      </c>
      <c r="L1147" s="10">
        <v>1455.76</v>
      </c>
      <c r="M1147" s="10">
        <v>1455.76</v>
      </c>
      <c r="N1147" s="10">
        <f>+L1147-M1147</f>
        <v>0</v>
      </c>
      <c r="O1147" s="10">
        <v>1455.76</v>
      </c>
      <c r="P1147" s="10">
        <f>+L1147-O1147</f>
        <v>0</v>
      </c>
      <c r="Q1147" s="10">
        <v>0</v>
      </c>
      <c r="R1147" s="7" t="s">
        <v>27</v>
      </c>
    </row>
    <row r="1148" spans="1:18" hidden="1">
      <c r="A1148" s="7" t="s">
        <v>29</v>
      </c>
      <c r="B1148" s="8">
        <v>19850</v>
      </c>
      <c r="C1148" s="9">
        <v>45799.420798611107</v>
      </c>
      <c r="D1148" s="9">
        <v>45428</v>
      </c>
      <c r="E1148" s="9">
        <v>45421</v>
      </c>
      <c r="F1148" s="7" t="s">
        <v>3868</v>
      </c>
      <c r="G1148" s="7" t="s">
        <v>3869</v>
      </c>
      <c r="H1148" s="7" t="s">
        <v>2151</v>
      </c>
      <c r="I1148" s="7" t="s">
        <v>2152</v>
      </c>
      <c r="J1148" s="7" t="s">
        <v>176</v>
      </c>
      <c r="K1148" s="7" t="s">
        <v>317</v>
      </c>
      <c r="L1148" s="10">
        <v>1446</v>
      </c>
      <c r="M1148" s="10">
        <v>1446</v>
      </c>
      <c r="N1148" s="10">
        <f>+L1148-M1148</f>
        <v>0</v>
      </c>
      <c r="O1148" s="10">
        <v>1446</v>
      </c>
      <c r="P1148" s="10">
        <f>+L1148-O1148</f>
        <v>0</v>
      </c>
      <c r="Q1148" s="10">
        <v>0</v>
      </c>
      <c r="R1148" s="7" t="s">
        <v>27</v>
      </c>
    </row>
    <row r="1149" spans="1:18" hidden="1">
      <c r="A1149" s="7" t="s">
        <v>29</v>
      </c>
      <c r="B1149" s="8">
        <v>20709</v>
      </c>
      <c r="C1149" s="9">
        <v>45979.701412037037</v>
      </c>
      <c r="D1149" s="9">
        <v>45979</v>
      </c>
      <c r="E1149" s="9">
        <v>45972</v>
      </c>
      <c r="F1149" s="7" t="s">
        <v>3870</v>
      </c>
      <c r="G1149" s="7" t="s">
        <v>3871</v>
      </c>
      <c r="H1149" s="7" t="s">
        <v>1084</v>
      </c>
      <c r="I1149" s="7" t="s">
        <v>1085</v>
      </c>
      <c r="J1149" s="7" t="s">
        <v>34</v>
      </c>
      <c r="K1149" s="7" t="s">
        <v>412</v>
      </c>
      <c r="L1149" s="10">
        <v>1435.44</v>
      </c>
      <c r="M1149" s="10">
        <v>1435.44</v>
      </c>
      <c r="N1149" s="10">
        <f>+L1149-M1149</f>
        <v>0</v>
      </c>
      <c r="O1149" s="10">
        <v>1435.44</v>
      </c>
      <c r="P1149" s="10">
        <f>+L1149-O1149</f>
        <v>0</v>
      </c>
      <c r="Q1149" s="10">
        <v>0</v>
      </c>
      <c r="R1149" s="7" t="s">
        <v>27</v>
      </c>
    </row>
    <row r="1150" spans="1:18" hidden="1">
      <c r="A1150" s="7" t="s">
        <v>29</v>
      </c>
      <c r="B1150" s="8">
        <v>19656</v>
      </c>
      <c r="C1150" s="9">
        <v>45758.4453125</v>
      </c>
      <c r="D1150" s="9">
        <v>45770</v>
      </c>
      <c r="E1150" s="9">
        <v>45792</v>
      </c>
      <c r="F1150" s="7" t="s">
        <v>3872</v>
      </c>
      <c r="G1150" s="7" t="s">
        <v>3873</v>
      </c>
      <c r="H1150" s="7" t="s">
        <v>2832</v>
      </c>
      <c r="I1150" s="7" t="s">
        <v>2833</v>
      </c>
      <c r="J1150" s="7" t="s">
        <v>176</v>
      </c>
      <c r="K1150" s="7" t="s">
        <v>550</v>
      </c>
      <c r="L1150" s="10">
        <v>1435</v>
      </c>
      <c r="M1150" s="10">
        <v>1435</v>
      </c>
      <c r="N1150" s="10">
        <f>+L1150-M1150</f>
        <v>0</v>
      </c>
      <c r="O1150" s="10">
        <v>1435</v>
      </c>
      <c r="P1150" s="10">
        <f>+L1150-O1150</f>
        <v>0</v>
      </c>
      <c r="Q1150" s="10">
        <v>0</v>
      </c>
      <c r="R1150" s="7" t="s">
        <v>27</v>
      </c>
    </row>
    <row r="1151" spans="1:18" hidden="1">
      <c r="A1151" s="7" t="s">
        <v>29</v>
      </c>
      <c r="B1151" s="8">
        <v>20111</v>
      </c>
      <c r="C1151" s="9">
        <v>45845.707268518519</v>
      </c>
      <c r="D1151" s="9">
        <v>45845</v>
      </c>
      <c r="E1151" s="9">
        <v>45845</v>
      </c>
      <c r="F1151" s="7" t="s">
        <v>3874</v>
      </c>
      <c r="G1151" s="7" t="s">
        <v>3875</v>
      </c>
      <c r="H1151" s="7" t="s">
        <v>3876</v>
      </c>
      <c r="I1151" s="7" t="s">
        <v>3877</v>
      </c>
      <c r="J1151" s="7" t="s">
        <v>176</v>
      </c>
      <c r="K1151" s="7" t="s">
        <v>494</v>
      </c>
      <c r="L1151" s="10">
        <v>1433</v>
      </c>
      <c r="M1151" s="10">
        <v>1433</v>
      </c>
      <c r="N1151" s="10">
        <f>+L1151-M1151</f>
        <v>0</v>
      </c>
      <c r="O1151" s="10">
        <v>1433</v>
      </c>
      <c r="P1151" s="10">
        <f>+L1151-O1151</f>
        <v>0</v>
      </c>
      <c r="Q1151" s="10">
        <v>0</v>
      </c>
      <c r="R1151" s="7" t="s">
        <v>27</v>
      </c>
    </row>
    <row r="1152" spans="1:18" hidden="1">
      <c r="A1152" s="7" t="s">
        <v>29</v>
      </c>
      <c r="B1152" s="8">
        <v>19748</v>
      </c>
      <c r="C1152" s="9">
        <v>45776.692546296297</v>
      </c>
      <c r="D1152" s="9">
        <v>45766</v>
      </c>
      <c r="E1152" s="9">
        <v>45766</v>
      </c>
      <c r="F1152" s="7" t="s">
        <v>3878</v>
      </c>
      <c r="G1152" s="7" t="s">
        <v>3879</v>
      </c>
      <c r="H1152" s="7" t="s">
        <v>1195</v>
      </c>
      <c r="I1152" s="7" t="s">
        <v>1196</v>
      </c>
      <c r="J1152" s="7" t="s">
        <v>176</v>
      </c>
      <c r="K1152" s="7" t="s">
        <v>494</v>
      </c>
      <c r="L1152" s="10">
        <v>1412.4</v>
      </c>
      <c r="M1152" s="10">
        <v>1412.4</v>
      </c>
      <c r="N1152" s="10">
        <f>+L1152-M1152</f>
        <v>0</v>
      </c>
      <c r="O1152" s="10">
        <v>1412.4</v>
      </c>
      <c r="P1152" s="10">
        <f>+L1152-O1152</f>
        <v>0</v>
      </c>
      <c r="Q1152" s="10">
        <v>0</v>
      </c>
      <c r="R1152" s="7" t="s">
        <v>27</v>
      </c>
    </row>
    <row r="1153" spans="1:18" hidden="1">
      <c r="A1153" s="7" t="s">
        <v>29</v>
      </c>
      <c r="B1153" s="8">
        <v>4204</v>
      </c>
      <c r="C1153" s="9">
        <v>45796.448657407404</v>
      </c>
      <c r="D1153" s="9">
        <v>45796</v>
      </c>
      <c r="E1153" s="9">
        <v>45796</v>
      </c>
      <c r="F1153" s="7" t="s">
        <v>3880</v>
      </c>
      <c r="G1153" s="7" t="s">
        <v>3881</v>
      </c>
      <c r="H1153" s="7" t="s">
        <v>3882</v>
      </c>
      <c r="I1153" s="7" t="s">
        <v>3883</v>
      </c>
      <c r="J1153" s="7" t="s">
        <v>25</v>
      </c>
      <c r="K1153" s="7" t="s">
        <v>3884</v>
      </c>
      <c r="L1153" s="10">
        <v>1500</v>
      </c>
      <c r="M1153" s="10">
        <v>1500</v>
      </c>
      <c r="N1153" s="15">
        <f>+L1153-M1153</f>
        <v>0</v>
      </c>
      <c r="O1153" s="15">
        <v>1500</v>
      </c>
      <c r="P1153" s="15">
        <f>+L1153-O1153</f>
        <v>0</v>
      </c>
      <c r="Q1153" s="10">
        <v>0</v>
      </c>
      <c r="R1153" s="7" t="s">
        <v>87</v>
      </c>
    </row>
    <row r="1154" spans="1:18">
      <c r="A1154" s="7" t="s">
        <v>29</v>
      </c>
      <c r="B1154" s="8">
        <v>20237</v>
      </c>
      <c r="C1154" s="9">
        <v>45875.362251886574</v>
      </c>
      <c r="D1154" s="9">
        <v>45873</v>
      </c>
      <c r="E1154" s="9">
        <v>45873</v>
      </c>
      <c r="F1154" s="7" t="s">
        <v>3885</v>
      </c>
      <c r="G1154" s="7" t="s">
        <v>3886</v>
      </c>
      <c r="H1154" s="7" t="s">
        <v>783</v>
      </c>
      <c r="I1154" s="7" t="s">
        <v>784</v>
      </c>
      <c r="J1154" s="7" t="s">
        <v>25</v>
      </c>
      <c r="K1154" s="7" t="s">
        <v>55</v>
      </c>
      <c r="L1154" s="10">
        <v>1430.92</v>
      </c>
      <c r="M1154" s="10">
        <v>1430.92</v>
      </c>
      <c r="N1154" s="10">
        <f>+L1154-M1154</f>
        <v>0</v>
      </c>
      <c r="O1154" s="10">
        <v>1430.92</v>
      </c>
      <c r="P1154" s="10">
        <f>+L1154-O1154</f>
        <v>0</v>
      </c>
      <c r="Q1154" s="10">
        <v>0</v>
      </c>
      <c r="R1154" s="7" t="s">
        <v>27</v>
      </c>
    </row>
    <row r="1155" spans="1:18">
      <c r="A1155" s="7" t="s">
        <v>29</v>
      </c>
      <c r="B1155" s="8">
        <v>19597</v>
      </c>
      <c r="C1155" s="9">
        <v>45748.613159108798</v>
      </c>
      <c r="D1155" s="9">
        <v>45750</v>
      </c>
      <c r="E1155" s="9">
        <v>45747</v>
      </c>
      <c r="F1155" s="7" t="s">
        <v>3887</v>
      </c>
      <c r="G1155" s="7" t="s">
        <v>3888</v>
      </c>
      <c r="H1155" s="7" t="s">
        <v>3889</v>
      </c>
      <c r="I1155" s="7" t="s">
        <v>3770</v>
      </c>
      <c r="J1155" s="7" t="s">
        <v>25</v>
      </c>
      <c r="K1155" s="7" t="s">
        <v>55</v>
      </c>
      <c r="L1155" s="10">
        <v>1410.73</v>
      </c>
      <c r="M1155" s="10">
        <v>1410.73</v>
      </c>
      <c r="N1155" s="10">
        <f>+L1155-M1155</f>
        <v>0</v>
      </c>
      <c r="O1155" s="10">
        <v>1410.73</v>
      </c>
      <c r="P1155" s="10">
        <f>+L1155-O1155</f>
        <v>0</v>
      </c>
      <c r="Q1155" s="10">
        <v>0</v>
      </c>
      <c r="R1155" s="7" t="s">
        <v>27</v>
      </c>
    </row>
    <row r="1156" spans="1:18">
      <c r="A1156" s="7" t="s">
        <v>29</v>
      </c>
      <c r="B1156" s="8">
        <v>20613</v>
      </c>
      <c r="C1156" s="9">
        <v>45953.623703703699</v>
      </c>
      <c r="D1156" s="9">
        <v>45979</v>
      </c>
      <c r="E1156" s="9">
        <v>45972</v>
      </c>
      <c r="F1156" s="7" t="s">
        <v>3890</v>
      </c>
      <c r="G1156" s="7" t="s">
        <v>3891</v>
      </c>
      <c r="H1156" s="7" t="s">
        <v>2205</v>
      </c>
      <c r="I1156" s="7" t="s">
        <v>2206</v>
      </c>
      <c r="J1156" s="7" t="s">
        <v>25</v>
      </c>
      <c r="K1156" s="7" t="s">
        <v>26</v>
      </c>
      <c r="L1156" s="10">
        <v>1409.45</v>
      </c>
      <c r="M1156" s="10">
        <v>1409.45</v>
      </c>
      <c r="N1156" s="10">
        <f>+L1156-M1156</f>
        <v>0</v>
      </c>
      <c r="O1156" s="10">
        <v>1409.45</v>
      </c>
      <c r="P1156" s="10">
        <f>+L1156-O1156</f>
        <v>0</v>
      </c>
      <c r="Q1156" s="10">
        <v>0</v>
      </c>
      <c r="R1156" s="7" t="s">
        <v>27</v>
      </c>
    </row>
    <row r="1157" spans="1:18">
      <c r="A1157" s="7" t="s">
        <v>29</v>
      </c>
      <c r="B1157" s="8">
        <v>19730</v>
      </c>
      <c r="C1157" s="9">
        <v>45776.451516203699</v>
      </c>
      <c r="D1157" s="9">
        <v>45807</v>
      </c>
      <c r="E1157" s="9">
        <v>45775</v>
      </c>
      <c r="F1157" s="7" t="s">
        <v>3892</v>
      </c>
      <c r="G1157" s="7" t="s">
        <v>3893</v>
      </c>
      <c r="H1157" s="7" t="s">
        <v>3894</v>
      </c>
      <c r="I1157" s="7" t="s">
        <v>3895</v>
      </c>
      <c r="J1157" s="7" t="s">
        <v>25</v>
      </c>
      <c r="K1157" s="7" t="s">
        <v>26</v>
      </c>
      <c r="L1157" s="10">
        <v>1408.3</v>
      </c>
      <c r="M1157" s="10">
        <v>1408.3</v>
      </c>
      <c r="N1157" s="10">
        <f>+L1157-M1157</f>
        <v>0</v>
      </c>
      <c r="O1157" s="10">
        <v>1408.3</v>
      </c>
      <c r="P1157" s="10">
        <f>+L1157-O1157</f>
        <v>0</v>
      </c>
      <c r="Q1157" s="10">
        <v>0</v>
      </c>
      <c r="R1157" s="7" t="s">
        <v>27</v>
      </c>
    </row>
    <row r="1158" spans="1:18">
      <c r="A1158" s="7" t="s">
        <v>29</v>
      </c>
      <c r="B1158" s="8">
        <v>20765</v>
      </c>
      <c r="C1158" s="9">
        <v>45999.433026620369</v>
      </c>
      <c r="D1158" s="9">
        <v>45994</v>
      </c>
      <c r="E1158" s="9">
        <v>46038</v>
      </c>
      <c r="F1158" s="7" t="s">
        <v>3896</v>
      </c>
      <c r="G1158" s="7" t="s">
        <v>3897</v>
      </c>
      <c r="H1158" s="7" t="s">
        <v>1831</v>
      </c>
      <c r="I1158" s="7" t="s">
        <v>1832</v>
      </c>
      <c r="J1158" s="7" t="s">
        <v>25</v>
      </c>
      <c r="K1158" s="7" t="s">
        <v>407</v>
      </c>
      <c r="L1158" s="10">
        <v>1400</v>
      </c>
      <c r="M1158" s="10">
        <v>1400</v>
      </c>
      <c r="N1158" s="10">
        <f>+L1158-M1158</f>
        <v>0</v>
      </c>
      <c r="O1158" s="10">
        <v>1400</v>
      </c>
      <c r="P1158" s="10">
        <f>+L1158-O1158</f>
        <v>0</v>
      </c>
      <c r="Q1158" s="10">
        <v>0</v>
      </c>
      <c r="R1158" s="7" t="s">
        <v>27</v>
      </c>
    </row>
    <row r="1159" spans="1:18" hidden="1">
      <c r="A1159" s="7" t="s">
        <v>29</v>
      </c>
      <c r="B1159" s="8">
        <v>19633</v>
      </c>
      <c r="C1159" s="9">
        <v>45754.582442129627</v>
      </c>
      <c r="D1159" s="9">
        <v>45754</v>
      </c>
      <c r="E1159" s="9">
        <v>45657</v>
      </c>
      <c r="F1159" s="7" t="s">
        <v>3898</v>
      </c>
      <c r="G1159" s="7" t="s">
        <v>3899</v>
      </c>
      <c r="H1159" s="7" t="s">
        <v>3900</v>
      </c>
      <c r="I1159" s="7" t="s">
        <v>3901</v>
      </c>
      <c r="J1159" s="7" t="s">
        <v>34</v>
      </c>
      <c r="K1159" s="7" t="s">
        <v>269</v>
      </c>
      <c r="L1159" s="10">
        <v>1407.53</v>
      </c>
      <c r="M1159" s="10">
        <v>1407.53</v>
      </c>
      <c r="N1159" s="10">
        <f>+L1159-M1159</f>
        <v>0</v>
      </c>
      <c r="O1159" s="10">
        <v>1407.53</v>
      </c>
      <c r="P1159" s="10">
        <f>+L1159-O1159</f>
        <v>0</v>
      </c>
      <c r="Q1159" s="10">
        <v>0</v>
      </c>
      <c r="R1159" s="7" t="s">
        <v>27</v>
      </c>
    </row>
    <row r="1160" spans="1:18">
      <c r="A1160" s="7" t="s">
        <v>29</v>
      </c>
      <c r="B1160" s="8">
        <v>20217</v>
      </c>
      <c r="C1160" s="9">
        <v>45870.390659722223</v>
      </c>
      <c r="D1160" s="9">
        <v>45883</v>
      </c>
      <c r="E1160" s="9">
        <v>45841</v>
      </c>
      <c r="F1160" s="7" t="s">
        <v>3902</v>
      </c>
      <c r="G1160" s="7" t="s">
        <v>3903</v>
      </c>
      <c r="H1160" s="7" t="s">
        <v>3904</v>
      </c>
      <c r="I1160" s="7" t="s">
        <v>3905</v>
      </c>
      <c r="J1160" s="7" t="s">
        <v>25</v>
      </c>
      <c r="K1160" s="7" t="s">
        <v>55</v>
      </c>
      <c r="L1160" s="10">
        <v>1372.95</v>
      </c>
      <c r="M1160" s="10">
        <v>1372.95</v>
      </c>
      <c r="N1160" s="10">
        <f>+L1160-M1160</f>
        <v>0</v>
      </c>
      <c r="O1160" s="10">
        <v>1372.95</v>
      </c>
      <c r="P1160" s="10">
        <f>+L1160-O1160</f>
        <v>0</v>
      </c>
      <c r="Q1160" s="10">
        <v>0</v>
      </c>
      <c r="R1160" s="7" t="s">
        <v>27</v>
      </c>
    </row>
    <row r="1161" spans="1:18" hidden="1">
      <c r="A1161" s="7" t="s">
        <v>29</v>
      </c>
      <c r="B1161" s="8">
        <v>4273</v>
      </c>
      <c r="C1161" s="9">
        <v>45937.453344907408</v>
      </c>
      <c r="D1161" s="9">
        <v>45926</v>
      </c>
      <c r="E1161" s="9">
        <v>45961</v>
      </c>
      <c r="F1161" s="7" t="s">
        <v>3906</v>
      </c>
      <c r="G1161" s="7" t="s">
        <v>2947</v>
      </c>
      <c r="H1161" s="7" t="s">
        <v>3907</v>
      </c>
      <c r="I1161" s="7" t="s">
        <v>3908</v>
      </c>
      <c r="J1161" s="7" t="s">
        <v>25</v>
      </c>
      <c r="K1161" s="7" t="s">
        <v>206</v>
      </c>
      <c r="L1161" s="10">
        <v>1361.44</v>
      </c>
      <c r="M1161" s="10">
        <v>1361.44</v>
      </c>
      <c r="N1161" s="15">
        <f>+L1161-M1161</f>
        <v>0</v>
      </c>
      <c r="O1161" s="15">
        <v>1361.44</v>
      </c>
      <c r="P1161" s="15">
        <f>+L1161-O1161</f>
        <v>0</v>
      </c>
      <c r="Q1161" s="10">
        <v>0</v>
      </c>
      <c r="R1161" s="7" t="s">
        <v>87</v>
      </c>
    </row>
    <row r="1162" spans="1:18" hidden="1">
      <c r="A1162" s="7" t="s">
        <v>29</v>
      </c>
      <c r="B1162" s="8">
        <v>20946</v>
      </c>
      <c r="C1162" s="9">
        <v>46059.511111111111</v>
      </c>
      <c r="D1162" s="9">
        <v>45989</v>
      </c>
      <c r="E1162" s="9">
        <v>45989</v>
      </c>
      <c r="F1162" s="7" t="s">
        <v>3909</v>
      </c>
      <c r="G1162" s="7" t="s">
        <v>3910</v>
      </c>
      <c r="H1162" s="7" t="s">
        <v>3911</v>
      </c>
      <c r="I1162" s="7" t="s">
        <v>3912</v>
      </c>
      <c r="J1162" s="7" t="s">
        <v>176</v>
      </c>
      <c r="K1162" s="7" t="s">
        <v>360</v>
      </c>
      <c r="L1162" s="10">
        <v>1389.48</v>
      </c>
      <c r="M1162" s="10">
        <v>1389.48</v>
      </c>
      <c r="N1162" s="10">
        <f>+L1162-M1162</f>
        <v>0</v>
      </c>
      <c r="O1162" s="10">
        <v>1389.48</v>
      </c>
      <c r="P1162" s="10">
        <f>+L1162-O1162</f>
        <v>0</v>
      </c>
      <c r="Q1162" s="10">
        <v>0</v>
      </c>
      <c r="R1162" s="7" t="s">
        <v>27</v>
      </c>
    </row>
    <row r="1163" spans="1:18" hidden="1">
      <c r="A1163" s="7" t="s">
        <v>29</v>
      </c>
      <c r="B1163" s="8">
        <v>19816</v>
      </c>
      <c r="C1163" s="9">
        <v>45792.454189814816</v>
      </c>
      <c r="D1163" s="9">
        <v>45785</v>
      </c>
      <c r="E1163" s="9">
        <v>45786</v>
      </c>
      <c r="F1163" s="7" t="s">
        <v>3913</v>
      </c>
      <c r="G1163" s="7" t="s">
        <v>3914</v>
      </c>
      <c r="H1163" s="7" t="s">
        <v>3915</v>
      </c>
      <c r="I1163" s="7" t="s">
        <v>3916</v>
      </c>
      <c r="J1163" s="7" t="s">
        <v>176</v>
      </c>
      <c r="K1163" s="7" t="s">
        <v>494</v>
      </c>
      <c r="L1163" s="10">
        <v>1389</v>
      </c>
      <c r="M1163" s="10">
        <v>1389</v>
      </c>
      <c r="N1163" s="10">
        <f>+L1163-M1163</f>
        <v>0</v>
      </c>
      <c r="O1163" s="10">
        <v>1389</v>
      </c>
      <c r="P1163" s="10">
        <f>+L1163-O1163</f>
        <v>0</v>
      </c>
      <c r="Q1163" s="10">
        <v>0</v>
      </c>
      <c r="R1163" s="7" t="s">
        <v>27</v>
      </c>
    </row>
    <row r="1164" spans="1:18" hidden="1">
      <c r="A1164" s="7" t="s">
        <v>29</v>
      </c>
      <c r="B1164" s="8">
        <v>20644</v>
      </c>
      <c r="C1164" s="9">
        <v>45960.662442129629</v>
      </c>
      <c r="D1164" s="9">
        <v>45960</v>
      </c>
      <c r="E1164" s="9">
        <v>45960</v>
      </c>
      <c r="F1164" s="7" t="s">
        <v>3917</v>
      </c>
      <c r="G1164" s="7" t="s">
        <v>3918</v>
      </c>
      <c r="H1164" s="7" t="s">
        <v>3919</v>
      </c>
      <c r="I1164" s="7" t="s">
        <v>3920</v>
      </c>
      <c r="J1164" s="7" t="s">
        <v>34</v>
      </c>
      <c r="K1164" s="7" t="s">
        <v>902</v>
      </c>
      <c r="L1164" s="10">
        <v>1380.69</v>
      </c>
      <c r="M1164" s="10">
        <v>1380.69</v>
      </c>
      <c r="N1164" s="10">
        <f>+L1164-M1164</f>
        <v>0</v>
      </c>
      <c r="O1164" s="10">
        <v>1380.69</v>
      </c>
      <c r="P1164" s="10">
        <f>+L1164-O1164</f>
        <v>0</v>
      </c>
      <c r="Q1164" s="10">
        <v>0</v>
      </c>
      <c r="R1164" s="7" t="s">
        <v>27</v>
      </c>
    </row>
    <row r="1165" spans="1:18">
      <c r="A1165" s="7" t="s">
        <v>29</v>
      </c>
      <c r="B1165" s="8">
        <v>19929</v>
      </c>
      <c r="C1165" s="9">
        <v>45813.461898148147</v>
      </c>
      <c r="D1165" s="9">
        <v>45856</v>
      </c>
      <c r="E1165" s="9">
        <v>45845</v>
      </c>
      <c r="F1165" s="7" t="s">
        <v>3921</v>
      </c>
      <c r="G1165" s="7" t="s">
        <v>3922</v>
      </c>
      <c r="H1165" s="7" t="s">
        <v>1379</v>
      </c>
      <c r="I1165" s="7" t="s">
        <v>1380</v>
      </c>
      <c r="J1165" s="7" t="s">
        <v>25</v>
      </c>
      <c r="K1165" s="7" t="s">
        <v>3018</v>
      </c>
      <c r="L1165" s="10">
        <v>1356</v>
      </c>
      <c r="M1165" s="10">
        <v>1356</v>
      </c>
      <c r="N1165" s="10">
        <f>+L1165-M1165</f>
        <v>0</v>
      </c>
      <c r="O1165" s="10">
        <v>1356</v>
      </c>
      <c r="P1165" s="10">
        <f>+L1165-O1165</f>
        <v>0</v>
      </c>
      <c r="Q1165" s="10">
        <v>0</v>
      </c>
      <c r="R1165" s="7" t="s">
        <v>27</v>
      </c>
    </row>
    <row r="1166" spans="1:18" hidden="1">
      <c r="A1166" s="7" t="s">
        <v>29</v>
      </c>
      <c r="B1166" s="8">
        <v>20924</v>
      </c>
      <c r="C1166" s="9">
        <v>46052.747303703705</v>
      </c>
      <c r="D1166" s="9">
        <v>46050</v>
      </c>
      <c r="E1166" s="9">
        <v>46050</v>
      </c>
      <c r="F1166" s="7" t="s">
        <v>3923</v>
      </c>
      <c r="G1166" s="7" t="s">
        <v>3924</v>
      </c>
      <c r="H1166" s="7" t="s">
        <v>3925</v>
      </c>
      <c r="I1166" s="7" t="s">
        <v>3926</v>
      </c>
      <c r="J1166" s="7" t="s">
        <v>176</v>
      </c>
      <c r="K1166" s="7" t="s">
        <v>360</v>
      </c>
      <c r="L1166" s="10">
        <v>1368</v>
      </c>
      <c r="M1166" s="10">
        <v>1368</v>
      </c>
      <c r="N1166" s="10">
        <f>+L1166-M1166</f>
        <v>0</v>
      </c>
      <c r="O1166" s="10">
        <v>1368</v>
      </c>
      <c r="P1166" s="10">
        <f>+L1166-O1166</f>
        <v>0</v>
      </c>
      <c r="Q1166" s="10">
        <v>0</v>
      </c>
      <c r="R1166" s="7" t="s">
        <v>27</v>
      </c>
    </row>
    <row r="1167" spans="1:18" hidden="1">
      <c r="A1167" s="7" t="s">
        <v>29</v>
      </c>
      <c r="B1167" s="8">
        <v>19791</v>
      </c>
      <c r="C1167" s="9">
        <v>45786.859131944446</v>
      </c>
      <c r="D1167" s="9">
        <v>45786</v>
      </c>
      <c r="E1167" s="9">
        <v>45786</v>
      </c>
      <c r="F1167" s="7" t="s">
        <v>3927</v>
      </c>
      <c r="G1167" s="7" t="s">
        <v>3928</v>
      </c>
      <c r="H1167" s="7" t="s">
        <v>3929</v>
      </c>
      <c r="I1167" s="7" t="s">
        <v>3930</v>
      </c>
      <c r="J1167" s="7" t="s">
        <v>34</v>
      </c>
      <c r="K1167" s="7" t="s">
        <v>902</v>
      </c>
      <c r="L1167" s="10">
        <v>1357.91</v>
      </c>
      <c r="M1167" s="10">
        <v>1357.91</v>
      </c>
      <c r="N1167" s="10">
        <f>+L1167-M1167</f>
        <v>0</v>
      </c>
      <c r="O1167" s="10">
        <v>1357.91</v>
      </c>
      <c r="P1167" s="10">
        <f>+L1167-O1167</f>
        <v>0</v>
      </c>
      <c r="Q1167" s="10">
        <v>0</v>
      </c>
      <c r="R1167" s="7" t="s">
        <v>27</v>
      </c>
    </row>
    <row r="1168" spans="1:18" hidden="1">
      <c r="A1168" s="7" t="s">
        <v>29</v>
      </c>
      <c r="B1168" s="8">
        <v>20619</v>
      </c>
      <c r="C1168" s="9">
        <v>45957.512430555551</v>
      </c>
      <c r="D1168" s="9">
        <v>45946</v>
      </c>
      <c r="E1168" s="9">
        <v>45946</v>
      </c>
      <c r="F1168" s="7" t="s">
        <v>3931</v>
      </c>
      <c r="G1168" s="7" t="s">
        <v>3932</v>
      </c>
      <c r="H1168" s="7" t="s">
        <v>3933</v>
      </c>
      <c r="I1168" s="7" t="s">
        <v>3934</v>
      </c>
      <c r="J1168" s="7" t="s">
        <v>40</v>
      </c>
      <c r="K1168" s="7" t="s">
        <v>355</v>
      </c>
      <c r="L1168" s="10">
        <v>1102.83</v>
      </c>
      <c r="M1168" s="10">
        <v>1102.83</v>
      </c>
      <c r="N1168" s="10">
        <f>+L1168-M1168</f>
        <v>0</v>
      </c>
      <c r="O1168" s="10">
        <v>1102.83</v>
      </c>
      <c r="P1168" s="10">
        <f>+L1168-O1168</f>
        <v>0</v>
      </c>
      <c r="Q1168" s="10">
        <v>0</v>
      </c>
      <c r="R1168" s="7" t="s">
        <v>27</v>
      </c>
    </row>
    <row r="1169" spans="1:18">
      <c r="A1169" s="7" t="s">
        <v>29</v>
      </c>
      <c r="B1169" s="8">
        <v>20236</v>
      </c>
      <c r="C1169" s="9">
        <v>45875.360949074071</v>
      </c>
      <c r="D1169" s="9">
        <v>45874</v>
      </c>
      <c r="E1169" s="9">
        <v>45874</v>
      </c>
      <c r="F1169" s="7" t="s">
        <v>3935</v>
      </c>
      <c r="G1169" s="7" t="s">
        <v>3936</v>
      </c>
      <c r="H1169" s="7" t="s">
        <v>3937</v>
      </c>
      <c r="I1169" s="7" t="s">
        <v>3938</v>
      </c>
      <c r="J1169" s="7" t="s">
        <v>25</v>
      </c>
      <c r="K1169" s="7" t="s">
        <v>170</v>
      </c>
      <c r="L1169" s="10">
        <v>1343.73</v>
      </c>
      <c r="M1169" s="10">
        <v>1343.73</v>
      </c>
      <c r="N1169" s="10">
        <f>+L1169-M1169</f>
        <v>0</v>
      </c>
      <c r="O1169" s="10">
        <v>1343.73</v>
      </c>
      <c r="P1169" s="10">
        <f>+L1169-O1169</f>
        <v>0</v>
      </c>
      <c r="Q1169" s="10">
        <v>0</v>
      </c>
      <c r="R1169" s="7" t="s">
        <v>27</v>
      </c>
    </row>
    <row r="1170" spans="1:18" hidden="1">
      <c r="A1170" s="7" t="s">
        <v>29</v>
      </c>
      <c r="B1170" s="8">
        <v>20901</v>
      </c>
      <c r="C1170" s="9">
        <v>46044.663969907408</v>
      </c>
      <c r="D1170" s="9">
        <v>46044</v>
      </c>
      <c r="E1170" s="9">
        <v>46044</v>
      </c>
      <c r="F1170" s="7" t="s">
        <v>3939</v>
      </c>
      <c r="G1170" s="7" t="s">
        <v>3940</v>
      </c>
      <c r="H1170" s="7" t="s">
        <v>3941</v>
      </c>
      <c r="I1170" s="7" t="s">
        <v>3942</v>
      </c>
      <c r="J1170" s="7" t="s">
        <v>176</v>
      </c>
      <c r="K1170" s="7" t="s">
        <v>360</v>
      </c>
      <c r="L1170" s="10">
        <v>1355</v>
      </c>
      <c r="M1170" s="10">
        <v>1355</v>
      </c>
      <c r="N1170" s="10">
        <f>+L1170-M1170</f>
        <v>0</v>
      </c>
      <c r="O1170" s="10">
        <v>1355</v>
      </c>
      <c r="P1170" s="10">
        <f>+L1170-O1170</f>
        <v>0</v>
      </c>
      <c r="Q1170" s="10">
        <v>0</v>
      </c>
      <c r="R1170" s="7" t="s">
        <v>27</v>
      </c>
    </row>
    <row r="1171" spans="1:18" hidden="1">
      <c r="A1171" s="7" t="s">
        <v>29</v>
      </c>
      <c r="B1171" s="8">
        <v>19567</v>
      </c>
      <c r="C1171" s="9">
        <v>45742.618125000001</v>
      </c>
      <c r="D1171" s="9">
        <v>45740</v>
      </c>
      <c r="E1171" s="9">
        <v>45740</v>
      </c>
      <c r="F1171" s="7" t="s">
        <v>3943</v>
      </c>
      <c r="G1171" s="7" t="s">
        <v>3944</v>
      </c>
      <c r="H1171" s="7" t="s">
        <v>3945</v>
      </c>
      <c r="I1171" s="7" t="s">
        <v>3946</v>
      </c>
      <c r="J1171" s="7" t="s">
        <v>176</v>
      </c>
      <c r="K1171" s="7" t="s">
        <v>494</v>
      </c>
      <c r="L1171" s="10">
        <v>1349.1</v>
      </c>
      <c r="M1171" s="10">
        <v>1349.1</v>
      </c>
      <c r="N1171" s="10">
        <f>+L1171-M1171</f>
        <v>0</v>
      </c>
      <c r="O1171" s="10">
        <v>1349.1</v>
      </c>
      <c r="P1171" s="10">
        <f>+L1171-O1171</f>
        <v>0</v>
      </c>
      <c r="Q1171" s="10">
        <v>0</v>
      </c>
      <c r="R1171" s="7" t="s">
        <v>27</v>
      </c>
    </row>
    <row r="1172" spans="1:18" hidden="1">
      <c r="A1172" s="7" t="s">
        <v>29</v>
      </c>
      <c r="B1172" s="8">
        <v>19851</v>
      </c>
      <c r="C1172" s="9">
        <v>45799.456990740742</v>
      </c>
      <c r="D1172" s="9">
        <v>45798</v>
      </c>
      <c r="E1172" s="9">
        <v>45798</v>
      </c>
      <c r="F1172" s="7" t="s">
        <v>3947</v>
      </c>
      <c r="G1172" s="7" t="s">
        <v>1435</v>
      </c>
      <c r="H1172" s="7" t="s">
        <v>3948</v>
      </c>
      <c r="I1172" s="7" t="s">
        <v>3949</v>
      </c>
      <c r="J1172" s="7" t="s">
        <v>176</v>
      </c>
      <c r="K1172" s="7" t="s">
        <v>494</v>
      </c>
      <c r="L1172" s="10">
        <v>1348.4</v>
      </c>
      <c r="M1172" s="10">
        <v>1348.4</v>
      </c>
      <c r="N1172" s="10">
        <f>+L1172-M1172</f>
        <v>0</v>
      </c>
      <c r="O1172" s="10">
        <v>1348.4</v>
      </c>
      <c r="P1172" s="10">
        <f>+L1172-O1172</f>
        <v>0</v>
      </c>
      <c r="Q1172" s="10">
        <v>0</v>
      </c>
      <c r="R1172" s="7" t="s">
        <v>27</v>
      </c>
    </row>
    <row r="1173" spans="1:18" hidden="1">
      <c r="A1173" s="7" t="s">
        <v>29</v>
      </c>
      <c r="B1173" s="8">
        <v>20139</v>
      </c>
      <c r="C1173" s="9">
        <v>45849.68813657407</v>
      </c>
      <c r="D1173" s="9">
        <v>45848</v>
      </c>
      <c r="E1173" s="9">
        <v>45848</v>
      </c>
      <c r="F1173" s="7" t="s">
        <v>3950</v>
      </c>
      <c r="G1173" s="7" t="s">
        <v>3951</v>
      </c>
      <c r="H1173" s="7" t="s">
        <v>3952</v>
      </c>
      <c r="I1173" s="7" t="s">
        <v>3953</v>
      </c>
      <c r="J1173" s="7" t="s">
        <v>176</v>
      </c>
      <c r="K1173" s="7" t="s">
        <v>494</v>
      </c>
      <c r="L1173" s="10">
        <v>1344</v>
      </c>
      <c r="M1173" s="10">
        <v>1344</v>
      </c>
      <c r="N1173" s="10">
        <f>+L1173-M1173</f>
        <v>0</v>
      </c>
      <c r="O1173" s="10">
        <v>1344</v>
      </c>
      <c r="P1173" s="10">
        <f>+L1173-O1173</f>
        <v>0</v>
      </c>
      <c r="Q1173" s="10">
        <v>0</v>
      </c>
      <c r="R1173" s="7" t="s">
        <v>27</v>
      </c>
    </row>
    <row r="1174" spans="1:18" hidden="1">
      <c r="A1174" s="7" t="s">
        <v>29</v>
      </c>
      <c r="B1174" s="8">
        <v>20848</v>
      </c>
      <c r="C1174" s="9">
        <v>46031.445069444446</v>
      </c>
      <c r="D1174" s="9">
        <v>46030</v>
      </c>
      <c r="E1174" s="9">
        <v>46030</v>
      </c>
      <c r="F1174" s="7" t="s">
        <v>3954</v>
      </c>
      <c r="G1174" s="7" t="s">
        <v>70</v>
      </c>
      <c r="H1174" s="7" t="s">
        <v>3955</v>
      </c>
      <c r="I1174" s="7" t="s">
        <v>3956</v>
      </c>
      <c r="J1174" s="7" t="s">
        <v>176</v>
      </c>
      <c r="K1174" s="7" t="s">
        <v>360</v>
      </c>
      <c r="L1174" s="10">
        <v>1344</v>
      </c>
      <c r="M1174" s="10">
        <v>1344</v>
      </c>
      <c r="N1174" s="10">
        <f>+L1174-M1174</f>
        <v>0</v>
      </c>
      <c r="O1174" s="10">
        <v>1344</v>
      </c>
      <c r="P1174" s="10">
        <f>+L1174-O1174</f>
        <v>0</v>
      </c>
      <c r="Q1174" s="10">
        <v>0</v>
      </c>
      <c r="R1174" s="7" t="s">
        <v>27</v>
      </c>
    </row>
    <row r="1175" spans="1:18">
      <c r="A1175" s="7" t="s">
        <v>29</v>
      </c>
      <c r="B1175" s="8">
        <v>20571</v>
      </c>
      <c r="C1175" s="9">
        <v>45943.346610497683</v>
      </c>
      <c r="D1175" s="9">
        <v>45961</v>
      </c>
      <c r="E1175" s="9">
        <v>45961</v>
      </c>
      <c r="F1175" s="7" t="s">
        <v>3957</v>
      </c>
      <c r="G1175" s="7" t="s">
        <v>3958</v>
      </c>
      <c r="H1175" s="7" t="s">
        <v>783</v>
      </c>
      <c r="I1175" s="7" t="s">
        <v>784</v>
      </c>
      <c r="J1175" s="7" t="s">
        <v>25</v>
      </c>
      <c r="K1175" s="7" t="s">
        <v>55</v>
      </c>
      <c r="L1175" s="10">
        <v>1333.91</v>
      </c>
      <c r="M1175" s="10">
        <v>1333.91</v>
      </c>
      <c r="N1175" s="10">
        <f>+L1175-M1175</f>
        <v>0</v>
      </c>
      <c r="O1175" s="10">
        <v>1333.91</v>
      </c>
      <c r="P1175" s="10">
        <f>+L1175-O1175</f>
        <v>0</v>
      </c>
      <c r="Q1175" s="10">
        <v>0</v>
      </c>
      <c r="R1175" s="7" t="s">
        <v>27</v>
      </c>
    </row>
    <row r="1176" spans="1:18">
      <c r="A1176" s="7" t="s">
        <v>29</v>
      </c>
      <c r="B1176" s="8">
        <v>19836</v>
      </c>
      <c r="C1176" s="9">
        <v>45796.646539351852</v>
      </c>
      <c r="D1176" s="9">
        <v>45814</v>
      </c>
      <c r="E1176" s="9">
        <v>45814</v>
      </c>
      <c r="F1176" s="7" t="s">
        <v>3959</v>
      </c>
      <c r="G1176" s="7" t="s">
        <v>3960</v>
      </c>
      <c r="H1176" s="7" t="s">
        <v>3408</v>
      </c>
      <c r="I1176" s="7" t="s">
        <v>873</v>
      </c>
      <c r="J1176" s="7" t="s">
        <v>25</v>
      </c>
      <c r="K1176" s="7" t="s">
        <v>55</v>
      </c>
      <c r="L1176" s="10">
        <v>1332</v>
      </c>
      <c r="M1176" s="10">
        <v>1332</v>
      </c>
      <c r="N1176" s="10">
        <f>+L1176-M1176</f>
        <v>0</v>
      </c>
      <c r="O1176" s="10">
        <v>1332</v>
      </c>
      <c r="P1176" s="10">
        <f>+L1176-O1176</f>
        <v>0</v>
      </c>
      <c r="Q1176" s="10">
        <v>0</v>
      </c>
      <c r="R1176" s="7" t="s">
        <v>27</v>
      </c>
    </row>
    <row r="1177" spans="1:18">
      <c r="A1177" s="7" t="s">
        <v>29</v>
      </c>
      <c r="B1177" s="8">
        <v>20318</v>
      </c>
      <c r="C1177" s="9">
        <v>45891.690891203703</v>
      </c>
      <c r="D1177" s="9">
        <v>45958</v>
      </c>
      <c r="E1177" s="9">
        <v>45958</v>
      </c>
      <c r="F1177" s="7" t="s">
        <v>3961</v>
      </c>
      <c r="G1177" s="7" t="s">
        <v>3962</v>
      </c>
      <c r="H1177" s="7" t="s">
        <v>3963</v>
      </c>
      <c r="I1177" s="7" t="s">
        <v>1543</v>
      </c>
      <c r="J1177" s="7" t="s">
        <v>25</v>
      </c>
      <c r="K1177" s="7" t="s">
        <v>170</v>
      </c>
      <c r="L1177" s="10">
        <v>1327.73</v>
      </c>
      <c r="M1177" s="10">
        <v>1327.73</v>
      </c>
      <c r="N1177" s="10">
        <f>+L1177-M1177</f>
        <v>0</v>
      </c>
      <c r="O1177" s="10">
        <v>1327.73</v>
      </c>
      <c r="P1177" s="10">
        <f>+L1177-O1177</f>
        <v>0</v>
      </c>
      <c r="Q1177" s="10">
        <v>0</v>
      </c>
      <c r="R1177" s="7" t="s">
        <v>27</v>
      </c>
    </row>
    <row r="1178" spans="1:18" hidden="1">
      <c r="A1178" s="7" t="s">
        <v>29</v>
      </c>
      <c r="B1178" s="8">
        <v>19378</v>
      </c>
      <c r="C1178" s="9">
        <v>45693.487326388888</v>
      </c>
      <c r="D1178" s="9">
        <v>45692</v>
      </c>
      <c r="E1178" s="9">
        <v>45692</v>
      </c>
      <c r="F1178" s="7" t="s">
        <v>3964</v>
      </c>
      <c r="G1178" s="7" t="s">
        <v>2731</v>
      </c>
      <c r="H1178" s="7" t="s">
        <v>2260</v>
      </c>
      <c r="I1178" s="7" t="s">
        <v>2261</v>
      </c>
      <c r="J1178" s="7" t="s">
        <v>40</v>
      </c>
      <c r="K1178" s="7" t="s">
        <v>41</v>
      </c>
      <c r="L1178" s="10">
        <v>1056.55</v>
      </c>
      <c r="M1178" s="10">
        <v>1056.55</v>
      </c>
      <c r="N1178" s="10">
        <f>+L1178-M1178</f>
        <v>0</v>
      </c>
      <c r="O1178" s="10">
        <v>1056.55</v>
      </c>
      <c r="P1178" s="10">
        <f>+L1178-O1178</f>
        <v>0</v>
      </c>
      <c r="Q1178" s="10">
        <v>0</v>
      </c>
      <c r="R1178" s="7" t="s">
        <v>27</v>
      </c>
    </row>
    <row r="1179" spans="1:18">
      <c r="A1179" s="7" t="s">
        <v>29</v>
      </c>
      <c r="B1179" s="8">
        <v>20444</v>
      </c>
      <c r="C1179" s="9">
        <v>45912.433854166666</v>
      </c>
      <c r="D1179" s="9">
        <v>45901</v>
      </c>
      <c r="E1179" s="9">
        <v>45947</v>
      </c>
      <c r="F1179" s="7" t="s">
        <v>3965</v>
      </c>
      <c r="G1179" s="7" t="s">
        <v>3966</v>
      </c>
      <c r="H1179" s="7" t="s">
        <v>3967</v>
      </c>
      <c r="I1179" s="7" t="s">
        <v>3429</v>
      </c>
      <c r="J1179" s="7" t="s">
        <v>25</v>
      </c>
      <c r="K1179" s="7" t="s">
        <v>55</v>
      </c>
      <c r="L1179" s="10">
        <v>1308.5999999999999</v>
      </c>
      <c r="M1179" s="10">
        <v>1308.5999999999999</v>
      </c>
      <c r="N1179" s="10">
        <f>+L1179-M1179</f>
        <v>0</v>
      </c>
      <c r="O1179" s="10">
        <v>1308.5999999999999</v>
      </c>
      <c r="P1179" s="10">
        <f>+L1179-O1179</f>
        <v>0</v>
      </c>
      <c r="Q1179" s="10">
        <v>0</v>
      </c>
      <c r="R1179" s="7" t="s">
        <v>27</v>
      </c>
    </row>
    <row r="1180" spans="1:18" hidden="1">
      <c r="A1180" s="7" t="s">
        <v>29</v>
      </c>
      <c r="B1180" s="8">
        <v>4192</v>
      </c>
      <c r="C1180" s="9">
        <v>45749.380069444444</v>
      </c>
      <c r="D1180" s="9">
        <v>45747</v>
      </c>
      <c r="E1180" s="9">
        <v>45747</v>
      </c>
      <c r="F1180" s="7" t="s">
        <v>3968</v>
      </c>
      <c r="G1180" s="7" t="s">
        <v>3969</v>
      </c>
      <c r="H1180" s="7" t="s">
        <v>3970</v>
      </c>
      <c r="I1180" s="7" t="s">
        <v>788</v>
      </c>
      <c r="J1180" s="7" t="s">
        <v>25</v>
      </c>
      <c r="K1180" s="7" t="s">
        <v>125</v>
      </c>
      <c r="L1180" s="10">
        <v>1292.8</v>
      </c>
      <c r="M1180" s="10">
        <v>1292.8</v>
      </c>
      <c r="N1180" s="15">
        <f>+L1180-M1180</f>
        <v>0</v>
      </c>
      <c r="O1180" s="15">
        <v>1292.8</v>
      </c>
      <c r="P1180" s="15">
        <f>+L1180-O1180</f>
        <v>0</v>
      </c>
      <c r="Q1180" s="10">
        <v>0</v>
      </c>
      <c r="R1180" s="7" t="s">
        <v>87</v>
      </c>
    </row>
    <row r="1181" spans="1:18" hidden="1">
      <c r="A1181" s="7" t="s">
        <v>29</v>
      </c>
      <c r="B1181" s="8">
        <v>20539</v>
      </c>
      <c r="C1181" s="9">
        <v>45932.620347222219</v>
      </c>
      <c r="D1181" s="9">
        <v>45932</v>
      </c>
      <c r="E1181" s="9">
        <v>45929</v>
      </c>
      <c r="F1181" s="7" t="s">
        <v>3971</v>
      </c>
      <c r="G1181" s="7" t="s">
        <v>3972</v>
      </c>
      <c r="H1181" s="7" t="s">
        <v>3973</v>
      </c>
      <c r="I1181" s="7" t="s">
        <v>3974</v>
      </c>
      <c r="J1181" s="7" t="s">
        <v>34</v>
      </c>
      <c r="K1181" s="7" t="s">
        <v>118</v>
      </c>
      <c r="L1181" s="10">
        <v>1317.17</v>
      </c>
      <c r="M1181" s="10">
        <v>1317.17</v>
      </c>
      <c r="N1181" s="10">
        <f>+L1181-M1181</f>
        <v>0</v>
      </c>
      <c r="O1181" s="10">
        <v>1317.17</v>
      </c>
      <c r="P1181" s="10">
        <f>+L1181-O1181</f>
        <v>0</v>
      </c>
      <c r="Q1181" s="10">
        <v>0</v>
      </c>
      <c r="R1181" s="7" t="s">
        <v>27</v>
      </c>
    </row>
    <row r="1182" spans="1:18">
      <c r="A1182" s="7" t="s">
        <v>29</v>
      </c>
      <c r="B1182" s="8">
        <v>19466</v>
      </c>
      <c r="C1182" s="9">
        <v>45714.746967592589</v>
      </c>
      <c r="D1182" s="9">
        <v>45730</v>
      </c>
      <c r="E1182" s="9">
        <v>45707</v>
      </c>
      <c r="F1182" s="7" t="s">
        <v>3975</v>
      </c>
      <c r="G1182" s="7" t="s">
        <v>279</v>
      </c>
      <c r="H1182" s="7" t="s">
        <v>2284</v>
      </c>
      <c r="I1182" s="7" t="s">
        <v>1763</v>
      </c>
      <c r="J1182" s="7" t="s">
        <v>25</v>
      </c>
      <c r="K1182" s="7" t="s">
        <v>525</v>
      </c>
      <c r="L1182" s="10">
        <v>1270</v>
      </c>
      <c r="M1182" s="10">
        <v>1270</v>
      </c>
      <c r="N1182" s="10">
        <f>+L1182-M1182</f>
        <v>0</v>
      </c>
      <c r="O1182" s="10">
        <v>1270</v>
      </c>
      <c r="P1182" s="10">
        <f>+L1182-O1182</f>
        <v>0</v>
      </c>
      <c r="Q1182" s="10">
        <v>0</v>
      </c>
      <c r="R1182" s="7" t="s">
        <v>27</v>
      </c>
    </row>
    <row r="1183" spans="1:18" hidden="1">
      <c r="A1183" s="7" t="s">
        <v>29</v>
      </c>
      <c r="B1183" s="8">
        <v>20497</v>
      </c>
      <c r="C1183" s="9">
        <v>45923.492928240739</v>
      </c>
      <c r="D1183" s="9">
        <v>45975</v>
      </c>
      <c r="E1183" s="9">
        <v>45895</v>
      </c>
      <c r="F1183" s="7" t="s">
        <v>3976</v>
      </c>
      <c r="G1183" s="7" t="s">
        <v>3977</v>
      </c>
      <c r="H1183" s="7" t="s">
        <v>1986</v>
      </c>
      <c r="I1183" s="7" t="s">
        <v>1987</v>
      </c>
      <c r="J1183" s="7" t="s">
        <v>176</v>
      </c>
      <c r="K1183" s="7" t="s">
        <v>584</v>
      </c>
      <c r="L1183" s="10">
        <v>1300</v>
      </c>
      <c r="M1183" s="10">
        <v>1300</v>
      </c>
      <c r="N1183" s="10">
        <f>+L1183-M1183</f>
        <v>0</v>
      </c>
      <c r="O1183" s="10">
        <v>1300</v>
      </c>
      <c r="P1183" s="10">
        <f>+L1183-O1183</f>
        <v>0</v>
      </c>
      <c r="Q1183" s="10">
        <v>0</v>
      </c>
      <c r="R1183" s="7" t="s">
        <v>27</v>
      </c>
    </row>
    <row r="1184" spans="1:18" hidden="1">
      <c r="A1184" s="7" t="s">
        <v>29</v>
      </c>
      <c r="B1184" s="8">
        <v>20940</v>
      </c>
      <c r="C1184" s="9">
        <v>46058.44253472222</v>
      </c>
      <c r="D1184" s="9">
        <v>46058</v>
      </c>
      <c r="E1184" s="9">
        <v>46056</v>
      </c>
      <c r="F1184" s="7" t="s">
        <v>3978</v>
      </c>
      <c r="G1184" s="7" t="s">
        <v>3979</v>
      </c>
      <c r="H1184" s="7" t="s">
        <v>3169</v>
      </c>
      <c r="I1184" s="7" t="s">
        <v>3170</v>
      </c>
      <c r="J1184" s="7" t="s">
        <v>34</v>
      </c>
      <c r="K1184" s="7" t="s">
        <v>733</v>
      </c>
      <c r="L1184" s="10">
        <v>1288.6400000000001</v>
      </c>
      <c r="M1184" s="10">
        <v>1288.6400000000001</v>
      </c>
      <c r="N1184" s="10">
        <f>+L1184-M1184</f>
        <v>0</v>
      </c>
      <c r="O1184" s="10">
        <v>1288.6400000000001</v>
      </c>
      <c r="P1184" s="10">
        <f>+L1184-O1184</f>
        <v>0</v>
      </c>
      <c r="Q1184" s="10">
        <v>0</v>
      </c>
      <c r="R1184" s="7" t="s">
        <v>27</v>
      </c>
    </row>
    <row r="1185" spans="1:18">
      <c r="A1185" s="7" t="s">
        <v>29</v>
      </c>
      <c r="B1185" s="8">
        <v>20278</v>
      </c>
      <c r="C1185" s="9">
        <v>45882.341909722221</v>
      </c>
      <c r="D1185" s="9">
        <v>45888</v>
      </c>
      <c r="E1185" s="9">
        <v>45881</v>
      </c>
      <c r="F1185" s="7" t="s">
        <v>3980</v>
      </c>
      <c r="G1185" s="7" t="s">
        <v>3981</v>
      </c>
      <c r="H1185" s="7" t="s">
        <v>1415</v>
      </c>
      <c r="I1185" s="7" t="s">
        <v>205</v>
      </c>
      <c r="J1185" s="7" t="s">
        <v>25</v>
      </c>
      <c r="K1185" s="7" t="s">
        <v>240</v>
      </c>
      <c r="L1185" s="10">
        <v>1213.79</v>
      </c>
      <c r="M1185" s="10">
        <v>1213.79</v>
      </c>
      <c r="N1185" s="10">
        <f>+L1185-M1185</f>
        <v>0</v>
      </c>
      <c r="O1185" s="10">
        <v>1213.79</v>
      </c>
      <c r="P1185" s="10">
        <f>+L1185-O1185</f>
        <v>0</v>
      </c>
      <c r="Q1185" s="10">
        <v>0</v>
      </c>
      <c r="R1185" s="7" t="s">
        <v>27</v>
      </c>
    </row>
    <row r="1186" spans="1:18">
      <c r="A1186" s="7" t="s">
        <v>29</v>
      </c>
      <c r="B1186" s="8">
        <v>20569</v>
      </c>
      <c r="C1186" s="9">
        <v>45943.346133136569</v>
      </c>
      <c r="D1186" s="9">
        <v>45938</v>
      </c>
      <c r="E1186" s="9">
        <v>45940</v>
      </c>
      <c r="F1186" s="7" t="s">
        <v>3982</v>
      </c>
      <c r="G1186" s="7" t="s">
        <v>3983</v>
      </c>
      <c r="H1186" s="7" t="s">
        <v>783</v>
      </c>
      <c r="I1186" s="7" t="s">
        <v>784</v>
      </c>
      <c r="J1186" s="7" t="s">
        <v>25</v>
      </c>
      <c r="K1186" s="7" t="s">
        <v>55</v>
      </c>
      <c r="L1186" s="10">
        <v>1202.1600000000001</v>
      </c>
      <c r="M1186" s="10">
        <v>1202.1600000000001</v>
      </c>
      <c r="N1186" s="10">
        <f>+L1186-M1186</f>
        <v>0</v>
      </c>
      <c r="O1186" s="10">
        <v>1202.1600000000001</v>
      </c>
      <c r="P1186" s="10">
        <f>+L1186-O1186</f>
        <v>0</v>
      </c>
      <c r="Q1186" s="10">
        <v>0</v>
      </c>
      <c r="R1186" s="7" t="s">
        <v>27</v>
      </c>
    </row>
    <row r="1187" spans="1:18" hidden="1">
      <c r="A1187" s="7" t="s">
        <v>29</v>
      </c>
      <c r="B1187" s="8">
        <v>19423</v>
      </c>
      <c r="C1187" s="9">
        <v>45707.438310185185</v>
      </c>
      <c r="D1187" s="9">
        <v>45707</v>
      </c>
      <c r="E1187" s="9">
        <v>45706</v>
      </c>
      <c r="F1187" s="7" t="s">
        <v>3984</v>
      </c>
      <c r="G1187" s="7" t="s">
        <v>3985</v>
      </c>
      <c r="H1187" s="7" t="s">
        <v>2944</v>
      </c>
      <c r="I1187" s="7" t="s">
        <v>2945</v>
      </c>
      <c r="J1187" s="7" t="s">
        <v>34</v>
      </c>
      <c r="K1187" s="7" t="s">
        <v>269</v>
      </c>
      <c r="L1187" s="10">
        <v>1269.4000000000001</v>
      </c>
      <c r="M1187" s="10">
        <v>1269.4000000000001</v>
      </c>
      <c r="N1187" s="10">
        <f>+L1187-M1187</f>
        <v>0</v>
      </c>
      <c r="O1187" s="10">
        <v>1269.4000000000001</v>
      </c>
      <c r="P1187" s="10">
        <f>+L1187-O1187</f>
        <v>0</v>
      </c>
      <c r="Q1187" s="10">
        <v>0</v>
      </c>
      <c r="R1187" s="7" t="s">
        <v>27</v>
      </c>
    </row>
    <row r="1188" spans="1:18" hidden="1">
      <c r="A1188" s="7" t="s">
        <v>29</v>
      </c>
      <c r="B1188" s="8">
        <v>20116</v>
      </c>
      <c r="C1188" s="9">
        <v>45846.456944444442</v>
      </c>
      <c r="D1188" s="9">
        <v>45846</v>
      </c>
      <c r="E1188" s="9">
        <v>45877</v>
      </c>
      <c r="F1188" s="7" t="s">
        <v>3986</v>
      </c>
      <c r="G1188" s="7" t="s">
        <v>3987</v>
      </c>
      <c r="H1188" s="7" t="s">
        <v>1560</v>
      </c>
      <c r="I1188" s="7" t="s">
        <v>1561</v>
      </c>
      <c r="J1188" s="7" t="s">
        <v>34</v>
      </c>
      <c r="K1188" s="7" t="s">
        <v>118</v>
      </c>
      <c r="L1188" s="10">
        <v>1259.1300000000001</v>
      </c>
      <c r="M1188" s="10">
        <v>1259.1300000000001</v>
      </c>
      <c r="N1188" s="10">
        <f>+L1188-M1188</f>
        <v>0</v>
      </c>
      <c r="O1188" s="10">
        <v>1259.1300000000001</v>
      </c>
      <c r="P1188" s="10">
        <f>+L1188-O1188</f>
        <v>0</v>
      </c>
      <c r="Q1188" s="10">
        <v>0</v>
      </c>
      <c r="R1188" s="7" t="s">
        <v>27</v>
      </c>
    </row>
    <row r="1189" spans="1:18" hidden="1">
      <c r="A1189" s="7" t="s">
        <v>29</v>
      </c>
      <c r="B1189" s="8">
        <v>19670</v>
      </c>
      <c r="C1189" s="9">
        <v>45758.604027777779</v>
      </c>
      <c r="D1189" s="9">
        <v>45756</v>
      </c>
      <c r="E1189" s="9">
        <v>45749</v>
      </c>
      <c r="F1189" s="7" t="s">
        <v>3988</v>
      </c>
      <c r="G1189" s="7" t="s">
        <v>3989</v>
      </c>
      <c r="H1189" s="7" t="s">
        <v>929</v>
      </c>
      <c r="I1189" s="7" t="s">
        <v>930</v>
      </c>
      <c r="J1189" s="7" t="s">
        <v>176</v>
      </c>
      <c r="K1189" s="7" t="s">
        <v>494</v>
      </c>
      <c r="L1189" s="10">
        <v>1255</v>
      </c>
      <c r="M1189" s="10">
        <v>1255</v>
      </c>
      <c r="N1189" s="10">
        <f>+L1189-M1189</f>
        <v>0</v>
      </c>
      <c r="O1189" s="10">
        <v>1255</v>
      </c>
      <c r="P1189" s="10">
        <f>+L1189-O1189</f>
        <v>0</v>
      </c>
      <c r="Q1189" s="10">
        <v>0</v>
      </c>
      <c r="R1189" s="7" t="s">
        <v>27</v>
      </c>
    </row>
    <row r="1190" spans="1:18" hidden="1">
      <c r="A1190" s="7" t="s">
        <v>29</v>
      </c>
      <c r="B1190" s="8">
        <v>20204</v>
      </c>
      <c r="C1190" s="9">
        <v>45868.749155092592</v>
      </c>
      <c r="D1190" s="9">
        <v>45868</v>
      </c>
      <c r="E1190" s="9">
        <v>45868</v>
      </c>
      <c r="F1190" s="7" t="s">
        <v>3990</v>
      </c>
      <c r="G1190" s="7" t="s">
        <v>3991</v>
      </c>
      <c r="H1190" s="7" t="s">
        <v>3992</v>
      </c>
      <c r="I1190" s="7" t="s">
        <v>3993</v>
      </c>
      <c r="J1190" s="7" t="s">
        <v>176</v>
      </c>
      <c r="K1190" s="7" t="s">
        <v>494</v>
      </c>
      <c r="L1190" s="10">
        <v>1249</v>
      </c>
      <c r="M1190" s="10">
        <v>1249</v>
      </c>
      <c r="N1190" s="10">
        <f>+L1190-M1190</f>
        <v>0</v>
      </c>
      <c r="O1190" s="10">
        <v>1249</v>
      </c>
      <c r="P1190" s="10">
        <f>+L1190-O1190</f>
        <v>0</v>
      </c>
      <c r="Q1190" s="10">
        <v>0</v>
      </c>
      <c r="R1190" s="7" t="s">
        <v>27</v>
      </c>
    </row>
    <row r="1191" spans="1:18" hidden="1">
      <c r="A1191" s="7" t="s">
        <v>29</v>
      </c>
      <c r="B1191" s="8">
        <v>20573</v>
      </c>
      <c r="C1191" s="9">
        <v>45943.378657407404</v>
      </c>
      <c r="D1191" s="9">
        <v>45943</v>
      </c>
      <c r="E1191" s="9">
        <v>45989</v>
      </c>
      <c r="F1191" s="7" t="s">
        <v>3994</v>
      </c>
      <c r="G1191" s="7" t="s">
        <v>3995</v>
      </c>
      <c r="H1191" s="7" t="s">
        <v>1881</v>
      </c>
      <c r="I1191" s="7" t="s">
        <v>1882</v>
      </c>
      <c r="J1191" s="7" t="s">
        <v>34</v>
      </c>
      <c r="K1191" s="7" t="s">
        <v>35</v>
      </c>
      <c r="L1191" s="10">
        <v>1244.1400000000001</v>
      </c>
      <c r="M1191" s="10">
        <v>1244.1400000000001</v>
      </c>
      <c r="N1191" s="10">
        <f>+L1191-M1191</f>
        <v>0</v>
      </c>
      <c r="O1191" s="10">
        <v>1244.1400000000001</v>
      </c>
      <c r="P1191" s="10">
        <f>+L1191-O1191</f>
        <v>0</v>
      </c>
      <c r="Q1191" s="10">
        <v>0</v>
      </c>
      <c r="R1191" s="7" t="s">
        <v>27</v>
      </c>
    </row>
    <row r="1192" spans="1:18" hidden="1">
      <c r="A1192" s="7" t="s">
        <v>29</v>
      </c>
      <c r="B1192" s="8">
        <v>19937</v>
      </c>
      <c r="C1192" s="9">
        <v>45818.398032407407</v>
      </c>
      <c r="D1192" s="9">
        <v>45817</v>
      </c>
      <c r="E1192" s="9">
        <v>45817</v>
      </c>
      <c r="F1192" s="7" t="s">
        <v>3996</v>
      </c>
      <c r="G1192" s="7" t="s">
        <v>3997</v>
      </c>
      <c r="H1192" s="7" t="s">
        <v>3998</v>
      </c>
      <c r="I1192" s="7" t="s">
        <v>3999</v>
      </c>
      <c r="J1192" s="7" t="s">
        <v>176</v>
      </c>
      <c r="K1192" s="7" t="s">
        <v>494</v>
      </c>
      <c r="L1192" s="10">
        <v>1239.1199999999999</v>
      </c>
      <c r="M1192" s="10">
        <v>1239.1199999999999</v>
      </c>
      <c r="N1192" s="10">
        <f>+L1192-M1192</f>
        <v>0</v>
      </c>
      <c r="O1192" s="10">
        <v>1239.1199999999999</v>
      </c>
      <c r="P1192" s="10">
        <f>+L1192-O1192</f>
        <v>0</v>
      </c>
      <c r="Q1192" s="10">
        <v>0</v>
      </c>
      <c r="R1192" s="7" t="s">
        <v>27</v>
      </c>
    </row>
    <row r="1193" spans="1:18" hidden="1">
      <c r="A1193" s="7" t="s">
        <v>29</v>
      </c>
      <c r="B1193" s="8">
        <v>20097</v>
      </c>
      <c r="C1193" s="9">
        <v>45842.386273148149</v>
      </c>
      <c r="D1193" s="9">
        <v>45841</v>
      </c>
      <c r="E1193" s="9">
        <v>45841</v>
      </c>
      <c r="F1193" s="7" t="s">
        <v>4000</v>
      </c>
      <c r="G1193" s="7" t="s">
        <v>4001</v>
      </c>
      <c r="H1193" s="7" t="s">
        <v>4002</v>
      </c>
      <c r="I1193" s="7" t="s">
        <v>4003</v>
      </c>
      <c r="J1193" s="7" t="s">
        <v>176</v>
      </c>
      <c r="K1193" s="7" t="s">
        <v>494</v>
      </c>
      <c r="L1193" s="10">
        <v>1239</v>
      </c>
      <c r="M1193" s="10">
        <v>1239</v>
      </c>
      <c r="N1193" s="10">
        <f>+L1193-M1193</f>
        <v>0</v>
      </c>
      <c r="O1193" s="10">
        <v>1239</v>
      </c>
      <c r="P1193" s="10">
        <f>+L1193-O1193</f>
        <v>0</v>
      </c>
      <c r="Q1193" s="10">
        <v>0</v>
      </c>
      <c r="R1193" s="7" t="s">
        <v>27</v>
      </c>
    </row>
    <row r="1194" spans="1:18" hidden="1">
      <c r="A1194" s="7" t="s">
        <v>29</v>
      </c>
      <c r="B1194" s="8">
        <v>20129</v>
      </c>
      <c r="C1194" s="9">
        <v>45847.752118055556</v>
      </c>
      <c r="D1194" s="9">
        <v>45847</v>
      </c>
      <c r="E1194" s="9">
        <v>45847</v>
      </c>
      <c r="F1194" s="7" t="s">
        <v>4004</v>
      </c>
      <c r="G1194" s="7" t="s">
        <v>4005</v>
      </c>
      <c r="H1194" s="7" t="s">
        <v>4006</v>
      </c>
      <c r="I1194" s="7" t="s">
        <v>4007</v>
      </c>
      <c r="J1194" s="7" t="s">
        <v>176</v>
      </c>
      <c r="K1194" s="7" t="s">
        <v>494</v>
      </c>
      <c r="L1194" s="10">
        <v>1237.5999999999999</v>
      </c>
      <c r="M1194" s="10">
        <v>1237.5999999999999</v>
      </c>
      <c r="N1194" s="10">
        <f>+L1194-M1194</f>
        <v>0</v>
      </c>
      <c r="O1194" s="10">
        <v>1237.5999999999999</v>
      </c>
      <c r="P1194" s="10">
        <f>+L1194-O1194</f>
        <v>0</v>
      </c>
      <c r="Q1194" s="10">
        <v>0</v>
      </c>
      <c r="R1194" s="7" t="s">
        <v>27</v>
      </c>
    </row>
    <row r="1195" spans="1:18">
      <c r="A1195" s="7" t="s">
        <v>29</v>
      </c>
      <c r="B1195" s="8">
        <v>20633</v>
      </c>
      <c r="C1195" s="9">
        <v>45958.670532407406</v>
      </c>
      <c r="D1195" s="9">
        <v>45964</v>
      </c>
      <c r="E1195" s="9">
        <v>45957</v>
      </c>
      <c r="F1195" s="7" t="s">
        <v>4008</v>
      </c>
      <c r="G1195" s="7" t="s">
        <v>4009</v>
      </c>
      <c r="H1195" s="7" t="s">
        <v>2565</v>
      </c>
      <c r="I1195" s="7" t="s">
        <v>784</v>
      </c>
      <c r="J1195" s="7" t="s">
        <v>25</v>
      </c>
      <c r="K1195" s="7" t="s">
        <v>55</v>
      </c>
      <c r="L1195" s="10">
        <v>1185.75</v>
      </c>
      <c r="M1195" s="10">
        <v>1185.75</v>
      </c>
      <c r="N1195" s="10">
        <f>+L1195-M1195</f>
        <v>0</v>
      </c>
      <c r="O1195" s="10">
        <v>1185.75</v>
      </c>
      <c r="P1195" s="10">
        <f>+L1195-O1195</f>
        <v>0</v>
      </c>
      <c r="Q1195" s="10">
        <v>0</v>
      </c>
      <c r="R1195" s="7" t="s">
        <v>27</v>
      </c>
    </row>
    <row r="1196" spans="1:18" hidden="1">
      <c r="A1196" s="7" t="s">
        <v>29</v>
      </c>
      <c r="B1196" s="8">
        <v>19683</v>
      </c>
      <c r="C1196" s="9">
        <v>45762.371932870366</v>
      </c>
      <c r="D1196" s="9">
        <v>45761</v>
      </c>
      <c r="E1196" s="9">
        <v>45761</v>
      </c>
      <c r="F1196" s="7" t="s">
        <v>4010</v>
      </c>
      <c r="G1196" s="7" t="s">
        <v>4011</v>
      </c>
      <c r="H1196" s="7" t="s">
        <v>4012</v>
      </c>
      <c r="I1196" s="7" t="s">
        <v>4013</v>
      </c>
      <c r="J1196" s="7" t="s">
        <v>176</v>
      </c>
      <c r="K1196" s="7" t="s">
        <v>494</v>
      </c>
      <c r="L1196" s="10">
        <v>1234</v>
      </c>
      <c r="M1196" s="10">
        <v>1234</v>
      </c>
      <c r="N1196" s="10">
        <f>+L1196-M1196</f>
        <v>0</v>
      </c>
      <c r="O1196" s="10">
        <v>1234</v>
      </c>
      <c r="P1196" s="10">
        <f>+L1196-O1196</f>
        <v>0</v>
      </c>
      <c r="Q1196" s="10">
        <v>0</v>
      </c>
      <c r="R1196" s="7" t="s">
        <v>27</v>
      </c>
    </row>
    <row r="1197" spans="1:18">
      <c r="A1197" s="7" t="s">
        <v>29</v>
      </c>
      <c r="B1197" s="8">
        <v>19406</v>
      </c>
      <c r="C1197" s="9">
        <v>45699.501851851848</v>
      </c>
      <c r="D1197" s="9">
        <v>45701</v>
      </c>
      <c r="E1197" s="9">
        <v>45699</v>
      </c>
      <c r="F1197" s="7" t="s">
        <v>4014</v>
      </c>
      <c r="G1197" s="7" t="s">
        <v>4015</v>
      </c>
      <c r="H1197" s="7" t="s">
        <v>4016</v>
      </c>
      <c r="I1197" s="7" t="s">
        <v>4017</v>
      </c>
      <c r="J1197" s="7" t="s">
        <v>25</v>
      </c>
      <c r="K1197" s="7" t="s">
        <v>1307</v>
      </c>
      <c r="L1197" s="10">
        <v>1183.8399999999999</v>
      </c>
      <c r="M1197" s="10">
        <v>1183.8399999999999</v>
      </c>
      <c r="N1197" s="10">
        <f>+L1197-M1197</f>
        <v>0</v>
      </c>
      <c r="O1197" s="10">
        <v>1183.8399999999999</v>
      </c>
      <c r="P1197" s="10">
        <f>+L1197-O1197</f>
        <v>0</v>
      </c>
      <c r="Q1197" s="10">
        <v>0</v>
      </c>
      <c r="R1197" s="7" t="s">
        <v>27</v>
      </c>
    </row>
    <row r="1198" spans="1:18" hidden="1">
      <c r="A1198" s="7" t="s">
        <v>29</v>
      </c>
      <c r="B1198" s="8">
        <v>19569</v>
      </c>
      <c r="C1198" s="9">
        <v>45742.619791666664</v>
      </c>
      <c r="D1198" s="9">
        <v>45744</v>
      </c>
      <c r="E1198" s="9">
        <v>45737</v>
      </c>
      <c r="F1198" s="7" t="s">
        <v>4018</v>
      </c>
      <c r="G1198" s="7" t="s">
        <v>4019</v>
      </c>
      <c r="H1198" s="7" t="s">
        <v>892</v>
      </c>
      <c r="I1198" s="7" t="s">
        <v>893</v>
      </c>
      <c r="J1198" s="7" t="s">
        <v>176</v>
      </c>
      <c r="K1198" s="7" t="s">
        <v>584</v>
      </c>
      <c r="L1198" s="10">
        <v>1213</v>
      </c>
      <c r="M1198" s="10">
        <v>1213</v>
      </c>
      <c r="N1198" s="10">
        <f>+L1198-M1198</f>
        <v>0</v>
      </c>
      <c r="O1198" s="10">
        <v>1213</v>
      </c>
      <c r="P1198" s="10">
        <f>+L1198-O1198</f>
        <v>0</v>
      </c>
      <c r="Q1198" s="10">
        <v>0</v>
      </c>
      <c r="R1198" s="7" t="s">
        <v>27</v>
      </c>
    </row>
    <row r="1199" spans="1:18">
      <c r="A1199" s="7" t="s">
        <v>29</v>
      </c>
      <c r="B1199" s="8">
        <v>20215</v>
      </c>
      <c r="C1199" s="9">
        <v>45870.389560185184</v>
      </c>
      <c r="D1199" s="9">
        <v>45869</v>
      </c>
      <c r="E1199" s="9">
        <v>45869</v>
      </c>
      <c r="F1199" s="7" t="s">
        <v>4020</v>
      </c>
      <c r="G1199" s="7" t="s">
        <v>4021</v>
      </c>
      <c r="H1199" s="7" t="s">
        <v>4016</v>
      </c>
      <c r="I1199" s="7" t="s">
        <v>4017</v>
      </c>
      <c r="J1199" s="7" t="s">
        <v>25</v>
      </c>
      <c r="K1199" s="7" t="s">
        <v>170</v>
      </c>
      <c r="L1199" s="10">
        <v>1183.8399999999999</v>
      </c>
      <c r="M1199" s="10">
        <v>1183.8399999999999</v>
      </c>
      <c r="N1199" s="10">
        <f>+L1199-M1199</f>
        <v>0</v>
      </c>
      <c r="O1199" s="10">
        <v>1183.8399999999999</v>
      </c>
      <c r="P1199" s="10">
        <f>+L1199-O1199</f>
        <v>0</v>
      </c>
      <c r="Q1199" s="10">
        <v>0</v>
      </c>
      <c r="R1199" s="7" t="s">
        <v>27</v>
      </c>
    </row>
    <row r="1200" spans="1:18" hidden="1">
      <c r="A1200" s="7" t="s">
        <v>29</v>
      </c>
      <c r="B1200" s="8">
        <v>4220</v>
      </c>
      <c r="C1200" s="9">
        <v>45813.642546296294</v>
      </c>
      <c r="D1200" s="9">
        <v>45805</v>
      </c>
      <c r="E1200" s="9">
        <v>45853</v>
      </c>
      <c r="F1200" s="7" t="s">
        <v>4022</v>
      </c>
      <c r="G1200" s="7" t="s">
        <v>2360</v>
      </c>
      <c r="H1200" s="7" t="s">
        <v>1729</v>
      </c>
      <c r="I1200" s="7" t="s">
        <v>1730</v>
      </c>
      <c r="J1200" s="7" t="s">
        <v>25</v>
      </c>
      <c r="K1200" s="7" t="s">
        <v>86</v>
      </c>
      <c r="L1200" s="10">
        <v>1175.05</v>
      </c>
      <c r="M1200" s="10">
        <v>1175.05</v>
      </c>
      <c r="N1200" s="15">
        <f>+L1200-M1200</f>
        <v>0</v>
      </c>
      <c r="O1200" s="15">
        <v>1175.05</v>
      </c>
      <c r="P1200" s="15">
        <f>+L1200-O1200</f>
        <v>0</v>
      </c>
      <c r="Q1200" s="10">
        <v>0</v>
      </c>
      <c r="R1200" s="7" t="s">
        <v>87</v>
      </c>
    </row>
    <row r="1201" spans="1:18" hidden="1">
      <c r="A1201" s="7" t="s">
        <v>29</v>
      </c>
      <c r="B1201" s="8">
        <v>4213</v>
      </c>
      <c r="C1201" s="9">
        <v>45803.584803240738</v>
      </c>
      <c r="D1201" s="9">
        <v>45798</v>
      </c>
      <c r="E1201" s="9">
        <v>45811</v>
      </c>
      <c r="F1201" s="7" t="s">
        <v>4023</v>
      </c>
      <c r="G1201" s="7" t="s">
        <v>3101</v>
      </c>
      <c r="H1201" s="7" t="s">
        <v>4024</v>
      </c>
      <c r="I1201" s="7" t="s">
        <v>4025</v>
      </c>
      <c r="J1201" s="7" t="s">
        <v>25</v>
      </c>
      <c r="K1201" s="7" t="s">
        <v>206</v>
      </c>
      <c r="L1201" s="10">
        <v>1164.0999999999999</v>
      </c>
      <c r="M1201" s="10">
        <v>1164.0999999999999</v>
      </c>
      <c r="N1201" s="15">
        <f>+L1201-M1201</f>
        <v>0</v>
      </c>
      <c r="O1201" s="15">
        <v>1164.0999999999999</v>
      </c>
      <c r="P1201" s="15">
        <f>+L1201-O1201</f>
        <v>0</v>
      </c>
      <c r="Q1201" s="10">
        <v>0</v>
      </c>
      <c r="R1201" s="7" t="s">
        <v>87</v>
      </c>
    </row>
    <row r="1202" spans="1:18" hidden="1">
      <c r="A1202" s="7" t="s">
        <v>29</v>
      </c>
      <c r="B1202" s="8">
        <v>20299</v>
      </c>
      <c r="C1202" s="9">
        <v>45888.540358796294</v>
      </c>
      <c r="D1202" s="9">
        <v>45849</v>
      </c>
      <c r="E1202" s="9">
        <v>45849</v>
      </c>
      <c r="F1202" s="7" t="s">
        <v>4026</v>
      </c>
      <c r="G1202" s="7" t="s">
        <v>4027</v>
      </c>
      <c r="H1202" s="7" t="s">
        <v>2857</v>
      </c>
      <c r="I1202" s="7" t="s">
        <v>2858</v>
      </c>
      <c r="J1202" s="7" t="s">
        <v>176</v>
      </c>
      <c r="K1202" s="7" t="s">
        <v>317</v>
      </c>
      <c r="L1202" s="10">
        <v>1200</v>
      </c>
      <c r="M1202" s="10">
        <v>1200</v>
      </c>
      <c r="N1202" s="10">
        <f>+L1202-M1202</f>
        <v>0</v>
      </c>
      <c r="O1202" s="10">
        <v>1200</v>
      </c>
      <c r="P1202" s="10">
        <f>+L1202-O1202</f>
        <v>0</v>
      </c>
      <c r="Q1202" s="10">
        <v>0</v>
      </c>
      <c r="R1202" s="7" t="s">
        <v>27</v>
      </c>
    </row>
    <row r="1203" spans="1:18" hidden="1">
      <c r="A1203" s="7" t="s">
        <v>29</v>
      </c>
      <c r="B1203" s="8">
        <v>20387</v>
      </c>
      <c r="C1203" s="9">
        <v>45902.566724537035</v>
      </c>
      <c r="D1203" s="9">
        <v>45896</v>
      </c>
      <c r="E1203" s="9">
        <v>45896</v>
      </c>
      <c r="F1203" s="7" t="s">
        <v>4028</v>
      </c>
      <c r="G1203" s="7" t="s">
        <v>4029</v>
      </c>
      <c r="H1203" s="7" t="s">
        <v>4030</v>
      </c>
      <c r="I1203" s="7" t="s">
        <v>4031</v>
      </c>
      <c r="J1203" s="7" t="s">
        <v>176</v>
      </c>
      <c r="K1203" s="7" t="s">
        <v>360</v>
      </c>
      <c r="L1203" s="10">
        <v>1199</v>
      </c>
      <c r="M1203" s="10">
        <v>1199</v>
      </c>
      <c r="N1203" s="10">
        <f>+L1203-M1203</f>
        <v>0</v>
      </c>
      <c r="O1203" s="10">
        <v>1199</v>
      </c>
      <c r="P1203" s="10">
        <f>+L1203-O1203</f>
        <v>0</v>
      </c>
      <c r="Q1203" s="10">
        <v>0</v>
      </c>
      <c r="R1203" s="7" t="s">
        <v>27</v>
      </c>
    </row>
    <row r="1204" spans="1:18" hidden="1">
      <c r="A1204" s="7" t="s">
        <v>29</v>
      </c>
      <c r="B1204" s="8">
        <v>19994</v>
      </c>
      <c r="C1204" s="9">
        <v>45831.426296296297</v>
      </c>
      <c r="D1204" s="9">
        <v>45829</v>
      </c>
      <c r="E1204" s="9">
        <v>45829</v>
      </c>
      <c r="F1204" s="7" t="s">
        <v>4032</v>
      </c>
      <c r="G1204" s="7" t="s">
        <v>4033</v>
      </c>
      <c r="H1204" s="7" t="s">
        <v>4034</v>
      </c>
      <c r="I1204" s="7" t="s">
        <v>4035</v>
      </c>
      <c r="J1204" s="7" t="s">
        <v>176</v>
      </c>
      <c r="K1204" s="7" t="s">
        <v>494</v>
      </c>
      <c r="L1204" s="10">
        <v>1199</v>
      </c>
      <c r="M1204" s="10">
        <v>1199</v>
      </c>
      <c r="N1204" s="10">
        <f>+L1204-M1204</f>
        <v>0</v>
      </c>
      <c r="O1204" s="10">
        <v>1199</v>
      </c>
      <c r="P1204" s="10">
        <f>+L1204-O1204</f>
        <v>0</v>
      </c>
      <c r="Q1204" s="10">
        <v>0</v>
      </c>
      <c r="R1204" s="7" t="s">
        <v>27</v>
      </c>
    </row>
    <row r="1205" spans="1:18" hidden="1">
      <c r="A1205" s="7" t="s">
        <v>29</v>
      </c>
      <c r="B1205" s="8">
        <v>20377</v>
      </c>
      <c r="C1205" s="9">
        <v>45902.523842592593</v>
      </c>
      <c r="D1205" s="9">
        <v>45899</v>
      </c>
      <c r="E1205" s="9">
        <v>45899</v>
      </c>
      <c r="F1205" s="7" t="s">
        <v>4036</v>
      </c>
      <c r="G1205" s="7" t="s">
        <v>4037</v>
      </c>
      <c r="H1205" s="7" t="s">
        <v>4038</v>
      </c>
      <c r="I1205" s="7" t="s">
        <v>4039</v>
      </c>
      <c r="J1205" s="7" t="s">
        <v>176</v>
      </c>
      <c r="K1205" s="7" t="s">
        <v>360</v>
      </c>
      <c r="L1205" s="10">
        <v>1199</v>
      </c>
      <c r="M1205" s="10">
        <v>1199</v>
      </c>
      <c r="N1205" s="10">
        <f>+L1205-M1205</f>
        <v>0</v>
      </c>
      <c r="O1205" s="10">
        <v>1199</v>
      </c>
      <c r="P1205" s="10">
        <f>+L1205-O1205</f>
        <v>0</v>
      </c>
      <c r="Q1205" s="10">
        <v>0</v>
      </c>
      <c r="R1205" s="7" t="s">
        <v>27</v>
      </c>
    </row>
    <row r="1206" spans="1:18" hidden="1">
      <c r="A1206" s="7" t="s">
        <v>29</v>
      </c>
      <c r="B1206" s="8">
        <v>20374</v>
      </c>
      <c r="C1206" s="9">
        <v>45901.619513888887</v>
      </c>
      <c r="D1206" s="9">
        <v>45901</v>
      </c>
      <c r="E1206" s="9">
        <v>45901</v>
      </c>
      <c r="F1206" s="7" t="s">
        <v>4040</v>
      </c>
      <c r="G1206" s="7" t="s">
        <v>4041</v>
      </c>
      <c r="H1206" s="7" t="s">
        <v>2784</v>
      </c>
      <c r="I1206" s="7" t="s">
        <v>2785</v>
      </c>
      <c r="J1206" s="7" t="s">
        <v>176</v>
      </c>
      <c r="K1206" s="7" t="s">
        <v>360</v>
      </c>
      <c r="L1206" s="10">
        <v>1199</v>
      </c>
      <c r="M1206" s="10">
        <v>1199</v>
      </c>
      <c r="N1206" s="10">
        <f>+L1206-M1206</f>
        <v>0</v>
      </c>
      <c r="O1206" s="10">
        <v>1199</v>
      </c>
      <c r="P1206" s="10">
        <f>+L1206-O1206</f>
        <v>0</v>
      </c>
      <c r="Q1206" s="10">
        <v>0</v>
      </c>
      <c r="R1206" s="7" t="s">
        <v>27</v>
      </c>
    </row>
    <row r="1207" spans="1:18" hidden="1">
      <c r="A1207" s="7" t="s">
        <v>29</v>
      </c>
      <c r="B1207" s="8">
        <v>4146</v>
      </c>
      <c r="C1207" s="9">
        <v>45671.338564814811</v>
      </c>
      <c r="D1207" s="9">
        <v>45636</v>
      </c>
      <c r="E1207" s="9">
        <v>45636</v>
      </c>
      <c r="F1207" s="7" t="s">
        <v>4042</v>
      </c>
      <c r="G1207" s="7" t="s">
        <v>2414</v>
      </c>
      <c r="H1207" s="7" t="s">
        <v>445</v>
      </c>
      <c r="I1207" s="7" t="s">
        <v>321</v>
      </c>
      <c r="J1207" s="7" t="s">
        <v>25</v>
      </c>
      <c r="K1207" s="7" t="s">
        <v>125</v>
      </c>
      <c r="L1207" s="10">
        <v>1160</v>
      </c>
      <c r="M1207" s="10">
        <v>1160</v>
      </c>
      <c r="N1207" s="15">
        <f>+L1207-M1207</f>
        <v>0</v>
      </c>
      <c r="O1207" s="15">
        <v>1160</v>
      </c>
      <c r="P1207" s="15">
        <f>+L1207-O1207</f>
        <v>0</v>
      </c>
      <c r="Q1207" s="10">
        <v>0</v>
      </c>
      <c r="R1207" s="7" t="s">
        <v>87</v>
      </c>
    </row>
    <row r="1208" spans="1:18" hidden="1">
      <c r="A1208" s="7" t="s">
        <v>29</v>
      </c>
      <c r="B1208" s="8">
        <v>20543</v>
      </c>
      <c r="C1208" s="9">
        <v>45933.393321759257</v>
      </c>
      <c r="D1208" s="9">
        <v>45933</v>
      </c>
      <c r="E1208" s="9">
        <v>45933</v>
      </c>
      <c r="F1208" s="7" t="s">
        <v>4043</v>
      </c>
      <c r="G1208" s="7" t="s">
        <v>4044</v>
      </c>
      <c r="H1208" s="7" t="s">
        <v>4045</v>
      </c>
      <c r="I1208" s="7" t="s">
        <v>4046</v>
      </c>
      <c r="J1208" s="7" t="s">
        <v>34</v>
      </c>
      <c r="K1208" s="7" t="s">
        <v>35</v>
      </c>
      <c r="L1208" s="10">
        <v>1198.48</v>
      </c>
      <c r="M1208" s="10">
        <v>1198.48</v>
      </c>
      <c r="N1208" s="10">
        <f>+L1208-M1208</f>
        <v>0</v>
      </c>
      <c r="O1208" s="10">
        <v>1198.48</v>
      </c>
      <c r="P1208" s="10">
        <f>+L1208-O1208</f>
        <v>0</v>
      </c>
      <c r="Q1208" s="10">
        <v>0</v>
      </c>
      <c r="R1208" s="7" t="s">
        <v>27</v>
      </c>
    </row>
    <row r="1209" spans="1:18" hidden="1">
      <c r="A1209" s="7" t="s">
        <v>29</v>
      </c>
      <c r="B1209" s="8">
        <v>19771</v>
      </c>
      <c r="C1209" s="9">
        <v>45783.608506944445</v>
      </c>
      <c r="D1209" s="9">
        <v>45783</v>
      </c>
      <c r="E1209" s="9">
        <v>45818</v>
      </c>
      <c r="F1209" s="7" t="s">
        <v>4047</v>
      </c>
      <c r="G1209" s="7" t="s">
        <v>4048</v>
      </c>
      <c r="H1209" s="7" t="s">
        <v>4049</v>
      </c>
      <c r="I1209" s="7" t="s">
        <v>4050</v>
      </c>
      <c r="J1209" s="7" t="s">
        <v>34</v>
      </c>
      <c r="K1209" s="7" t="s">
        <v>902</v>
      </c>
      <c r="L1209" s="10">
        <v>1191.5899999999999</v>
      </c>
      <c r="M1209" s="10">
        <v>1191.5899999999999</v>
      </c>
      <c r="N1209" s="10">
        <f>+L1209-M1209</f>
        <v>0</v>
      </c>
      <c r="O1209" s="10">
        <v>1191.5899999999999</v>
      </c>
      <c r="P1209" s="10">
        <f>+L1209-O1209</f>
        <v>0</v>
      </c>
      <c r="Q1209" s="10">
        <v>0</v>
      </c>
      <c r="R1209" s="7" t="s">
        <v>27</v>
      </c>
    </row>
    <row r="1210" spans="1:18" hidden="1">
      <c r="A1210" s="7" t="s">
        <v>29</v>
      </c>
      <c r="B1210" s="8">
        <v>20188</v>
      </c>
      <c r="C1210" s="9">
        <v>45866.474629629629</v>
      </c>
      <c r="D1210" s="9">
        <v>45866</v>
      </c>
      <c r="E1210" s="9">
        <v>45897</v>
      </c>
      <c r="F1210" s="7" t="s">
        <v>4051</v>
      </c>
      <c r="G1210" s="7" t="s">
        <v>4052</v>
      </c>
      <c r="H1210" s="7" t="s">
        <v>4049</v>
      </c>
      <c r="I1210" s="7" t="s">
        <v>4050</v>
      </c>
      <c r="J1210" s="7" t="s">
        <v>34</v>
      </c>
      <c r="K1210" s="7" t="s">
        <v>990</v>
      </c>
      <c r="L1210" s="10">
        <v>1186.27</v>
      </c>
      <c r="M1210" s="10">
        <v>1186.27</v>
      </c>
      <c r="N1210" s="10">
        <f>+L1210-M1210</f>
        <v>0</v>
      </c>
      <c r="O1210" s="10">
        <v>1186.27</v>
      </c>
      <c r="P1210" s="10">
        <f>+L1210-O1210</f>
        <v>0</v>
      </c>
      <c r="Q1210" s="10">
        <v>0</v>
      </c>
      <c r="R1210" s="7" t="s">
        <v>27</v>
      </c>
    </row>
    <row r="1211" spans="1:18" hidden="1">
      <c r="A1211" s="7" t="s">
        <v>29</v>
      </c>
      <c r="B1211" s="8">
        <v>4144</v>
      </c>
      <c r="C1211" s="9">
        <v>45670.484548611108</v>
      </c>
      <c r="D1211" s="9">
        <v>45663</v>
      </c>
      <c r="E1211" s="9">
        <v>45663</v>
      </c>
      <c r="F1211" s="7" t="s">
        <v>4053</v>
      </c>
      <c r="G1211" s="7" t="s">
        <v>3311</v>
      </c>
      <c r="H1211" s="7" t="s">
        <v>3387</v>
      </c>
      <c r="I1211" s="7" t="s">
        <v>383</v>
      </c>
      <c r="J1211" s="7" t="s">
        <v>25</v>
      </c>
      <c r="K1211" s="7" t="s">
        <v>86</v>
      </c>
      <c r="L1211" s="10">
        <v>1149.21</v>
      </c>
      <c r="M1211" s="10">
        <v>1149.21</v>
      </c>
      <c r="N1211" s="15">
        <f>+L1211-M1211</f>
        <v>0</v>
      </c>
      <c r="O1211" s="15">
        <v>1149.21</v>
      </c>
      <c r="P1211" s="15">
        <f>+L1211-O1211</f>
        <v>0</v>
      </c>
      <c r="Q1211" s="10">
        <v>0</v>
      </c>
      <c r="R1211" s="7" t="s">
        <v>87</v>
      </c>
    </row>
    <row r="1212" spans="1:18" hidden="1">
      <c r="A1212" s="7" t="s">
        <v>29</v>
      </c>
      <c r="B1212" s="8">
        <v>4301</v>
      </c>
      <c r="C1212" s="9">
        <v>45987.341516203705</v>
      </c>
      <c r="D1212" s="9">
        <v>46017</v>
      </c>
      <c r="E1212" s="9">
        <v>46017</v>
      </c>
      <c r="F1212" s="7" t="s">
        <v>4054</v>
      </c>
      <c r="G1212" s="7" t="s">
        <v>3107</v>
      </c>
      <c r="H1212" s="7" t="s">
        <v>2685</v>
      </c>
      <c r="I1212" s="7" t="s">
        <v>1298</v>
      </c>
      <c r="J1212" s="7" t="s">
        <v>25</v>
      </c>
      <c r="K1212" s="7" t="s">
        <v>206</v>
      </c>
      <c r="L1212" s="10">
        <v>1114.93</v>
      </c>
      <c r="M1212" s="10">
        <v>1114.93</v>
      </c>
      <c r="N1212" s="15">
        <f>+L1212-M1212</f>
        <v>0</v>
      </c>
      <c r="O1212" s="15">
        <v>1114.93</v>
      </c>
      <c r="P1212" s="15">
        <f>+L1212-O1212</f>
        <v>0</v>
      </c>
      <c r="Q1212" s="10">
        <v>0</v>
      </c>
      <c r="R1212" s="7" t="s">
        <v>87</v>
      </c>
    </row>
    <row r="1213" spans="1:18" hidden="1">
      <c r="A1213" s="7" t="s">
        <v>29</v>
      </c>
      <c r="B1213" s="8">
        <v>19829</v>
      </c>
      <c r="C1213" s="9">
        <v>45796.39403935185</v>
      </c>
      <c r="D1213" s="9">
        <v>45793</v>
      </c>
      <c r="E1213" s="9">
        <v>45793</v>
      </c>
      <c r="F1213" s="7" t="s">
        <v>4055</v>
      </c>
      <c r="G1213" s="7" t="s">
        <v>4056</v>
      </c>
      <c r="H1213" s="7" t="s">
        <v>4057</v>
      </c>
      <c r="I1213" s="7" t="s">
        <v>4058</v>
      </c>
      <c r="J1213" s="7" t="s">
        <v>176</v>
      </c>
      <c r="K1213" s="7" t="s">
        <v>494</v>
      </c>
      <c r="L1213" s="10">
        <v>1180</v>
      </c>
      <c r="M1213" s="10">
        <v>1180</v>
      </c>
      <c r="N1213" s="10">
        <f>+L1213-M1213</f>
        <v>0</v>
      </c>
      <c r="O1213" s="10">
        <v>1180</v>
      </c>
      <c r="P1213" s="10">
        <f>+L1213-O1213</f>
        <v>0</v>
      </c>
      <c r="Q1213" s="10">
        <v>0</v>
      </c>
      <c r="R1213" s="7" t="s">
        <v>27</v>
      </c>
    </row>
    <row r="1214" spans="1:18" hidden="1">
      <c r="A1214" s="7" t="s">
        <v>29</v>
      </c>
      <c r="B1214" s="8">
        <v>19636</v>
      </c>
      <c r="C1214" s="9">
        <v>45755.658993055556</v>
      </c>
      <c r="D1214" s="9">
        <v>45755</v>
      </c>
      <c r="E1214" s="9">
        <v>45819</v>
      </c>
      <c r="F1214" s="7" t="s">
        <v>4059</v>
      </c>
      <c r="G1214" s="7" t="s">
        <v>4060</v>
      </c>
      <c r="H1214" s="7" t="s">
        <v>1881</v>
      </c>
      <c r="I1214" s="7" t="s">
        <v>1882</v>
      </c>
      <c r="J1214" s="7" t="s">
        <v>34</v>
      </c>
      <c r="K1214" s="7" t="s">
        <v>35</v>
      </c>
      <c r="L1214" s="10">
        <v>1168.8</v>
      </c>
      <c r="M1214" s="10">
        <v>1168.8</v>
      </c>
      <c r="N1214" s="10">
        <f>+L1214-M1214</f>
        <v>0</v>
      </c>
      <c r="O1214" s="10">
        <v>1168.8</v>
      </c>
      <c r="P1214" s="10">
        <f>+L1214-O1214</f>
        <v>0</v>
      </c>
      <c r="Q1214" s="10">
        <v>0</v>
      </c>
      <c r="R1214" s="7" t="s">
        <v>27</v>
      </c>
    </row>
    <row r="1215" spans="1:18" hidden="1">
      <c r="A1215" s="7" t="s">
        <v>29</v>
      </c>
      <c r="B1215" s="8">
        <v>20130</v>
      </c>
      <c r="C1215" s="9">
        <v>45847.761446759258</v>
      </c>
      <c r="D1215" s="9">
        <v>45847</v>
      </c>
      <c r="E1215" s="9">
        <v>45847</v>
      </c>
      <c r="F1215" s="7" t="s">
        <v>4061</v>
      </c>
      <c r="G1215" s="7" t="s">
        <v>4062</v>
      </c>
      <c r="H1215" s="7" t="s">
        <v>4063</v>
      </c>
      <c r="I1215" s="7" t="s">
        <v>4064</v>
      </c>
      <c r="J1215" s="7" t="s">
        <v>176</v>
      </c>
      <c r="K1215" s="7" t="s">
        <v>494</v>
      </c>
      <c r="L1215" s="10">
        <v>1166.2</v>
      </c>
      <c r="M1215" s="10">
        <v>1166.2</v>
      </c>
      <c r="N1215" s="10">
        <f>+L1215-M1215</f>
        <v>0</v>
      </c>
      <c r="O1215" s="10">
        <v>1166.2</v>
      </c>
      <c r="P1215" s="10">
        <f>+L1215-O1215</f>
        <v>0</v>
      </c>
      <c r="Q1215" s="10">
        <v>0</v>
      </c>
      <c r="R1215" s="7" t="s">
        <v>27</v>
      </c>
    </row>
    <row r="1216" spans="1:18" hidden="1">
      <c r="A1216" s="7" t="s">
        <v>29</v>
      </c>
      <c r="B1216" s="8">
        <v>20852</v>
      </c>
      <c r="C1216" s="9">
        <v>46034.554629629631</v>
      </c>
      <c r="D1216" s="9">
        <v>46014</v>
      </c>
      <c r="E1216" s="9">
        <v>46014</v>
      </c>
      <c r="F1216" s="7" t="s">
        <v>4065</v>
      </c>
      <c r="G1216" s="7" t="s">
        <v>4066</v>
      </c>
      <c r="H1216" s="7" t="s">
        <v>4067</v>
      </c>
      <c r="I1216" s="7" t="s">
        <v>4068</v>
      </c>
      <c r="J1216" s="7" t="s">
        <v>176</v>
      </c>
      <c r="K1216" s="7" t="s">
        <v>584</v>
      </c>
      <c r="L1216" s="10">
        <v>1145</v>
      </c>
      <c r="M1216" s="10">
        <v>1145</v>
      </c>
      <c r="N1216" s="10">
        <f>+L1216-M1216</f>
        <v>0</v>
      </c>
      <c r="O1216" s="10">
        <v>1145</v>
      </c>
      <c r="P1216" s="10">
        <f>+L1216-O1216</f>
        <v>0</v>
      </c>
      <c r="Q1216" s="10">
        <v>0</v>
      </c>
      <c r="R1216" s="7" t="s">
        <v>27</v>
      </c>
    </row>
    <row r="1217" spans="1:18" hidden="1">
      <c r="A1217" s="7" t="s">
        <v>29</v>
      </c>
      <c r="B1217" s="8">
        <v>19762</v>
      </c>
      <c r="C1217" s="9">
        <v>45777.730844907404</v>
      </c>
      <c r="D1217" s="9">
        <v>45768</v>
      </c>
      <c r="E1217" s="9">
        <v>45768</v>
      </c>
      <c r="F1217" s="7" t="s">
        <v>4069</v>
      </c>
      <c r="G1217" s="7" t="s">
        <v>4070</v>
      </c>
      <c r="H1217" s="7" t="s">
        <v>4071</v>
      </c>
      <c r="I1217" s="7" t="s">
        <v>4072</v>
      </c>
      <c r="J1217" s="7" t="s">
        <v>176</v>
      </c>
      <c r="K1217" s="7" t="s">
        <v>494</v>
      </c>
      <c r="L1217" s="10">
        <v>1142.98</v>
      </c>
      <c r="M1217" s="10">
        <v>1142.98</v>
      </c>
      <c r="N1217" s="10">
        <f>+L1217-M1217</f>
        <v>0</v>
      </c>
      <c r="O1217" s="10">
        <v>1142.98</v>
      </c>
      <c r="P1217" s="10">
        <f>+L1217-O1217</f>
        <v>0</v>
      </c>
      <c r="Q1217" s="10">
        <v>0</v>
      </c>
      <c r="R1217" s="7" t="s">
        <v>27</v>
      </c>
    </row>
    <row r="1218" spans="1:18" hidden="1">
      <c r="A1218" s="7" t="s">
        <v>29</v>
      </c>
      <c r="B1218" s="8">
        <v>20248</v>
      </c>
      <c r="C1218" s="9">
        <v>45875.516562500001</v>
      </c>
      <c r="D1218" s="9">
        <v>45874</v>
      </c>
      <c r="E1218" s="9">
        <v>45874</v>
      </c>
      <c r="F1218" s="7" t="s">
        <v>4073</v>
      </c>
      <c r="G1218" s="7" t="s">
        <v>4074</v>
      </c>
      <c r="H1218" s="7" t="s">
        <v>4075</v>
      </c>
      <c r="I1218" s="7" t="s">
        <v>4076</v>
      </c>
      <c r="J1218" s="7" t="s">
        <v>176</v>
      </c>
      <c r="K1218" s="7" t="s">
        <v>494</v>
      </c>
      <c r="L1218" s="10">
        <v>1139</v>
      </c>
      <c r="M1218" s="10">
        <v>1139</v>
      </c>
      <c r="N1218" s="10">
        <f>+L1218-M1218</f>
        <v>0</v>
      </c>
      <c r="O1218" s="10">
        <v>1139</v>
      </c>
      <c r="P1218" s="10">
        <f>+L1218-O1218</f>
        <v>0</v>
      </c>
      <c r="Q1218" s="10">
        <v>0</v>
      </c>
      <c r="R1218" s="7" t="s">
        <v>27</v>
      </c>
    </row>
    <row r="1219" spans="1:18" hidden="1">
      <c r="A1219" s="7" t="s">
        <v>29</v>
      </c>
      <c r="B1219" s="8">
        <v>19377</v>
      </c>
      <c r="C1219" s="9">
        <v>45693.486932870372</v>
      </c>
      <c r="D1219" s="9">
        <v>45692</v>
      </c>
      <c r="E1219" s="9">
        <v>45692</v>
      </c>
      <c r="F1219" s="7" t="s">
        <v>4077</v>
      </c>
      <c r="G1219" s="7" t="s">
        <v>444</v>
      </c>
      <c r="H1219" s="7" t="s">
        <v>2260</v>
      </c>
      <c r="I1219" s="7" t="s">
        <v>2261</v>
      </c>
      <c r="J1219" s="7" t="s">
        <v>40</v>
      </c>
      <c r="K1219" s="7" t="s">
        <v>41</v>
      </c>
      <c r="L1219" s="10">
        <v>1056.55</v>
      </c>
      <c r="M1219" s="10">
        <v>1056.55</v>
      </c>
      <c r="N1219" s="10">
        <f>+L1219-M1219</f>
        <v>0</v>
      </c>
      <c r="O1219" s="10">
        <v>1056.55</v>
      </c>
      <c r="P1219" s="10">
        <f>+L1219-O1219</f>
        <v>0</v>
      </c>
      <c r="Q1219" s="10">
        <v>0</v>
      </c>
      <c r="R1219" s="7" t="s">
        <v>27</v>
      </c>
    </row>
    <row r="1220" spans="1:18" hidden="1">
      <c r="A1220" s="7" t="s">
        <v>29</v>
      </c>
      <c r="B1220" s="8">
        <v>19554</v>
      </c>
      <c r="C1220" s="9">
        <v>45741.521782407406</v>
      </c>
      <c r="D1220" s="9">
        <v>45741</v>
      </c>
      <c r="E1220" s="9">
        <v>45741</v>
      </c>
      <c r="F1220" s="7" t="s">
        <v>4078</v>
      </c>
      <c r="G1220" s="7" t="s">
        <v>4079</v>
      </c>
      <c r="H1220" s="7" t="s">
        <v>3730</v>
      </c>
      <c r="I1220" s="7" t="s">
        <v>3731</v>
      </c>
      <c r="J1220" s="7" t="s">
        <v>40</v>
      </c>
      <c r="K1220" s="7" t="s">
        <v>355</v>
      </c>
      <c r="L1220" s="10">
        <v>1003</v>
      </c>
      <c r="M1220" s="10">
        <v>1003</v>
      </c>
      <c r="N1220" s="10">
        <f>+L1220-M1220</f>
        <v>0</v>
      </c>
      <c r="O1220" s="10">
        <v>1003</v>
      </c>
      <c r="P1220" s="10">
        <f>+L1220-O1220</f>
        <v>0</v>
      </c>
      <c r="Q1220" s="10">
        <v>0</v>
      </c>
      <c r="R1220" s="7" t="s">
        <v>27</v>
      </c>
    </row>
    <row r="1221" spans="1:18" hidden="1">
      <c r="A1221" s="7" t="s">
        <v>29</v>
      </c>
      <c r="B1221" s="8">
        <v>19460</v>
      </c>
      <c r="C1221" s="9">
        <v>45714.43005787037</v>
      </c>
      <c r="D1221" s="9">
        <v>45838</v>
      </c>
      <c r="E1221" s="9">
        <v>45712</v>
      </c>
      <c r="F1221" s="7" t="s">
        <v>2984</v>
      </c>
      <c r="G1221" s="7" t="s">
        <v>2741</v>
      </c>
      <c r="H1221" s="7" t="s">
        <v>2260</v>
      </c>
      <c r="I1221" s="7" t="s">
        <v>2261</v>
      </c>
      <c r="J1221" s="7" t="s">
        <v>40</v>
      </c>
      <c r="K1221" s="7" t="s">
        <v>2986</v>
      </c>
      <c r="L1221" s="10">
        <v>980.23</v>
      </c>
      <c r="M1221" s="10">
        <v>980.23</v>
      </c>
      <c r="N1221" s="10">
        <f>+L1221-M1221</f>
        <v>0</v>
      </c>
      <c r="O1221" s="10">
        <v>980.23</v>
      </c>
      <c r="P1221" s="10">
        <f>+L1221-O1221</f>
        <v>0</v>
      </c>
      <c r="Q1221" s="10">
        <v>0</v>
      </c>
      <c r="R1221" s="7" t="s">
        <v>27</v>
      </c>
    </row>
    <row r="1222" spans="1:18">
      <c r="A1222" s="7" t="s">
        <v>29</v>
      </c>
      <c r="B1222" s="8">
        <v>20007</v>
      </c>
      <c r="C1222" s="9">
        <v>45832.565671296295</v>
      </c>
      <c r="D1222" s="9">
        <v>45838</v>
      </c>
      <c r="E1222" s="9">
        <v>45856</v>
      </c>
      <c r="F1222" s="7" t="s">
        <v>4080</v>
      </c>
      <c r="G1222" s="7" t="s">
        <v>4081</v>
      </c>
      <c r="H1222" s="7" t="s">
        <v>4082</v>
      </c>
      <c r="I1222" s="7" t="s">
        <v>4083</v>
      </c>
      <c r="J1222" s="7" t="s">
        <v>25</v>
      </c>
      <c r="K1222" s="7" t="s">
        <v>537</v>
      </c>
      <c r="L1222" s="10">
        <v>1110.4000000000001</v>
      </c>
      <c r="M1222" s="10">
        <v>1110.4000000000001</v>
      </c>
      <c r="N1222" s="10">
        <f>+L1222-M1222</f>
        <v>0</v>
      </c>
      <c r="O1222" s="10">
        <v>1110.4000000000001</v>
      </c>
      <c r="P1222" s="10">
        <f>+L1222-O1222</f>
        <v>0</v>
      </c>
      <c r="Q1222" s="10">
        <v>0</v>
      </c>
      <c r="R1222" s="7" t="s">
        <v>27</v>
      </c>
    </row>
    <row r="1223" spans="1:18" hidden="1">
      <c r="A1223" s="7" t="s">
        <v>29</v>
      </c>
      <c r="B1223" s="8">
        <v>20369</v>
      </c>
      <c r="C1223" s="9">
        <v>45901.432708333334</v>
      </c>
      <c r="D1223" s="9">
        <v>45931</v>
      </c>
      <c r="E1223" s="9">
        <v>45901</v>
      </c>
      <c r="F1223" s="7" t="s">
        <v>4084</v>
      </c>
      <c r="G1223" s="7" t="s">
        <v>4085</v>
      </c>
      <c r="H1223" s="7" t="s">
        <v>4086</v>
      </c>
      <c r="I1223" s="7" t="s">
        <v>4087</v>
      </c>
      <c r="J1223" s="7" t="s">
        <v>40</v>
      </c>
      <c r="K1223" s="7" t="s">
        <v>355</v>
      </c>
      <c r="L1223" s="10">
        <v>908.97</v>
      </c>
      <c r="M1223" s="10">
        <v>908.97</v>
      </c>
      <c r="N1223" s="10">
        <f>+L1223-M1223</f>
        <v>0</v>
      </c>
      <c r="O1223" s="10">
        <v>908.97</v>
      </c>
      <c r="P1223" s="10">
        <f>+L1223-O1223</f>
        <v>0</v>
      </c>
      <c r="Q1223" s="10">
        <v>0</v>
      </c>
      <c r="R1223" s="7" t="s">
        <v>27</v>
      </c>
    </row>
    <row r="1224" spans="1:18" hidden="1">
      <c r="A1224" s="7" t="s">
        <v>29</v>
      </c>
      <c r="B1224" s="8">
        <v>20324</v>
      </c>
      <c r="C1224" s="9">
        <v>45894.674652777772</v>
      </c>
      <c r="D1224" s="9">
        <v>45894</v>
      </c>
      <c r="E1224" s="9">
        <v>45936</v>
      </c>
      <c r="F1224" s="7" t="s">
        <v>4088</v>
      </c>
      <c r="G1224" s="7" t="s">
        <v>4089</v>
      </c>
      <c r="H1224" s="7" t="s">
        <v>4090</v>
      </c>
      <c r="I1224" s="7" t="s">
        <v>4091</v>
      </c>
      <c r="J1224" s="7" t="s">
        <v>34</v>
      </c>
      <c r="K1224" s="7" t="s">
        <v>35</v>
      </c>
      <c r="L1224" s="10">
        <v>1102.78</v>
      </c>
      <c r="M1224" s="10">
        <v>1102.78</v>
      </c>
      <c r="N1224" s="10">
        <f>+L1224-M1224</f>
        <v>0</v>
      </c>
      <c r="O1224" s="10">
        <v>1102.78</v>
      </c>
      <c r="P1224" s="10">
        <f>+L1224-O1224</f>
        <v>0</v>
      </c>
      <c r="Q1224" s="10">
        <v>0</v>
      </c>
      <c r="R1224" s="7" t="s">
        <v>27</v>
      </c>
    </row>
    <row r="1225" spans="1:18" hidden="1">
      <c r="A1225" s="7" t="s">
        <v>29</v>
      </c>
      <c r="B1225" s="8">
        <v>19717</v>
      </c>
      <c r="C1225" s="9">
        <v>45772.363645833335</v>
      </c>
      <c r="D1225" s="9">
        <v>45772</v>
      </c>
      <c r="E1225" s="9">
        <v>45757</v>
      </c>
      <c r="F1225" s="7" t="s">
        <v>4092</v>
      </c>
      <c r="G1225" s="7" t="s">
        <v>4093</v>
      </c>
      <c r="H1225" s="7" t="s">
        <v>4094</v>
      </c>
      <c r="I1225" s="7" t="s">
        <v>4095</v>
      </c>
      <c r="J1225" s="7" t="s">
        <v>34</v>
      </c>
      <c r="K1225" s="7" t="s">
        <v>35</v>
      </c>
      <c r="L1225" s="10">
        <v>1100.3499999999999</v>
      </c>
      <c r="M1225" s="10">
        <v>1100.3499999999999</v>
      </c>
      <c r="N1225" s="10">
        <f>+L1225-M1225</f>
        <v>0</v>
      </c>
      <c r="O1225" s="10">
        <v>1100.3499999999999</v>
      </c>
      <c r="P1225" s="10">
        <f>+L1225-O1225</f>
        <v>0</v>
      </c>
      <c r="Q1225" s="10">
        <v>0</v>
      </c>
      <c r="R1225" s="7" t="s">
        <v>27</v>
      </c>
    </row>
    <row r="1226" spans="1:18" hidden="1">
      <c r="A1226" s="7" t="s">
        <v>29</v>
      </c>
      <c r="B1226" s="8">
        <v>19560</v>
      </c>
      <c r="C1226" s="9">
        <v>45741.633333333331</v>
      </c>
      <c r="D1226" s="9">
        <v>45759</v>
      </c>
      <c r="E1226" s="9">
        <v>45738</v>
      </c>
      <c r="F1226" s="7" t="s">
        <v>4096</v>
      </c>
      <c r="G1226" s="7" t="s">
        <v>4097</v>
      </c>
      <c r="H1226" s="7" t="s">
        <v>4098</v>
      </c>
      <c r="I1226" s="7" t="s">
        <v>4099</v>
      </c>
      <c r="J1226" s="7" t="s">
        <v>176</v>
      </c>
      <c r="K1226" s="7" t="s">
        <v>374</v>
      </c>
      <c r="L1226" s="10">
        <v>1100</v>
      </c>
      <c r="M1226" s="10">
        <v>1100</v>
      </c>
      <c r="N1226" s="10">
        <f>+L1226-M1226</f>
        <v>0</v>
      </c>
      <c r="O1226" s="10">
        <v>1100</v>
      </c>
      <c r="P1226" s="10">
        <f>+L1226-O1226</f>
        <v>0</v>
      </c>
      <c r="Q1226" s="10">
        <v>0</v>
      </c>
      <c r="R1226" s="7" t="s">
        <v>27</v>
      </c>
    </row>
    <row r="1227" spans="1:18">
      <c r="A1227" s="7" t="s">
        <v>29</v>
      </c>
      <c r="B1227" s="8">
        <v>19434</v>
      </c>
      <c r="C1227" s="9">
        <v>45708.409386574072</v>
      </c>
      <c r="D1227" s="9">
        <v>45730</v>
      </c>
      <c r="E1227" s="9">
        <v>45707</v>
      </c>
      <c r="F1227" s="7" t="s">
        <v>4100</v>
      </c>
      <c r="G1227" s="7" t="s">
        <v>1099</v>
      </c>
      <c r="H1227" s="7" t="s">
        <v>2284</v>
      </c>
      <c r="I1227" s="7" t="s">
        <v>1763</v>
      </c>
      <c r="J1227" s="7" t="s">
        <v>25</v>
      </c>
      <c r="K1227" s="7" t="s">
        <v>525</v>
      </c>
      <c r="L1227" s="10">
        <v>1100</v>
      </c>
      <c r="M1227" s="10">
        <v>1100</v>
      </c>
      <c r="N1227" s="10">
        <f>+L1227-M1227</f>
        <v>0</v>
      </c>
      <c r="O1227" s="10">
        <v>1100</v>
      </c>
      <c r="P1227" s="10">
        <f>+L1227-O1227</f>
        <v>0</v>
      </c>
      <c r="Q1227" s="10">
        <v>0</v>
      </c>
      <c r="R1227" s="7" t="s">
        <v>27</v>
      </c>
    </row>
    <row r="1228" spans="1:18">
      <c r="A1228" s="7" t="s">
        <v>29</v>
      </c>
      <c r="B1228" s="8">
        <v>19433</v>
      </c>
      <c r="C1228" s="9">
        <v>45708.409050925926</v>
      </c>
      <c r="D1228" s="9">
        <v>45729</v>
      </c>
      <c r="E1228" s="9">
        <v>45707</v>
      </c>
      <c r="F1228" s="7" t="s">
        <v>4101</v>
      </c>
      <c r="G1228" s="7" t="s">
        <v>292</v>
      </c>
      <c r="H1228" s="7" t="s">
        <v>3051</v>
      </c>
      <c r="I1228" s="7" t="s">
        <v>3052</v>
      </c>
      <c r="J1228" s="7" t="s">
        <v>25</v>
      </c>
      <c r="K1228" s="7" t="s">
        <v>170</v>
      </c>
      <c r="L1228" s="10">
        <v>1098.3599999999999</v>
      </c>
      <c r="M1228" s="10">
        <v>1098.3599999999999</v>
      </c>
      <c r="N1228" s="10">
        <f>+L1228-M1228</f>
        <v>0</v>
      </c>
      <c r="O1228" s="10">
        <v>1098.3599999999999</v>
      </c>
      <c r="P1228" s="10">
        <f>+L1228-O1228</f>
        <v>0</v>
      </c>
      <c r="Q1228" s="10">
        <v>0</v>
      </c>
      <c r="R1228" s="7" t="s">
        <v>27</v>
      </c>
    </row>
    <row r="1229" spans="1:18" hidden="1">
      <c r="A1229" s="7" t="s">
        <v>29</v>
      </c>
      <c r="B1229" s="8">
        <v>20801</v>
      </c>
      <c r="C1229" s="9">
        <v>46013.71393518518</v>
      </c>
      <c r="D1229" s="9">
        <v>46013</v>
      </c>
      <c r="E1229" s="9">
        <v>46013</v>
      </c>
      <c r="F1229" s="7" t="s">
        <v>4102</v>
      </c>
      <c r="G1229" s="7" t="s">
        <v>4103</v>
      </c>
      <c r="H1229" s="7" t="s">
        <v>3915</v>
      </c>
      <c r="I1229" s="7" t="s">
        <v>3916</v>
      </c>
      <c r="J1229" s="7" t="s">
        <v>176</v>
      </c>
      <c r="K1229" s="7" t="s">
        <v>360</v>
      </c>
      <c r="L1229" s="10">
        <v>1094</v>
      </c>
      <c r="M1229" s="10">
        <v>1094</v>
      </c>
      <c r="N1229" s="10">
        <f>+L1229-M1229</f>
        <v>0</v>
      </c>
      <c r="O1229" s="10">
        <v>1094</v>
      </c>
      <c r="P1229" s="10">
        <f>+L1229-O1229</f>
        <v>0</v>
      </c>
      <c r="Q1229" s="10">
        <v>0</v>
      </c>
      <c r="R1229" s="7" t="s">
        <v>27</v>
      </c>
    </row>
    <row r="1230" spans="1:18">
      <c r="A1230" s="7" t="s">
        <v>29</v>
      </c>
      <c r="B1230" s="8">
        <v>19604</v>
      </c>
      <c r="C1230" s="9">
        <v>45749.744884259257</v>
      </c>
      <c r="D1230" s="9">
        <v>45807</v>
      </c>
      <c r="E1230" s="9">
        <v>45807</v>
      </c>
      <c r="F1230" s="7" t="s">
        <v>4104</v>
      </c>
      <c r="G1230" s="7" t="s">
        <v>4105</v>
      </c>
      <c r="H1230" s="7" t="s">
        <v>2905</v>
      </c>
      <c r="I1230" s="7" t="s">
        <v>2906</v>
      </c>
      <c r="J1230" s="7" t="s">
        <v>25</v>
      </c>
      <c r="K1230" s="7" t="s">
        <v>55</v>
      </c>
      <c r="L1230" s="10">
        <v>1085.6099999999999</v>
      </c>
      <c r="M1230" s="10">
        <v>1085.6099999999999</v>
      </c>
      <c r="N1230" s="10">
        <f>+L1230-M1230</f>
        <v>0</v>
      </c>
      <c r="O1230" s="10">
        <v>1085.6099999999999</v>
      </c>
      <c r="P1230" s="10">
        <f>+L1230-O1230</f>
        <v>0</v>
      </c>
      <c r="Q1230" s="10">
        <v>0</v>
      </c>
      <c r="R1230" s="7" t="s">
        <v>27</v>
      </c>
    </row>
    <row r="1231" spans="1:18" hidden="1">
      <c r="A1231" s="7" t="s">
        <v>29</v>
      </c>
      <c r="B1231" s="8">
        <v>19831</v>
      </c>
      <c r="C1231" s="9">
        <v>45796.403877314813</v>
      </c>
      <c r="D1231" s="9">
        <v>45794</v>
      </c>
      <c r="E1231" s="9">
        <v>45794</v>
      </c>
      <c r="F1231" s="7" t="s">
        <v>4106</v>
      </c>
      <c r="G1231" s="7" t="s">
        <v>4107</v>
      </c>
      <c r="H1231" s="7" t="s">
        <v>4108</v>
      </c>
      <c r="I1231" s="7" t="s">
        <v>4109</v>
      </c>
      <c r="J1231" s="7" t="s">
        <v>176</v>
      </c>
      <c r="K1231" s="7" t="s">
        <v>494</v>
      </c>
      <c r="L1231" s="10">
        <v>1085</v>
      </c>
      <c r="M1231" s="10">
        <v>1085</v>
      </c>
      <c r="N1231" s="10">
        <f>+L1231-M1231</f>
        <v>0</v>
      </c>
      <c r="O1231" s="10">
        <v>1085</v>
      </c>
      <c r="P1231" s="10">
        <f>+L1231-O1231</f>
        <v>0</v>
      </c>
      <c r="Q1231" s="10">
        <v>0</v>
      </c>
      <c r="R1231" s="7" t="s">
        <v>27</v>
      </c>
    </row>
    <row r="1232" spans="1:18" hidden="1">
      <c r="A1232" s="7" t="s">
        <v>29</v>
      </c>
      <c r="B1232" s="8">
        <v>19852</v>
      </c>
      <c r="C1232" s="9">
        <v>45799.476284722223</v>
      </c>
      <c r="D1232" s="9">
        <v>45747</v>
      </c>
      <c r="E1232" s="9">
        <v>45799</v>
      </c>
      <c r="F1232" s="7" t="s">
        <v>4110</v>
      </c>
      <c r="G1232" s="7" t="s">
        <v>4111</v>
      </c>
      <c r="H1232" s="7" t="s">
        <v>2494</v>
      </c>
      <c r="I1232" s="7" t="s">
        <v>2495</v>
      </c>
      <c r="J1232" s="7" t="s">
        <v>176</v>
      </c>
      <c r="K1232" s="7" t="s">
        <v>374</v>
      </c>
      <c r="L1232" s="10">
        <v>1084</v>
      </c>
      <c r="M1232" s="10">
        <v>1084</v>
      </c>
      <c r="N1232" s="10">
        <f>+L1232-M1232</f>
        <v>0</v>
      </c>
      <c r="O1232" s="10">
        <v>1084</v>
      </c>
      <c r="P1232" s="10">
        <f>+L1232-O1232</f>
        <v>0</v>
      </c>
      <c r="Q1232" s="10">
        <v>0</v>
      </c>
      <c r="R1232" s="7" t="s">
        <v>27</v>
      </c>
    </row>
    <row r="1233" spans="1:18" hidden="1">
      <c r="A1233" s="7" t="s">
        <v>29</v>
      </c>
      <c r="B1233" s="8">
        <v>19974</v>
      </c>
      <c r="C1233" s="9">
        <v>45825.395891203705</v>
      </c>
      <c r="D1233" s="9">
        <v>45824</v>
      </c>
      <c r="E1233" s="9">
        <v>45824</v>
      </c>
      <c r="F1233" s="7" t="s">
        <v>4112</v>
      </c>
      <c r="G1233" s="7" t="s">
        <v>4113</v>
      </c>
      <c r="H1233" s="7" t="s">
        <v>4114</v>
      </c>
      <c r="I1233" s="7" t="s">
        <v>4115</v>
      </c>
      <c r="J1233" s="7" t="s">
        <v>176</v>
      </c>
      <c r="K1233" s="7" t="s">
        <v>494</v>
      </c>
      <c r="L1233" s="10">
        <v>1082</v>
      </c>
      <c r="M1233" s="10">
        <v>1082</v>
      </c>
      <c r="N1233" s="10">
        <f>+L1233-M1233</f>
        <v>0</v>
      </c>
      <c r="O1233" s="10">
        <v>1082</v>
      </c>
      <c r="P1233" s="10">
        <f>+L1233-O1233</f>
        <v>0</v>
      </c>
      <c r="Q1233" s="10">
        <v>0</v>
      </c>
      <c r="R1233" s="7" t="s">
        <v>27</v>
      </c>
    </row>
    <row r="1234" spans="1:18" hidden="1">
      <c r="A1234" s="7" t="s">
        <v>29</v>
      </c>
      <c r="B1234" s="8">
        <v>20577</v>
      </c>
      <c r="C1234" s="9">
        <v>45943.716203703705</v>
      </c>
      <c r="D1234" s="9">
        <v>45943</v>
      </c>
      <c r="E1234" s="9">
        <v>46006</v>
      </c>
      <c r="F1234" s="7" t="s">
        <v>4116</v>
      </c>
      <c r="G1234" s="7" t="s">
        <v>4117</v>
      </c>
      <c r="H1234" s="7" t="s">
        <v>3026</v>
      </c>
      <c r="I1234" s="7" t="s">
        <v>3027</v>
      </c>
      <c r="J1234" s="7" t="s">
        <v>34</v>
      </c>
      <c r="K1234" s="7" t="s">
        <v>35</v>
      </c>
      <c r="L1234" s="10">
        <v>1077.6300000000001</v>
      </c>
      <c r="M1234" s="10">
        <v>1077.6300000000001</v>
      </c>
      <c r="N1234" s="10">
        <f>+L1234-M1234</f>
        <v>0</v>
      </c>
      <c r="O1234" s="10">
        <v>1077.6300000000001</v>
      </c>
      <c r="P1234" s="10">
        <f>+L1234-O1234</f>
        <v>0</v>
      </c>
      <c r="Q1234" s="10">
        <v>0</v>
      </c>
      <c r="R1234" s="7" t="s">
        <v>27</v>
      </c>
    </row>
    <row r="1235" spans="1:18" hidden="1">
      <c r="A1235" s="7" t="s">
        <v>29</v>
      </c>
      <c r="B1235" s="8">
        <v>20003</v>
      </c>
      <c r="C1235" s="9">
        <v>45832.373182870368</v>
      </c>
      <c r="D1235" s="9">
        <v>45831</v>
      </c>
      <c r="E1235" s="9">
        <v>45831</v>
      </c>
      <c r="F1235" s="7" t="s">
        <v>4118</v>
      </c>
      <c r="G1235" s="7" t="s">
        <v>4119</v>
      </c>
      <c r="H1235" s="7" t="s">
        <v>4120</v>
      </c>
      <c r="I1235" s="7" t="s">
        <v>4121</v>
      </c>
      <c r="J1235" s="7" t="s">
        <v>176</v>
      </c>
      <c r="K1235" s="7" t="s">
        <v>494</v>
      </c>
      <c r="L1235" s="10">
        <v>1069.73</v>
      </c>
      <c r="M1235" s="10">
        <v>1069.73</v>
      </c>
      <c r="N1235" s="10">
        <f>+L1235-M1235</f>
        <v>0</v>
      </c>
      <c r="O1235" s="10">
        <v>1069.73</v>
      </c>
      <c r="P1235" s="10">
        <f>+L1235-O1235</f>
        <v>0</v>
      </c>
      <c r="Q1235" s="10">
        <v>0</v>
      </c>
      <c r="R1235" s="7" t="s">
        <v>27</v>
      </c>
    </row>
    <row r="1236" spans="1:18" hidden="1">
      <c r="A1236" s="7" t="s">
        <v>29</v>
      </c>
      <c r="B1236" s="8">
        <v>20463</v>
      </c>
      <c r="C1236" s="9">
        <v>45918.441458333335</v>
      </c>
      <c r="D1236" s="9">
        <v>45917</v>
      </c>
      <c r="E1236" s="9">
        <v>45917</v>
      </c>
      <c r="F1236" s="7" t="s">
        <v>4122</v>
      </c>
      <c r="G1236" s="7" t="s">
        <v>4123</v>
      </c>
      <c r="H1236" s="7" t="s">
        <v>4124</v>
      </c>
      <c r="I1236" s="7" t="s">
        <v>4125</v>
      </c>
      <c r="J1236" s="7" t="s">
        <v>176</v>
      </c>
      <c r="K1236" s="7" t="s">
        <v>360</v>
      </c>
      <c r="L1236" s="10">
        <v>1062.3499999999999</v>
      </c>
      <c r="M1236" s="10">
        <v>1062.3499999999999</v>
      </c>
      <c r="N1236" s="10">
        <f>+L1236-M1236</f>
        <v>0</v>
      </c>
      <c r="O1236" s="10">
        <v>1062.3499999999999</v>
      </c>
      <c r="P1236" s="10">
        <f>+L1236-O1236</f>
        <v>0</v>
      </c>
      <c r="Q1236" s="10">
        <v>0</v>
      </c>
      <c r="R1236" s="7" t="s">
        <v>27</v>
      </c>
    </row>
    <row r="1237" spans="1:18">
      <c r="A1237" s="7" t="s">
        <v>29</v>
      </c>
      <c r="B1237" s="8">
        <v>20549</v>
      </c>
      <c r="C1237" s="9">
        <v>45933.566365740742</v>
      </c>
      <c r="D1237" s="9">
        <v>45929</v>
      </c>
      <c r="E1237" s="9">
        <v>45929</v>
      </c>
      <c r="F1237" s="7" t="s">
        <v>4126</v>
      </c>
      <c r="G1237" s="7" t="s">
        <v>4127</v>
      </c>
      <c r="H1237" s="7" t="s">
        <v>2205</v>
      </c>
      <c r="I1237" s="7" t="s">
        <v>2206</v>
      </c>
      <c r="J1237" s="7" t="s">
        <v>25</v>
      </c>
      <c r="K1237" s="7" t="s">
        <v>26</v>
      </c>
      <c r="L1237" s="10">
        <v>1061.28</v>
      </c>
      <c r="M1237" s="10">
        <v>1061.28</v>
      </c>
      <c r="N1237" s="10">
        <f>+L1237-M1237</f>
        <v>0</v>
      </c>
      <c r="O1237" s="10">
        <v>1061.28</v>
      </c>
      <c r="P1237" s="10">
        <f>+L1237-O1237</f>
        <v>0</v>
      </c>
      <c r="Q1237" s="10">
        <v>0</v>
      </c>
      <c r="R1237" s="7" t="s">
        <v>27</v>
      </c>
    </row>
    <row r="1238" spans="1:18" hidden="1">
      <c r="A1238" s="7" t="s">
        <v>29</v>
      </c>
      <c r="B1238" s="8">
        <v>19954</v>
      </c>
      <c r="C1238" s="9">
        <v>45820.543240740742</v>
      </c>
      <c r="D1238" s="9">
        <v>45820</v>
      </c>
      <c r="E1238" s="9">
        <v>45820</v>
      </c>
      <c r="F1238" s="7" t="s">
        <v>4128</v>
      </c>
      <c r="G1238" s="7" t="s">
        <v>4129</v>
      </c>
      <c r="H1238" s="7" t="s">
        <v>4130</v>
      </c>
      <c r="I1238" s="7" t="s">
        <v>4128</v>
      </c>
      <c r="J1238" s="7" t="s">
        <v>40</v>
      </c>
      <c r="K1238" s="7" t="s">
        <v>1784</v>
      </c>
      <c r="L1238" s="10">
        <v>908.33</v>
      </c>
      <c r="M1238" s="10">
        <v>908.33</v>
      </c>
      <c r="N1238" s="10">
        <f>+L1238-M1238</f>
        <v>0</v>
      </c>
      <c r="O1238" s="10">
        <v>908.33</v>
      </c>
      <c r="P1238" s="10">
        <f>+L1238-O1238</f>
        <v>0</v>
      </c>
      <c r="Q1238" s="10">
        <v>0</v>
      </c>
      <c r="R1238" s="7" t="s">
        <v>27</v>
      </c>
    </row>
    <row r="1239" spans="1:18" hidden="1">
      <c r="A1239" s="7" t="s">
        <v>29</v>
      </c>
      <c r="B1239" s="8">
        <v>19484</v>
      </c>
      <c r="C1239" s="9">
        <v>45719.469421296293</v>
      </c>
      <c r="D1239" s="9">
        <v>45716</v>
      </c>
      <c r="E1239" s="9">
        <v>45719</v>
      </c>
      <c r="F1239" s="7" t="s">
        <v>4131</v>
      </c>
      <c r="G1239" s="7" t="s">
        <v>4132</v>
      </c>
      <c r="H1239" s="7" t="s">
        <v>4133</v>
      </c>
      <c r="I1239" s="7" t="s">
        <v>4134</v>
      </c>
      <c r="J1239" s="7" t="s">
        <v>40</v>
      </c>
      <c r="K1239" s="7" t="s">
        <v>4135</v>
      </c>
      <c r="L1239" s="10">
        <v>904</v>
      </c>
      <c r="M1239" s="10">
        <v>904</v>
      </c>
      <c r="N1239" s="10">
        <f>+L1239-M1239</f>
        <v>0</v>
      </c>
      <c r="O1239" s="10">
        <v>904</v>
      </c>
      <c r="P1239" s="10">
        <f>+L1239-O1239</f>
        <v>0</v>
      </c>
      <c r="Q1239" s="10">
        <v>0</v>
      </c>
      <c r="R1239" s="7" t="s">
        <v>27</v>
      </c>
    </row>
    <row r="1240" spans="1:18">
      <c r="A1240" s="7" t="s">
        <v>29</v>
      </c>
      <c r="B1240" s="8">
        <v>19521</v>
      </c>
      <c r="C1240" s="9">
        <v>45729.729942129627</v>
      </c>
      <c r="D1240" s="9">
        <v>45743</v>
      </c>
      <c r="E1240" s="9">
        <v>45736</v>
      </c>
      <c r="F1240" s="7" t="s">
        <v>4136</v>
      </c>
      <c r="G1240" s="7" t="s">
        <v>4137</v>
      </c>
      <c r="H1240" s="7" t="s">
        <v>3077</v>
      </c>
      <c r="I1240" s="7" t="s">
        <v>327</v>
      </c>
      <c r="J1240" s="7" t="s">
        <v>25</v>
      </c>
      <c r="K1240" s="7" t="s">
        <v>1307</v>
      </c>
      <c r="L1240" s="10">
        <v>1045.82</v>
      </c>
      <c r="M1240" s="10">
        <v>1045.82</v>
      </c>
      <c r="N1240" s="10">
        <f>+L1240-M1240</f>
        <v>0</v>
      </c>
      <c r="O1240" s="10">
        <v>1045.82</v>
      </c>
      <c r="P1240" s="10">
        <f>+L1240-O1240</f>
        <v>0</v>
      </c>
      <c r="Q1240" s="10">
        <v>0</v>
      </c>
      <c r="R1240" s="7" t="s">
        <v>27</v>
      </c>
    </row>
    <row r="1241" spans="1:18">
      <c r="A1241" s="7" t="s">
        <v>29</v>
      </c>
      <c r="B1241" s="8">
        <v>19780</v>
      </c>
      <c r="C1241" s="9">
        <v>45784.729108796295</v>
      </c>
      <c r="D1241" s="9">
        <v>45792</v>
      </c>
      <c r="E1241" s="9">
        <v>45784</v>
      </c>
      <c r="F1241" s="7" t="s">
        <v>4138</v>
      </c>
      <c r="G1241" s="7" t="s">
        <v>4139</v>
      </c>
      <c r="H1241" s="7" t="s">
        <v>3077</v>
      </c>
      <c r="I1241" s="7" t="s">
        <v>327</v>
      </c>
      <c r="J1241" s="7" t="s">
        <v>25</v>
      </c>
      <c r="K1241" s="7" t="s">
        <v>1307</v>
      </c>
      <c r="L1241" s="10">
        <v>1045.82</v>
      </c>
      <c r="M1241" s="10">
        <v>1045.82</v>
      </c>
      <c r="N1241" s="10">
        <f>+L1241-M1241</f>
        <v>0</v>
      </c>
      <c r="O1241" s="10">
        <v>1045.82</v>
      </c>
      <c r="P1241" s="10">
        <f>+L1241-O1241</f>
        <v>0</v>
      </c>
      <c r="Q1241" s="10">
        <v>0</v>
      </c>
      <c r="R1241" s="7" t="s">
        <v>27</v>
      </c>
    </row>
    <row r="1242" spans="1:18" hidden="1">
      <c r="A1242" s="7" t="s">
        <v>29</v>
      </c>
      <c r="B1242" s="8">
        <v>20293</v>
      </c>
      <c r="C1242" s="9">
        <v>45888.365601851852</v>
      </c>
      <c r="D1242" s="9">
        <v>45883</v>
      </c>
      <c r="E1242" s="9">
        <v>45883</v>
      </c>
      <c r="F1242" s="7" t="s">
        <v>4140</v>
      </c>
      <c r="G1242" s="7" t="s">
        <v>4141</v>
      </c>
      <c r="H1242" s="7" t="s">
        <v>4142</v>
      </c>
      <c r="I1242" s="7" t="s">
        <v>4143</v>
      </c>
      <c r="J1242" s="7" t="s">
        <v>176</v>
      </c>
      <c r="K1242" s="7" t="s">
        <v>360</v>
      </c>
      <c r="L1242" s="10">
        <v>1026.8800000000001</v>
      </c>
      <c r="M1242" s="10">
        <v>1026.8800000000001</v>
      </c>
      <c r="N1242" s="10">
        <f>+L1242-M1242</f>
        <v>0</v>
      </c>
      <c r="O1242" s="10">
        <v>1026.8800000000001</v>
      </c>
      <c r="P1242" s="10">
        <f>+L1242-O1242</f>
        <v>0</v>
      </c>
      <c r="Q1242" s="10">
        <v>0</v>
      </c>
      <c r="R1242" s="7" t="s">
        <v>27</v>
      </c>
    </row>
    <row r="1243" spans="1:18" hidden="1">
      <c r="A1243" s="7" t="s">
        <v>29</v>
      </c>
      <c r="B1243" s="8">
        <v>19379</v>
      </c>
      <c r="C1243" s="9">
        <v>45693.57430555555</v>
      </c>
      <c r="D1243" s="9">
        <v>45693</v>
      </c>
      <c r="E1243" s="9">
        <v>45702</v>
      </c>
      <c r="F1243" s="7" t="s">
        <v>4144</v>
      </c>
      <c r="G1243" s="7" t="s">
        <v>913</v>
      </c>
      <c r="H1243" s="7" t="s">
        <v>4145</v>
      </c>
      <c r="I1243" s="7" t="s">
        <v>4146</v>
      </c>
      <c r="J1243" s="7" t="s">
        <v>34</v>
      </c>
      <c r="K1243" s="7" t="s">
        <v>902</v>
      </c>
      <c r="L1243" s="10">
        <v>1022.83</v>
      </c>
      <c r="M1243" s="10">
        <v>1022.83</v>
      </c>
      <c r="N1243" s="10">
        <f>+L1243-M1243</f>
        <v>0</v>
      </c>
      <c r="O1243" s="10">
        <v>1022.83</v>
      </c>
      <c r="P1243" s="10">
        <f>+L1243-O1243</f>
        <v>0</v>
      </c>
      <c r="Q1243" s="10">
        <v>0</v>
      </c>
      <c r="R1243" s="7" t="s">
        <v>27</v>
      </c>
    </row>
    <row r="1244" spans="1:18" hidden="1">
      <c r="A1244" s="7" t="s">
        <v>29</v>
      </c>
      <c r="B1244" s="8">
        <v>19838</v>
      </c>
      <c r="C1244" s="9">
        <v>45797.500219907408</v>
      </c>
      <c r="D1244" s="9">
        <v>45796</v>
      </c>
      <c r="E1244" s="9">
        <v>45796</v>
      </c>
      <c r="F1244" s="7" t="s">
        <v>4147</v>
      </c>
      <c r="G1244" s="7" t="s">
        <v>4148</v>
      </c>
      <c r="H1244" s="7" t="s">
        <v>4149</v>
      </c>
      <c r="I1244" s="7" t="s">
        <v>4150</v>
      </c>
      <c r="J1244" s="7" t="s">
        <v>176</v>
      </c>
      <c r="K1244" s="7" t="s">
        <v>494</v>
      </c>
      <c r="L1244" s="10">
        <v>1021</v>
      </c>
      <c r="M1244" s="10">
        <v>1021</v>
      </c>
      <c r="N1244" s="10">
        <f>+L1244-M1244</f>
        <v>0</v>
      </c>
      <c r="O1244" s="10">
        <v>1021</v>
      </c>
      <c r="P1244" s="10">
        <f>+L1244-O1244</f>
        <v>0</v>
      </c>
      <c r="Q1244" s="10">
        <v>0</v>
      </c>
      <c r="R1244" s="7" t="s">
        <v>27</v>
      </c>
    </row>
    <row r="1245" spans="1:18" hidden="1">
      <c r="A1245" s="7" t="s">
        <v>29</v>
      </c>
      <c r="B1245" s="8">
        <v>20624</v>
      </c>
      <c r="C1245" s="9">
        <v>45958.616423611107</v>
      </c>
      <c r="D1245" s="9">
        <v>45756</v>
      </c>
      <c r="E1245" s="9">
        <v>45779</v>
      </c>
      <c r="F1245" s="7" t="s">
        <v>4151</v>
      </c>
      <c r="G1245" s="7" t="s">
        <v>4152</v>
      </c>
      <c r="H1245" s="7" t="s">
        <v>2466</v>
      </c>
      <c r="I1245" s="7" t="s">
        <v>2467</v>
      </c>
      <c r="J1245" s="7" t="s">
        <v>176</v>
      </c>
      <c r="K1245" s="7" t="s">
        <v>494</v>
      </c>
      <c r="L1245" s="10">
        <v>1020.8</v>
      </c>
      <c r="M1245" s="10">
        <v>1020.8</v>
      </c>
      <c r="N1245" s="10">
        <f>+L1245-M1245</f>
        <v>0</v>
      </c>
      <c r="O1245" s="10">
        <v>1020.8</v>
      </c>
      <c r="P1245" s="10">
        <f>+L1245-O1245</f>
        <v>0</v>
      </c>
      <c r="Q1245" s="10">
        <v>0</v>
      </c>
      <c r="R1245" s="7" t="s">
        <v>27</v>
      </c>
    </row>
    <row r="1246" spans="1:18">
      <c r="A1246" s="7" t="s">
        <v>29</v>
      </c>
      <c r="B1246" s="8">
        <v>19495</v>
      </c>
      <c r="C1246" s="9">
        <v>45722.423969907402</v>
      </c>
      <c r="D1246" s="9">
        <v>45742</v>
      </c>
      <c r="E1246" s="9">
        <v>45742</v>
      </c>
      <c r="F1246" s="7" t="s">
        <v>4153</v>
      </c>
      <c r="G1246" s="7" t="s">
        <v>4154</v>
      </c>
      <c r="H1246" s="7" t="s">
        <v>2877</v>
      </c>
      <c r="I1246" s="7" t="s">
        <v>2878</v>
      </c>
      <c r="J1246" s="7" t="s">
        <v>25</v>
      </c>
      <c r="K1246" s="7" t="s">
        <v>55</v>
      </c>
      <c r="L1246" s="10">
        <v>1009</v>
      </c>
      <c r="M1246" s="10">
        <v>1009</v>
      </c>
      <c r="N1246" s="10">
        <f>+L1246-M1246</f>
        <v>0</v>
      </c>
      <c r="O1246" s="10">
        <v>1009</v>
      </c>
      <c r="P1246" s="10">
        <f>+L1246-O1246</f>
        <v>0</v>
      </c>
      <c r="Q1246" s="10">
        <v>0</v>
      </c>
      <c r="R1246" s="7" t="s">
        <v>27</v>
      </c>
    </row>
    <row r="1247" spans="1:18" hidden="1">
      <c r="A1247" s="7" t="s">
        <v>29</v>
      </c>
      <c r="B1247" s="8">
        <v>20534</v>
      </c>
      <c r="C1247" s="9">
        <v>45931.393611111111</v>
      </c>
      <c r="D1247" s="9">
        <v>45931</v>
      </c>
      <c r="E1247" s="9">
        <v>45975</v>
      </c>
      <c r="F1247" s="7" t="s">
        <v>4155</v>
      </c>
      <c r="G1247" s="7" t="s">
        <v>4156</v>
      </c>
      <c r="H1247" s="7" t="s">
        <v>2656</v>
      </c>
      <c r="I1247" s="7" t="s">
        <v>2657</v>
      </c>
      <c r="J1247" s="7" t="s">
        <v>34</v>
      </c>
      <c r="K1247" s="7" t="s">
        <v>35</v>
      </c>
      <c r="L1247" s="10">
        <v>1006.15</v>
      </c>
      <c r="M1247" s="10">
        <v>1006.15</v>
      </c>
      <c r="N1247" s="10">
        <f>+L1247-M1247</f>
        <v>0</v>
      </c>
      <c r="O1247" s="10">
        <v>1006.15</v>
      </c>
      <c r="P1247" s="10">
        <f>+L1247-O1247</f>
        <v>0</v>
      </c>
      <c r="Q1247" s="10">
        <v>0</v>
      </c>
      <c r="R1247" s="7" t="s">
        <v>27</v>
      </c>
    </row>
    <row r="1248" spans="1:18" hidden="1">
      <c r="A1248" s="7" t="s">
        <v>29</v>
      </c>
      <c r="B1248" s="8">
        <v>20610</v>
      </c>
      <c r="C1248" s="9">
        <v>45953.417037037034</v>
      </c>
      <c r="D1248" s="9">
        <v>45952</v>
      </c>
      <c r="E1248" s="9">
        <v>45952</v>
      </c>
      <c r="F1248" s="7" t="s">
        <v>4157</v>
      </c>
      <c r="G1248" s="7" t="s">
        <v>4158</v>
      </c>
      <c r="H1248" s="7" t="s">
        <v>4159</v>
      </c>
      <c r="I1248" s="7" t="s">
        <v>4160</v>
      </c>
      <c r="J1248" s="7" t="s">
        <v>40</v>
      </c>
      <c r="K1248" s="7" t="s">
        <v>355</v>
      </c>
      <c r="L1248" s="10">
        <v>892.4</v>
      </c>
      <c r="M1248" s="10">
        <v>892.4</v>
      </c>
      <c r="N1248" s="10">
        <f>+L1248-M1248</f>
        <v>0</v>
      </c>
      <c r="O1248" s="10">
        <v>892.4</v>
      </c>
      <c r="P1248" s="10">
        <f>+L1248-O1248</f>
        <v>0</v>
      </c>
      <c r="Q1248" s="10">
        <v>0</v>
      </c>
      <c r="R1248" s="7" t="s">
        <v>27</v>
      </c>
    </row>
    <row r="1249" spans="1:18" hidden="1">
      <c r="A1249" s="7" t="s">
        <v>29</v>
      </c>
      <c r="B1249" s="8">
        <v>4266</v>
      </c>
      <c r="C1249" s="9">
        <v>45931.604988425926</v>
      </c>
      <c r="D1249" s="9">
        <v>45922</v>
      </c>
      <c r="E1249" s="9">
        <v>45981</v>
      </c>
      <c r="F1249" s="7" t="s">
        <v>4161</v>
      </c>
      <c r="G1249" s="7" t="s">
        <v>4162</v>
      </c>
      <c r="H1249" s="7" t="s">
        <v>1807</v>
      </c>
      <c r="I1249" s="7" t="s">
        <v>4163</v>
      </c>
      <c r="J1249" s="7" t="s">
        <v>25</v>
      </c>
      <c r="K1249" s="7" t="s">
        <v>206</v>
      </c>
      <c r="L1249" s="10">
        <v>971.41</v>
      </c>
      <c r="M1249" s="10">
        <v>971.41</v>
      </c>
      <c r="N1249" s="15">
        <f>+L1249-M1249</f>
        <v>0</v>
      </c>
      <c r="O1249" s="15">
        <v>971.41</v>
      </c>
      <c r="P1249" s="15">
        <f>+L1249-O1249</f>
        <v>0</v>
      </c>
      <c r="Q1249" s="10">
        <v>0</v>
      </c>
      <c r="R1249" s="7" t="s">
        <v>87</v>
      </c>
    </row>
    <row r="1250" spans="1:18" hidden="1">
      <c r="A1250" s="7" t="s">
        <v>29</v>
      </c>
      <c r="B1250" s="8">
        <v>20904</v>
      </c>
      <c r="C1250" s="9">
        <v>46045.544652777775</v>
      </c>
      <c r="D1250" s="9">
        <v>46031</v>
      </c>
      <c r="E1250" s="9">
        <v>45970</v>
      </c>
      <c r="F1250" s="7" t="s">
        <v>4164</v>
      </c>
      <c r="G1250" s="7" t="s">
        <v>4165</v>
      </c>
      <c r="H1250" s="7" t="s">
        <v>4166</v>
      </c>
      <c r="I1250" s="7" t="s">
        <v>4167</v>
      </c>
      <c r="J1250" s="7" t="s">
        <v>176</v>
      </c>
      <c r="K1250" s="7" t="s">
        <v>728</v>
      </c>
      <c r="L1250" s="10">
        <v>1000</v>
      </c>
      <c r="M1250" s="10">
        <v>1000</v>
      </c>
      <c r="N1250" s="10">
        <f>+L1250-M1250</f>
        <v>0</v>
      </c>
      <c r="O1250" s="10">
        <v>1000</v>
      </c>
      <c r="P1250" s="10">
        <f>+L1250-O1250</f>
        <v>0</v>
      </c>
      <c r="Q1250" s="10">
        <v>0</v>
      </c>
      <c r="R1250" s="7" t="s">
        <v>27</v>
      </c>
    </row>
    <row r="1251" spans="1:18" hidden="1">
      <c r="A1251" s="7" t="s">
        <v>29</v>
      </c>
      <c r="B1251" s="8">
        <v>20696</v>
      </c>
      <c r="C1251" s="9">
        <v>45973.644085648149</v>
      </c>
      <c r="D1251" s="9">
        <v>45973</v>
      </c>
      <c r="E1251" s="9">
        <v>46037</v>
      </c>
      <c r="F1251" s="7" t="s">
        <v>4168</v>
      </c>
      <c r="G1251" s="7" t="s">
        <v>4169</v>
      </c>
      <c r="H1251" s="7" t="s">
        <v>1673</v>
      </c>
      <c r="I1251" s="7" t="s">
        <v>1674</v>
      </c>
      <c r="J1251" s="7" t="s">
        <v>34</v>
      </c>
      <c r="K1251" s="7" t="s">
        <v>118</v>
      </c>
      <c r="L1251" s="10">
        <v>994.04</v>
      </c>
      <c r="M1251" s="10">
        <v>994.04</v>
      </c>
      <c r="N1251" s="10">
        <f>+L1251-M1251</f>
        <v>0</v>
      </c>
      <c r="O1251" s="10">
        <v>994.04</v>
      </c>
      <c r="P1251" s="10">
        <f>+L1251-O1251</f>
        <v>0</v>
      </c>
      <c r="Q1251" s="10">
        <v>0</v>
      </c>
      <c r="R1251" s="7" t="s">
        <v>27</v>
      </c>
    </row>
    <row r="1252" spans="1:18" hidden="1">
      <c r="A1252" s="7" t="s">
        <v>29</v>
      </c>
      <c r="B1252" s="8">
        <v>19686</v>
      </c>
      <c r="C1252" s="9">
        <v>45762.46471064815</v>
      </c>
      <c r="D1252" s="9">
        <v>45762</v>
      </c>
      <c r="E1252" s="9">
        <v>45762</v>
      </c>
      <c r="F1252" s="7" t="s">
        <v>4170</v>
      </c>
      <c r="G1252" s="7" t="s">
        <v>4171</v>
      </c>
      <c r="H1252" s="7" t="s">
        <v>4172</v>
      </c>
      <c r="I1252" s="7" t="s">
        <v>4170</v>
      </c>
      <c r="J1252" s="7" t="s">
        <v>40</v>
      </c>
      <c r="K1252" s="7" t="s">
        <v>1784</v>
      </c>
      <c r="L1252" s="10">
        <v>868.52</v>
      </c>
      <c r="M1252" s="10">
        <v>868.52</v>
      </c>
      <c r="N1252" s="10">
        <f>+L1252-M1252</f>
        <v>0</v>
      </c>
      <c r="O1252" s="10">
        <v>868.52</v>
      </c>
      <c r="P1252" s="10">
        <f>+L1252-O1252</f>
        <v>0</v>
      </c>
      <c r="Q1252" s="10">
        <v>0</v>
      </c>
      <c r="R1252" s="7" t="s">
        <v>27</v>
      </c>
    </row>
    <row r="1253" spans="1:18" hidden="1">
      <c r="A1253" s="7" t="s">
        <v>29</v>
      </c>
      <c r="B1253" s="8">
        <v>20718</v>
      </c>
      <c r="C1253" s="9">
        <v>45985.565069444441</v>
      </c>
      <c r="D1253" s="9">
        <v>45985</v>
      </c>
      <c r="E1253" s="9">
        <v>45985</v>
      </c>
      <c r="F1253" s="7" t="s">
        <v>4173</v>
      </c>
      <c r="G1253" s="7" t="s">
        <v>4174</v>
      </c>
      <c r="H1253" s="7" t="s">
        <v>1191</v>
      </c>
      <c r="I1253" s="7" t="s">
        <v>1192</v>
      </c>
      <c r="J1253" s="7" t="s">
        <v>34</v>
      </c>
      <c r="K1253" s="7" t="s">
        <v>412</v>
      </c>
      <c r="L1253" s="10">
        <v>975.24</v>
      </c>
      <c r="M1253" s="10">
        <v>975.24</v>
      </c>
      <c r="N1253" s="10">
        <f>+L1253-M1253</f>
        <v>0</v>
      </c>
      <c r="O1253" s="10">
        <v>975.24</v>
      </c>
      <c r="P1253" s="10">
        <f>+L1253-O1253</f>
        <v>0</v>
      </c>
      <c r="Q1253" s="10">
        <v>0</v>
      </c>
      <c r="R1253" s="7" t="s">
        <v>27</v>
      </c>
    </row>
    <row r="1254" spans="1:18" hidden="1">
      <c r="A1254" s="7" t="s">
        <v>29</v>
      </c>
      <c r="B1254" s="8">
        <v>4255</v>
      </c>
      <c r="C1254" s="9">
        <v>45908.446701388886</v>
      </c>
      <c r="D1254" s="9">
        <v>45898</v>
      </c>
      <c r="E1254" s="9">
        <v>45898</v>
      </c>
      <c r="F1254" s="7" t="s">
        <v>4175</v>
      </c>
      <c r="G1254" s="7" t="s">
        <v>4015</v>
      </c>
      <c r="H1254" s="7" t="s">
        <v>4176</v>
      </c>
      <c r="I1254" s="7" t="s">
        <v>4177</v>
      </c>
      <c r="J1254" s="7" t="s">
        <v>25</v>
      </c>
      <c r="K1254" s="7" t="s">
        <v>125</v>
      </c>
      <c r="L1254" s="10">
        <v>966.83</v>
      </c>
      <c r="M1254" s="10">
        <v>966.83</v>
      </c>
      <c r="N1254" s="15">
        <f>+L1254-M1254</f>
        <v>0</v>
      </c>
      <c r="O1254" s="15">
        <v>966.83</v>
      </c>
      <c r="P1254" s="15">
        <f>+L1254-O1254</f>
        <v>0</v>
      </c>
      <c r="Q1254" s="10">
        <v>0</v>
      </c>
      <c r="R1254" s="7" t="s">
        <v>87</v>
      </c>
    </row>
    <row r="1255" spans="1:18">
      <c r="A1255" s="7" t="s">
        <v>29</v>
      </c>
      <c r="B1255" s="8">
        <v>20384</v>
      </c>
      <c r="C1255" s="9">
        <v>45902.550416666665</v>
      </c>
      <c r="D1255" s="9">
        <v>45901</v>
      </c>
      <c r="E1255" s="9">
        <v>45908</v>
      </c>
      <c r="F1255" s="7" t="s">
        <v>4178</v>
      </c>
      <c r="G1255" s="7" t="s">
        <v>4179</v>
      </c>
      <c r="H1255" s="7" t="s">
        <v>2284</v>
      </c>
      <c r="I1255" s="7" t="s">
        <v>1763</v>
      </c>
      <c r="J1255" s="7" t="s">
        <v>25</v>
      </c>
      <c r="K1255" s="7" t="s">
        <v>55</v>
      </c>
      <c r="L1255" s="10">
        <v>961.88</v>
      </c>
      <c r="M1255" s="10">
        <v>961.88</v>
      </c>
      <c r="N1255" s="10">
        <f>+L1255-M1255</f>
        <v>0</v>
      </c>
      <c r="O1255" s="10">
        <v>961.88</v>
      </c>
      <c r="P1255" s="10">
        <f>+L1255-O1255</f>
        <v>0</v>
      </c>
      <c r="Q1255" s="10">
        <v>0</v>
      </c>
      <c r="R1255" s="7" t="s">
        <v>27</v>
      </c>
    </row>
    <row r="1256" spans="1:18" hidden="1">
      <c r="A1256" s="7" t="s">
        <v>29</v>
      </c>
      <c r="B1256" s="8">
        <v>20303</v>
      </c>
      <c r="C1256" s="9">
        <v>45889.395775462959</v>
      </c>
      <c r="D1256" s="9">
        <v>45888</v>
      </c>
      <c r="E1256" s="9">
        <v>45888</v>
      </c>
      <c r="F1256" s="7" t="s">
        <v>4140</v>
      </c>
      <c r="G1256" s="7" t="s">
        <v>4180</v>
      </c>
      <c r="H1256" s="7" t="s">
        <v>4142</v>
      </c>
      <c r="I1256" s="7" t="s">
        <v>4143</v>
      </c>
      <c r="J1256" s="7" t="s">
        <v>176</v>
      </c>
      <c r="K1256" s="7" t="s">
        <v>360</v>
      </c>
      <c r="L1256" s="10">
        <v>954.53</v>
      </c>
      <c r="M1256" s="10">
        <v>954.53</v>
      </c>
      <c r="N1256" s="10">
        <f>+L1256-M1256</f>
        <v>0</v>
      </c>
      <c r="O1256" s="10">
        <v>954.53</v>
      </c>
      <c r="P1256" s="10">
        <f>+L1256-O1256</f>
        <v>0</v>
      </c>
      <c r="Q1256" s="10">
        <v>0</v>
      </c>
      <c r="R1256" s="7" t="s">
        <v>27</v>
      </c>
    </row>
    <row r="1257" spans="1:18" hidden="1">
      <c r="A1257" s="7" t="s">
        <v>29</v>
      </c>
      <c r="B1257" s="8">
        <v>20279</v>
      </c>
      <c r="C1257" s="9">
        <v>45882.445486111108</v>
      </c>
      <c r="D1257" s="9">
        <v>45882</v>
      </c>
      <c r="E1257" s="9">
        <v>45975</v>
      </c>
      <c r="F1257" s="7" t="s">
        <v>4181</v>
      </c>
      <c r="G1257" s="7" t="s">
        <v>4182</v>
      </c>
      <c r="H1257" s="7" t="s">
        <v>2640</v>
      </c>
      <c r="I1257" s="7" t="s">
        <v>2641</v>
      </c>
      <c r="J1257" s="7" t="s">
        <v>34</v>
      </c>
      <c r="K1257" s="7" t="s">
        <v>35</v>
      </c>
      <c r="L1257" s="10">
        <v>950.07</v>
      </c>
      <c r="M1257" s="10">
        <v>950.07</v>
      </c>
      <c r="N1257" s="10">
        <f>+L1257-M1257</f>
        <v>0</v>
      </c>
      <c r="O1257" s="10">
        <v>950.07</v>
      </c>
      <c r="P1257" s="10">
        <f>+L1257-O1257</f>
        <v>0</v>
      </c>
      <c r="Q1257" s="10">
        <v>0</v>
      </c>
      <c r="R1257" s="7" t="s">
        <v>27</v>
      </c>
    </row>
    <row r="1258" spans="1:18" hidden="1">
      <c r="A1258" s="7" t="s">
        <v>29</v>
      </c>
      <c r="B1258" s="8">
        <v>19753</v>
      </c>
      <c r="C1258" s="9">
        <v>45777.492777777778</v>
      </c>
      <c r="D1258" s="9">
        <v>45777</v>
      </c>
      <c r="E1258" s="9">
        <v>45776</v>
      </c>
      <c r="F1258" s="7" t="s">
        <v>4183</v>
      </c>
      <c r="G1258" s="7" t="s">
        <v>4184</v>
      </c>
      <c r="H1258" s="7" t="s">
        <v>1910</v>
      </c>
      <c r="I1258" s="7" t="s">
        <v>1911</v>
      </c>
      <c r="J1258" s="7" t="s">
        <v>34</v>
      </c>
      <c r="K1258" s="7" t="s">
        <v>35</v>
      </c>
      <c r="L1258" s="10">
        <v>948.3</v>
      </c>
      <c r="M1258" s="10">
        <v>948.3</v>
      </c>
      <c r="N1258" s="10">
        <f>+L1258-M1258</f>
        <v>0</v>
      </c>
      <c r="O1258" s="10">
        <v>948.3</v>
      </c>
      <c r="P1258" s="10">
        <f>+L1258-O1258</f>
        <v>0</v>
      </c>
      <c r="Q1258" s="10">
        <v>0</v>
      </c>
      <c r="R1258" s="7" t="s">
        <v>27</v>
      </c>
    </row>
    <row r="1259" spans="1:18" hidden="1">
      <c r="A1259" s="7" t="s">
        <v>29</v>
      </c>
      <c r="B1259" s="8">
        <v>19822</v>
      </c>
      <c r="C1259" s="9">
        <v>45792.486967592587</v>
      </c>
      <c r="D1259" s="9">
        <v>45992</v>
      </c>
      <c r="E1259" s="9">
        <v>45782</v>
      </c>
      <c r="F1259" s="7" t="s">
        <v>4185</v>
      </c>
      <c r="G1259" s="7" t="s">
        <v>4186</v>
      </c>
      <c r="H1259" s="7" t="s">
        <v>2169</v>
      </c>
      <c r="I1259" s="7" t="s">
        <v>2170</v>
      </c>
      <c r="J1259" s="7" t="s">
        <v>176</v>
      </c>
      <c r="K1259" s="7" t="s">
        <v>177</v>
      </c>
      <c r="L1259" s="10">
        <v>946</v>
      </c>
      <c r="M1259" s="10">
        <v>946</v>
      </c>
      <c r="N1259" s="10">
        <f>+L1259-M1259</f>
        <v>0</v>
      </c>
      <c r="O1259" s="10">
        <v>946</v>
      </c>
      <c r="P1259" s="10">
        <f>+L1259-O1259</f>
        <v>0</v>
      </c>
      <c r="Q1259" s="10">
        <v>0</v>
      </c>
      <c r="R1259" s="7" t="s">
        <v>27</v>
      </c>
    </row>
    <row r="1260" spans="1:18" hidden="1">
      <c r="A1260" s="7" t="s">
        <v>29</v>
      </c>
      <c r="B1260" s="8">
        <v>19794</v>
      </c>
      <c r="C1260" s="9">
        <v>45789.454849537033</v>
      </c>
      <c r="D1260" s="9">
        <v>45792</v>
      </c>
      <c r="E1260" s="9">
        <v>45785</v>
      </c>
      <c r="F1260" s="7" t="s">
        <v>4187</v>
      </c>
      <c r="G1260" s="7" t="s">
        <v>4188</v>
      </c>
      <c r="H1260" s="7" t="s">
        <v>2209</v>
      </c>
      <c r="I1260" s="7" t="s">
        <v>2210</v>
      </c>
      <c r="J1260" s="7" t="s">
        <v>176</v>
      </c>
      <c r="K1260" s="7" t="s">
        <v>584</v>
      </c>
      <c r="L1260" s="10">
        <v>945</v>
      </c>
      <c r="M1260" s="10">
        <v>945</v>
      </c>
      <c r="N1260" s="10">
        <f>+L1260-M1260</f>
        <v>0</v>
      </c>
      <c r="O1260" s="10">
        <v>945</v>
      </c>
      <c r="P1260" s="10">
        <f>+L1260-O1260</f>
        <v>0</v>
      </c>
      <c r="Q1260" s="10">
        <v>0</v>
      </c>
      <c r="R1260" s="7" t="s">
        <v>27</v>
      </c>
    </row>
    <row r="1261" spans="1:18" hidden="1">
      <c r="A1261" s="7" t="s">
        <v>29</v>
      </c>
      <c r="B1261" s="8">
        <v>20712</v>
      </c>
      <c r="C1261" s="9">
        <v>45981.483240740738</v>
      </c>
      <c r="D1261" s="9">
        <v>45981</v>
      </c>
      <c r="E1261" s="9">
        <v>45981</v>
      </c>
      <c r="F1261" s="7" t="s">
        <v>4189</v>
      </c>
      <c r="G1261" s="7" t="s">
        <v>4190</v>
      </c>
      <c r="H1261" s="7" t="s">
        <v>4191</v>
      </c>
      <c r="I1261" s="7" t="s">
        <v>4192</v>
      </c>
      <c r="J1261" s="7" t="s">
        <v>34</v>
      </c>
      <c r="K1261" s="7" t="s">
        <v>1471</v>
      </c>
      <c r="L1261" s="10">
        <v>944.45</v>
      </c>
      <c r="M1261" s="10">
        <v>944.45</v>
      </c>
      <c r="N1261" s="10">
        <f>+L1261-M1261</f>
        <v>0</v>
      </c>
      <c r="O1261" s="10">
        <v>944.45</v>
      </c>
      <c r="P1261" s="10">
        <f>+L1261-O1261</f>
        <v>0</v>
      </c>
      <c r="Q1261" s="10">
        <v>0</v>
      </c>
      <c r="R1261" s="7" t="s">
        <v>27</v>
      </c>
    </row>
    <row r="1262" spans="1:18" hidden="1">
      <c r="A1262" s="7" t="s">
        <v>29</v>
      </c>
      <c r="B1262" s="8">
        <v>4236</v>
      </c>
      <c r="C1262" s="9">
        <v>45835.490185185183</v>
      </c>
      <c r="D1262" s="9">
        <v>45831</v>
      </c>
      <c r="E1262" s="9">
        <v>45852</v>
      </c>
      <c r="F1262" s="7" t="s">
        <v>4193</v>
      </c>
      <c r="G1262" s="7" t="s">
        <v>2128</v>
      </c>
      <c r="H1262" s="7" t="s">
        <v>4194</v>
      </c>
      <c r="I1262" s="7" t="s">
        <v>351</v>
      </c>
      <c r="J1262" s="7" t="s">
        <v>25</v>
      </c>
      <c r="K1262" s="7" t="s">
        <v>125</v>
      </c>
      <c r="L1262" s="10">
        <v>954.1</v>
      </c>
      <c r="M1262" s="10">
        <v>954.1</v>
      </c>
      <c r="N1262" s="15">
        <f>+L1262-M1262</f>
        <v>0</v>
      </c>
      <c r="O1262" s="15">
        <v>954.1</v>
      </c>
      <c r="P1262" s="15">
        <f>+L1262-O1262</f>
        <v>0</v>
      </c>
      <c r="Q1262" s="10">
        <v>0</v>
      </c>
      <c r="R1262" s="7" t="s">
        <v>87</v>
      </c>
    </row>
    <row r="1263" spans="1:18" hidden="1">
      <c r="A1263" s="7" t="s">
        <v>29</v>
      </c>
      <c r="B1263" s="8">
        <v>20791</v>
      </c>
      <c r="C1263" s="9">
        <v>46010.640810185185</v>
      </c>
      <c r="D1263" s="9">
        <v>46010</v>
      </c>
      <c r="E1263" s="9">
        <v>46010</v>
      </c>
      <c r="F1263" s="7" t="s">
        <v>4195</v>
      </c>
      <c r="G1263" s="7" t="s">
        <v>4196</v>
      </c>
      <c r="H1263" s="7" t="s">
        <v>2169</v>
      </c>
      <c r="I1263" s="7" t="s">
        <v>2170</v>
      </c>
      <c r="J1263" s="7" t="s">
        <v>176</v>
      </c>
      <c r="K1263" s="7" t="s">
        <v>360</v>
      </c>
      <c r="L1263" s="10">
        <v>940</v>
      </c>
      <c r="M1263" s="10">
        <v>940</v>
      </c>
      <c r="N1263" s="10">
        <f>+L1263-M1263</f>
        <v>0</v>
      </c>
      <c r="O1263" s="10">
        <v>940</v>
      </c>
      <c r="P1263" s="10">
        <f>+L1263-O1263</f>
        <v>0</v>
      </c>
      <c r="Q1263" s="10">
        <v>0</v>
      </c>
      <c r="R1263" s="7" t="s">
        <v>27</v>
      </c>
    </row>
    <row r="1264" spans="1:18" hidden="1">
      <c r="A1264" s="7" t="s">
        <v>29</v>
      </c>
      <c r="B1264" s="8">
        <v>20071</v>
      </c>
      <c r="C1264" s="9">
        <v>45839.42628472222</v>
      </c>
      <c r="D1264" s="9">
        <v>45838</v>
      </c>
      <c r="E1264" s="9">
        <v>45838</v>
      </c>
      <c r="F1264" s="7" t="s">
        <v>4197</v>
      </c>
      <c r="G1264" s="7" t="s">
        <v>4198</v>
      </c>
      <c r="H1264" s="7" t="s">
        <v>4199</v>
      </c>
      <c r="I1264" s="7" t="s">
        <v>4200</v>
      </c>
      <c r="J1264" s="7" t="s">
        <v>176</v>
      </c>
      <c r="K1264" s="7" t="s">
        <v>494</v>
      </c>
      <c r="L1264" s="10">
        <v>939.11</v>
      </c>
      <c r="M1264" s="10">
        <v>939.11</v>
      </c>
      <c r="N1264" s="10">
        <f>+L1264-M1264</f>
        <v>0</v>
      </c>
      <c r="O1264" s="10">
        <v>939.11</v>
      </c>
      <c r="P1264" s="10">
        <f>+L1264-O1264</f>
        <v>0</v>
      </c>
      <c r="Q1264" s="10">
        <v>0</v>
      </c>
      <c r="R1264" s="7" t="s">
        <v>27</v>
      </c>
    </row>
    <row r="1265" spans="1:18" hidden="1">
      <c r="A1265" s="7" t="s">
        <v>29</v>
      </c>
      <c r="B1265" s="8">
        <v>19412</v>
      </c>
      <c r="C1265" s="9">
        <v>45700.667638888888</v>
      </c>
      <c r="D1265" s="9">
        <v>45700</v>
      </c>
      <c r="E1265" s="9">
        <v>45700</v>
      </c>
      <c r="F1265" s="7" t="s">
        <v>4201</v>
      </c>
      <c r="G1265" s="7" t="s">
        <v>1834</v>
      </c>
      <c r="H1265" s="7" t="s">
        <v>2944</v>
      </c>
      <c r="I1265" s="7" t="s">
        <v>2945</v>
      </c>
      <c r="J1265" s="7" t="s">
        <v>34</v>
      </c>
      <c r="K1265" s="7" t="s">
        <v>269</v>
      </c>
      <c r="L1265" s="10">
        <v>924.05</v>
      </c>
      <c r="M1265" s="10">
        <v>924.05</v>
      </c>
      <c r="N1265" s="10">
        <f>+L1265-M1265</f>
        <v>0</v>
      </c>
      <c r="O1265" s="10">
        <v>924.05</v>
      </c>
      <c r="P1265" s="10">
        <f>+L1265-O1265</f>
        <v>0</v>
      </c>
      <c r="Q1265" s="10">
        <v>0</v>
      </c>
      <c r="R1265" s="7" t="s">
        <v>27</v>
      </c>
    </row>
    <row r="1266" spans="1:18">
      <c r="A1266" s="7" t="s">
        <v>29</v>
      </c>
      <c r="B1266" s="8">
        <v>20011</v>
      </c>
      <c r="C1266" s="9">
        <v>45833.400312500002</v>
      </c>
      <c r="D1266" s="9">
        <v>45834</v>
      </c>
      <c r="E1266" s="9">
        <v>45834</v>
      </c>
      <c r="F1266" s="7" t="s">
        <v>4202</v>
      </c>
      <c r="G1266" s="7" t="s">
        <v>4203</v>
      </c>
      <c r="H1266" s="7" t="s">
        <v>4204</v>
      </c>
      <c r="I1266" s="7" t="s">
        <v>4205</v>
      </c>
      <c r="J1266" s="7" t="s">
        <v>25</v>
      </c>
      <c r="K1266" s="7" t="s">
        <v>525</v>
      </c>
      <c r="L1266" s="10">
        <v>915.3</v>
      </c>
      <c r="M1266" s="10">
        <v>915.3</v>
      </c>
      <c r="N1266" s="10">
        <f>+L1266-M1266</f>
        <v>0</v>
      </c>
      <c r="O1266" s="10">
        <v>915.3</v>
      </c>
      <c r="P1266" s="10">
        <f>+L1266-O1266</f>
        <v>0</v>
      </c>
      <c r="Q1266" s="10">
        <v>0</v>
      </c>
      <c r="R1266" s="7" t="s">
        <v>27</v>
      </c>
    </row>
    <row r="1267" spans="1:18" hidden="1">
      <c r="A1267" s="7" t="s">
        <v>29</v>
      </c>
      <c r="B1267" s="8">
        <v>19958</v>
      </c>
      <c r="C1267" s="9">
        <v>45820.660902777774</v>
      </c>
      <c r="D1267" s="9">
        <v>45820</v>
      </c>
      <c r="E1267" s="9">
        <v>45820</v>
      </c>
      <c r="F1267" s="7" t="s">
        <v>4206</v>
      </c>
      <c r="G1267" s="7" t="s">
        <v>4207</v>
      </c>
      <c r="H1267" s="7" t="s">
        <v>4208</v>
      </c>
      <c r="I1267" s="7" t="s">
        <v>4206</v>
      </c>
      <c r="J1267" s="7" t="s">
        <v>40</v>
      </c>
      <c r="K1267" s="7" t="s">
        <v>1784</v>
      </c>
      <c r="L1267" s="10">
        <v>850.57</v>
      </c>
      <c r="M1267" s="10">
        <v>850.57</v>
      </c>
      <c r="N1267" s="10">
        <f>+L1267-M1267</f>
        <v>0</v>
      </c>
      <c r="O1267" s="10">
        <v>850.57</v>
      </c>
      <c r="P1267" s="10">
        <f>+L1267-O1267</f>
        <v>0</v>
      </c>
      <c r="Q1267" s="10">
        <v>0</v>
      </c>
      <c r="R1267" s="7" t="s">
        <v>27</v>
      </c>
    </row>
    <row r="1268" spans="1:18" hidden="1">
      <c r="A1268" s="7" t="s">
        <v>29</v>
      </c>
      <c r="B1268" s="8">
        <v>20200</v>
      </c>
      <c r="C1268" s="9">
        <v>45868.47956018518</v>
      </c>
      <c r="D1268" s="9">
        <v>45867</v>
      </c>
      <c r="E1268" s="9">
        <v>45867</v>
      </c>
      <c r="F1268" s="7" t="s">
        <v>4209</v>
      </c>
      <c r="G1268" s="7" t="s">
        <v>4210</v>
      </c>
      <c r="H1268" s="7" t="s">
        <v>4211</v>
      </c>
      <c r="I1268" s="7" t="s">
        <v>4212</v>
      </c>
      <c r="J1268" s="7" t="s">
        <v>40</v>
      </c>
      <c r="K1268" s="7" t="s">
        <v>355</v>
      </c>
      <c r="L1268" s="10">
        <v>816.35</v>
      </c>
      <c r="M1268" s="10">
        <v>816.35</v>
      </c>
      <c r="N1268" s="10">
        <f>+L1268-M1268</f>
        <v>0</v>
      </c>
      <c r="O1268" s="10">
        <v>816.35</v>
      </c>
      <c r="P1268" s="10">
        <f>+L1268-O1268</f>
        <v>0</v>
      </c>
      <c r="Q1268" s="10">
        <v>0</v>
      </c>
      <c r="R1268" s="7" t="s">
        <v>27</v>
      </c>
    </row>
    <row r="1269" spans="1:18" hidden="1">
      <c r="A1269" s="7" t="s">
        <v>29</v>
      </c>
      <c r="B1269" s="8">
        <v>20589</v>
      </c>
      <c r="C1269" s="9">
        <v>45946.689375000002</v>
      </c>
      <c r="D1269" s="9">
        <v>45946</v>
      </c>
      <c r="E1269" s="9">
        <v>45946</v>
      </c>
      <c r="F1269" s="7" t="s">
        <v>3562</v>
      </c>
      <c r="G1269" s="7" t="s">
        <v>4213</v>
      </c>
      <c r="H1269" s="7" t="s">
        <v>3564</v>
      </c>
      <c r="I1269" s="7" t="s">
        <v>3565</v>
      </c>
      <c r="J1269" s="7" t="s">
        <v>40</v>
      </c>
      <c r="K1269" s="7" t="s">
        <v>355</v>
      </c>
      <c r="L1269" s="10">
        <v>812.2</v>
      </c>
      <c r="M1269" s="10">
        <v>812.2</v>
      </c>
      <c r="N1269" s="10">
        <f>+L1269-M1269</f>
        <v>0</v>
      </c>
      <c r="O1269" s="10">
        <v>812.2</v>
      </c>
      <c r="P1269" s="10">
        <f>+L1269-O1269</f>
        <v>0</v>
      </c>
      <c r="Q1269" s="10">
        <v>0</v>
      </c>
      <c r="R1269" s="7" t="s">
        <v>27</v>
      </c>
    </row>
    <row r="1270" spans="1:18">
      <c r="A1270" s="7" t="s">
        <v>29</v>
      </c>
      <c r="B1270" s="8">
        <v>20010</v>
      </c>
      <c r="C1270" s="9">
        <v>45833.399872685186</v>
      </c>
      <c r="D1270" s="9">
        <v>45866</v>
      </c>
      <c r="E1270" s="9">
        <v>45866</v>
      </c>
      <c r="F1270" s="7" t="s">
        <v>4214</v>
      </c>
      <c r="G1270" s="7" t="s">
        <v>4215</v>
      </c>
      <c r="H1270" s="7" t="s">
        <v>2591</v>
      </c>
      <c r="I1270" s="7" t="s">
        <v>536</v>
      </c>
      <c r="J1270" s="7" t="s">
        <v>25</v>
      </c>
      <c r="K1270" s="7" t="s">
        <v>537</v>
      </c>
      <c r="L1270" s="10">
        <v>900.5</v>
      </c>
      <c r="M1270" s="10">
        <v>900.5</v>
      </c>
      <c r="N1270" s="10">
        <f>+L1270-M1270</f>
        <v>0</v>
      </c>
      <c r="O1270" s="10">
        <v>900.5</v>
      </c>
      <c r="P1270" s="10">
        <f>+L1270-O1270</f>
        <v>0</v>
      </c>
      <c r="Q1270" s="10">
        <v>0</v>
      </c>
      <c r="R1270" s="7" t="s">
        <v>27</v>
      </c>
    </row>
    <row r="1271" spans="1:18" hidden="1">
      <c r="A1271" s="7" t="s">
        <v>29</v>
      </c>
      <c r="B1271" s="8">
        <v>19767</v>
      </c>
      <c r="C1271" s="9">
        <v>45782.451620370368</v>
      </c>
      <c r="D1271" s="9">
        <v>45780</v>
      </c>
      <c r="E1271" s="9">
        <v>45780</v>
      </c>
      <c r="F1271" s="7" t="s">
        <v>4216</v>
      </c>
      <c r="G1271" s="7" t="s">
        <v>4217</v>
      </c>
      <c r="H1271" s="7" t="s">
        <v>4218</v>
      </c>
      <c r="I1271" s="7" t="s">
        <v>4219</v>
      </c>
      <c r="J1271" s="7" t="s">
        <v>176</v>
      </c>
      <c r="K1271" s="7" t="s">
        <v>494</v>
      </c>
      <c r="L1271" s="10">
        <v>899</v>
      </c>
      <c r="M1271" s="10">
        <v>899</v>
      </c>
      <c r="N1271" s="10">
        <f>+L1271-M1271</f>
        <v>0</v>
      </c>
      <c r="O1271" s="10">
        <v>899</v>
      </c>
      <c r="P1271" s="10">
        <f>+L1271-O1271</f>
        <v>0</v>
      </c>
      <c r="Q1271" s="10">
        <v>0</v>
      </c>
      <c r="R1271" s="7" t="s">
        <v>27</v>
      </c>
    </row>
    <row r="1272" spans="1:18" hidden="1">
      <c r="A1272" s="7" t="s">
        <v>29</v>
      </c>
      <c r="B1272" s="8">
        <v>4187</v>
      </c>
      <c r="C1272" s="9">
        <v>45743.346666666665</v>
      </c>
      <c r="D1272" s="9">
        <v>45733</v>
      </c>
      <c r="E1272" s="9">
        <v>45733</v>
      </c>
      <c r="F1272" s="7" t="s">
        <v>4220</v>
      </c>
      <c r="G1272" s="7" t="s">
        <v>4221</v>
      </c>
      <c r="H1272" s="7" t="s">
        <v>1714</v>
      </c>
      <c r="I1272" s="7" t="s">
        <v>910</v>
      </c>
      <c r="J1272" s="7" t="s">
        <v>25</v>
      </c>
      <c r="K1272" s="7" t="s">
        <v>206</v>
      </c>
      <c r="L1272" s="10">
        <v>896.04</v>
      </c>
      <c r="M1272" s="10">
        <v>896.04</v>
      </c>
      <c r="N1272" s="15">
        <f>+L1272-M1272</f>
        <v>0</v>
      </c>
      <c r="O1272" s="15">
        <v>896.04</v>
      </c>
      <c r="P1272" s="15">
        <f>+L1272-O1272</f>
        <v>0</v>
      </c>
      <c r="Q1272" s="10">
        <v>0</v>
      </c>
      <c r="R1272" s="7" t="s">
        <v>87</v>
      </c>
    </row>
    <row r="1273" spans="1:18" hidden="1">
      <c r="A1273" s="7" t="s">
        <v>29</v>
      </c>
      <c r="B1273" s="8">
        <v>20417</v>
      </c>
      <c r="C1273" s="9">
        <v>45908.662442129629</v>
      </c>
      <c r="D1273" s="9">
        <v>45898</v>
      </c>
      <c r="E1273" s="9">
        <v>45898</v>
      </c>
      <c r="F1273" s="7" t="s">
        <v>4222</v>
      </c>
      <c r="G1273" s="7" t="s">
        <v>4223</v>
      </c>
      <c r="H1273" s="7" t="s">
        <v>4124</v>
      </c>
      <c r="I1273" s="7" t="s">
        <v>4125</v>
      </c>
      <c r="J1273" s="7" t="s">
        <v>176</v>
      </c>
      <c r="K1273" s="7" t="s">
        <v>360</v>
      </c>
      <c r="L1273" s="10">
        <v>894.4</v>
      </c>
      <c r="M1273" s="10">
        <v>894.4</v>
      </c>
      <c r="N1273" s="10">
        <f>+L1273-M1273</f>
        <v>0</v>
      </c>
      <c r="O1273" s="10">
        <v>894.4</v>
      </c>
      <c r="P1273" s="10">
        <f>+L1273-O1273</f>
        <v>0</v>
      </c>
      <c r="Q1273" s="10">
        <v>0</v>
      </c>
      <c r="R1273" s="7" t="s">
        <v>27</v>
      </c>
    </row>
    <row r="1274" spans="1:18" hidden="1">
      <c r="A1274" s="7" t="s">
        <v>29</v>
      </c>
      <c r="B1274" s="8">
        <v>20375</v>
      </c>
      <c r="C1274" s="9">
        <v>45901.677546296298</v>
      </c>
      <c r="D1274" s="9">
        <v>45901</v>
      </c>
      <c r="E1274" s="9">
        <v>45901</v>
      </c>
      <c r="F1274" s="7" t="s">
        <v>4224</v>
      </c>
      <c r="G1274" s="7" t="s">
        <v>4225</v>
      </c>
      <c r="H1274" s="7" t="s">
        <v>4226</v>
      </c>
      <c r="I1274" s="7" t="s">
        <v>4227</v>
      </c>
      <c r="J1274" s="7" t="s">
        <v>176</v>
      </c>
      <c r="K1274" s="7" t="s">
        <v>360</v>
      </c>
      <c r="L1274" s="10">
        <v>894</v>
      </c>
      <c r="M1274" s="10">
        <v>894</v>
      </c>
      <c r="N1274" s="10">
        <f>+L1274-M1274</f>
        <v>0</v>
      </c>
      <c r="O1274" s="10">
        <v>894</v>
      </c>
      <c r="P1274" s="10">
        <f>+L1274-O1274</f>
        <v>0</v>
      </c>
      <c r="Q1274" s="10">
        <v>0</v>
      </c>
      <c r="R1274" s="7" t="s">
        <v>27</v>
      </c>
    </row>
    <row r="1275" spans="1:18" hidden="1">
      <c r="A1275" s="7" t="s">
        <v>29</v>
      </c>
      <c r="B1275" s="8">
        <v>4327</v>
      </c>
      <c r="C1275" s="9">
        <v>46028.375868055555</v>
      </c>
      <c r="D1275" s="9">
        <v>46017</v>
      </c>
      <c r="E1275" s="9">
        <v>46017</v>
      </c>
      <c r="F1275" s="7" t="s">
        <v>4228</v>
      </c>
      <c r="G1275" s="7" t="s">
        <v>4229</v>
      </c>
      <c r="H1275" s="7" t="s">
        <v>4230</v>
      </c>
      <c r="I1275" s="7" t="s">
        <v>4231</v>
      </c>
      <c r="J1275" s="7" t="s">
        <v>25</v>
      </c>
      <c r="K1275" s="7" t="s">
        <v>125</v>
      </c>
      <c r="L1275" s="10">
        <v>858.8</v>
      </c>
      <c r="M1275" s="10">
        <v>858.8</v>
      </c>
      <c r="N1275" s="15">
        <f>+L1275-M1275</f>
        <v>0</v>
      </c>
      <c r="O1275" s="15">
        <v>858.8</v>
      </c>
      <c r="P1275" s="15">
        <f>+L1275-O1275</f>
        <v>0</v>
      </c>
      <c r="Q1275" s="10">
        <v>0</v>
      </c>
      <c r="R1275" s="7" t="s">
        <v>87</v>
      </c>
    </row>
    <row r="1276" spans="1:18" hidden="1">
      <c r="A1276" s="7" t="s">
        <v>29</v>
      </c>
      <c r="B1276" s="8">
        <v>19481</v>
      </c>
      <c r="C1276" s="9">
        <v>45716.653796296298</v>
      </c>
      <c r="D1276" s="9">
        <v>45792</v>
      </c>
      <c r="E1276" s="9">
        <v>45775</v>
      </c>
      <c r="F1276" s="7" t="s">
        <v>4232</v>
      </c>
      <c r="G1276" s="7" t="s">
        <v>4233</v>
      </c>
      <c r="H1276" s="7" t="s">
        <v>1379</v>
      </c>
      <c r="I1276" s="7" t="s">
        <v>1380</v>
      </c>
      <c r="J1276" s="7" t="s">
        <v>40</v>
      </c>
      <c r="K1276" s="7" t="s">
        <v>41</v>
      </c>
      <c r="L1276" s="10">
        <v>775.9</v>
      </c>
      <c r="M1276" s="10">
        <v>775.9</v>
      </c>
      <c r="N1276" s="10">
        <f>+L1276-M1276</f>
        <v>0</v>
      </c>
      <c r="O1276" s="10">
        <v>775.9</v>
      </c>
      <c r="P1276" s="10">
        <f>+L1276-O1276</f>
        <v>0</v>
      </c>
      <c r="Q1276" s="10">
        <v>0</v>
      </c>
      <c r="R1276" s="7" t="s">
        <v>27</v>
      </c>
    </row>
    <row r="1277" spans="1:18">
      <c r="A1277" s="7" t="s">
        <v>29</v>
      </c>
      <c r="B1277" s="8">
        <v>20554</v>
      </c>
      <c r="C1277" s="9">
        <v>45937.418837152778</v>
      </c>
      <c r="D1277" s="9">
        <v>45908</v>
      </c>
      <c r="E1277" s="9">
        <v>45908</v>
      </c>
      <c r="F1277" s="7" t="s">
        <v>4234</v>
      </c>
      <c r="G1277" s="7" t="s">
        <v>4235</v>
      </c>
      <c r="H1277" s="7" t="s">
        <v>783</v>
      </c>
      <c r="I1277" s="7" t="s">
        <v>784</v>
      </c>
      <c r="J1277" s="7" t="s">
        <v>25</v>
      </c>
      <c r="K1277" s="7" t="s">
        <v>55</v>
      </c>
      <c r="L1277" s="10">
        <v>828.19</v>
      </c>
      <c r="M1277" s="10">
        <v>828.19</v>
      </c>
      <c r="N1277" s="10">
        <f>+L1277-M1277</f>
        <v>0</v>
      </c>
      <c r="O1277" s="10">
        <v>828.19</v>
      </c>
      <c r="P1277" s="10">
        <f>+L1277-O1277</f>
        <v>0</v>
      </c>
      <c r="Q1277" s="10">
        <v>0</v>
      </c>
      <c r="R1277" s="7" t="s">
        <v>27</v>
      </c>
    </row>
    <row r="1278" spans="1:18" hidden="1">
      <c r="A1278" s="7" t="s">
        <v>29</v>
      </c>
      <c r="B1278" s="8">
        <v>19947</v>
      </c>
      <c r="C1278" s="9">
        <v>45819.444282407407</v>
      </c>
      <c r="D1278" s="9">
        <v>45821</v>
      </c>
      <c r="E1278" s="9">
        <v>45814</v>
      </c>
      <c r="F1278" s="7" t="s">
        <v>4236</v>
      </c>
      <c r="G1278" s="7" t="s">
        <v>4237</v>
      </c>
      <c r="H1278" s="7" t="s">
        <v>4238</v>
      </c>
      <c r="I1278" s="7" t="s">
        <v>4239</v>
      </c>
      <c r="J1278" s="7" t="s">
        <v>176</v>
      </c>
      <c r="K1278" s="7" t="s">
        <v>550</v>
      </c>
      <c r="L1278" s="10">
        <v>888</v>
      </c>
      <c r="M1278" s="10">
        <v>888</v>
      </c>
      <c r="N1278" s="10">
        <f>+L1278-M1278</f>
        <v>0</v>
      </c>
      <c r="O1278" s="10">
        <v>888</v>
      </c>
      <c r="P1278" s="10">
        <f>+L1278-O1278</f>
        <v>0</v>
      </c>
      <c r="Q1278" s="10">
        <v>0</v>
      </c>
      <c r="R1278" s="7" t="s">
        <v>27</v>
      </c>
    </row>
    <row r="1279" spans="1:18" hidden="1">
      <c r="A1279" s="7" t="s">
        <v>29</v>
      </c>
      <c r="B1279" s="8">
        <v>19489</v>
      </c>
      <c r="C1279" s="9">
        <v>45720.575798611106</v>
      </c>
      <c r="D1279" s="9">
        <v>45720</v>
      </c>
      <c r="E1279" s="9">
        <v>45751</v>
      </c>
      <c r="F1279" s="7" t="s">
        <v>4240</v>
      </c>
      <c r="G1279" s="7" t="s">
        <v>4241</v>
      </c>
      <c r="H1279" s="7" t="s">
        <v>302</v>
      </c>
      <c r="I1279" s="7" t="s">
        <v>303</v>
      </c>
      <c r="J1279" s="7" t="s">
        <v>34</v>
      </c>
      <c r="K1279" s="7" t="s">
        <v>35</v>
      </c>
      <c r="L1279" s="10">
        <v>885.5</v>
      </c>
      <c r="M1279" s="10">
        <v>885.5</v>
      </c>
      <c r="N1279" s="10">
        <f>+L1279-M1279</f>
        <v>0</v>
      </c>
      <c r="O1279" s="10">
        <v>885.5</v>
      </c>
      <c r="P1279" s="10">
        <f>+L1279-O1279</f>
        <v>0</v>
      </c>
      <c r="Q1279" s="10">
        <v>0</v>
      </c>
      <c r="R1279" s="7" t="s">
        <v>27</v>
      </c>
    </row>
    <row r="1280" spans="1:18" hidden="1">
      <c r="A1280" s="7" t="s">
        <v>29</v>
      </c>
      <c r="B1280" s="8">
        <v>20683</v>
      </c>
      <c r="C1280" s="9">
        <v>45968.604386574072</v>
      </c>
      <c r="D1280" s="9">
        <v>45968</v>
      </c>
      <c r="E1280" s="9">
        <v>45967</v>
      </c>
      <c r="F1280" s="7" t="s">
        <v>4242</v>
      </c>
      <c r="G1280" s="7" t="s">
        <v>4243</v>
      </c>
      <c r="H1280" s="7" t="s">
        <v>3742</v>
      </c>
      <c r="I1280" s="7" t="s">
        <v>3743</v>
      </c>
      <c r="J1280" s="7" t="s">
        <v>34</v>
      </c>
      <c r="K1280" s="7" t="s">
        <v>733</v>
      </c>
      <c r="L1280" s="10">
        <v>870.89</v>
      </c>
      <c r="M1280" s="10">
        <v>870.89</v>
      </c>
      <c r="N1280" s="10">
        <f>+L1280-M1280</f>
        <v>0</v>
      </c>
      <c r="O1280" s="10">
        <v>870.89</v>
      </c>
      <c r="P1280" s="10">
        <f>+L1280-O1280</f>
        <v>0</v>
      </c>
      <c r="Q1280" s="10">
        <v>0</v>
      </c>
      <c r="R1280" s="7" t="s">
        <v>27</v>
      </c>
    </row>
    <row r="1281" spans="1:18" hidden="1">
      <c r="A1281" s="7" t="s">
        <v>29</v>
      </c>
      <c r="B1281" s="8">
        <v>20755</v>
      </c>
      <c r="C1281" s="9">
        <v>45995.603888888887</v>
      </c>
      <c r="D1281" s="9">
        <v>45995</v>
      </c>
      <c r="E1281" s="9">
        <v>45994</v>
      </c>
      <c r="F1281" s="7" t="s">
        <v>4244</v>
      </c>
      <c r="G1281" s="7" t="s">
        <v>4245</v>
      </c>
      <c r="H1281" s="7" t="s">
        <v>3742</v>
      </c>
      <c r="I1281" s="7" t="s">
        <v>3743</v>
      </c>
      <c r="J1281" s="7" t="s">
        <v>34</v>
      </c>
      <c r="K1281" s="7" t="s">
        <v>733</v>
      </c>
      <c r="L1281" s="10">
        <v>870.89</v>
      </c>
      <c r="M1281" s="10">
        <v>870.89</v>
      </c>
      <c r="N1281" s="10">
        <f>+L1281-M1281</f>
        <v>0</v>
      </c>
      <c r="O1281" s="10">
        <v>870.89</v>
      </c>
      <c r="P1281" s="10">
        <f>+L1281-O1281</f>
        <v>0</v>
      </c>
      <c r="Q1281" s="10">
        <v>0</v>
      </c>
      <c r="R1281" s="7" t="s">
        <v>27</v>
      </c>
    </row>
    <row r="1282" spans="1:18" hidden="1">
      <c r="A1282" s="7" t="s">
        <v>29</v>
      </c>
      <c r="B1282" s="8">
        <v>20614</v>
      </c>
      <c r="C1282" s="9">
        <v>45954.443518518514</v>
      </c>
      <c r="D1282" s="9">
        <v>45960</v>
      </c>
      <c r="E1282" s="9">
        <v>45953</v>
      </c>
      <c r="F1282" s="7" t="s">
        <v>4246</v>
      </c>
      <c r="G1282" s="7" t="s">
        <v>4247</v>
      </c>
      <c r="H1282" s="7" t="s">
        <v>2952</v>
      </c>
      <c r="I1282" s="7" t="s">
        <v>2953</v>
      </c>
      <c r="J1282" s="7" t="s">
        <v>176</v>
      </c>
      <c r="K1282" s="7" t="s">
        <v>569</v>
      </c>
      <c r="L1282" s="10">
        <v>870</v>
      </c>
      <c r="M1282" s="10">
        <v>870</v>
      </c>
      <c r="N1282" s="10">
        <f>+L1282-M1282</f>
        <v>0</v>
      </c>
      <c r="O1282" s="10">
        <v>870</v>
      </c>
      <c r="P1282" s="10">
        <f>+L1282-O1282</f>
        <v>0</v>
      </c>
      <c r="Q1282" s="10">
        <v>0</v>
      </c>
      <c r="R1282" s="7" t="s">
        <v>27</v>
      </c>
    </row>
    <row r="1283" spans="1:18">
      <c r="A1283" s="7" t="s">
        <v>29</v>
      </c>
      <c r="B1283" s="8">
        <v>19485</v>
      </c>
      <c r="C1283" s="9">
        <v>45720.383680555555</v>
      </c>
      <c r="D1283" s="9">
        <v>45748</v>
      </c>
      <c r="E1283" s="9">
        <v>45779</v>
      </c>
      <c r="F1283" s="7" t="s">
        <v>4248</v>
      </c>
      <c r="G1283" s="7" t="s">
        <v>4249</v>
      </c>
      <c r="H1283" s="7" t="s">
        <v>3408</v>
      </c>
      <c r="I1283" s="7" t="s">
        <v>873</v>
      </c>
      <c r="J1283" s="7" t="s">
        <v>25</v>
      </c>
      <c r="K1283" s="7" t="s">
        <v>55</v>
      </c>
      <c r="L1283" s="10">
        <v>817.15</v>
      </c>
      <c r="M1283" s="10">
        <v>817.15</v>
      </c>
      <c r="N1283" s="10">
        <f>+L1283-M1283</f>
        <v>0</v>
      </c>
      <c r="O1283" s="10">
        <v>817.15</v>
      </c>
      <c r="P1283" s="10">
        <f>+L1283-O1283</f>
        <v>0</v>
      </c>
      <c r="Q1283" s="10">
        <v>0</v>
      </c>
      <c r="R1283" s="7" t="s">
        <v>27</v>
      </c>
    </row>
    <row r="1284" spans="1:18" hidden="1">
      <c r="A1284" s="7" t="s">
        <v>29</v>
      </c>
      <c r="B1284" s="8">
        <v>19472</v>
      </c>
      <c r="C1284" s="9">
        <v>45716.444826388884</v>
      </c>
      <c r="D1284" s="9">
        <v>45716</v>
      </c>
      <c r="E1284" s="9">
        <v>45716</v>
      </c>
      <c r="F1284" s="7" t="s">
        <v>3718</v>
      </c>
      <c r="G1284" s="7" t="s">
        <v>4250</v>
      </c>
      <c r="H1284" s="7" t="s">
        <v>3720</v>
      </c>
      <c r="I1284" s="7" t="s">
        <v>3718</v>
      </c>
      <c r="J1284" s="7" t="s">
        <v>40</v>
      </c>
      <c r="K1284" s="7" t="s">
        <v>1784</v>
      </c>
      <c r="L1284" s="10">
        <v>767.63</v>
      </c>
      <c r="M1284" s="10">
        <v>767.63</v>
      </c>
      <c r="N1284" s="10">
        <f>+L1284-M1284</f>
        <v>0</v>
      </c>
      <c r="O1284" s="10">
        <v>767.63</v>
      </c>
      <c r="P1284" s="10">
        <f>+L1284-O1284</f>
        <v>0</v>
      </c>
      <c r="Q1284" s="10">
        <v>0</v>
      </c>
      <c r="R1284" s="7" t="s">
        <v>27</v>
      </c>
    </row>
    <row r="1285" spans="1:18" hidden="1">
      <c r="A1285" s="7" t="s">
        <v>29</v>
      </c>
      <c r="B1285" s="8">
        <v>20178</v>
      </c>
      <c r="C1285" s="9">
        <v>45861.410821759258</v>
      </c>
      <c r="D1285" s="9">
        <v>45861</v>
      </c>
      <c r="E1285" s="9">
        <v>45848</v>
      </c>
      <c r="F1285" s="7" t="s">
        <v>4251</v>
      </c>
      <c r="G1285" s="7" t="s">
        <v>4252</v>
      </c>
      <c r="H1285" s="7" t="s">
        <v>4253</v>
      </c>
      <c r="I1285" s="7" t="s">
        <v>4254</v>
      </c>
      <c r="J1285" s="7" t="s">
        <v>34</v>
      </c>
      <c r="K1285" s="7" t="s">
        <v>966</v>
      </c>
      <c r="L1285" s="10">
        <v>865.73</v>
      </c>
      <c r="M1285" s="10">
        <v>865.73</v>
      </c>
      <c r="N1285" s="10">
        <f>+L1285-M1285</f>
        <v>0</v>
      </c>
      <c r="O1285" s="10">
        <v>865.73</v>
      </c>
      <c r="P1285" s="10">
        <f>+L1285-O1285</f>
        <v>0</v>
      </c>
      <c r="Q1285" s="10">
        <v>0</v>
      </c>
      <c r="R1285" s="7" t="s">
        <v>27</v>
      </c>
    </row>
    <row r="1286" spans="1:18" hidden="1">
      <c r="A1286" s="7" t="s">
        <v>29</v>
      </c>
      <c r="B1286" s="8">
        <v>20163</v>
      </c>
      <c r="C1286" s="9">
        <v>45859.418622685182</v>
      </c>
      <c r="D1286" s="9">
        <v>45859</v>
      </c>
      <c r="E1286" s="9">
        <v>45859</v>
      </c>
      <c r="F1286" s="7" t="s">
        <v>4255</v>
      </c>
      <c r="G1286" s="7" t="s">
        <v>4256</v>
      </c>
      <c r="H1286" s="7" t="s">
        <v>4257</v>
      </c>
      <c r="I1286" s="7" t="s">
        <v>4258</v>
      </c>
      <c r="J1286" s="7" t="s">
        <v>34</v>
      </c>
      <c r="K1286" s="7" t="s">
        <v>451</v>
      </c>
      <c r="L1286" s="10">
        <v>865.13</v>
      </c>
      <c r="M1286" s="10">
        <v>865.13</v>
      </c>
      <c r="N1286" s="10">
        <f>+L1286-M1286</f>
        <v>0</v>
      </c>
      <c r="O1286" s="10">
        <v>865.13</v>
      </c>
      <c r="P1286" s="10">
        <f>+L1286-O1286</f>
        <v>0</v>
      </c>
      <c r="Q1286" s="10">
        <v>0</v>
      </c>
      <c r="R1286" s="7" t="s">
        <v>27</v>
      </c>
    </row>
    <row r="1287" spans="1:18" hidden="1">
      <c r="A1287" s="7" t="s">
        <v>29</v>
      </c>
      <c r="B1287" s="8">
        <v>20072</v>
      </c>
      <c r="C1287" s="9">
        <v>45839.626608796294</v>
      </c>
      <c r="D1287" s="9">
        <v>45841</v>
      </c>
      <c r="E1287" s="9">
        <v>45834</v>
      </c>
      <c r="F1287" s="7" t="s">
        <v>4259</v>
      </c>
      <c r="G1287" s="7" t="s">
        <v>4260</v>
      </c>
      <c r="H1287" s="7" t="s">
        <v>4261</v>
      </c>
      <c r="I1287" s="7" t="s">
        <v>4262</v>
      </c>
      <c r="J1287" s="7" t="s">
        <v>176</v>
      </c>
      <c r="K1287" s="7" t="s">
        <v>177</v>
      </c>
      <c r="L1287" s="10">
        <v>865</v>
      </c>
      <c r="M1287" s="10">
        <v>865</v>
      </c>
      <c r="N1287" s="10">
        <f>+L1287-M1287</f>
        <v>0</v>
      </c>
      <c r="O1287" s="10">
        <v>865</v>
      </c>
      <c r="P1287" s="10">
        <f>+L1287-O1287</f>
        <v>0</v>
      </c>
      <c r="Q1287" s="10">
        <v>0</v>
      </c>
      <c r="R1287" s="7" t="s">
        <v>27</v>
      </c>
    </row>
    <row r="1288" spans="1:18" hidden="1">
      <c r="A1288" s="7" t="s">
        <v>29</v>
      </c>
      <c r="B1288" s="8">
        <v>4233</v>
      </c>
      <c r="C1288" s="9">
        <v>45827.62631944444</v>
      </c>
      <c r="D1288" s="9">
        <v>45771</v>
      </c>
      <c r="E1288" s="9">
        <v>45801</v>
      </c>
      <c r="F1288" s="7" t="s">
        <v>4263</v>
      </c>
      <c r="G1288" s="7" t="s">
        <v>942</v>
      </c>
      <c r="H1288" s="7" t="s">
        <v>4264</v>
      </c>
      <c r="I1288" s="7" t="s">
        <v>4265</v>
      </c>
      <c r="J1288" s="7" t="s">
        <v>25</v>
      </c>
      <c r="K1288" s="7" t="s">
        <v>125</v>
      </c>
      <c r="L1288" s="10">
        <v>800</v>
      </c>
      <c r="M1288" s="10">
        <v>800</v>
      </c>
      <c r="N1288" s="15">
        <f>+L1288-M1288</f>
        <v>0</v>
      </c>
      <c r="O1288" s="15">
        <v>800</v>
      </c>
      <c r="P1288" s="15">
        <f>+L1288-O1288</f>
        <v>0</v>
      </c>
      <c r="Q1288" s="10">
        <v>0</v>
      </c>
      <c r="R1288" s="7" t="s">
        <v>87</v>
      </c>
    </row>
    <row r="1289" spans="1:18" hidden="1">
      <c r="A1289" s="7" t="s">
        <v>29</v>
      </c>
      <c r="B1289" s="8">
        <v>19777</v>
      </c>
      <c r="C1289" s="9">
        <v>45784.424016203702</v>
      </c>
      <c r="D1289" s="9">
        <v>45783</v>
      </c>
      <c r="E1289" s="9">
        <v>45783</v>
      </c>
      <c r="F1289" s="7" t="s">
        <v>4266</v>
      </c>
      <c r="G1289" s="7" t="s">
        <v>4267</v>
      </c>
      <c r="H1289" s="7" t="s">
        <v>4268</v>
      </c>
      <c r="I1289" s="7" t="s">
        <v>4269</v>
      </c>
      <c r="J1289" s="7" t="s">
        <v>176</v>
      </c>
      <c r="K1289" s="7" t="s">
        <v>494</v>
      </c>
      <c r="L1289" s="10">
        <v>860.14</v>
      </c>
      <c r="M1289" s="10">
        <v>860.14</v>
      </c>
      <c r="N1289" s="10">
        <f>+L1289-M1289</f>
        <v>0</v>
      </c>
      <c r="O1289" s="10">
        <v>860.14</v>
      </c>
      <c r="P1289" s="10">
        <f>+L1289-O1289</f>
        <v>0</v>
      </c>
      <c r="Q1289" s="10">
        <v>0</v>
      </c>
      <c r="R1289" s="7" t="s">
        <v>27</v>
      </c>
    </row>
    <row r="1290" spans="1:18" hidden="1">
      <c r="A1290" s="7" t="s">
        <v>29</v>
      </c>
      <c r="B1290" s="8">
        <v>4286</v>
      </c>
      <c r="C1290" s="9">
        <v>45966.434953703705</v>
      </c>
      <c r="D1290" s="9">
        <v>45943</v>
      </c>
      <c r="E1290" s="9">
        <v>46006</v>
      </c>
      <c r="F1290" s="7" t="s">
        <v>4270</v>
      </c>
      <c r="G1290" s="7" t="s">
        <v>3521</v>
      </c>
      <c r="H1290" s="7" t="s">
        <v>4271</v>
      </c>
      <c r="I1290" s="7" t="s">
        <v>4272</v>
      </c>
      <c r="J1290" s="7" t="s">
        <v>25</v>
      </c>
      <c r="K1290" s="7" t="s">
        <v>206</v>
      </c>
      <c r="L1290" s="10">
        <v>799.32</v>
      </c>
      <c r="M1290" s="10">
        <v>799.32</v>
      </c>
      <c r="N1290" s="15">
        <f>+L1290-M1290</f>
        <v>0</v>
      </c>
      <c r="O1290" s="15">
        <v>799.32</v>
      </c>
      <c r="P1290" s="15">
        <f>+L1290-O1290</f>
        <v>0</v>
      </c>
      <c r="Q1290" s="10">
        <v>0</v>
      </c>
      <c r="R1290" s="7" t="s">
        <v>87</v>
      </c>
    </row>
    <row r="1291" spans="1:18" hidden="1">
      <c r="A1291" s="7" t="s">
        <v>29</v>
      </c>
      <c r="B1291" s="8">
        <v>20325</v>
      </c>
      <c r="C1291" s="9">
        <v>45894.700856481482</v>
      </c>
      <c r="D1291" s="9">
        <v>45894</v>
      </c>
      <c r="E1291" s="9">
        <v>45882</v>
      </c>
      <c r="F1291" s="7" t="s">
        <v>4273</v>
      </c>
      <c r="G1291" s="7" t="s">
        <v>4274</v>
      </c>
      <c r="H1291" s="7" t="s">
        <v>4275</v>
      </c>
      <c r="I1291" s="7" t="s">
        <v>4276</v>
      </c>
      <c r="J1291" s="7" t="s">
        <v>34</v>
      </c>
      <c r="K1291" s="7" t="s">
        <v>990</v>
      </c>
      <c r="L1291" s="10">
        <v>847.5</v>
      </c>
      <c r="M1291" s="10">
        <v>847.5</v>
      </c>
      <c r="N1291" s="10">
        <f>+L1291-M1291</f>
        <v>0</v>
      </c>
      <c r="O1291" s="10">
        <v>847.5</v>
      </c>
      <c r="P1291" s="10">
        <f>+L1291-O1291</f>
        <v>0</v>
      </c>
      <c r="Q1291" s="10">
        <v>0</v>
      </c>
      <c r="R1291" s="7" t="s">
        <v>27</v>
      </c>
    </row>
    <row r="1292" spans="1:18">
      <c r="A1292" s="7" t="s">
        <v>29</v>
      </c>
      <c r="B1292" s="8">
        <v>20770</v>
      </c>
      <c r="C1292" s="9">
        <v>46001.984872685185</v>
      </c>
      <c r="D1292" s="9">
        <v>46003</v>
      </c>
      <c r="E1292" s="9">
        <v>46034</v>
      </c>
      <c r="F1292" s="7" t="s">
        <v>4277</v>
      </c>
      <c r="G1292" s="7" t="s">
        <v>4278</v>
      </c>
      <c r="H1292" s="7" t="s">
        <v>2284</v>
      </c>
      <c r="I1292" s="7" t="s">
        <v>1763</v>
      </c>
      <c r="J1292" s="7" t="s">
        <v>25</v>
      </c>
      <c r="K1292" s="7" t="s">
        <v>55</v>
      </c>
      <c r="L1292" s="10">
        <v>794.48</v>
      </c>
      <c r="M1292" s="10">
        <v>794.48</v>
      </c>
      <c r="N1292" s="10">
        <f>+L1292-M1292</f>
        <v>0</v>
      </c>
      <c r="O1292" s="10">
        <v>794.48</v>
      </c>
      <c r="P1292" s="10">
        <f>+L1292-O1292</f>
        <v>0</v>
      </c>
      <c r="Q1292" s="10">
        <v>0</v>
      </c>
      <c r="R1292" s="7" t="s">
        <v>27</v>
      </c>
    </row>
    <row r="1293" spans="1:18" hidden="1">
      <c r="A1293" s="7" t="s">
        <v>29</v>
      </c>
      <c r="B1293" s="8">
        <v>20223</v>
      </c>
      <c r="C1293" s="9">
        <v>45870.702233796292</v>
      </c>
      <c r="D1293" s="9">
        <v>45870</v>
      </c>
      <c r="E1293" s="9">
        <v>45870</v>
      </c>
      <c r="F1293" s="7" t="s">
        <v>4279</v>
      </c>
      <c r="G1293" s="7" t="s">
        <v>4280</v>
      </c>
      <c r="H1293" s="7" t="s">
        <v>4281</v>
      </c>
      <c r="I1293" s="7" t="s">
        <v>4282</v>
      </c>
      <c r="J1293" s="7" t="s">
        <v>176</v>
      </c>
      <c r="K1293" s="7" t="s">
        <v>494</v>
      </c>
      <c r="L1293" s="10">
        <v>836.79</v>
      </c>
      <c r="M1293" s="10">
        <v>836.79</v>
      </c>
      <c r="N1293" s="10">
        <f>+L1293-M1293</f>
        <v>0</v>
      </c>
      <c r="O1293" s="10">
        <v>836.79</v>
      </c>
      <c r="P1293" s="10">
        <f>+L1293-O1293</f>
        <v>0</v>
      </c>
      <c r="Q1293" s="10">
        <v>0</v>
      </c>
      <c r="R1293" s="7" t="s">
        <v>27</v>
      </c>
    </row>
    <row r="1294" spans="1:18" hidden="1">
      <c r="A1294" s="7" t="s">
        <v>29</v>
      </c>
      <c r="B1294" s="8">
        <v>19401</v>
      </c>
      <c r="C1294" s="9">
        <v>45698.393854166665</v>
      </c>
      <c r="D1294" s="9">
        <v>45698</v>
      </c>
      <c r="E1294" s="9">
        <v>45726</v>
      </c>
      <c r="F1294" s="7" t="s">
        <v>4283</v>
      </c>
      <c r="G1294" s="7" t="s">
        <v>1779</v>
      </c>
      <c r="H1294" s="7" t="s">
        <v>4284</v>
      </c>
      <c r="I1294" s="7" t="s">
        <v>4285</v>
      </c>
      <c r="J1294" s="7" t="s">
        <v>34</v>
      </c>
      <c r="K1294" s="7" t="s">
        <v>269</v>
      </c>
      <c r="L1294" s="10">
        <v>836.2</v>
      </c>
      <c r="M1294" s="10">
        <v>836.2</v>
      </c>
      <c r="N1294" s="10">
        <f>+L1294-M1294</f>
        <v>0</v>
      </c>
      <c r="O1294" s="10">
        <v>836.2</v>
      </c>
      <c r="P1294" s="10">
        <f>+L1294-O1294</f>
        <v>0</v>
      </c>
      <c r="Q1294" s="10">
        <v>0</v>
      </c>
      <c r="R1294" s="7" t="s">
        <v>27</v>
      </c>
    </row>
    <row r="1295" spans="1:18" hidden="1">
      <c r="A1295" s="7" t="s">
        <v>29</v>
      </c>
      <c r="B1295" s="8">
        <v>4234</v>
      </c>
      <c r="C1295" s="9">
        <v>45828.615058414347</v>
      </c>
      <c r="D1295" s="9">
        <v>45817</v>
      </c>
      <c r="E1295" s="9">
        <v>45817</v>
      </c>
      <c r="F1295" s="7" t="s">
        <v>4286</v>
      </c>
      <c r="G1295" s="7" t="s">
        <v>4287</v>
      </c>
      <c r="H1295" s="7" t="s">
        <v>4288</v>
      </c>
      <c r="I1295" s="7" t="s">
        <v>1799</v>
      </c>
      <c r="J1295" s="7" t="s">
        <v>25</v>
      </c>
      <c r="K1295" s="7" t="s">
        <v>125</v>
      </c>
      <c r="L1295" s="10">
        <v>791</v>
      </c>
      <c r="M1295" s="10">
        <v>791</v>
      </c>
      <c r="N1295" s="15">
        <f>+L1295-M1295</f>
        <v>0</v>
      </c>
      <c r="O1295" s="15">
        <v>791</v>
      </c>
      <c r="P1295" s="15">
        <f>+L1295-O1295</f>
        <v>0</v>
      </c>
      <c r="Q1295" s="10">
        <v>0</v>
      </c>
      <c r="R1295" s="7" t="s">
        <v>87</v>
      </c>
    </row>
    <row r="1296" spans="1:18" hidden="1">
      <c r="A1296" s="7" t="s">
        <v>29</v>
      </c>
      <c r="B1296" s="8">
        <v>20048</v>
      </c>
      <c r="C1296" s="9">
        <v>45837.625196759254</v>
      </c>
      <c r="D1296" s="9">
        <v>45838</v>
      </c>
      <c r="E1296" s="9">
        <v>45810</v>
      </c>
      <c r="F1296" s="7" t="s">
        <v>4289</v>
      </c>
      <c r="G1296" s="7" t="s">
        <v>4290</v>
      </c>
      <c r="H1296" s="7" t="s">
        <v>2604</v>
      </c>
      <c r="I1296" s="7" t="s">
        <v>2605</v>
      </c>
      <c r="J1296" s="7" t="s">
        <v>176</v>
      </c>
      <c r="K1296" s="7" t="s">
        <v>317</v>
      </c>
      <c r="L1296" s="10">
        <v>821</v>
      </c>
      <c r="M1296" s="10">
        <v>821</v>
      </c>
      <c r="N1296" s="10">
        <f>+L1296-M1296</f>
        <v>0</v>
      </c>
      <c r="O1296" s="10">
        <v>821</v>
      </c>
      <c r="P1296" s="10">
        <f>+L1296-O1296</f>
        <v>0</v>
      </c>
      <c r="Q1296" s="10">
        <v>0</v>
      </c>
      <c r="R1296" s="7" t="s">
        <v>27</v>
      </c>
    </row>
    <row r="1297" spans="1:18">
      <c r="A1297" s="7" t="s">
        <v>29</v>
      </c>
      <c r="B1297" s="8">
        <v>20173</v>
      </c>
      <c r="C1297" s="9">
        <v>45860.480393518519</v>
      </c>
      <c r="D1297" s="9">
        <v>45880</v>
      </c>
      <c r="E1297" s="9">
        <v>45854</v>
      </c>
      <c r="F1297" s="7" t="s">
        <v>4291</v>
      </c>
      <c r="G1297" s="7" t="s">
        <v>4292</v>
      </c>
      <c r="H1297" s="7" t="s">
        <v>4293</v>
      </c>
      <c r="I1297" s="7" t="s">
        <v>632</v>
      </c>
      <c r="J1297" s="7" t="s">
        <v>25</v>
      </c>
      <c r="K1297" s="7" t="s">
        <v>170</v>
      </c>
      <c r="L1297" s="10">
        <v>775.45</v>
      </c>
      <c r="M1297" s="10">
        <v>775.45</v>
      </c>
      <c r="N1297" s="10">
        <f>+L1297-M1297</f>
        <v>0</v>
      </c>
      <c r="O1297" s="10">
        <v>775.45</v>
      </c>
      <c r="P1297" s="10">
        <f>+L1297-O1297</f>
        <v>0</v>
      </c>
      <c r="Q1297" s="10">
        <v>0</v>
      </c>
      <c r="R1297" s="7" t="s">
        <v>27</v>
      </c>
    </row>
    <row r="1298" spans="1:18" hidden="1">
      <c r="A1298" s="7" t="s">
        <v>29</v>
      </c>
      <c r="B1298" s="8">
        <v>19363</v>
      </c>
      <c r="C1298" s="9">
        <v>45687.367210648146</v>
      </c>
      <c r="D1298" s="9">
        <v>45684</v>
      </c>
      <c r="E1298" s="9">
        <v>45684</v>
      </c>
      <c r="F1298" s="7" t="s">
        <v>4294</v>
      </c>
      <c r="G1298" s="7" t="s">
        <v>376</v>
      </c>
      <c r="H1298" s="7" t="s">
        <v>3933</v>
      </c>
      <c r="I1298" s="7" t="s">
        <v>3934</v>
      </c>
      <c r="J1298" s="7" t="s">
        <v>40</v>
      </c>
      <c r="K1298" s="7" t="s">
        <v>41</v>
      </c>
      <c r="L1298" s="10">
        <v>728.17</v>
      </c>
      <c r="M1298" s="10">
        <v>728.17</v>
      </c>
      <c r="N1298" s="10">
        <f>+L1298-M1298</f>
        <v>0</v>
      </c>
      <c r="O1298" s="10">
        <v>728.17</v>
      </c>
      <c r="P1298" s="10">
        <f>+L1298-O1298</f>
        <v>0</v>
      </c>
      <c r="Q1298" s="10">
        <v>0</v>
      </c>
      <c r="R1298" s="7" t="s">
        <v>27</v>
      </c>
    </row>
    <row r="1299" spans="1:18" hidden="1">
      <c r="A1299" s="7" t="s">
        <v>29</v>
      </c>
      <c r="B1299" s="8">
        <v>20038</v>
      </c>
      <c r="C1299" s="9">
        <v>45835.647314814814</v>
      </c>
      <c r="D1299" s="9">
        <v>45835</v>
      </c>
      <c r="E1299" s="9">
        <v>45866</v>
      </c>
      <c r="F1299" s="7" t="s">
        <v>4295</v>
      </c>
      <c r="G1299" s="7" t="s">
        <v>4296</v>
      </c>
      <c r="H1299" s="7" t="s">
        <v>4297</v>
      </c>
      <c r="I1299" s="7" t="s">
        <v>4298</v>
      </c>
      <c r="J1299" s="7" t="s">
        <v>34</v>
      </c>
      <c r="K1299" s="7" t="s">
        <v>35</v>
      </c>
      <c r="L1299" s="10">
        <v>816.14</v>
      </c>
      <c r="M1299" s="10">
        <v>816.14</v>
      </c>
      <c r="N1299" s="10">
        <f>+L1299-M1299</f>
        <v>0</v>
      </c>
      <c r="O1299" s="10">
        <v>816.14</v>
      </c>
      <c r="P1299" s="10">
        <f>+L1299-O1299</f>
        <v>0</v>
      </c>
      <c r="Q1299" s="10">
        <v>0</v>
      </c>
      <c r="R1299" s="7" t="s">
        <v>27</v>
      </c>
    </row>
    <row r="1300" spans="1:18" hidden="1">
      <c r="A1300" s="7" t="s">
        <v>29</v>
      </c>
      <c r="B1300" s="8">
        <v>20164</v>
      </c>
      <c r="C1300" s="9">
        <v>45859.484305555554</v>
      </c>
      <c r="D1300" s="9">
        <v>45859</v>
      </c>
      <c r="E1300" s="9">
        <v>45859</v>
      </c>
      <c r="F1300" s="7" t="s">
        <v>4299</v>
      </c>
      <c r="G1300" s="7" t="s">
        <v>4300</v>
      </c>
      <c r="H1300" s="7" t="s">
        <v>4301</v>
      </c>
      <c r="I1300" s="7" t="s">
        <v>4302</v>
      </c>
      <c r="J1300" s="7" t="s">
        <v>40</v>
      </c>
      <c r="K1300" s="7" t="s">
        <v>355</v>
      </c>
      <c r="L1300" s="10">
        <v>681.69</v>
      </c>
      <c r="M1300" s="10">
        <v>681.69</v>
      </c>
      <c r="N1300" s="10">
        <f>+L1300-M1300</f>
        <v>0</v>
      </c>
      <c r="O1300" s="10">
        <v>681.69</v>
      </c>
      <c r="P1300" s="10">
        <f>+L1300-O1300</f>
        <v>0</v>
      </c>
      <c r="Q1300" s="10">
        <v>0</v>
      </c>
      <c r="R1300" s="7" t="s">
        <v>27</v>
      </c>
    </row>
    <row r="1301" spans="1:18" hidden="1">
      <c r="A1301" s="7" t="s">
        <v>29</v>
      </c>
      <c r="B1301" s="8">
        <v>20508</v>
      </c>
      <c r="C1301" s="9">
        <v>45924.664907407408</v>
      </c>
      <c r="D1301" s="9">
        <v>45924</v>
      </c>
      <c r="E1301" s="9">
        <v>45924</v>
      </c>
      <c r="F1301" s="7" t="s">
        <v>4303</v>
      </c>
      <c r="G1301" s="7" t="s">
        <v>4304</v>
      </c>
      <c r="H1301" s="7" t="s">
        <v>4305</v>
      </c>
      <c r="I1301" s="7" t="s">
        <v>4306</v>
      </c>
      <c r="J1301" s="7" t="s">
        <v>34</v>
      </c>
      <c r="K1301" s="7" t="s">
        <v>412</v>
      </c>
      <c r="L1301" s="10">
        <v>805.19</v>
      </c>
      <c r="M1301" s="10">
        <v>805.19</v>
      </c>
      <c r="N1301" s="10">
        <f>+L1301-M1301</f>
        <v>0</v>
      </c>
      <c r="O1301" s="10">
        <v>805.19</v>
      </c>
      <c r="P1301" s="10">
        <f>+L1301-O1301</f>
        <v>0</v>
      </c>
      <c r="Q1301" s="10">
        <v>0</v>
      </c>
      <c r="R1301" s="7" t="s">
        <v>27</v>
      </c>
    </row>
    <row r="1302" spans="1:18" hidden="1">
      <c r="A1302" s="7" t="s">
        <v>29</v>
      </c>
      <c r="B1302" s="8">
        <v>20871</v>
      </c>
      <c r="C1302" s="9">
        <v>46037.570879629631</v>
      </c>
      <c r="D1302" s="9">
        <v>46037</v>
      </c>
      <c r="E1302" s="9">
        <v>46080</v>
      </c>
      <c r="F1302" s="7" t="s">
        <v>4307</v>
      </c>
      <c r="G1302" s="7" t="s">
        <v>4308</v>
      </c>
      <c r="H1302" s="7" t="s">
        <v>1881</v>
      </c>
      <c r="I1302" s="7" t="s">
        <v>1882</v>
      </c>
      <c r="J1302" s="7" t="s">
        <v>34</v>
      </c>
      <c r="K1302" s="7" t="s">
        <v>412</v>
      </c>
      <c r="L1302" s="10">
        <v>801.66</v>
      </c>
      <c r="M1302" s="10">
        <v>801.66</v>
      </c>
      <c r="N1302" s="10">
        <f>+L1302-M1302</f>
        <v>0</v>
      </c>
      <c r="O1302" s="10">
        <v>801.66</v>
      </c>
      <c r="P1302" s="10">
        <f>+L1302-O1302</f>
        <v>0</v>
      </c>
      <c r="Q1302" s="10">
        <v>0</v>
      </c>
      <c r="R1302" s="7" t="s">
        <v>27</v>
      </c>
    </row>
    <row r="1303" spans="1:18" hidden="1">
      <c r="A1303" s="7" t="s">
        <v>29</v>
      </c>
      <c r="B1303" s="8">
        <v>20462</v>
      </c>
      <c r="C1303" s="9">
        <v>45918.43236111111</v>
      </c>
      <c r="D1303" s="9">
        <v>45911</v>
      </c>
      <c r="E1303" s="9">
        <v>45911</v>
      </c>
      <c r="F1303" s="7" t="s">
        <v>4309</v>
      </c>
      <c r="G1303" s="7" t="s">
        <v>4310</v>
      </c>
      <c r="H1303" s="7" t="s">
        <v>4311</v>
      </c>
      <c r="I1303" s="7" t="s">
        <v>4312</v>
      </c>
      <c r="J1303" s="7" t="s">
        <v>176</v>
      </c>
      <c r="K1303" s="7" t="s">
        <v>360</v>
      </c>
      <c r="L1303" s="10">
        <v>794.85</v>
      </c>
      <c r="M1303" s="10">
        <v>794.85</v>
      </c>
      <c r="N1303" s="10">
        <f>+L1303-M1303</f>
        <v>0</v>
      </c>
      <c r="O1303" s="10">
        <v>794.85</v>
      </c>
      <c r="P1303" s="10">
        <f>+L1303-O1303</f>
        <v>0</v>
      </c>
      <c r="Q1303" s="10">
        <v>0</v>
      </c>
      <c r="R1303" s="7" t="s">
        <v>27</v>
      </c>
    </row>
    <row r="1304" spans="1:18">
      <c r="A1304" s="7" t="s">
        <v>29</v>
      </c>
      <c r="B1304" s="8">
        <v>20411</v>
      </c>
      <c r="C1304" s="9">
        <v>45908.408900462964</v>
      </c>
      <c r="D1304" s="9">
        <v>45940</v>
      </c>
      <c r="E1304" s="9">
        <v>45940</v>
      </c>
      <c r="F1304" s="7" t="s">
        <v>4313</v>
      </c>
      <c r="G1304" s="7" t="s">
        <v>4314</v>
      </c>
      <c r="H1304" s="7" t="s">
        <v>2284</v>
      </c>
      <c r="I1304" s="7" t="s">
        <v>1763</v>
      </c>
      <c r="J1304" s="7" t="s">
        <v>25</v>
      </c>
      <c r="K1304" s="7" t="s">
        <v>55</v>
      </c>
      <c r="L1304" s="10">
        <v>750</v>
      </c>
      <c r="M1304" s="10">
        <v>750</v>
      </c>
      <c r="N1304" s="10">
        <f>+L1304-M1304</f>
        <v>0</v>
      </c>
      <c r="O1304" s="10">
        <v>750</v>
      </c>
      <c r="P1304" s="10">
        <f>+L1304-O1304</f>
        <v>0</v>
      </c>
      <c r="Q1304" s="10">
        <v>0</v>
      </c>
      <c r="R1304" s="7" t="s">
        <v>27</v>
      </c>
    </row>
    <row r="1305" spans="1:18" hidden="1">
      <c r="A1305" s="7" t="s">
        <v>29</v>
      </c>
      <c r="B1305" s="8">
        <v>19512</v>
      </c>
      <c r="C1305" s="9">
        <v>45727.453703703701</v>
      </c>
      <c r="D1305" s="9">
        <v>45727</v>
      </c>
      <c r="E1305" s="9">
        <v>45726</v>
      </c>
      <c r="F1305" s="7" t="s">
        <v>4315</v>
      </c>
      <c r="G1305" s="7" t="s">
        <v>4316</v>
      </c>
      <c r="H1305" s="7" t="s">
        <v>4317</v>
      </c>
      <c r="I1305" s="7" t="s">
        <v>4318</v>
      </c>
      <c r="J1305" s="7" t="s">
        <v>34</v>
      </c>
      <c r="K1305" s="7" t="s">
        <v>902</v>
      </c>
      <c r="L1305" s="10">
        <v>794.39</v>
      </c>
      <c r="M1305" s="10">
        <v>794.39</v>
      </c>
      <c r="N1305" s="10">
        <f>+L1305-M1305</f>
        <v>0</v>
      </c>
      <c r="O1305" s="10">
        <v>794.39</v>
      </c>
      <c r="P1305" s="10">
        <f>+L1305-O1305</f>
        <v>0</v>
      </c>
      <c r="Q1305" s="10">
        <v>0</v>
      </c>
      <c r="R1305" s="7" t="s">
        <v>27</v>
      </c>
    </row>
    <row r="1306" spans="1:18" hidden="1">
      <c r="A1306" s="7" t="s">
        <v>29</v>
      </c>
      <c r="B1306" s="8">
        <v>19510</v>
      </c>
      <c r="C1306" s="9">
        <v>45726.717581018514</v>
      </c>
      <c r="D1306" s="9">
        <v>45726</v>
      </c>
      <c r="E1306" s="9">
        <v>45721</v>
      </c>
      <c r="F1306" s="7" t="s">
        <v>4319</v>
      </c>
      <c r="G1306" s="7" t="s">
        <v>4320</v>
      </c>
      <c r="H1306" s="7" t="s">
        <v>4321</v>
      </c>
      <c r="I1306" s="7" t="s">
        <v>4322</v>
      </c>
      <c r="J1306" s="7" t="s">
        <v>34</v>
      </c>
      <c r="K1306" s="7" t="s">
        <v>451</v>
      </c>
      <c r="L1306" s="10">
        <v>791</v>
      </c>
      <c r="M1306" s="10">
        <v>791</v>
      </c>
      <c r="N1306" s="10">
        <f>+L1306-M1306</f>
        <v>0</v>
      </c>
      <c r="O1306" s="10">
        <v>791</v>
      </c>
      <c r="P1306" s="10">
        <f>+L1306-O1306</f>
        <v>0</v>
      </c>
      <c r="Q1306" s="10">
        <v>0</v>
      </c>
      <c r="R1306" s="7" t="s">
        <v>27</v>
      </c>
    </row>
    <row r="1307" spans="1:18" hidden="1">
      <c r="A1307" s="7" t="s">
        <v>29</v>
      </c>
      <c r="B1307" s="8">
        <v>20780</v>
      </c>
      <c r="C1307" s="9">
        <v>46006.660763541666</v>
      </c>
      <c r="D1307" s="9">
        <v>46006</v>
      </c>
      <c r="E1307" s="9">
        <v>46006</v>
      </c>
      <c r="F1307" s="7" t="s">
        <v>4323</v>
      </c>
      <c r="G1307" s="7" t="s">
        <v>4324</v>
      </c>
      <c r="H1307" s="7" t="s">
        <v>4325</v>
      </c>
      <c r="I1307" s="7" t="s">
        <v>4326</v>
      </c>
      <c r="J1307" s="7" t="s">
        <v>176</v>
      </c>
      <c r="K1307" s="7" t="s">
        <v>360</v>
      </c>
      <c r="L1307" s="10">
        <v>789</v>
      </c>
      <c r="M1307" s="10">
        <v>789</v>
      </c>
      <c r="N1307" s="10">
        <f>+L1307-M1307</f>
        <v>0</v>
      </c>
      <c r="O1307" s="10">
        <v>789</v>
      </c>
      <c r="P1307" s="10">
        <f>+L1307-O1307</f>
        <v>0</v>
      </c>
      <c r="Q1307" s="10">
        <v>0</v>
      </c>
      <c r="R1307" s="7" t="s">
        <v>27</v>
      </c>
    </row>
    <row r="1308" spans="1:18" hidden="1">
      <c r="A1308" s="7" t="s">
        <v>29</v>
      </c>
      <c r="B1308" s="8">
        <v>19783</v>
      </c>
      <c r="C1308" s="9">
        <v>45785.395405092589</v>
      </c>
      <c r="D1308" s="9">
        <v>45791</v>
      </c>
      <c r="E1308" s="9">
        <v>45784</v>
      </c>
      <c r="F1308" s="7" t="s">
        <v>4327</v>
      </c>
      <c r="G1308" s="7" t="s">
        <v>4328</v>
      </c>
      <c r="H1308" s="7" t="s">
        <v>4329</v>
      </c>
      <c r="I1308" s="7" t="s">
        <v>4330</v>
      </c>
      <c r="J1308" s="7" t="s">
        <v>176</v>
      </c>
      <c r="K1308" s="7" t="s">
        <v>569</v>
      </c>
      <c r="L1308" s="10">
        <v>781</v>
      </c>
      <c r="M1308" s="10">
        <v>781</v>
      </c>
      <c r="N1308" s="10">
        <f>+L1308-M1308</f>
        <v>0</v>
      </c>
      <c r="O1308" s="10">
        <v>781</v>
      </c>
      <c r="P1308" s="10">
        <f>+L1308-O1308</f>
        <v>0</v>
      </c>
      <c r="Q1308" s="10">
        <v>0</v>
      </c>
      <c r="R1308" s="7" t="s">
        <v>27</v>
      </c>
    </row>
    <row r="1309" spans="1:18" hidden="1">
      <c r="A1309" s="7" t="s">
        <v>29</v>
      </c>
      <c r="B1309" s="8">
        <v>20544</v>
      </c>
      <c r="C1309" s="9">
        <v>45933.422893518517</v>
      </c>
      <c r="D1309" s="9">
        <v>45933</v>
      </c>
      <c r="E1309" s="9">
        <v>45918</v>
      </c>
      <c r="F1309" s="7" t="s">
        <v>4331</v>
      </c>
      <c r="G1309" s="7" t="s">
        <v>4332</v>
      </c>
      <c r="H1309" s="7" t="s">
        <v>2147</v>
      </c>
      <c r="I1309" s="7" t="s">
        <v>2148</v>
      </c>
      <c r="J1309" s="7" t="s">
        <v>34</v>
      </c>
      <c r="K1309" s="7" t="s">
        <v>269</v>
      </c>
      <c r="L1309" s="10">
        <v>778.63</v>
      </c>
      <c r="M1309" s="10">
        <v>778.63</v>
      </c>
      <c r="N1309" s="10">
        <f>+L1309-M1309</f>
        <v>0</v>
      </c>
      <c r="O1309" s="10">
        <v>778.63</v>
      </c>
      <c r="P1309" s="10">
        <f>+L1309-O1309</f>
        <v>0</v>
      </c>
      <c r="Q1309" s="10">
        <v>0</v>
      </c>
      <c r="R1309" s="7" t="s">
        <v>27</v>
      </c>
    </row>
    <row r="1310" spans="1:18" hidden="1">
      <c r="A1310" s="7" t="s">
        <v>29</v>
      </c>
      <c r="B1310" s="8">
        <v>20392</v>
      </c>
      <c r="C1310" s="9">
        <v>45902.656469907408</v>
      </c>
      <c r="D1310" s="9">
        <v>45932</v>
      </c>
      <c r="E1310" s="9">
        <v>45902</v>
      </c>
      <c r="F1310" s="7" t="s">
        <v>4333</v>
      </c>
      <c r="G1310" s="7" t="s">
        <v>4334</v>
      </c>
      <c r="H1310" s="7" t="s">
        <v>4335</v>
      </c>
      <c r="I1310" s="7" t="s">
        <v>4336</v>
      </c>
      <c r="J1310" s="7" t="s">
        <v>40</v>
      </c>
      <c r="K1310" s="7" t="s">
        <v>355</v>
      </c>
      <c r="L1310" s="10">
        <v>657.37</v>
      </c>
      <c r="M1310" s="10">
        <v>657.37</v>
      </c>
      <c r="N1310" s="10">
        <f>+L1310-M1310</f>
        <v>0</v>
      </c>
      <c r="O1310" s="10">
        <v>657.37</v>
      </c>
      <c r="P1310" s="10">
        <f>+L1310-O1310</f>
        <v>0</v>
      </c>
      <c r="Q1310" s="10">
        <v>0</v>
      </c>
      <c r="R1310" s="7" t="s">
        <v>27</v>
      </c>
    </row>
    <row r="1311" spans="1:18" hidden="1">
      <c r="A1311" s="7" t="s">
        <v>29</v>
      </c>
      <c r="B1311" s="8">
        <v>4202</v>
      </c>
      <c r="C1311" s="9">
        <v>45792.669895833329</v>
      </c>
      <c r="D1311" s="9">
        <v>45757</v>
      </c>
      <c r="E1311" s="9">
        <v>45798</v>
      </c>
      <c r="F1311" s="7" t="s">
        <v>4337</v>
      </c>
      <c r="G1311" s="7" t="s">
        <v>4338</v>
      </c>
      <c r="H1311" s="7" t="s">
        <v>280</v>
      </c>
      <c r="I1311" s="7" t="s">
        <v>205</v>
      </c>
      <c r="J1311" s="7" t="s">
        <v>25</v>
      </c>
      <c r="K1311" s="7" t="s">
        <v>206</v>
      </c>
      <c r="L1311" s="10">
        <v>746.37</v>
      </c>
      <c r="M1311" s="10">
        <v>746.37</v>
      </c>
      <c r="N1311" s="15">
        <f>+L1311-M1311</f>
        <v>0</v>
      </c>
      <c r="O1311" s="15">
        <v>746.37</v>
      </c>
      <c r="P1311" s="15">
        <f>+L1311-O1311</f>
        <v>0</v>
      </c>
      <c r="Q1311" s="10">
        <v>0</v>
      </c>
      <c r="R1311" s="7" t="s">
        <v>87</v>
      </c>
    </row>
    <row r="1312" spans="1:18" hidden="1">
      <c r="A1312" s="7" t="s">
        <v>29</v>
      </c>
      <c r="B1312" s="8">
        <v>20255</v>
      </c>
      <c r="C1312" s="9">
        <v>45876.63690972222</v>
      </c>
      <c r="D1312" s="9">
        <v>45876</v>
      </c>
      <c r="E1312" s="9">
        <v>45876</v>
      </c>
      <c r="F1312" s="7" t="s">
        <v>4339</v>
      </c>
      <c r="G1312" s="7" t="s">
        <v>4340</v>
      </c>
      <c r="H1312" s="7" t="s">
        <v>3720</v>
      </c>
      <c r="I1312" s="7" t="s">
        <v>3718</v>
      </c>
      <c r="J1312" s="7" t="s">
        <v>40</v>
      </c>
      <c r="K1312" s="7" t="s">
        <v>46</v>
      </c>
      <c r="L1312" s="10">
        <v>601.73</v>
      </c>
      <c r="M1312" s="10">
        <v>601.73</v>
      </c>
      <c r="N1312" s="10">
        <f>+L1312-M1312</f>
        <v>0</v>
      </c>
      <c r="O1312" s="10">
        <v>601.73</v>
      </c>
      <c r="P1312" s="10">
        <f>+L1312-O1312</f>
        <v>0</v>
      </c>
      <c r="Q1312" s="10">
        <v>0</v>
      </c>
      <c r="R1312" s="7" t="s">
        <v>27</v>
      </c>
    </row>
    <row r="1313" spans="1:18" hidden="1">
      <c r="A1313" s="7" t="s">
        <v>29</v>
      </c>
      <c r="B1313" s="8">
        <v>20012</v>
      </c>
      <c r="C1313" s="9">
        <v>45833.401817129627</v>
      </c>
      <c r="D1313" s="9">
        <v>45831</v>
      </c>
      <c r="E1313" s="9">
        <v>45831</v>
      </c>
      <c r="F1313" s="7" t="s">
        <v>4341</v>
      </c>
      <c r="G1313" s="7" t="s">
        <v>4342</v>
      </c>
      <c r="H1313" s="7" t="s">
        <v>4343</v>
      </c>
      <c r="I1313" s="7" t="s">
        <v>4344</v>
      </c>
      <c r="J1313" s="7" t="s">
        <v>176</v>
      </c>
      <c r="K1313" s="7" t="s">
        <v>494</v>
      </c>
      <c r="L1313" s="10">
        <v>759.84</v>
      </c>
      <c r="M1313" s="10">
        <v>759.84</v>
      </c>
      <c r="N1313" s="10">
        <f>+L1313-M1313</f>
        <v>0</v>
      </c>
      <c r="O1313" s="10">
        <v>759.84</v>
      </c>
      <c r="P1313" s="10">
        <f>+L1313-O1313</f>
        <v>0</v>
      </c>
      <c r="Q1313" s="10">
        <v>0</v>
      </c>
      <c r="R1313" s="7" t="s">
        <v>27</v>
      </c>
    </row>
    <row r="1314" spans="1:18" hidden="1">
      <c r="A1314" s="7" t="s">
        <v>29</v>
      </c>
      <c r="B1314" s="8">
        <v>19491</v>
      </c>
      <c r="C1314" s="9">
        <v>45721.341423611106</v>
      </c>
      <c r="D1314" s="9">
        <v>45721</v>
      </c>
      <c r="E1314" s="9">
        <v>45720</v>
      </c>
      <c r="F1314" s="7" t="s">
        <v>4345</v>
      </c>
      <c r="G1314" s="7" t="s">
        <v>4346</v>
      </c>
      <c r="H1314" s="7" t="s">
        <v>3351</v>
      </c>
      <c r="I1314" s="7" t="s">
        <v>3352</v>
      </c>
      <c r="J1314" s="7" t="s">
        <v>34</v>
      </c>
      <c r="K1314" s="7" t="s">
        <v>902</v>
      </c>
      <c r="L1314" s="10">
        <v>758.99</v>
      </c>
      <c r="M1314" s="10">
        <v>758.99</v>
      </c>
      <c r="N1314" s="10">
        <f>+L1314-M1314</f>
        <v>0</v>
      </c>
      <c r="O1314" s="10">
        <v>758.99</v>
      </c>
      <c r="P1314" s="10">
        <f>+L1314-O1314</f>
        <v>0</v>
      </c>
      <c r="Q1314" s="10">
        <v>0</v>
      </c>
      <c r="R1314" s="7" t="s">
        <v>27</v>
      </c>
    </row>
    <row r="1315" spans="1:18" hidden="1">
      <c r="A1315" s="7" t="s">
        <v>29</v>
      </c>
      <c r="B1315" s="8">
        <v>4185</v>
      </c>
      <c r="C1315" s="9">
        <v>45743.346122685187</v>
      </c>
      <c r="D1315" s="9">
        <v>45742</v>
      </c>
      <c r="E1315" s="9">
        <v>45742</v>
      </c>
      <c r="F1315" s="7" t="s">
        <v>4347</v>
      </c>
      <c r="G1315" s="7" t="s">
        <v>4348</v>
      </c>
      <c r="H1315" s="7" t="s">
        <v>4349</v>
      </c>
      <c r="I1315" s="7" t="s">
        <v>4350</v>
      </c>
      <c r="J1315" s="7" t="s">
        <v>25</v>
      </c>
      <c r="K1315" s="7" t="s">
        <v>916</v>
      </c>
      <c r="L1315" s="10">
        <v>711.9</v>
      </c>
      <c r="M1315" s="10">
        <v>711.9</v>
      </c>
      <c r="N1315" s="15">
        <f>+L1315-M1315</f>
        <v>0</v>
      </c>
      <c r="O1315" s="15">
        <v>711.9</v>
      </c>
      <c r="P1315" s="15">
        <f>+L1315-O1315</f>
        <v>0</v>
      </c>
      <c r="Q1315" s="10">
        <v>0</v>
      </c>
      <c r="R1315" s="7" t="s">
        <v>87</v>
      </c>
    </row>
    <row r="1316" spans="1:18">
      <c r="A1316" s="7" t="s">
        <v>29</v>
      </c>
      <c r="B1316" s="8">
        <v>19590</v>
      </c>
      <c r="C1316" s="9">
        <v>45747.399768518517</v>
      </c>
      <c r="D1316" s="9">
        <v>45744</v>
      </c>
      <c r="E1316" s="9">
        <v>45709</v>
      </c>
      <c r="F1316" s="7" t="s">
        <v>4351</v>
      </c>
      <c r="G1316" s="7" t="s">
        <v>4352</v>
      </c>
      <c r="H1316" s="7" t="s">
        <v>4353</v>
      </c>
      <c r="I1316" s="7" t="s">
        <v>4354</v>
      </c>
      <c r="J1316" s="7" t="s">
        <v>25</v>
      </c>
      <c r="K1316" s="7" t="s">
        <v>537</v>
      </c>
      <c r="L1316" s="10">
        <v>701.84</v>
      </c>
      <c r="M1316" s="10">
        <v>701.84</v>
      </c>
      <c r="N1316" s="10">
        <f>+L1316-M1316</f>
        <v>0</v>
      </c>
      <c r="O1316" s="10">
        <v>701.84</v>
      </c>
      <c r="P1316" s="10">
        <f>+L1316-O1316</f>
        <v>0</v>
      </c>
      <c r="Q1316" s="10">
        <v>0</v>
      </c>
      <c r="R1316" s="7" t="s">
        <v>27</v>
      </c>
    </row>
    <row r="1317" spans="1:18" hidden="1">
      <c r="A1317" s="7" t="s">
        <v>29</v>
      </c>
      <c r="B1317" s="8">
        <v>19971</v>
      </c>
      <c r="C1317" s="9">
        <v>45824.693831018514</v>
      </c>
      <c r="D1317" s="9">
        <v>45838</v>
      </c>
      <c r="E1317" s="9">
        <v>45824</v>
      </c>
      <c r="F1317" s="7" t="s">
        <v>4355</v>
      </c>
      <c r="G1317" s="7" t="s">
        <v>4356</v>
      </c>
      <c r="H1317" s="7" t="s">
        <v>548</v>
      </c>
      <c r="I1317" s="7" t="s">
        <v>549</v>
      </c>
      <c r="J1317" s="7" t="s">
        <v>176</v>
      </c>
      <c r="K1317" s="7" t="s">
        <v>550</v>
      </c>
      <c r="L1317" s="10">
        <v>748.6</v>
      </c>
      <c r="M1317" s="10">
        <v>748.6</v>
      </c>
      <c r="N1317" s="10">
        <f>+L1317-M1317</f>
        <v>0</v>
      </c>
      <c r="O1317" s="10">
        <v>748.6</v>
      </c>
      <c r="P1317" s="10">
        <f>+L1317-O1317</f>
        <v>0</v>
      </c>
      <c r="Q1317" s="10">
        <v>0</v>
      </c>
      <c r="R1317" s="7" t="s">
        <v>27</v>
      </c>
    </row>
    <row r="1318" spans="1:18" hidden="1">
      <c r="A1318" s="7" t="s">
        <v>29</v>
      </c>
      <c r="B1318" s="8">
        <v>19372</v>
      </c>
      <c r="C1318" s="9">
        <v>45691.704942129625</v>
      </c>
      <c r="D1318" s="9">
        <v>45691</v>
      </c>
      <c r="E1318" s="9">
        <v>45691</v>
      </c>
      <c r="F1318" s="7" t="s">
        <v>4357</v>
      </c>
      <c r="G1318" s="7" t="s">
        <v>4358</v>
      </c>
      <c r="H1318" s="7" t="s">
        <v>4359</v>
      </c>
      <c r="I1318" s="7" t="s">
        <v>4360</v>
      </c>
      <c r="J1318" s="7" t="s">
        <v>34</v>
      </c>
      <c r="K1318" s="7" t="s">
        <v>990</v>
      </c>
      <c r="L1318" s="10">
        <v>747.13</v>
      </c>
      <c r="M1318" s="10">
        <v>747.13</v>
      </c>
      <c r="N1318" s="10">
        <f>+L1318-M1318</f>
        <v>0</v>
      </c>
      <c r="O1318" s="10">
        <v>747.13</v>
      </c>
      <c r="P1318" s="10">
        <f>+L1318-O1318</f>
        <v>0</v>
      </c>
      <c r="Q1318" s="10">
        <v>0</v>
      </c>
      <c r="R1318" s="7" t="s">
        <v>27</v>
      </c>
    </row>
    <row r="1319" spans="1:18" hidden="1">
      <c r="A1319" s="7" t="s">
        <v>29</v>
      </c>
      <c r="B1319" s="8">
        <v>20154</v>
      </c>
      <c r="C1319" s="9">
        <v>45854.406018518515</v>
      </c>
      <c r="D1319" s="9">
        <v>45849</v>
      </c>
      <c r="E1319" s="9">
        <v>45849</v>
      </c>
      <c r="F1319" s="7" t="s">
        <v>4206</v>
      </c>
      <c r="G1319" s="7" t="s">
        <v>4361</v>
      </c>
      <c r="H1319" s="7" t="s">
        <v>4208</v>
      </c>
      <c r="I1319" s="7" t="s">
        <v>4206</v>
      </c>
      <c r="J1319" s="7" t="s">
        <v>40</v>
      </c>
      <c r="K1319" s="7" t="s">
        <v>1784</v>
      </c>
      <c r="L1319" s="10">
        <v>580.36</v>
      </c>
      <c r="M1319" s="10">
        <v>580.36</v>
      </c>
      <c r="N1319" s="10">
        <f>+L1319-M1319</f>
        <v>0</v>
      </c>
      <c r="O1319" s="10">
        <v>580.36</v>
      </c>
      <c r="P1319" s="10">
        <f>+L1319-O1319</f>
        <v>0</v>
      </c>
      <c r="Q1319" s="10">
        <v>0</v>
      </c>
      <c r="R1319" s="7" t="s">
        <v>27</v>
      </c>
    </row>
    <row r="1320" spans="1:18" hidden="1">
      <c r="A1320" s="7" t="s">
        <v>29</v>
      </c>
      <c r="B1320" s="8">
        <v>4232</v>
      </c>
      <c r="C1320" s="9">
        <v>45820.703738425924</v>
      </c>
      <c r="D1320" s="9">
        <v>45484</v>
      </c>
      <c r="E1320" s="9">
        <v>45484</v>
      </c>
      <c r="F1320" s="7" t="s">
        <v>4362</v>
      </c>
      <c r="G1320" s="7" t="s">
        <v>891</v>
      </c>
      <c r="H1320" s="7" t="s">
        <v>4363</v>
      </c>
      <c r="I1320" s="7" t="s">
        <v>4364</v>
      </c>
      <c r="J1320" s="7" t="s">
        <v>25</v>
      </c>
      <c r="K1320" s="7" t="s">
        <v>125</v>
      </c>
      <c r="L1320" s="10">
        <v>678</v>
      </c>
      <c r="M1320" s="10">
        <v>678</v>
      </c>
      <c r="N1320" s="15">
        <f>+L1320-M1320</f>
        <v>0</v>
      </c>
      <c r="O1320" s="15">
        <v>678</v>
      </c>
      <c r="P1320" s="15">
        <f>+L1320-O1320</f>
        <v>0</v>
      </c>
      <c r="Q1320" s="10">
        <v>0</v>
      </c>
      <c r="R1320" s="7" t="s">
        <v>87</v>
      </c>
    </row>
    <row r="1321" spans="1:18" hidden="1">
      <c r="A1321" s="7" t="s">
        <v>29</v>
      </c>
      <c r="B1321" s="8">
        <v>20897</v>
      </c>
      <c r="C1321" s="9">
        <v>46044.431504629625</v>
      </c>
      <c r="D1321" s="9">
        <v>46042</v>
      </c>
      <c r="E1321" s="9">
        <v>46042</v>
      </c>
      <c r="F1321" s="7" t="s">
        <v>4365</v>
      </c>
      <c r="G1321" s="7" t="s">
        <v>4366</v>
      </c>
      <c r="H1321" s="7" t="s">
        <v>4367</v>
      </c>
      <c r="I1321" s="7" t="s">
        <v>4368</v>
      </c>
      <c r="J1321" s="7" t="s">
        <v>176</v>
      </c>
      <c r="K1321" s="7" t="s">
        <v>360</v>
      </c>
      <c r="L1321" s="10">
        <v>743</v>
      </c>
      <c r="M1321" s="10">
        <v>743</v>
      </c>
      <c r="N1321" s="10">
        <f>+L1321-M1321</f>
        <v>0</v>
      </c>
      <c r="O1321" s="10">
        <v>743</v>
      </c>
      <c r="P1321" s="10">
        <f>+L1321-O1321</f>
        <v>0</v>
      </c>
      <c r="Q1321" s="10">
        <v>0</v>
      </c>
      <c r="R1321" s="7" t="s">
        <v>27</v>
      </c>
    </row>
    <row r="1322" spans="1:18" hidden="1">
      <c r="A1322" s="7" t="s">
        <v>29</v>
      </c>
      <c r="B1322" s="8">
        <v>20196</v>
      </c>
      <c r="C1322" s="9">
        <v>45867.650706018518</v>
      </c>
      <c r="D1322" s="9">
        <v>45867</v>
      </c>
      <c r="E1322" s="9">
        <v>45898</v>
      </c>
      <c r="F1322" s="7" t="s">
        <v>4369</v>
      </c>
      <c r="G1322" s="7" t="s">
        <v>4370</v>
      </c>
      <c r="H1322" s="7" t="s">
        <v>643</v>
      </c>
      <c r="I1322" s="7" t="s">
        <v>644</v>
      </c>
      <c r="J1322" s="7" t="s">
        <v>34</v>
      </c>
      <c r="K1322" s="7" t="s">
        <v>902</v>
      </c>
      <c r="L1322" s="10">
        <v>740.96</v>
      </c>
      <c r="M1322" s="10">
        <v>740.96</v>
      </c>
      <c r="N1322" s="10">
        <f>+L1322-M1322</f>
        <v>0</v>
      </c>
      <c r="O1322" s="10">
        <v>740.96</v>
      </c>
      <c r="P1322" s="10">
        <f>+L1322-O1322</f>
        <v>0</v>
      </c>
      <c r="Q1322" s="10">
        <v>0</v>
      </c>
      <c r="R1322" s="7" t="s">
        <v>27</v>
      </c>
    </row>
    <row r="1323" spans="1:18">
      <c r="A1323" s="7" t="s">
        <v>29</v>
      </c>
      <c r="B1323" s="8">
        <v>20621</v>
      </c>
      <c r="C1323" s="9">
        <v>45958.455034722218</v>
      </c>
      <c r="D1323" s="9">
        <v>45957</v>
      </c>
      <c r="E1323" s="9">
        <v>45964</v>
      </c>
      <c r="F1323" s="7" t="s">
        <v>4371</v>
      </c>
      <c r="G1323" s="7" t="s">
        <v>4372</v>
      </c>
      <c r="H1323" s="7" t="s">
        <v>1415</v>
      </c>
      <c r="I1323" s="7" t="s">
        <v>205</v>
      </c>
      <c r="J1323" s="7" t="s">
        <v>25</v>
      </c>
      <c r="K1323" s="7" t="s">
        <v>240</v>
      </c>
      <c r="L1323" s="10">
        <v>678</v>
      </c>
      <c r="M1323" s="10">
        <v>678</v>
      </c>
      <c r="N1323" s="10">
        <f>+L1323-M1323</f>
        <v>0</v>
      </c>
      <c r="O1323" s="10">
        <v>678</v>
      </c>
      <c r="P1323" s="10">
        <f>+L1323-O1323</f>
        <v>0</v>
      </c>
      <c r="Q1323" s="10">
        <v>0</v>
      </c>
      <c r="R1323" s="7" t="s">
        <v>27</v>
      </c>
    </row>
    <row r="1324" spans="1:18" hidden="1">
      <c r="A1324" s="7" t="s">
        <v>29</v>
      </c>
      <c r="B1324" s="8">
        <v>20346</v>
      </c>
      <c r="C1324" s="9">
        <v>45898.397060185183</v>
      </c>
      <c r="D1324" s="9">
        <v>45897</v>
      </c>
      <c r="E1324" s="9">
        <v>45897</v>
      </c>
      <c r="F1324" s="7" t="s">
        <v>4373</v>
      </c>
      <c r="G1324" s="7" t="s">
        <v>4374</v>
      </c>
      <c r="H1324" s="7" t="s">
        <v>4375</v>
      </c>
      <c r="I1324" s="7" t="s">
        <v>4376</v>
      </c>
      <c r="J1324" s="7" t="s">
        <v>176</v>
      </c>
      <c r="K1324" s="7" t="s">
        <v>360</v>
      </c>
      <c r="L1324" s="10">
        <v>738.46</v>
      </c>
      <c r="M1324" s="10">
        <v>738.46</v>
      </c>
      <c r="N1324" s="10">
        <f>+L1324-M1324</f>
        <v>0</v>
      </c>
      <c r="O1324" s="10">
        <v>738.46</v>
      </c>
      <c r="P1324" s="10">
        <f>+L1324-O1324</f>
        <v>0</v>
      </c>
      <c r="Q1324" s="10">
        <v>0</v>
      </c>
      <c r="R1324" s="7" t="s">
        <v>27</v>
      </c>
    </row>
    <row r="1325" spans="1:18" hidden="1">
      <c r="A1325" s="7" t="s">
        <v>29</v>
      </c>
      <c r="B1325" s="8">
        <v>20716</v>
      </c>
      <c r="C1325" s="9">
        <v>45982.682141203702</v>
      </c>
      <c r="D1325" s="9">
        <v>45982</v>
      </c>
      <c r="E1325" s="9">
        <v>45982</v>
      </c>
      <c r="F1325" s="7" t="s">
        <v>4377</v>
      </c>
      <c r="G1325" s="7" t="s">
        <v>4378</v>
      </c>
      <c r="H1325" s="7" t="s">
        <v>4379</v>
      </c>
      <c r="I1325" s="7" t="s">
        <v>4380</v>
      </c>
      <c r="J1325" s="7" t="s">
        <v>40</v>
      </c>
      <c r="K1325" s="7" t="s">
        <v>46</v>
      </c>
      <c r="L1325" s="10">
        <v>572.05999999999995</v>
      </c>
      <c r="M1325" s="10">
        <v>572.05999999999995</v>
      </c>
      <c r="N1325" s="10">
        <f>+L1325-M1325</f>
        <v>0</v>
      </c>
      <c r="O1325" s="10">
        <v>572.05999999999995</v>
      </c>
      <c r="P1325" s="10">
        <f>+L1325-O1325</f>
        <v>0</v>
      </c>
      <c r="Q1325" s="10">
        <v>0</v>
      </c>
      <c r="R1325" s="7" t="s">
        <v>27</v>
      </c>
    </row>
    <row r="1326" spans="1:18" hidden="1">
      <c r="A1326" s="7" t="s">
        <v>29</v>
      </c>
      <c r="B1326" s="8">
        <v>4217</v>
      </c>
      <c r="C1326" s="9">
        <v>45811.631608796291</v>
      </c>
      <c r="D1326" s="9">
        <v>45792</v>
      </c>
      <c r="E1326" s="9">
        <v>45790</v>
      </c>
      <c r="F1326" s="7" t="s">
        <v>4381</v>
      </c>
      <c r="G1326" s="7" t="s">
        <v>1940</v>
      </c>
      <c r="H1326" s="7" t="s">
        <v>4382</v>
      </c>
      <c r="I1326" s="7" t="s">
        <v>3170</v>
      </c>
      <c r="J1326" s="7" t="s">
        <v>25</v>
      </c>
      <c r="K1326" s="7" t="s">
        <v>125</v>
      </c>
      <c r="L1326" s="10">
        <v>663.54</v>
      </c>
      <c r="M1326" s="10">
        <v>663.54</v>
      </c>
      <c r="N1326" s="15">
        <f>+L1326-M1326</f>
        <v>0</v>
      </c>
      <c r="O1326" s="15">
        <v>663.54</v>
      </c>
      <c r="P1326" s="15">
        <f>+L1326-O1326</f>
        <v>0</v>
      </c>
      <c r="Q1326" s="10">
        <v>0</v>
      </c>
      <c r="R1326" s="7" t="s">
        <v>87</v>
      </c>
    </row>
    <row r="1327" spans="1:18" hidden="1">
      <c r="A1327" s="7" t="s">
        <v>29</v>
      </c>
      <c r="B1327" s="8">
        <v>19746</v>
      </c>
      <c r="C1327" s="9">
        <v>45776.677789351852</v>
      </c>
      <c r="D1327" s="9">
        <v>45766</v>
      </c>
      <c r="E1327" s="9">
        <v>45766</v>
      </c>
      <c r="F1327" s="7" t="s">
        <v>4383</v>
      </c>
      <c r="G1327" s="7" t="s">
        <v>4384</v>
      </c>
      <c r="H1327" s="7" t="s">
        <v>4385</v>
      </c>
      <c r="I1327" s="7" t="s">
        <v>4386</v>
      </c>
      <c r="J1327" s="7" t="s">
        <v>176</v>
      </c>
      <c r="K1327" s="7" t="s">
        <v>494</v>
      </c>
      <c r="L1327" s="10">
        <v>706.2</v>
      </c>
      <c r="M1327" s="10">
        <v>706.2</v>
      </c>
      <c r="N1327" s="10">
        <f>+L1327-M1327</f>
        <v>0</v>
      </c>
      <c r="O1327" s="10">
        <v>706.2</v>
      </c>
      <c r="P1327" s="10">
        <f>+L1327-O1327</f>
        <v>0</v>
      </c>
      <c r="Q1327" s="10">
        <v>0</v>
      </c>
      <c r="R1327" s="7" t="s">
        <v>27</v>
      </c>
    </row>
    <row r="1328" spans="1:18" hidden="1">
      <c r="A1328" s="7" t="s">
        <v>29</v>
      </c>
      <c r="B1328" s="8">
        <v>19995</v>
      </c>
      <c r="C1328" s="9">
        <v>45831.431342592594</v>
      </c>
      <c r="D1328" s="9">
        <v>45829</v>
      </c>
      <c r="E1328" s="9">
        <v>45829</v>
      </c>
      <c r="F1328" s="7" t="s">
        <v>4387</v>
      </c>
      <c r="G1328" s="7" t="s">
        <v>4388</v>
      </c>
      <c r="H1328" s="7" t="s">
        <v>4389</v>
      </c>
      <c r="I1328" s="7" t="s">
        <v>4390</v>
      </c>
      <c r="J1328" s="7" t="s">
        <v>176</v>
      </c>
      <c r="K1328" s="7" t="s">
        <v>494</v>
      </c>
      <c r="L1328" s="10">
        <v>706.2</v>
      </c>
      <c r="M1328" s="10">
        <v>706.2</v>
      </c>
      <c r="N1328" s="10">
        <f>+L1328-M1328</f>
        <v>0</v>
      </c>
      <c r="O1328" s="10">
        <v>706.2</v>
      </c>
      <c r="P1328" s="10">
        <f>+L1328-O1328</f>
        <v>0</v>
      </c>
      <c r="Q1328" s="10">
        <v>0</v>
      </c>
      <c r="R1328" s="7" t="s">
        <v>27</v>
      </c>
    </row>
    <row r="1329" spans="1:18" hidden="1">
      <c r="A1329" s="7" t="s">
        <v>29</v>
      </c>
      <c r="B1329" s="8">
        <v>4225</v>
      </c>
      <c r="C1329" s="9">
        <v>45820.692708333328</v>
      </c>
      <c r="D1329" s="9">
        <v>45812</v>
      </c>
      <c r="E1329" s="9">
        <v>45812</v>
      </c>
      <c r="F1329" s="7" t="s">
        <v>4391</v>
      </c>
      <c r="G1329" s="7" t="s">
        <v>1577</v>
      </c>
      <c r="H1329" s="7" t="s">
        <v>4382</v>
      </c>
      <c r="I1329" s="7" t="s">
        <v>3170</v>
      </c>
      <c r="J1329" s="7" t="s">
        <v>25</v>
      </c>
      <c r="K1329" s="7" t="s">
        <v>125</v>
      </c>
      <c r="L1329" s="10">
        <v>663.54</v>
      </c>
      <c r="M1329" s="10">
        <v>663.54</v>
      </c>
      <c r="N1329" s="15">
        <f>+L1329-M1329</f>
        <v>0</v>
      </c>
      <c r="O1329" s="15">
        <v>663.54</v>
      </c>
      <c r="P1329" s="15">
        <f>+L1329-O1329</f>
        <v>0</v>
      </c>
      <c r="Q1329" s="10">
        <v>0</v>
      </c>
      <c r="R1329" s="7" t="s">
        <v>87</v>
      </c>
    </row>
    <row r="1330" spans="1:18" hidden="1">
      <c r="A1330" s="7" t="s">
        <v>29</v>
      </c>
      <c r="B1330" s="8">
        <v>20955</v>
      </c>
      <c r="C1330" s="9">
        <v>46064.551956018513</v>
      </c>
      <c r="D1330" s="9">
        <v>46006</v>
      </c>
      <c r="E1330" s="9">
        <v>46062</v>
      </c>
      <c r="F1330" s="7" t="s">
        <v>4323</v>
      </c>
      <c r="G1330" s="7" t="s">
        <v>4392</v>
      </c>
      <c r="H1330" s="7" t="s">
        <v>4393</v>
      </c>
      <c r="I1330" s="7" t="s">
        <v>4326</v>
      </c>
      <c r="J1330" s="7" t="s">
        <v>176</v>
      </c>
      <c r="K1330" s="7" t="s">
        <v>360</v>
      </c>
      <c r="L1330" s="10">
        <v>699</v>
      </c>
      <c r="M1330" s="10">
        <v>699</v>
      </c>
      <c r="N1330" s="10">
        <f>+L1330-M1330</f>
        <v>0</v>
      </c>
      <c r="O1330" s="10">
        <v>699</v>
      </c>
      <c r="P1330" s="10">
        <f>+L1330-O1330</f>
        <v>0</v>
      </c>
      <c r="Q1330" s="10">
        <v>0</v>
      </c>
      <c r="R1330" s="7" t="s">
        <v>27</v>
      </c>
    </row>
    <row r="1331" spans="1:18" hidden="1">
      <c r="A1331" s="7" t="s">
        <v>29</v>
      </c>
      <c r="B1331" s="8">
        <v>20260</v>
      </c>
      <c r="C1331" s="9">
        <v>45877.612152777772</v>
      </c>
      <c r="D1331" s="9">
        <v>45873</v>
      </c>
      <c r="E1331" s="9">
        <v>45873</v>
      </c>
      <c r="F1331" s="7" t="s">
        <v>4394</v>
      </c>
      <c r="G1331" s="7" t="s">
        <v>4395</v>
      </c>
      <c r="H1331" s="7" t="s">
        <v>4396</v>
      </c>
      <c r="I1331" s="7" t="s">
        <v>4397</v>
      </c>
      <c r="J1331" s="7" t="s">
        <v>176</v>
      </c>
      <c r="K1331" s="7" t="s">
        <v>494</v>
      </c>
      <c r="L1331" s="10">
        <v>694</v>
      </c>
      <c r="M1331" s="10">
        <v>694</v>
      </c>
      <c r="N1331" s="10">
        <f>+L1331-M1331</f>
        <v>0</v>
      </c>
      <c r="O1331" s="10">
        <v>694</v>
      </c>
      <c r="P1331" s="10">
        <f>+L1331-O1331</f>
        <v>0</v>
      </c>
      <c r="Q1331" s="10">
        <v>0</v>
      </c>
      <c r="R1331" s="7" t="s">
        <v>27</v>
      </c>
    </row>
    <row r="1332" spans="1:18" hidden="1">
      <c r="A1332" s="7" t="s">
        <v>29</v>
      </c>
      <c r="B1332" s="8">
        <v>20650</v>
      </c>
      <c r="C1332" s="9">
        <v>45961.739918981482</v>
      </c>
      <c r="D1332" s="9">
        <v>45857</v>
      </c>
      <c r="E1332" s="9">
        <v>45961</v>
      </c>
      <c r="F1332" s="7" t="s">
        <v>4398</v>
      </c>
      <c r="G1332" s="7" t="s">
        <v>4399</v>
      </c>
      <c r="H1332" s="7" t="s">
        <v>4400</v>
      </c>
      <c r="I1332" s="7" t="s">
        <v>4401</v>
      </c>
      <c r="J1332" s="7" t="s">
        <v>176</v>
      </c>
      <c r="K1332" s="7" t="s">
        <v>494</v>
      </c>
      <c r="L1332" s="10">
        <v>694</v>
      </c>
      <c r="M1332" s="10">
        <v>694</v>
      </c>
      <c r="N1332" s="10">
        <f>+L1332-M1332</f>
        <v>0</v>
      </c>
      <c r="O1332" s="10">
        <v>694</v>
      </c>
      <c r="P1332" s="10">
        <f>+L1332-O1332</f>
        <v>0</v>
      </c>
      <c r="Q1332" s="10">
        <v>0</v>
      </c>
      <c r="R1332" s="7" t="s">
        <v>27</v>
      </c>
    </row>
    <row r="1333" spans="1:18" hidden="1">
      <c r="A1333" s="7" t="s">
        <v>29</v>
      </c>
      <c r="B1333" s="8">
        <v>20649</v>
      </c>
      <c r="C1333" s="9">
        <v>45961.735289351847</v>
      </c>
      <c r="D1333" s="9">
        <v>45855</v>
      </c>
      <c r="E1333" s="9">
        <v>45961</v>
      </c>
      <c r="F1333" s="7" t="s">
        <v>4402</v>
      </c>
      <c r="G1333" s="7" t="s">
        <v>4403</v>
      </c>
      <c r="H1333" s="7" t="s">
        <v>4404</v>
      </c>
      <c r="I1333" s="7" t="s">
        <v>4405</v>
      </c>
      <c r="J1333" s="7" t="s">
        <v>176</v>
      </c>
      <c r="K1333" s="7" t="s">
        <v>360</v>
      </c>
      <c r="L1333" s="10">
        <v>694</v>
      </c>
      <c r="M1333" s="10">
        <v>694</v>
      </c>
      <c r="N1333" s="10">
        <f>+L1333-M1333</f>
        <v>0</v>
      </c>
      <c r="O1333" s="10">
        <v>694</v>
      </c>
      <c r="P1333" s="10">
        <f>+L1333-O1333</f>
        <v>0</v>
      </c>
      <c r="Q1333" s="10">
        <v>0</v>
      </c>
      <c r="R1333" s="7" t="s">
        <v>27</v>
      </c>
    </row>
    <row r="1334" spans="1:18" hidden="1">
      <c r="A1334" s="7" t="s">
        <v>29</v>
      </c>
      <c r="B1334" s="8">
        <v>19964</v>
      </c>
      <c r="C1334" s="9">
        <v>45821.730949074074</v>
      </c>
      <c r="D1334" s="9">
        <v>45821</v>
      </c>
      <c r="E1334" s="9">
        <v>45821</v>
      </c>
      <c r="F1334" s="7" t="s">
        <v>4406</v>
      </c>
      <c r="G1334" s="7" t="s">
        <v>4407</v>
      </c>
      <c r="H1334" s="7" t="s">
        <v>4408</v>
      </c>
      <c r="I1334" s="7" t="s">
        <v>4409</v>
      </c>
      <c r="J1334" s="7" t="s">
        <v>176</v>
      </c>
      <c r="K1334" s="7" t="s">
        <v>494</v>
      </c>
      <c r="L1334" s="10">
        <v>694</v>
      </c>
      <c r="M1334" s="10">
        <v>694</v>
      </c>
      <c r="N1334" s="10">
        <f>+L1334-M1334</f>
        <v>0</v>
      </c>
      <c r="O1334" s="10">
        <v>694</v>
      </c>
      <c r="P1334" s="10">
        <f>+L1334-O1334</f>
        <v>0</v>
      </c>
      <c r="Q1334" s="10">
        <v>0</v>
      </c>
      <c r="R1334" s="7" t="s">
        <v>27</v>
      </c>
    </row>
    <row r="1335" spans="1:18">
      <c r="A1335" s="7" t="s">
        <v>29</v>
      </c>
      <c r="B1335" s="8">
        <v>19731</v>
      </c>
      <c r="C1335" s="9">
        <v>45776.455521331016</v>
      </c>
      <c r="D1335" s="9">
        <v>45777</v>
      </c>
      <c r="E1335" s="9">
        <v>45777</v>
      </c>
      <c r="F1335" s="7" t="s">
        <v>4410</v>
      </c>
      <c r="G1335" s="7" t="s">
        <v>4411</v>
      </c>
      <c r="H1335" s="7" t="s">
        <v>955</v>
      </c>
      <c r="I1335" s="7" t="s">
        <v>435</v>
      </c>
      <c r="J1335" s="7" t="s">
        <v>25</v>
      </c>
      <c r="K1335" s="7" t="s">
        <v>26</v>
      </c>
      <c r="L1335" s="10">
        <v>659.92</v>
      </c>
      <c r="M1335" s="10">
        <v>659.92</v>
      </c>
      <c r="N1335" s="10">
        <f>+L1335-M1335</f>
        <v>0</v>
      </c>
      <c r="O1335" s="10">
        <v>659.92</v>
      </c>
      <c r="P1335" s="10">
        <f>+L1335-O1335</f>
        <v>0</v>
      </c>
      <c r="Q1335" s="10">
        <v>0</v>
      </c>
      <c r="R1335" s="7" t="s">
        <v>27</v>
      </c>
    </row>
    <row r="1336" spans="1:18" hidden="1">
      <c r="A1336" s="7" t="s">
        <v>29</v>
      </c>
      <c r="B1336" s="8">
        <v>19785</v>
      </c>
      <c r="C1336" s="9">
        <v>45785.69054398148</v>
      </c>
      <c r="D1336" s="9">
        <v>45816</v>
      </c>
      <c r="E1336" s="9">
        <v>45816</v>
      </c>
      <c r="F1336" s="7" t="s">
        <v>4412</v>
      </c>
      <c r="G1336" s="7" t="s">
        <v>4413</v>
      </c>
      <c r="H1336" s="7" t="s">
        <v>4414</v>
      </c>
      <c r="I1336" s="7" t="s">
        <v>4412</v>
      </c>
      <c r="J1336" s="7" t="s">
        <v>40</v>
      </c>
      <c r="K1336" s="7" t="s">
        <v>1784</v>
      </c>
      <c r="L1336" s="10">
        <v>565</v>
      </c>
      <c r="M1336" s="10">
        <v>565</v>
      </c>
      <c r="N1336" s="10">
        <f>+L1336-M1336</f>
        <v>0</v>
      </c>
      <c r="O1336" s="10">
        <v>565</v>
      </c>
      <c r="P1336" s="10">
        <f>+L1336-O1336</f>
        <v>0</v>
      </c>
      <c r="Q1336" s="10">
        <v>0</v>
      </c>
      <c r="R1336" s="7" t="s">
        <v>27</v>
      </c>
    </row>
    <row r="1337" spans="1:18" hidden="1">
      <c r="A1337" s="7" t="s">
        <v>29</v>
      </c>
      <c r="B1337" s="8">
        <v>4253</v>
      </c>
      <c r="C1337" s="9">
        <v>45904.396053240736</v>
      </c>
      <c r="D1337" s="9">
        <v>45897</v>
      </c>
      <c r="E1337" s="9">
        <v>45991</v>
      </c>
      <c r="F1337" s="7" t="s">
        <v>4415</v>
      </c>
      <c r="G1337" s="7" t="s">
        <v>1056</v>
      </c>
      <c r="H1337" s="7" t="s">
        <v>4416</v>
      </c>
      <c r="I1337" s="7" t="s">
        <v>1734</v>
      </c>
      <c r="J1337" s="7" t="s">
        <v>25</v>
      </c>
      <c r="K1337" s="7" t="s">
        <v>125</v>
      </c>
      <c r="L1337" s="10">
        <v>625</v>
      </c>
      <c r="M1337" s="10">
        <v>625</v>
      </c>
      <c r="N1337" s="15">
        <f>+L1337-M1337</f>
        <v>0</v>
      </c>
      <c r="O1337" s="15">
        <v>625</v>
      </c>
      <c r="P1337" s="15">
        <f>+L1337-O1337</f>
        <v>0</v>
      </c>
      <c r="Q1337" s="10">
        <v>0</v>
      </c>
      <c r="R1337" s="7" t="s">
        <v>87</v>
      </c>
    </row>
    <row r="1338" spans="1:18" hidden="1">
      <c r="A1338" s="7" t="s">
        <v>29</v>
      </c>
      <c r="B1338" s="8">
        <v>4155</v>
      </c>
      <c r="C1338" s="9">
        <v>45688.661736111106</v>
      </c>
      <c r="D1338" s="9">
        <v>45678</v>
      </c>
      <c r="E1338" s="9">
        <v>45678</v>
      </c>
      <c r="F1338" s="7" t="s">
        <v>4417</v>
      </c>
      <c r="G1338" s="7" t="s">
        <v>4418</v>
      </c>
      <c r="H1338" s="7" t="s">
        <v>4419</v>
      </c>
      <c r="I1338" s="7" t="s">
        <v>4420</v>
      </c>
      <c r="J1338" s="7" t="s">
        <v>25</v>
      </c>
      <c r="K1338" s="7" t="s">
        <v>125</v>
      </c>
      <c r="L1338" s="10">
        <v>621.5</v>
      </c>
      <c r="M1338" s="10">
        <v>621.5</v>
      </c>
      <c r="N1338" s="15">
        <f>+L1338-M1338</f>
        <v>0</v>
      </c>
      <c r="O1338" s="15">
        <v>621.5</v>
      </c>
      <c r="P1338" s="15">
        <f>+L1338-O1338</f>
        <v>0</v>
      </c>
      <c r="Q1338" s="10">
        <v>0</v>
      </c>
      <c r="R1338" s="7" t="s">
        <v>87</v>
      </c>
    </row>
    <row r="1339" spans="1:18" hidden="1">
      <c r="A1339" s="7" t="s">
        <v>29</v>
      </c>
      <c r="B1339" s="8">
        <v>20149</v>
      </c>
      <c r="C1339" s="9">
        <v>45853.616898148146</v>
      </c>
      <c r="D1339" s="9">
        <v>45853</v>
      </c>
      <c r="E1339" s="9">
        <v>45945</v>
      </c>
      <c r="F1339" s="7" t="s">
        <v>4421</v>
      </c>
      <c r="G1339" s="7" t="s">
        <v>4422</v>
      </c>
      <c r="H1339" s="7" t="s">
        <v>4423</v>
      </c>
      <c r="I1339" s="7" t="s">
        <v>4424</v>
      </c>
      <c r="J1339" s="7" t="s">
        <v>34</v>
      </c>
      <c r="K1339" s="7" t="s">
        <v>118</v>
      </c>
      <c r="L1339" s="10">
        <v>677.52</v>
      </c>
      <c r="M1339" s="10">
        <v>677.52</v>
      </c>
      <c r="N1339" s="10">
        <f>+L1339-M1339</f>
        <v>0</v>
      </c>
      <c r="O1339" s="10">
        <v>677.52</v>
      </c>
      <c r="P1339" s="10">
        <f>+L1339-O1339</f>
        <v>0</v>
      </c>
      <c r="Q1339" s="10">
        <v>0</v>
      </c>
      <c r="R1339" s="7" t="s">
        <v>27</v>
      </c>
    </row>
    <row r="1340" spans="1:18" hidden="1">
      <c r="A1340" s="7" t="s">
        <v>29</v>
      </c>
      <c r="B1340" s="8">
        <v>20205</v>
      </c>
      <c r="C1340" s="9">
        <v>45869.358194444445</v>
      </c>
      <c r="D1340" s="9">
        <v>45869</v>
      </c>
      <c r="E1340" s="9">
        <v>45898</v>
      </c>
      <c r="F1340" s="7" t="s">
        <v>4425</v>
      </c>
      <c r="G1340" s="7" t="s">
        <v>4426</v>
      </c>
      <c r="H1340" s="7" t="s">
        <v>1379</v>
      </c>
      <c r="I1340" s="7" t="s">
        <v>1380</v>
      </c>
      <c r="J1340" s="7" t="s">
        <v>34</v>
      </c>
      <c r="K1340" s="7" t="s">
        <v>118</v>
      </c>
      <c r="L1340" s="10">
        <v>662.35</v>
      </c>
      <c r="M1340" s="10">
        <v>662.35</v>
      </c>
      <c r="N1340" s="10">
        <f>+L1340-M1340</f>
        <v>0</v>
      </c>
      <c r="O1340" s="10">
        <v>662.35</v>
      </c>
      <c r="P1340" s="10">
        <f>+L1340-O1340</f>
        <v>0</v>
      </c>
      <c r="Q1340" s="10">
        <v>0</v>
      </c>
      <c r="R1340" s="7" t="s">
        <v>27</v>
      </c>
    </row>
    <row r="1341" spans="1:18">
      <c r="A1341" s="7" t="s">
        <v>29</v>
      </c>
      <c r="B1341" s="8">
        <v>20028</v>
      </c>
      <c r="C1341" s="9">
        <v>45834.410428240742</v>
      </c>
      <c r="D1341" s="9">
        <v>45838</v>
      </c>
      <c r="E1341" s="9">
        <v>45838</v>
      </c>
      <c r="F1341" s="7" t="s">
        <v>4427</v>
      </c>
      <c r="G1341" s="7" t="s">
        <v>4428</v>
      </c>
      <c r="H1341" s="7" t="s">
        <v>3773</v>
      </c>
      <c r="I1341" s="7" t="s">
        <v>3774</v>
      </c>
      <c r="J1341" s="7" t="s">
        <v>25</v>
      </c>
      <c r="K1341" s="7" t="s">
        <v>537</v>
      </c>
      <c r="L1341" s="10">
        <v>616.16</v>
      </c>
      <c r="M1341" s="10">
        <v>616.16</v>
      </c>
      <c r="N1341" s="10">
        <f>+L1341-M1341</f>
        <v>0</v>
      </c>
      <c r="O1341" s="10">
        <v>616.16</v>
      </c>
      <c r="P1341" s="10">
        <f>+L1341-O1341</f>
        <v>0</v>
      </c>
      <c r="Q1341" s="10">
        <v>0</v>
      </c>
      <c r="R1341" s="7" t="s">
        <v>27</v>
      </c>
    </row>
    <row r="1342" spans="1:18" hidden="1">
      <c r="A1342" s="7" t="s">
        <v>29</v>
      </c>
      <c r="B1342" s="8">
        <v>19697</v>
      </c>
      <c r="C1342" s="9">
        <v>45769.691076388888</v>
      </c>
      <c r="D1342" s="9">
        <v>45769</v>
      </c>
      <c r="E1342" s="9">
        <v>45769</v>
      </c>
      <c r="F1342" s="7" t="s">
        <v>4429</v>
      </c>
      <c r="G1342" s="7" t="s">
        <v>4430</v>
      </c>
      <c r="H1342" s="7" t="s">
        <v>4431</v>
      </c>
      <c r="I1342" s="7" t="s">
        <v>4432</v>
      </c>
      <c r="J1342" s="7" t="s">
        <v>40</v>
      </c>
      <c r="K1342" s="7" t="s">
        <v>355</v>
      </c>
      <c r="L1342" s="10">
        <v>531</v>
      </c>
      <c r="M1342" s="10">
        <v>531</v>
      </c>
      <c r="N1342" s="10">
        <f>+L1342-M1342</f>
        <v>0</v>
      </c>
      <c r="O1342" s="10">
        <v>531</v>
      </c>
      <c r="P1342" s="10">
        <f>+L1342-O1342</f>
        <v>0</v>
      </c>
      <c r="Q1342" s="10">
        <v>0</v>
      </c>
      <c r="R1342" s="7" t="s">
        <v>27</v>
      </c>
    </row>
    <row r="1343" spans="1:18" hidden="1">
      <c r="A1343" s="7" t="s">
        <v>29</v>
      </c>
      <c r="B1343" s="8">
        <v>19926</v>
      </c>
      <c r="C1343" s="9">
        <v>45813.399606481478</v>
      </c>
      <c r="D1343" s="9">
        <v>45812</v>
      </c>
      <c r="E1343" s="9">
        <v>45812</v>
      </c>
      <c r="F1343" s="7" t="s">
        <v>4433</v>
      </c>
      <c r="G1343" s="7" t="s">
        <v>4434</v>
      </c>
      <c r="H1343" s="7" t="s">
        <v>4435</v>
      </c>
      <c r="I1343" s="7" t="s">
        <v>4436</v>
      </c>
      <c r="J1343" s="7" t="s">
        <v>176</v>
      </c>
      <c r="K1343" s="7" t="s">
        <v>494</v>
      </c>
      <c r="L1343" s="10">
        <v>657</v>
      </c>
      <c r="M1343" s="10">
        <v>657</v>
      </c>
      <c r="N1343" s="10">
        <f>+L1343-M1343</f>
        <v>0</v>
      </c>
      <c r="O1343" s="10">
        <v>657</v>
      </c>
      <c r="P1343" s="10">
        <f>+L1343-O1343</f>
        <v>0</v>
      </c>
      <c r="Q1343" s="10">
        <v>0</v>
      </c>
      <c r="R1343" s="7" t="s">
        <v>27</v>
      </c>
    </row>
    <row r="1344" spans="1:18" hidden="1">
      <c r="A1344" s="7" t="s">
        <v>29</v>
      </c>
      <c r="B1344" s="8">
        <v>20895</v>
      </c>
      <c r="C1344" s="9">
        <v>46043.670810185184</v>
      </c>
      <c r="D1344" s="9">
        <v>46042</v>
      </c>
      <c r="E1344" s="9">
        <v>46043</v>
      </c>
      <c r="F1344" s="7" t="s">
        <v>4437</v>
      </c>
      <c r="G1344" s="7" t="s">
        <v>4438</v>
      </c>
      <c r="H1344" s="7" t="s">
        <v>4439</v>
      </c>
      <c r="I1344" s="7" t="s">
        <v>4440</v>
      </c>
      <c r="J1344" s="7" t="s">
        <v>176</v>
      </c>
      <c r="K1344" s="7" t="s">
        <v>360</v>
      </c>
      <c r="L1344" s="10">
        <v>657</v>
      </c>
      <c r="M1344" s="10">
        <v>657</v>
      </c>
      <c r="N1344" s="10">
        <f>+L1344-M1344</f>
        <v>0</v>
      </c>
      <c r="O1344" s="10">
        <v>657</v>
      </c>
      <c r="P1344" s="10">
        <f>+L1344-O1344</f>
        <v>0</v>
      </c>
      <c r="Q1344" s="10">
        <v>0</v>
      </c>
      <c r="R1344" s="7" t="s">
        <v>27</v>
      </c>
    </row>
    <row r="1345" spans="1:18" hidden="1">
      <c r="A1345" s="7" t="s">
        <v>29</v>
      </c>
      <c r="B1345" s="8">
        <v>20000</v>
      </c>
      <c r="C1345" s="9">
        <v>45831.58253472222</v>
      </c>
      <c r="D1345" s="9">
        <v>45838</v>
      </c>
      <c r="E1345" s="9">
        <v>45831</v>
      </c>
      <c r="F1345" s="7" t="s">
        <v>4441</v>
      </c>
      <c r="G1345" s="7" t="s">
        <v>4442</v>
      </c>
      <c r="H1345" s="7" t="s">
        <v>2944</v>
      </c>
      <c r="I1345" s="7" t="s">
        <v>2945</v>
      </c>
      <c r="J1345" s="7" t="s">
        <v>34</v>
      </c>
      <c r="K1345" s="7" t="s">
        <v>269</v>
      </c>
      <c r="L1345" s="10">
        <v>643.13</v>
      </c>
      <c r="M1345" s="10">
        <v>643.13</v>
      </c>
      <c r="N1345" s="10">
        <f>+L1345-M1345</f>
        <v>0</v>
      </c>
      <c r="O1345" s="10">
        <v>643.13</v>
      </c>
      <c r="P1345" s="10">
        <f>+L1345-O1345</f>
        <v>0</v>
      </c>
      <c r="Q1345" s="10">
        <v>0</v>
      </c>
      <c r="R1345" s="7" t="s">
        <v>27</v>
      </c>
    </row>
    <row r="1346" spans="1:18" hidden="1">
      <c r="A1346" s="7" t="s">
        <v>29</v>
      </c>
      <c r="B1346" s="8">
        <v>20311</v>
      </c>
      <c r="C1346" s="9">
        <v>45891.407442129625</v>
      </c>
      <c r="D1346" s="9">
        <v>45863</v>
      </c>
      <c r="E1346" s="9">
        <v>45835</v>
      </c>
      <c r="F1346" s="7" t="s">
        <v>4443</v>
      </c>
      <c r="G1346" s="7" t="s">
        <v>4444</v>
      </c>
      <c r="H1346" s="7" t="s">
        <v>2546</v>
      </c>
      <c r="I1346" s="7" t="s">
        <v>2547</v>
      </c>
      <c r="J1346" s="7" t="s">
        <v>176</v>
      </c>
      <c r="K1346" s="7" t="s">
        <v>317</v>
      </c>
      <c r="L1346" s="10">
        <v>630</v>
      </c>
      <c r="M1346" s="10">
        <v>630</v>
      </c>
      <c r="N1346" s="10">
        <f>+L1346-M1346</f>
        <v>0</v>
      </c>
      <c r="O1346" s="10">
        <v>630</v>
      </c>
      <c r="P1346" s="10">
        <f>+L1346-O1346</f>
        <v>0</v>
      </c>
      <c r="Q1346" s="10">
        <v>0</v>
      </c>
      <c r="R1346" s="7" t="s">
        <v>27</v>
      </c>
    </row>
    <row r="1347" spans="1:18" hidden="1">
      <c r="A1347" s="7" t="s">
        <v>29</v>
      </c>
      <c r="B1347" s="8">
        <v>19570</v>
      </c>
      <c r="C1347" s="9">
        <v>45742.620462962965</v>
      </c>
      <c r="D1347" s="9">
        <v>45719</v>
      </c>
      <c r="E1347" s="9">
        <v>45719</v>
      </c>
      <c r="F1347" s="7" t="s">
        <v>4445</v>
      </c>
      <c r="G1347" s="7" t="s">
        <v>4446</v>
      </c>
      <c r="H1347" s="7" t="s">
        <v>4447</v>
      </c>
      <c r="I1347" s="7" t="s">
        <v>4448</v>
      </c>
      <c r="J1347" s="7" t="s">
        <v>176</v>
      </c>
      <c r="K1347" s="7" t="s">
        <v>494</v>
      </c>
      <c r="L1347" s="10">
        <v>630</v>
      </c>
      <c r="M1347" s="10">
        <v>630</v>
      </c>
      <c r="N1347" s="10">
        <f>+L1347-M1347</f>
        <v>0</v>
      </c>
      <c r="O1347" s="10">
        <v>630</v>
      </c>
      <c r="P1347" s="10">
        <f>+L1347-O1347</f>
        <v>0</v>
      </c>
      <c r="Q1347" s="10">
        <v>0</v>
      </c>
      <c r="R1347" s="7" t="s">
        <v>27</v>
      </c>
    </row>
    <row r="1348" spans="1:18" hidden="1">
      <c r="A1348" s="7" t="s">
        <v>29</v>
      </c>
      <c r="B1348" s="8">
        <v>19769</v>
      </c>
      <c r="C1348" s="9">
        <v>45782.460555555554</v>
      </c>
      <c r="D1348" s="9">
        <v>45780</v>
      </c>
      <c r="E1348" s="9">
        <v>45780</v>
      </c>
      <c r="F1348" s="7" t="s">
        <v>4449</v>
      </c>
      <c r="G1348" s="7" t="s">
        <v>4450</v>
      </c>
      <c r="H1348" s="7" t="s">
        <v>4451</v>
      </c>
      <c r="I1348" s="7" t="s">
        <v>4452</v>
      </c>
      <c r="J1348" s="7" t="s">
        <v>176</v>
      </c>
      <c r="K1348" s="7" t="s">
        <v>494</v>
      </c>
      <c r="L1348" s="10">
        <v>630</v>
      </c>
      <c r="M1348" s="10">
        <v>630</v>
      </c>
      <c r="N1348" s="10">
        <f>+L1348-M1348</f>
        <v>0</v>
      </c>
      <c r="O1348" s="10">
        <v>630</v>
      </c>
      <c r="P1348" s="10">
        <f>+L1348-O1348</f>
        <v>0</v>
      </c>
      <c r="Q1348" s="10">
        <v>0</v>
      </c>
      <c r="R1348" s="7" t="s">
        <v>27</v>
      </c>
    </row>
    <row r="1349" spans="1:18" hidden="1">
      <c r="A1349" s="7" t="s">
        <v>29</v>
      </c>
      <c r="B1349" s="8">
        <v>20295</v>
      </c>
      <c r="C1349" s="9">
        <v>45888.424895833334</v>
      </c>
      <c r="D1349" s="9">
        <v>45887</v>
      </c>
      <c r="E1349" s="9">
        <v>45887</v>
      </c>
      <c r="F1349" s="7" t="s">
        <v>4453</v>
      </c>
      <c r="G1349" s="7" t="s">
        <v>4454</v>
      </c>
      <c r="H1349" s="7" t="s">
        <v>3568</v>
      </c>
      <c r="I1349" s="7" t="s">
        <v>3569</v>
      </c>
      <c r="J1349" s="7" t="s">
        <v>176</v>
      </c>
      <c r="K1349" s="7" t="s">
        <v>360</v>
      </c>
      <c r="L1349" s="10">
        <v>620.42999999999995</v>
      </c>
      <c r="M1349" s="10">
        <v>620.42999999999995</v>
      </c>
      <c r="N1349" s="10">
        <f>+L1349-M1349</f>
        <v>0</v>
      </c>
      <c r="O1349" s="10">
        <v>620.42999999999995</v>
      </c>
      <c r="P1349" s="10">
        <f>+L1349-O1349</f>
        <v>0</v>
      </c>
      <c r="Q1349" s="10">
        <v>0</v>
      </c>
      <c r="R1349" s="7" t="s">
        <v>27</v>
      </c>
    </row>
    <row r="1350" spans="1:18" hidden="1">
      <c r="A1350" s="7" t="s">
        <v>29</v>
      </c>
      <c r="B1350" s="8">
        <v>4215</v>
      </c>
      <c r="C1350" s="9">
        <v>45806.483599537038</v>
      </c>
      <c r="D1350" s="9">
        <v>45804</v>
      </c>
      <c r="E1350" s="9">
        <v>45810</v>
      </c>
      <c r="F1350" s="7" t="s">
        <v>4455</v>
      </c>
      <c r="G1350" s="7" t="s">
        <v>3216</v>
      </c>
      <c r="H1350" s="7" t="s">
        <v>1111</v>
      </c>
      <c r="I1350" s="7" t="s">
        <v>1112</v>
      </c>
      <c r="J1350" s="7" t="s">
        <v>25</v>
      </c>
      <c r="K1350" s="7" t="s">
        <v>86</v>
      </c>
      <c r="L1350" s="10">
        <v>605</v>
      </c>
      <c r="M1350" s="10">
        <v>605</v>
      </c>
      <c r="N1350" s="15">
        <f>+L1350-M1350</f>
        <v>0</v>
      </c>
      <c r="O1350" s="15">
        <v>605</v>
      </c>
      <c r="P1350" s="15">
        <f>+L1350-O1350</f>
        <v>0</v>
      </c>
      <c r="Q1350" s="10">
        <v>0</v>
      </c>
      <c r="R1350" s="7" t="s">
        <v>87</v>
      </c>
    </row>
    <row r="1351" spans="1:18" hidden="1">
      <c r="A1351" s="7" t="s">
        <v>29</v>
      </c>
      <c r="B1351" s="8">
        <v>4201</v>
      </c>
      <c r="C1351" s="9">
        <v>45784.443923611107</v>
      </c>
      <c r="D1351" s="9">
        <v>45775</v>
      </c>
      <c r="E1351" s="9">
        <v>45884</v>
      </c>
      <c r="F1351" s="7" t="s">
        <v>4456</v>
      </c>
      <c r="G1351" s="7" t="s">
        <v>4457</v>
      </c>
      <c r="H1351" s="7" t="s">
        <v>4416</v>
      </c>
      <c r="I1351" s="7" t="s">
        <v>1734</v>
      </c>
      <c r="J1351" s="7" t="s">
        <v>25</v>
      </c>
      <c r="K1351" s="7" t="s">
        <v>125</v>
      </c>
      <c r="L1351" s="10">
        <v>601.22</v>
      </c>
      <c r="M1351" s="10">
        <v>601.22</v>
      </c>
      <c r="N1351" s="15">
        <f>+L1351-M1351</f>
        <v>0</v>
      </c>
      <c r="O1351" s="15">
        <v>601.22</v>
      </c>
      <c r="P1351" s="15">
        <f>+L1351-O1351</f>
        <v>0</v>
      </c>
      <c r="Q1351" s="10">
        <v>0</v>
      </c>
      <c r="R1351" s="7" t="s">
        <v>87</v>
      </c>
    </row>
    <row r="1352" spans="1:18" hidden="1">
      <c r="A1352" s="7" t="s">
        <v>29</v>
      </c>
      <c r="B1352" s="8">
        <v>19865</v>
      </c>
      <c r="C1352" s="9">
        <v>45804.400671296295</v>
      </c>
      <c r="D1352" s="9">
        <v>45800</v>
      </c>
      <c r="E1352" s="9">
        <v>45800</v>
      </c>
      <c r="F1352" s="7" t="s">
        <v>4458</v>
      </c>
      <c r="G1352" s="7" t="s">
        <v>4459</v>
      </c>
      <c r="H1352" s="7" t="s">
        <v>4460</v>
      </c>
      <c r="I1352" s="7" t="s">
        <v>4461</v>
      </c>
      <c r="J1352" s="7" t="s">
        <v>176</v>
      </c>
      <c r="K1352" s="7" t="s">
        <v>494</v>
      </c>
      <c r="L1352" s="10">
        <v>616.5</v>
      </c>
      <c r="M1352" s="10">
        <v>616.5</v>
      </c>
      <c r="N1352" s="10">
        <f>+L1352-M1352</f>
        <v>0</v>
      </c>
      <c r="O1352" s="10">
        <v>616.5</v>
      </c>
      <c r="P1352" s="10">
        <f>+L1352-O1352</f>
        <v>0</v>
      </c>
      <c r="Q1352" s="10">
        <v>0</v>
      </c>
      <c r="R1352" s="7" t="s">
        <v>27</v>
      </c>
    </row>
    <row r="1353" spans="1:18">
      <c r="A1353" s="7" t="s">
        <v>29</v>
      </c>
      <c r="B1353" s="8">
        <v>19897</v>
      </c>
      <c r="C1353" s="9">
        <v>45810.360833333332</v>
      </c>
      <c r="D1353" s="9">
        <v>45807</v>
      </c>
      <c r="E1353" s="9">
        <v>45838</v>
      </c>
      <c r="F1353" s="7" t="s">
        <v>4462</v>
      </c>
      <c r="G1353" s="7" t="s">
        <v>4463</v>
      </c>
      <c r="H1353" s="7" t="s">
        <v>1161</v>
      </c>
      <c r="I1353" s="7" t="s">
        <v>1162</v>
      </c>
      <c r="J1353" s="7" t="s">
        <v>25</v>
      </c>
      <c r="K1353" s="7" t="s">
        <v>55</v>
      </c>
      <c r="L1353" s="10">
        <v>601.19000000000005</v>
      </c>
      <c r="M1353" s="10">
        <v>601.19000000000005</v>
      </c>
      <c r="N1353" s="10">
        <f>+L1353-M1353</f>
        <v>0</v>
      </c>
      <c r="O1353" s="10">
        <v>601.19000000000005</v>
      </c>
      <c r="P1353" s="10">
        <f>+L1353-O1353</f>
        <v>0</v>
      </c>
      <c r="Q1353" s="10">
        <v>0</v>
      </c>
      <c r="R1353" s="7" t="s">
        <v>27</v>
      </c>
    </row>
    <row r="1354" spans="1:18" hidden="1">
      <c r="A1354" s="7" t="s">
        <v>29</v>
      </c>
      <c r="B1354" s="8">
        <v>19578</v>
      </c>
      <c r="C1354" s="9">
        <v>45743.588946759257</v>
      </c>
      <c r="D1354" s="9">
        <v>45743</v>
      </c>
      <c r="E1354" s="9">
        <v>45740</v>
      </c>
      <c r="F1354" s="7" t="s">
        <v>4464</v>
      </c>
      <c r="G1354" s="7" t="s">
        <v>4465</v>
      </c>
      <c r="H1354" s="7" t="s">
        <v>4466</v>
      </c>
      <c r="I1354" s="7" t="s">
        <v>4467</v>
      </c>
      <c r="J1354" s="7" t="s">
        <v>34</v>
      </c>
      <c r="K1354" s="7" t="s">
        <v>902</v>
      </c>
      <c r="L1354" s="10">
        <v>608.84</v>
      </c>
      <c r="M1354" s="10">
        <v>608.84</v>
      </c>
      <c r="N1354" s="10">
        <f>+L1354-M1354</f>
        <v>0</v>
      </c>
      <c r="O1354" s="10">
        <v>608.84</v>
      </c>
      <c r="P1354" s="10">
        <f>+L1354-O1354</f>
        <v>0</v>
      </c>
      <c r="Q1354" s="10">
        <v>0</v>
      </c>
      <c r="R1354" s="7" t="s">
        <v>27</v>
      </c>
    </row>
    <row r="1355" spans="1:18" hidden="1">
      <c r="A1355" s="7" t="s">
        <v>29</v>
      </c>
      <c r="B1355" s="8">
        <v>20109</v>
      </c>
      <c r="C1355" s="9">
        <v>45845.660069444442</v>
      </c>
      <c r="D1355" s="9">
        <v>45845</v>
      </c>
      <c r="E1355" s="9">
        <v>45845</v>
      </c>
      <c r="F1355" s="7" t="s">
        <v>4468</v>
      </c>
      <c r="G1355" s="7" t="s">
        <v>4469</v>
      </c>
      <c r="H1355" s="7" t="s">
        <v>4470</v>
      </c>
      <c r="I1355" s="7" t="s">
        <v>4471</v>
      </c>
      <c r="J1355" s="7" t="s">
        <v>176</v>
      </c>
      <c r="K1355" s="7" t="s">
        <v>494</v>
      </c>
      <c r="L1355" s="10">
        <v>607.63</v>
      </c>
      <c r="M1355" s="10">
        <v>607.63</v>
      </c>
      <c r="N1355" s="10">
        <f>+L1355-M1355</f>
        <v>0</v>
      </c>
      <c r="O1355" s="10">
        <v>607.63</v>
      </c>
      <c r="P1355" s="10">
        <f>+L1355-O1355</f>
        <v>0</v>
      </c>
      <c r="Q1355" s="10">
        <v>0</v>
      </c>
      <c r="R1355" s="7" t="s">
        <v>27</v>
      </c>
    </row>
    <row r="1356" spans="1:18" hidden="1">
      <c r="A1356" s="7" t="s">
        <v>29</v>
      </c>
      <c r="B1356" s="8">
        <v>20434</v>
      </c>
      <c r="C1356" s="9">
        <v>45911.415231481478</v>
      </c>
      <c r="D1356" s="9">
        <v>45909</v>
      </c>
      <c r="E1356" s="9">
        <v>45909</v>
      </c>
      <c r="F1356" s="7" t="s">
        <v>4472</v>
      </c>
      <c r="G1356" s="7" t="s">
        <v>4473</v>
      </c>
      <c r="H1356" s="7" t="s">
        <v>4474</v>
      </c>
      <c r="I1356" s="7" t="s">
        <v>4475</v>
      </c>
      <c r="J1356" s="7" t="s">
        <v>176</v>
      </c>
      <c r="K1356" s="7" t="s">
        <v>360</v>
      </c>
      <c r="L1356" s="10">
        <v>602</v>
      </c>
      <c r="M1356" s="10">
        <v>602</v>
      </c>
      <c r="N1356" s="10">
        <f>+L1356-M1356</f>
        <v>0</v>
      </c>
      <c r="O1356" s="10">
        <v>602</v>
      </c>
      <c r="P1356" s="10">
        <f>+L1356-O1356</f>
        <v>0</v>
      </c>
      <c r="Q1356" s="10">
        <v>0</v>
      </c>
      <c r="R1356" s="7" t="s">
        <v>27</v>
      </c>
    </row>
    <row r="1357" spans="1:18" hidden="1">
      <c r="A1357" s="7" t="s">
        <v>29</v>
      </c>
      <c r="B1357" s="8">
        <v>19381</v>
      </c>
      <c r="C1357" s="9">
        <v>45693.645787037036</v>
      </c>
      <c r="D1357" s="9">
        <v>45693</v>
      </c>
      <c r="E1357" s="9">
        <v>45693</v>
      </c>
      <c r="F1357" s="7" t="s">
        <v>4476</v>
      </c>
      <c r="G1357" s="7" t="s">
        <v>2358</v>
      </c>
      <c r="H1357" s="7" t="s">
        <v>4477</v>
      </c>
      <c r="I1357" s="7" t="s">
        <v>4476</v>
      </c>
      <c r="J1357" s="7" t="s">
        <v>40</v>
      </c>
      <c r="K1357" s="7" t="s">
        <v>1784</v>
      </c>
      <c r="L1357" s="10">
        <v>529.36</v>
      </c>
      <c r="M1357" s="10">
        <v>529.36</v>
      </c>
      <c r="N1357" s="10">
        <f>+L1357-M1357</f>
        <v>0</v>
      </c>
      <c r="O1357" s="10">
        <v>529.36</v>
      </c>
      <c r="P1357" s="10">
        <f>+L1357-O1357</f>
        <v>0</v>
      </c>
      <c r="Q1357" s="10">
        <v>0</v>
      </c>
      <c r="R1357" s="7" t="s">
        <v>27</v>
      </c>
    </row>
    <row r="1358" spans="1:18">
      <c r="A1358" s="7" t="s">
        <v>29</v>
      </c>
      <c r="B1358" s="8">
        <v>20066</v>
      </c>
      <c r="C1358" s="9">
        <v>45838.574733796297</v>
      </c>
      <c r="D1358" s="9">
        <v>45856</v>
      </c>
      <c r="E1358" s="9">
        <v>45887</v>
      </c>
      <c r="F1358" s="7" t="s">
        <v>4478</v>
      </c>
      <c r="G1358" s="7" t="s">
        <v>4479</v>
      </c>
      <c r="H1358" s="7" t="s">
        <v>2284</v>
      </c>
      <c r="I1358" s="7" t="s">
        <v>1763</v>
      </c>
      <c r="J1358" s="7" t="s">
        <v>25</v>
      </c>
      <c r="K1358" s="7" t="s">
        <v>525</v>
      </c>
      <c r="L1358" s="10">
        <v>600</v>
      </c>
      <c r="M1358" s="10">
        <v>600</v>
      </c>
      <c r="N1358" s="10">
        <f>+L1358-M1358</f>
        <v>0</v>
      </c>
      <c r="O1358" s="10">
        <v>600</v>
      </c>
      <c r="P1358" s="10">
        <f>+L1358-O1358</f>
        <v>0</v>
      </c>
      <c r="Q1358" s="10">
        <v>0</v>
      </c>
      <c r="R1358" s="7" t="s">
        <v>27</v>
      </c>
    </row>
    <row r="1359" spans="1:18" hidden="1">
      <c r="A1359" s="7" t="s">
        <v>29</v>
      </c>
      <c r="B1359" s="8">
        <v>19595</v>
      </c>
      <c r="C1359" s="9">
        <v>45747.560057870367</v>
      </c>
      <c r="D1359" s="9">
        <v>45747</v>
      </c>
      <c r="E1359" s="9">
        <v>45743</v>
      </c>
      <c r="F1359" s="7" t="s">
        <v>4480</v>
      </c>
      <c r="G1359" s="7" t="s">
        <v>4481</v>
      </c>
      <c r="H1359" s="7" t="s">
        <v>4253</v>
      </c>
      <c r="I1359" s="7" t="s">
        <v>4254</v>
      </c>
      <c r="J1359" s="7" t="s">
        <v>34</v>
      </c>
      <c r="K1359" s="7" t="s">
        <v>269</v>
      </c>
      <c r="L1359" s="10">
        <v>600</v>
      </c>
      <c r="M1359" s="10">
        <v>600</v>
      </c>
      <c r="N1359" s="10">
        <f>+L1359-M1359</f>
        <v>0</v>
      </c>
      <c r="O1359" s="10">
        <v>600</v>
      </c>
      <c r="P1359" s="10">
        <f>+L1359-O1359</f>
        <v>0</v>
      </c>
      <c r="Q1359" s="10">
        <v>0</v>
      </c>
      <c r="R1359" s="7" t="s">
        <v>27</v>
      </c>
    </row>
    <row r="1360" spans="1:18" hidden="1">
      <c r="A1360" s="7" t="s">
        <v>29</v>
      </c>
      <c r="B1360" s="8">
        <v>19430</v>
      </c>
      <c r="C1360" s="9">
        <v>45707.740173611106</v>
      </c>
      <c r="D1360" s="9">
        <v>45737</v>
      </c>
      <c r="E1360" s="9">
        <v>45698</v>
      </c>
      <c r="F1360" s="7" t="s">
        <v>4482</v>
      </c>
      <c r="G1360" s="7" t="s">
        <v>3784</v>
      </c>
      <c r="H1360" s="7" t="s">
        <v>2089</v>
      </c>
      <c r="I1360" s="7" t="s">
        <v>2090</v>
      </c>
      <c r="J1360" s="7" t="s">
        <v>176</v>
      </c>
      <c r="K1360" s="7" t="s">
        <v>569</v>
      </c>
      <c r="L1360" s="10">
        <v>598</v>
      </c>
      <c r="M1360" s="10">
        <v>598</v>
      </c>
      <c r="N1360" s="10">
        <f>+L1360-M1360</f>
        <v>0</v>
      </c>
      <c r="O1360" s="10">
        <v>598</v>
      </c>
      <c r="P1360" s="10">
        <f>+L1360-O1360</f>
        <v>0</v>
      </c>
      <c r="Q1360" s="10">
        <v>0</v>
      </c>
      <c r="R1360" s="7" t="s">
        <v>27</v>
      </c>
    </row>
    <row r="1361" spans="1:18" hidden="1">
      <c r="A1361" s="7" t="s">
        <v>29</v>
      </c>
      <c r="B1361" s="8">
        <v>19866</v>
      </c>
      <c r="C1361" s="9">
        <v>45804.41506944444</v>
      </c>
      <c r="D1361" s="9">
        <v>45803</v>
      </c>
      <c r="E1361" s="9">
        <v>45803</v>
      </c>
      <c r="F1361" s="7" t="s">
        <v>4483</v>
      </c>
      <c r="G1361" s="7" t="s">
        <v>4484</v>
      </c>
      <c r="H1361" s="7" t="s">
        <v>4485</v>
      </c>
      <c r="I1361" s="7" t="s">
        <v>4486</v>
      </c>
      <c r="J1361" s="7" t="s">
        <v>176</v>
      </c>
      <c r="K1361" s="7" t="s">
        <v>494</v>
      </c>
      <c r="L1361" s="10">
        <v>598</v>
      </c>
      <c r="M1361" s="10">
        <v>598</v>
      </c>
      <c r="N1361" s="10">
        <f>+L1361-M1361</f>
        <v>0</v>
      </c>
      <c r="O1361" s="10">
        <v>598</v>
      </c>
      <c r="P1361" s="10">
        <f>+L1361-O1361</f>
        <v>0</v>
      </c>
      <c r="Q1361" s="10">
        <v>0</v>
      </c>
      <c r="R1361" s="7" t="s">
        <v>27</v>
      </c>
    </row>
    <row r="1362" spans="1:18" hidden="1">
      <c r="A1362" s="7" t="s">
        <v>29</v>
      </c>
      <c r="B1362" s="8">
        <v>20620</v>
      </c>
      <c r="C1362" s="9">
        <v>45957.64146431713</v>
      </c>
      <c r="D1362" s="9">
        <v>45961</v>
      </c>
      <c r="E1362" s="9">
        <v>45954</v>
      </c>
      <c r="F1362" s="7" t="s">
        <v>4487</v>
      </c>
      <c r="G1362" s="7" t="s">
        <v>4488</v>
      </c>
      <c r="H1362" s="7" t="s">
        <v>4489</v>
      </c>
      <c r="I1362" s="7" t="s">
        <v>1995</v>
      </c>
      <c r="J1362" s="7" t="s">
        <v>176</v>
      </c>
      <c r="K1362" s="7" t="s">
        <v>550</v>
      </c>
      <c r="L1362" s="10">
        <v>597</v>
      </c>
      <c r="M1362" s="10">
        <v>597</v>
      </c>
      <c r="N1362" s="10">
        <f>+L1362-M1362</f>
        <v>0</v>
      </c>
      <c r="O1362" s="10">
        <v>597</v>
      </c>
      <c r="P1362" s="10">
        <f>+L1362-O1362</f>
        <v>0</v>
      </c>
      <c r="Q1362" s="10">
        <v>0</v>
      </c>
      <c r="R1362" s="7" t="s">
        <v>27</v>
      </c>
    </row>
    <row r="1363" spans="1:18" hidden="1">
      <c r="A1363" s="7" t="s">
        <v>29</v>
      </c>
      <c r="B1363" s="8">
        <v>19613</v>
      </c>
      <c r="C1363" s="9">
        <v>45751.631828703699</v>
      </c>
      <c r="D1363" s="9">
        <v>45744</v>
      </c>
      <c r="E1363" s="9">
        <v>45775</v>
      </c>
      <c r="F1363" s="7" t="s">
        <v>1068</v>
      </c>
      <c r="G1363" s="7" t="s">
        <v>4490</v>
      </c>
      <c r="H1363" s="7" t="s">
        <v>1070</v>
      </c>
      <c r="I1363" s="7" t="s">
        <v>1071</v>
      </c>
      <c r="J1363" s="7" t="s">
        <v>176</v>
      </c>
      <c r="K1363" s="7" t="s">
        <v>1063</v>
      </c>
      <c r="L1363" s="10">
        <v>596</v>
      </c>
      <c r="M1363" s="10">
        <v>596</v>
      </c>
      <c r="N1363" s="10">
        <f>+L1363-M1363</f>
        <v>0</v>
      </c>
      <c r="O1363" s="10">
        <v>596</v>
      </c>
      <c r="P1363" s="10">
        <f>+L1363-O1363</f>
        <v>0</v>
      </c>
      <c r="Q1363" s="10">
        <v>0</v>
      </c>
      <c r="R1363" s="7" t="s">
        <v>27</v>
      </c>
    </row>
    <row r="1364" spans="1:18" hidden="1">
      <c r="A1364" s="7" t="s">
        <v>29</v>
      </c>
      <c r="B1364" s="8">
        <v>20108</v>
      </c>
      <c r="C1364" s="9">
        <v>45845.561874999999</v>
      </c>
      <c r="D1364" s="9">
        <v>45845</v>
      </c>
      <c r="E1364" s="9">
        <v>45876</v>
      </c>
      <c r="F1364" s="7" t="s">
        <v>4491</v>
      </c>
      <c r="G1364" s="7" t="s">
        <v>4492</v>
      </c>
      <c r="H1364" s="7" t="s">
        <v>1910</v>
      </c>
      <c r="I1364" s="7" t="s">
        <v>1911</v>
      </c>
      <c r="J1364" s="7" t="s">
        <v>34</v>
      </c>
      <c r="K1364" s="7" t="s">
        <v>35</v>
      </c>
      <c r="L1364" s="10">
        <v>581.88</v>
      </c>
      <c r="M1364" s="10">
        <v>581.88</v>
      </c>
      <c r="N1364" s="10">
        <f>+L1364-M1364</f>
        <v>0</v>
      </c>
      <c r="O1364" s="10">
        <v>581.88</v>
      </c>
      <c r="P1364" s="10">
        <f>+L1364-O1364</f>
        <v>0</v>
      </c>
      <c r="Q1364" s="10">
        <v>0</v>
      </c>
      <c r="R1364" s="7" t="s">
        <v>27</v>
      </c>
    </row>
    <row r="1365" spans="1:18" hidden="1">
      <c r="A1365" s="7" t="s">
        <v>29</v>
      </c>
      <c r="B1365" s="8">
        <v>4252</v>
      </c>
      <c r="C1365" s="9">
        <v>45896.693576388891</v>
      </c>
      <c r="D1365" s="9">
        <v>45895</v>
      </c>
      <c r="E1365" s="9">
        <v>45895</v>
      </c>
      <c r="F1365" s="7" t="s">
        <v>4493</v>
      </c>
      <c r="G1365" s="7" t="s">
        <v>719</v>
      </c>
      <c r="H1365" s="7" t="s">
        <v>4494</v>
      </c>
      <c r="I1365" s="7" t="s">
        <v>4495</v>
      </c>
      <c r="J1365" s="7" t="s">
        <v>25</v>
      </c>
      <c r="K1365" s="7" t="s">
        <v>260</v>
      </c>
      <c r="L1365" s="10">
        <v>576.88</v>
      </c>
      <c r="M1365" s="10">
        <v>576.88</v>
      </c>
      <c r="N1365" s="15">
        <f>+L1365-M1365</f>
        <v>0</v>
      </c>
      <c r="O1365" s="15">
        <v>576.88</v>
      </c>
      <c r="P1365" s="15">
        <f>+L1365-O1365</f>
        <v>0</v>
      </c>
      <c r="Q1365" s="10">
        <v>0</v>
      </c>
      <c r="R1365" s="7" t="s">
        <v>87</v>
      </c>
    </row>
    <row r="1366" spans="1:18" hidden="1">
      <c r="A1366" s="7" t="s">
        <v>29</v>
      </c>
      <c r="B1366" s="8">
        <v>19411</v>
      </c>
      <c r="C1366" s="9">
        <v>45700.649143518516</v>
      </c>
      <c r="D1366" s="9">
        <v>45700</v>
      </c>
      <c r="E1366" s="9">
        <v>45700</v>
      </c>
      <c r="F1366" s="7" t="s">
        <v>4496</v>
      </c>
      <c r="G1366" s="7" t="s">
        <v>1006</v>
      </c>
      <c r="H1366" s="7" t="s">
        <v>4497</v>
      </c>
      <c r="I1366" s="7" t="s">
        <v>4498</v>
      </c>
      <c r="J1366" s="7" t="s">
        <v>40</v>
      </c>
      <c r="K1366" s="7" t="s">
        <v>46</v>
      </c>
      <c r="L1366" s="10">
        <v>528</v>
      </c>
      <c r="M1366" s="10">
        <v>528</v>
      </c>
      <c r="N1366" s="10">
        <f>+L1366-M1366</f>
        <v>0</v>
      </c>
      <c r="O1366" s="10">
        <v>528</v>
      </c>
      <c r="P1366" s="10">
        <f>+L1366-O1366</f>
        <v>0</v>
      </c>
      <c r="Q1366" s="10">
        <v>0</v>
      </c>
      <c r="R1366" s="7" t="s">
        <v>27</v>
      </c>
    </row>
    <row r="1367" spans="1:18" hidden="1">
      <c r="A1367" s="7" t="s">
        <v>29</v>
      </c>
      <c r="B1367" s="8">
        <v>19420</v>
      </c>
      <c r="C1367" s="9">
        <v>45706.381076388891</v>
      </c>
      <c r="D1367" s="9">
        <v>45706</v>
      </c>
      <c r="E1367" s="9">
        <v>45638</v>
      </c>
      <c r="F1367" s="7" t="s">
        <v>4499</v>
      </c>
      <c r="G1367" s="7" t="s">
        <v>192</v>
      </c>
      <c r="H1367" s="7" t="s">
        <v>1080</v>
      </c>
      <c r="I1367" s="7" t="s">
        <v>1081</v>
      </c>
      <c r="J1367" s="7" t="s">
        <v>34</v>
      </c>
      <c r="K1367" s="7" t="s">
        <v>990</v>
      </c>
      <c r="L1367" s="10">
        <v>572.58000000000004</v>
      </c>
      <c r="M1367" s="10">
        <v>572.58000000000004</v>
      </c>
      <c r="N1367" s="10">
        <f>+L1367-M1367</f>
        <v>0</v>
      </c>
      <c r="O1367" s="10">
        <v>572.58000000000004</v>
      </c>
      <c r="P1367" s="10">
        <f>+L1367-O1367</f>
        <v>0</v>
      </c>
      <c r="Q1367" s="10">
        <v>0</v>
      </c>
      <c r="R1367" s="7" t="s">
        <v>27</v>
      </c>
    </row>
    <row r="1368" spans="1:18" hidden="1">
      <c r="A1368" s="7" t="s">
        <v>29</v>
      </c>
      <c r="B1368" s="8">
        <v>19580</v>
      </c>
      <c r="C1368" s="9">
        <v>45744.402962962959</v>
      </c>
      <c r="D1368" s="9">
        <v>45743</v>
      </c>
      <c r="E1368" s="9">
        <v>45743</v>
      </c>
      <c r="F1368" s="7" t="s">
        <v>4500</v>
      </c>
      <c r="G1368" s="7" t="s">
        <v>4501</v>
      </c>
      <c r="H1368" s="7" t="s">
        <v>3730</v>
      </c>
      <c r="I1368" s="7" t="s">
        <v>3731</v>
      </c>
      <c r="J1368" s="7" t="s">
        <v>40</v>
      </c>
      <c r="K1368" s="7" t="s">
        <v>355</v>
      </c>
      <c r="L1368" s="10">
        <v>520</v>
      </c>
      <c r="M1368" s="10">
        <v>520</v>
      </c>
      <c r="N1368" s="10">
        <f>+L1368-M1368</f>
        <v>0</v>
      </c>
      <c r="O1368" s="10">
        <v>520</v>
      </c>
      <c r="P1368" s="10">
        <f>+L1368-O1368</f>
        <v>0</v>
      </c>
      <c r="Q1368" s="10">
        <v>0</v>
      </c>
      <c r="R1368" s="7" t="s">
        <v>27</v>
      </c>
    </row>
    <row r="1369" spans="1:18" hidden="1">
      <c r="A1369" s="7" t="s">
        <v>29</v>
      </c>
      <c r="B1369" s="8">
        <v>20376</v>
      </c>
      <c r="C1369" s="9">
        <v>45902.409421296295</v>
      </c>
      <c r="D1369" s="9">
        <v>45899</v>
      </c>
      <c r="E1369" s="9">
        <v>45899</v>
      </c>
      <c r="F1369" s="7" t="s">
        <v>4502</v>
      </c>
      <c r="G1369" s="7" t="s">
        <v>4503</v>
      </c>
      <c r="H1369" s="7" t="s">
        <v>4504</v>
      </c>
      <c r="I1369" s="7" t="s">
        <v>4505</v>
      </c>
      <c r="J1369" s="7" t="s">
        <v>176</v>
      </c>
      <c r="K1369" s="7" t="s">
        <v>360</v>
      </c>
      <c r="L1369" s="10">
        <v>572</v>
      </c>
      <c r="M1369" s="10">
        <v>572</v>
      </c>
      <c r="N1369" s="10">
        <f>+L1369-M1369</f>
        <v>0</v>
      </c>
      <c r="O1369" s="10">
        <v>572</v>
      </c>
      <c r="P1369" s="10">
        <f>+L1369-O1369</f>
        <v>0</v>
      </c>
      <c r="Q1369" s="10">
        <v>0</v>
      </c>
      <c r="R1369" s="7" t="s">
        <v>27</v>
      </c>
    </row>
    <row r="1370" spans="1:18" hidden="1">
      <c r="A1370" s="7" t="s">
        <v>29</v>
      </c>
      <c r="B1370" s="8">
        <v>20891</v>
      </c>
      <c r="C1370" s="9">
        <v>46043.446203703701</v>
      </c>
      <c r="D1370" s="9">
        <v>46042</v>
      </c>
      <c r="E1370" s="9">
        <v>46042</v>
      </c>
      <c r="F1370" s="7" t="s">
        <v>4506</v>
      </c>
      <c r="G1370" s="7" t="s">
        <v>4507</v>
      </c>
      <c r="H1370" s="7" t="s">
        <v>4508</v>
      </c>
      <c r="I1370" s="7" t="s">
        <v>4509</v>
      </c>
      <c r="J1370" s="7" t="s">
        <v>176</v>
      </c>
      <c r="K1370" s="7" t="s">
        <v>360</v>
      </c>
      <c r="L1370" s="10">
        <v>571.20000000000005</v>
      </c>
      <c r="M1370" s="10">
        <v>571.20000000000005</v>
      </c>
      <c r="N1370" s="10">
        <f>+L1370-M1370</f>
        <v>0</v>
      </c>
      <c r="O1370" s="10">
        <v>571.20000000000005</v>
      </c>
      <c r="P1370" s="10">
        <f>+L1370-O1370</f>
        <v>0</v>
      </c>
      <c r="Q1370" s="10">
        <v>0</v>
      </c>
      <c r="R1370" s="7" t="s">
        <v>27</v>
      </c>
    </row>
    <row r="1371" spans="1:18" hidden="1">
      <c r="A1371" s="7" t="s">
        <v>29</v>
      </c>
      <c r="B1371" s="8">
        <v>20824</v>
      </c>
      <c r="C1371" s="9">
        <v>46027.61991898148</v>
      </c>
      <c r="D1371" s="9">
        <v>46027</v>
      </c>
      <c r="E1371" s="9">
        <v>46027</v>
      </c>
      <c r="F1371" s="7" t="s">
        <v>4510</v>
      </c>
      <c r="G1371" s="7" t="s">
        <v>1120</v>
      </c>
      <c r="H1371" s="7" t="s">
        <v>4511</v>
      </c>
      <c r="I1371" s="7" t="s">
        <v>4512</v>
      </c>
      <c r="J1371" s="7" t="s">
        <v>176</v>
      </c>
      <c r="K1371" s="7" t="s">
        <v>360</v>
      </c>
      <c r="L1371" s="10">
        <v>571</v>
      </c>
      <c r="M1371" s="10">
        <v>571</v>
      </c>
      <c r="N1371" s="10">
        <f>+L1371-M1371</f>
        <v>0</v>
      </c>
      <c r="O1371" s="10">
        <v>571</v>
      </c>
      <c r="P1371" s="10">
        <f>+L1371-O1371</f>
        <v>0</v>
      </c>
      <c r="Q1371" s="10">
        <v>0</v>
      </c>
      <c r="R1371" s="7" t="s">
        <v>27</v>
      </c>
    </row>
    <row r="1372" spans="1:18" hidden="1">
      <c r="A1372" s="7" t="s">
        <v>29</v>
      </c>
      <c r="B1372" s="8">
        <v>20418</v>
      </c>
      <c r="C1372" s="9">
        <v>45908.713182870371</v>
      </c>
      <c r="D1372" s="9">
        <v>45898</v>
      </c>
      <c r="E1372" s="9">
        <v>45898</v>
      </c>
      <c r="F1372" s="7" t="s">
        <v>4513</v>
      </c>
      <c r="G1372" s="7" t="s">
        <v>4514</v>
      </c>
      <c r="H1372" s="7" t="s">
        <v>4515</v>
      </c>
      <c r="I1372" s="7" t="s">
        <v>4516</v>
      </c>
      <c r="J1372" s="7" t="s">
        <v>176</v>
      </c>
      <c r="K1372" s="7" t="s">
        <v>360</v>
      </c>
      <c r="L1372" s="10">
        <v>571</v>
      </c>
      <c r="M1372" s="10">
        <v>571</v>
      </c>
      <c r="N1372" s="10">
        <f>+L1372-M1372</f>
        <v>0</v>
      </c>
      <c r="O1372" s="10">
        <v>571</v>
      </c>
      <c r="P1372" s="10">
        <f>+L1372-O1372</f>
        <v>0</v>
      </c>
      <c r="Q1372" s="10">
        <v>0</v>
      </c>
      <c r="R1372" s="7" t="s">
        <v>27</v>
      </c>
    </row>
    <row r="1373" spans="1:18" hidden="1">
      <c r="A1373" s="7" t="s">
        <v>29</v>
      </c>
      <c r="B1373" s="8">
        <v>4257</v>
      </c>
      <c r="C1373" s="9">
        <v>45924.41706018518</v>
      </c>
      <c r="D1373" s="9">
        <v>45923</v>
      </c>
      <c r="E1373" s="9">
        <v>45923</v>
      </c>
      <c r="F1373" s="7" t="s">
        <v>4517</v>
      </c>
      <c r="G1373" s="7" t="s">
        <v>4518</v>
      </c>
      <c r="H1373" s="7" t="s">
        <v>280</v>
      </c>
      <c r="I1373" s="7" t="s">
        <v>205</v>
      </c>
      <c r="J1373" s="7" t="s">
        <v>25</v>
      </c>
      <c r="K1373" s="7" t="s">
        <v>206</v>
      </c>
      <c r="L1373" s="10">
        <v>558.79</v>
      </c>
      <c r="M1373" s="10">
        <v>558.79</v>
      </c>
      <c r="N1373" s="15">
        <f>+L1373-M1373</f>
        <v>0</v>
      </c>
      <c r="O1373" s="15">
        <v>558.79</v>
      </c>
      <c r="P1373" s="15">
        <f>+L1373-O1373</f>
        <v>0</v>
      </c>
      <c r="Q1373" s="10">
        <v>0</v>
      </c>
      <c r="R1373" s="7" t="s">
        <v>87</v>
      </c>
    </row>
    <row r="1374" spans="1:18" hidden="1">
      <c r="A1374" s="7" t="s">
        <v>29</v>
      </c>
      <c r="B1374" s="8">
        <v>19859</v>
      </c>
      <c r="C1374" s="9">
        <v>45803.450196759259</v>
      </c>
      <c r="D1374" s="9">
        <v>45800</v>
      </c>
      <c r="E1374" s="9">
        <v>45800</v>
      </c>
      <c r="F1374" s="7" t="s">
        <v>4519</v>
      </c>
      <c r="G1374" s="7" t="s">
        <v>4520</v>
      </c>
      <c r="H1374" s="7" t="s">
        <v>515</v>
      </c>
      <c r="I1374" s="7" t="s">
        <v>516</v>
      </c>
      <c r="J1374" s="7" t="s">
        <v>40</v>
      </c>
      <c r="K1374" s="7" t="s">
        <v>355</v>
      </c>
      <c r="L1374" s="10">
        <v>509</v>
      </c>
      <c r="M1374" s="10">
        <v>509</v>
      </c>
      <c r="N1374" s="10">
        <f>+L1374-M1374</f>
        <v>0</v>
      </c>
      <c r="O1374" s="10">
        <v>509</v>
      </c>
      <c r="P1374" s="10">
        <f>+L1374-O1374</f>
        <v>0</v>
      </c>
      <c r="Q1374" s="10">
        <v>0</v>
      </c>
      <c r="R1374" s="7" t="s">
        <v>27</v>
      </c>
    </row>
    <row r="1375" spans="1:18" hidden="1">
      <c r="A1375" s="7" t="s">
        <v>29</v>
      </c>
      <c r="B1375" s="8">
        <v>20732</v>
      </c>
      <c r="C1375" s="9">
        <v>45989.494745370372</v>
      </c>
      <c r="D1375" s="9">
        <v>45989</v>
      </c>
      <c r="E1375" s="9">
        <v>45987</v>
      </c>
      <c r="F1375" s="7" t="s">
        <v>4521</v>
      </c>
      <c r="G1375" s="7" t="s">
        <v>4522</v>
      </c>
      <c r="H1375" s="7" t="s">
        <v>4523</v>
      </c>
      <c r="I1375" s="7" t="s">
        <v>4524</v>
      </c>
      <c r="J1375" s="7" t="s">
        <v>34</v>
      </c>
      <c r="K1375" s="7" t="s">
        <v>733</v>
      </c>
      <c r="L1375" s="10">
        <v>556.92999999999995</v>
      </c>
      <c r="M1375" s="10">
        <v>556.92999999999995</v>
      </c>
      <c r="N1375" s="10">
        <f>+L1375-M1375</f>
        <v>0</v>
      </c>
      <c r="O1375" s="10">
        <v>556.92999999999995</v>
      </c>
      <c r="P1375" s="10">
        <f>+L1375-O1375</f>
        <v>0</v>
      </c>
      <c r="Q1375" s="10">
        <v>0</v>
      </c>
      <c r="R1375" s="7" t="s">
        <v>27</v>
      </c>
    </row>
    <row r="1376" spans="1:18" hidden="1">
      <c r="A1376" s="7" t="s">
        <v>29</v>
      </c>
      <c r="B1376" s="8">
        <v>4289</v>
      </c>
      <c r="C1376" s="9">
        <v>45966.455335648148</v>
      </c>
      <c r="D1376" s="9">
        <v>45961</v>
      </c>
      <c r="E1376" s="9">
        <v>45964</v>
      </c>
      <c r="F1376" s="7" t="s">
        <v>4525</v>
      </c>
      <c r="G1376" s="7" t="s">
        <v>2044</v>
      </c>
      <c r="H1376" s="7" t="s">
        <v>4176</v>
      </c>
      <c r="I1376" s="7" t="s">
        <v>4177</v>
      </c>
      <c r="J1376" s="7" t="s">
        <v>25</v>
      </c>
      <c r="K1376" s="7" t="s">
        <v>260</v>
      </c>
      <c r="L1376" s="10">
        <v>554.27</v>
      </c>
      <c r="M1376" s="10">
        <v>554.27</v>
      </c>
      <c r="N1376" s="15">
        <f>+L1376-M1376</f>
        <v>0</v>
      </c>
      <c r="O1376" s="15">
        <v>554.27</v>
      </c>
      <c r="P1376" s="15">
        <f>+L1376-O1376</f>
        <v>0</v>
      </c>
      <c r="Q1376" s="10">
        <v>0</v>
      </c>
      <c r="R1376" s="7" t="s">
        <v>87</v>
      </c>
    </row>
    <row r="1377" spans="1:18" hidden="1">
      <c r="A1377" s="7" t="s">
        <v>29</v>
      </c>
      <c r="B1377" s="8">
        <v>19936</v>
      </c>
      <c r="C1377" s="9">
        <v>45818.392118055555</v>
      </c>
      <c r="D1377" s="9">
        <v>45817</v>
      </c>
      <c r="E1377" s="9">
        <v>45817</v>
      </c>
      <c r="F1377" s="7" t="s">
        <v>4526</v>
      </c>
      <c r="G1377" s="7" t="s">
        <v>4527</v>
      </c>
      <c r="H1377" s="7" t="s">
        <v>4528</v>
      </c>
      <c r="I1377" s="7" t="s">
        <v>4529</v>
      </c>
      <c r="J1377" s="7" t="s">
        <v>176</v>
      </c>
      <c r="K1377" s="7" t="s">
        <v>494</v>
      </c>
      <c r="L1377" s="10">
        <v>550</v>
      </c>
      <c r="M1377" s="10">
        <v>550</v>
      </c>
      <c r="N1377" s="10">
        <f>+L1377-M1377</f>
        <v>0</v>
      </c>
      <c r="O1377" s="10">
        <v>550</v>
      </c>
      <c r="P1377" s="10">
        <f>+L1377-O1377</f>
        <v>0</v>
      </c>
      <c r="Q1377" s="10">
        <v>0</v>
      </c>
      <c r="R1377" s="7" t="s">
        <v>27</v>
      </c>
    </row>
    <row r="1378" spans="1:18" hidden="1">
      <c r="A1378" s="7" t="s">
        <v>29</v>
      </c>
      <c r="B1378" s="8">
        <v>20081</v>
      </c>
      <c r="C1378" s="9">
        <v>45840.622731481482</v>
      </c>
      <c r="D1378" s="9">
        <v>45845</v>
      </c>
      <c r="E1378" s="9">
        <v>45838</v>
      </c>
      <c r="F1378" s="7" t="s">
        <v>4530</v>
      </c>
      <c r="G1378" s="7" t="s">
        <v>4531</v>
      </c>
      <c r="H1378" s="7" t="s">
        <v>2115</v>
      </c>
      <c r="I1378" s="7" t="s">
        <v>2116</v>
      </c>
      <c r="J1378" s="7" t="s">
        <v>176</v>
      </c>
      <c r="K1378" s="7" t="s">
        <v>550</v>
      </c>
      <c r="L1378" s="10">
        <v>549</v>
      </c>
      <c r="M1378" s="10">
        <v>549</v>
      </c>
      <c r="N1378" s="10">
        <f>+L1378-M1378</f>
        <v>0</v>
      </c>
      <c r="O1378" s="10">
        <v>549</v>
      </c>
      <c r="P1378" s="10">
        <f>+L1378-O1378</f>
        <v>0</v>
      </c>
      <c r="Q1378" s="10">
        <v>0</v>
      </c>
      <c r="R1378" s="7" t="s">
        <v>27</v>
      </c>
    </row>
    <row r="1379" spans="1:18" hidden="1">
      <c r="A1379" s="7" t="s">
        <v>29</v>
      </c>
      <c r="B1379" s="8">
        <v>19765</v>
      </c>
      <c r="C1379" s="9">
        <v>45779.404097222221</v>
      </c>
      <c r="D1379" s="9">
        <v>45777</v>
      </c>
      <c r="E1379" s="9">
        <v>45779</v>
      </c>
      <c r="F1379" s="7" t="s">
        <v>4532</v>
      </c>
      <c r="G1379" s="7" t="s">
        <v>4533</v>
      </c>
      <c r="H1379" s="7" t="s">
        <v>4534</v>
      </c>
      <c r="I1379" s="7" t="s">
        <v>4535</v>
      </c>
      <c r="J1379" s="7" t="s">
        <v>176</v>
      </c>
      <c r="K1379" s="7" t="s">
        <v>494</v>
      </c>
      <c r="L1379" s="10">
        <v>547.5</v>
      </c>
      <c r="M1379" s="10">
        <v>547.5</v>
      </c>
      <c r="N1379" s="10">
        <f>+L1379-M1379</f>
        <v>0</v>
      </c>
      <c r="O1379" s="10">
        <v>547.5</v>
      </c>
      <c r="P1379" s="10">
        <f>+L1379-O1379</f>
        <v>0</v>
      </c>
      <c r="Q1379" s="10">
        <v>0</v>
      </c>
      <c r="R1379" s="7" t="s">
        <v>27</v>
      </c>
    </row>
    <row r="1380" spans="1:18" hidden="1">
      <c r="A1380" s="7" t="s">
        <v>29</v>
      </c>
      <c r="B1380" s="8">
        <v>20090</v>
      </c>
      <c r="C1380" s="9">
        <v>45840.728761574072</v>
      </c>
      <c r="D1380" s="9">
        <v>45839</v>
      </c>
      <c r="E1380" s="9">
        <v>45839</v>
      </c>
      <c r="F1380" s="7" t="s">
        <v>4536</v>
      </c>
      <c r="G1380" s="7" t="s">
        <v>4537</v>
      </c>
      <c r="H1380" s="7" t="s">
        <v>4538</v>
      </c>
      <c r="I1380" s="7" t="s">
        <v>4539</v>
      </c>
      <c r="J1380" s="7" t="s">
        <v>176</v>
      </c>
      <c r="K1380" s="7" t="s">
        <v>494</v>
      </c>
      <c r="L1380" s="10">
        <v>547.5</v>
      </c>
      <c r="M1380" s="10">
        <v>547.5</v>
      </c>
      <c r="N1380" s="10">
        <f>+L1380-M1380</f>
        <v>0</v>
      </c>
      <c r="O1380" s="10">
        <v>547.5</v>
      </c>
      <c r="P1380" s="10">
        <f>+L1380-O1380</f>
        <v>0</v>
      </c>
      <c r="Q1380" s="10">
        <v>0</v>
      </c>
      <c r="R1380" s="7" t="s">
        <v>27</v>
      </c>
    </row>
    <row r="1381" spans="1:18" hidden="1">
      <c r="A1381" s="7" t="s">
        <v>29</v>
      </c>
      <c r="B1381" s="8">
        <v>20281</v>
      </c>
      <c r="C1381" s="9">
        <v>45882.668796296297</v>
      </c>
      <c r="D1381" s="9">
        <v>45882</v>
      </c>
      <c r="E1381" s="9">
        <v>45882</v>
      </c>
      <c r="F1381" s="7" t="s">
        <v>4540</v>
      </c>
      <c r="G1381" s="7" t="s">
        <v>4541</v>
      </c>
      <c r="H1381" s="7" t="s">
        <v>4542</v>
      </c>
      <c r="I1381" s="7" t="s">
        <v>4543</v>
      </c>
      <c r="J1381" s="7" t="s">
        <v>176</v>
      </c>
      <c r="K1381" s="7" t="s">
        <v>494</v>
      </c>
      <c r="L1381" s="10">
        <v>547.5</v>
      </c>
      <c r="M1381" s="10">
        <v>547.5</v>
      </c>
      <c r="N1381" s="10">
        <f>+L1381-M1381</f>
        <v>0</v>
      </c>
      <c r="O1381" s="10">
        <v>547.5</v>
      </c>
      <c r="P1381" s="10">
        <f>+L1381-O1381</f>
        <v>0</v>
      </c>
      <c r="Q1381" s="10">
        <v>0</v>
      </c>
      <c r="R1381" s="7" t="s">
        <v>27</v>
      </c>
    </row>
    <row r="1382" spans="1:18" hidden="1">
      <c r="A1382" s="7" t="s">
        <v>29</v>
      </c>
      <c r="B1382" s="8">
        <v>19680</v>
      </c>
      <c r="C1382" s="9">
        <v>45761.389328703699</v>
      </c>
      <c r="D1382" s="9">
        <v>45750</v>
      </c>
      <c r="E1382" s="9">
        <v>45750</v>
      </c>
      <c r="F1382" s="7" t="s">
        <v>4544</v>
      </c>
      <c r="G1382" s="7" t="s">
        <v>4545</v>
      </c>
      <c r="H1382" s="7" t="s">
        <v>4546</v>
      </c>
      <c r="I1382" s="7" t="s">
        <v>4547</v>
      </c>
      <c r="J1382" s="7" t="s">
        <v>176</v>
      </c>
      <c r="K1382" s="7" t="s">
        <v>494</v>
      </c>
      <c r="L1382" s="10">
        <v>546.9</v>
      </c>
      <c r="M1382" s="10">
        <v>546.9</v>
      </c>
      <c r="N1382" s="10">
        <f>+L1382-M1382</f>
        <v>0</v>
      </c>
      <c r="O1382" s="10">
        <v>546.9</v>
      </c>
      <c r="P1382" s="10">
        <f>+L1382-O1382</f>
        <v>0</v>
      </c>
      <c r="Q1382" s="10">
        <v>0</v>
      </c>
      <c r="R1382" s="7" t="s">
        <v>27</v>
      </c>
    </row>
    <row r="1383" spans="1:18" hidden="1">
      <c r="A1383" s="7" t="s">
        <v>29</v>
      </c>
      <c r="B1383" s="8">
        <v>19867</v>
      </c>
      <c r="C1383" s="9">
        <v>45804.452118055553</v>
      </c>
      <c r="D1383" s="9">
        <v>45803</v>
      </c>
      <c r="E1383" s="9">
        <v>45803</v>
      </c>
      <c r="F1383" s="7" t="s">
        <v>4548</v>
      </c>
      <c r="G1383" s="7" t="s">
        <v>4549</v>
      </c>
      <c r="H1383" s="7" t="s">
        <v>4550</v>
      </c>
      <c r="I1383" s="7" t="s">
        <v>4551</v>
      </c>
      <c r="J1383" s="7" t="s">
        <v>176</v>
      </c>
      <c r="K1383" s="7" t="s">
        <v>494</v>
      </c>
      <c r="L1383" s="10">
        <v>546.75</v>
      </c>
      <c r="M1383" s="10">
        <v>546.75</v>
      </c>
      <c r="N1383" s="10">
        <f>+L1383-M1383</f>
        <v>0</v>
      </c>
      <c r="O1383" s="10">
        <v>546.75</v>
      </c>
      <c r="P1383" s="10">
        <f>+L1383-O1383</f>
        <v>0</v>
      </c>
      <c r="Q1383" s="10">
        <v>0</v>
      </c>
      <c r="R1383" s="7" t="s">
        <v>27</v>
      </c>
    </row>
    <row r="1384" spans="1:18">
      <c r="A1384" s="7" t="s">
        <v>29</v>
      </c>
      <c r="B1384" s="8">
        <v>20857</v>
      </c>
      <c r="C1384" s="9">
        <v>46035.588495717588</v>
      </c>
      <c r="D1384" s="9">
        <v>46036</v>
      </c>
      <c r="E1384" s="9">
        <v>46069</v>
      </c>
      <c r="F1384" s="7" t="s">
        <v>4552</v>
      </c>
      <c r="G1384" s="7" t="s">
        <v>4553</v>
      </c>
      <c r="H1384" s="7" t="s">
        <v>1845</v>
      </c>
      <c r="I1384" s="7" t="s">
        <v>952</v>
      </c>
      <c r="J1384" s="7" t="s">
        <v>25</v>
      </c>
      <c r="K1384" s="7" t="s">
        <v>525</v>
      </c>
      <c r="L1384" s="10">
        <v>542.4</v>
      </c>
      <c r="M1384" s="10">
        <v>542.4</v>
      </c>
      <c r="N1384" s="10">
        <f>+L1384-M1384</f>
        <v>0</v>
      </c>
      <c r="O1384" s="10">
        <v>542.4</v>
      </c>
      <c r="P1384" s="10">
        <f>+L1384-O1384</f>
        <v>0</v>
      </c>
      <c r="Q1384" s="10">
        <v>0</v>
      </c>
      <c r="R1384" s="7" t="s">
        <v>27</v>
      </c>
    </row>
    <row r="1385" spans="1:18">
      <c r="A1385" s="7" t="s">
        <v>29</v>
      </c>
      <c r="B1385" s="8">
        <v>20842</v>
      </c>
      <c r="C1385" s="9">
        <v>46030.658414351848</v>
      </c>
      <c r="D1385" s="9">
        <v>46034</v>
      </c>
      <c r="E1385" s="9">
        <v>46029</v>
      </c>
      <c r="F1385" s="7" t="s">
        <v>4554</v>
      </c>
      <c r="G1385" s="7" t="s">
        <v>613</v>
      </c>
      <c r="H1385" s="7" t="s">
        <v>3531</v>
      </c>
      <c r="I1385" s="7" t="s">
        <v>671</v>
      </c>
      <c r="J1385" s="7" t="s">
        <v>25</v>
      </c>
      <c r="K1385" s="7" t="s">
        <v>407</v>
      </c>
      <c r="L1385" s="10">
        <v>542.4</v>
      </c>
      <c r="M1385" s="10">
        <v>542.4</v>
      </c>
      <c r="N1385" s="10">
        <f>+L1385-M1385</f>
        <v>0</v>
      </c>
      <c r="O1385" s="10">
        <v>542.4</v>
      </c>
      <c r="P1385" s="10">
        <f>+L1385-O1385</f>
        <v>0</v>
      </c>
      <c r="Q1385" s="10">
        <v>0</v>
      </c>
      <c r="R1385" s="7" t="s">
        <v>27</v>
      </c>
    </row>
    <row r="1386" spans="1:18" hidden="1">
      <c r="A1386" s="7" t="s">
        <v>29</v>
      </c>
      <c r="B1386" s="8">
        <v>20909</v>
      </c>
      <c r="C1386" s="9">
        <v>46048.41128472222</v>
      </c>
      <c r="D1386" s="9">
        <v>46046</v>
      </c>
      <c r="E1386" s="9">
        <v>46046</v>
      </c>
      <c r="F1386" s="7" t="s">
        <v>4555</v>
      </c>
      <c r="G1386" s="7" t="s">
        <v>4556</v>
      </c>
      <c r="H1386" s="7" t="s">
        <v>4557</v>
      </c>
      <c r="I1386" s="7" t="s">
        <v>4558</v>
      </c>
      <c r="J1386" s="7" t="s">
        <v>176</v>
      </c>
      <c r="K1386" s="7" t="s">
        <v>360</v>
      </c>
      <c r="L1386" s="10">
        <v>537</v>
      </c>
      <c r="M1386" s="10">
        <v>537</v>
      </c>
      <c r="N1386" s="10">
        <f>+L1386-M1386</f>
        <v>0</v>
      </c>
      <c r="O1386" s="10">
        <v>537</v>
      </c>
      <c r="P1386" s="10">
        <f>+L1386-O1386</f>
        <v>0</v>
      </c>
      <c r="Q1386" s="10">
        <v>0</v>
      </c>
      <c r="R1386" s="7" t="s">
        <v>27</v>
      </c>
    </row>
    <row r="1387" spans="1:18" hidden="1">
      <c r="A1387" s="7" t="s">
        <v>29</v>
      </c>
      <c r="B1387" s="8">
        <v>20095</v>
      </c>
      <c r="C1387" s="9">
        <v>45841.450439814813</v>
      </c>
      <c r="D1387" s="9">
        <v>45847</v>
      </c>
      <c r="E1387" s="9">
        <v>45840</v>
      </c>
      <c r="F1387" s="7" t="s">
        <v>4559</v>
      </c>
      <c r="G1387" s="7" t="s">
        <v>4560</v>
      </c>
      <c r="H1387" s="7" t="s">
        <v>4561</v>
      </c>
      <c r="I1387" s="7" t="s">
        <v>4562</v>
      </c>
      <c r="J1387" s="7" t="s">
        <v>176</v>
      </c>
      <c r="K1387" s="7" t="s">
        <v>550</v>
      </c>
      <c r="L1387" s="10">
        <v>536</v>
      </c>
      <c r="M1387" s="10">
        <v>536</v>
      </c>
      <c r="N1387" s="10">
        <f>+L1387-M1387</f>
        <v>0</v>
      </c>
      <c r="O1387" s="10">
        <v>536</v>
      </c>
      <c r="P1387" s="10">
        <f>+L1387-O1387</f>
        <v>0</v>
      </c>
      <c r="Q1387" s="10">
        <v>0</v>
      </c>
      <c r="R1387" s="7" t="s">
        <v>27</v>
      </c>
    </row>
    <row r="1388" spans="1:18" hidden="1">
      <c r="A1388" s="7" t="s">
        <v>29</v>
      </c>
      <c r="B1388" s="8">
        <v>20035</v>
      </c>
      <c r="C1388" s="9">
        <v>45835.415451388886</v>
      </c>
      <c r="D1388" s="9">
        <v>45834</v>
      </c>
      <c r="E1388" s="9">
        <v>45834</v>
      </c>
      <c r="F1388" s="7" t="s">
        <v>4563</v>
      </c>
      <c r="G1388" s="7" t="s">
        <v>4564</v>
      </c>
      <c r="H1388" s="7" t="s">
        <v>4565</v>
      </c>
      <c r="I1388" s="7" t="s">
        <v>4566</v>
      </c>
      <c r="J1388" s="7" t="s">
        <v>176</v>
      </c>
      <c r="K1388" s="7" t="s">
        <v>494</v>
      </c>
      <c r="L1388" s="10">
        <v>536</v>
      </c>
      <c r="M1388" s="10">
        <v>536</v>
      </c>
      <c r="N1388" s="10">
        <f>+L1388-M1388</f>
        <v>0</v>
      </c>
      <c r="O1388" s="10">
        <v>536</v>
      </c>
      <c r="P1388" s="10">
        <f>+L1388-O1388</f>
        <v>0</v>
      </c>
      <c r="Q1388" s="10">
        <v>0</v>
      </c>
      <c r="R1388" s="7" t="s">
        <v>27</v>
      </c>
    </row>
    <row r="1389" spans="1:18" hidden="1">
      <c r="A1389" s="7" t="s">
        <v>29</v>
      </c>
      <c r="B1389" s="8">
        <v>19792</v>
      </c>
      <c r="C1389" s="9">
        <v>45789.443599537037</v>
      </c>
      <c r="D1389" s="9">
        <v>45787</v>
      </c>
      <c r="E1389" s="9">
        <v>45787</v>
      </c>
      <c r="F1389" s="7" t="s">
        <v>4567</v>
      </c>
      <c r="G1389" s="7" t="s">
        <v>4568</v>
      </c>
      <c r="H1389" s="7" t="s">
        <v>4569</v>
      </c>
      <c r="I1389" s="7" t="s">
        <v>4570</v>
      </c>
      <c r="J1389" s="7" t="s">
        <v>176</v>
      </c>
      <c r="K1389" s="7" t="s">
        <v>494</v>
      </c>
      <c r="L1389" s="10">
        <v>535.79</v>
      </c>
      <c r="M1389" s="10">
        <v>535.79</v>
      </c>
      <c r="N1389" s="10">
        <f>+L1389-M1389</f>
        <v>0</v>
      </c>
      <c r="O1389" s="10">
        <v>535.79</v>
      </c>
      <c r="P1389" s="10">
        <f>+L1389-O1389</f>
        <v>0</v>
      </c>
      <c r="Q1389" s="10">
        <v>0</v>
      </c>
      <c r="R1389" s="7" t="s">
        <v>27</v>
      </c>
    </row>
    <row r="1390" spans="1:18" hidden="1">
      <c r="A1390" s="7" t="s">
        <v>29</v>
      </c>
      <c r="B1390" s="8">
        <v>19843</v>
      </c>
      <c r="C1390" s="9">
        <v>45798.395810185182</v>
      </c>
      <c r="D1390" s="9">
        <v>45797</v>
      </c>
      <c r="E1390" s="9">
        <v>45797</v>
      </c>
      <c r="F1390" s="7" t="s">
        <v>4571</v>
      </c>
      <c r="G1390" s="7" t="s">
        <v>4572</v>
      </c>
      <c r="H1390" s="7" t="s">
        <v>4573</v>
      </c>
      <c r="I1390" s="7" t="s">
        <v>4574</v>
      </c>
      <c r="J1390" s="7" t="s">
        <v>176</v>
      </c>
      <c r="K1390" s="7" t="s">
        <v>494</v>
      </c>
      <c r="L1390" s="10">
        <v>535</v>
      </c>
      <c r="M1390" s="10">
        <v>535</v>
      </c>
      <c r="N1390" s="10">
        <f>+L1390-M1390</f>
        <v>0</v>
      </c>
      <c r="O1390" s="10">
        <v>535</v>
      </c>
      <c r="P1390" s="10">
        <f>+L1390-O1390</f>
        <v>0</v>
      </c>
      <c r="Q1390" s="10">
        <v>0</v>
      </c>
      <c r="R1390" s="7" t="s">
        <v>27</v>
      </c>
    </row>
    <row r="1391" spans="1:18" hidden="1">
      <c r="A1391" s="7" t="s">
        <v>29</v>
      </c>
      <c r="B1391" s="8">
        <v>4191</v>
      </c>
      <c r="C1391" s="9">
        <v>45749.379791666666</v>
      </c>
      <c r="D1391" s="9">
        <v>45742</v>
      </c>
      <c r="E1391" s="9">
        <v>45742</v>
      </c>
      <c r="F1391" s="7" t="s">
        <v>4575</v>
      </c>
      <c r="G1391" s="7" t="s">
        <v>2418</v>
      </c>
      <c r="H1391" s="7" t="s">
        <v>4576</v>
      </c>
      <c r="I1391" s="7" t="s">
        <v>4577</v>
      </c>
      <c r="J1391" s="7" t="s">
        <v>25</v>
      </c>
      <c r="K1391" s="7" t="s">
        <v>125</v>
      </c>
      <c r="L1391" s="10">
        <v>539.01</v>
      </c>
      <c r="M1391" s="10">
        <v>539.01</v>
      </c>
      <c r="N1391" s="15">
        <f>+L1391-M1391</f>
        <v>0</v>
      </c>
      <c r="O1391" s="15">
        <v>539.01</v>
      </c>
      <c r="P1391" s="15">
        <f>+L1391-O1391</f>
        <v>0</v>
      </c>
      <c r="Q1391" s="10">
        <v>0</v>
      </c>
      <c r="R1391" s="7" t="s">
        <v>87</v>
      </c>
    </row>
    <row r="1392" spans="1:18">
      <c r="A1392" s="7" t="s">
        <v>29</v>
      </c>
      <c r="B1392" s="8">
        <v>20663</v>
      </c>
      <c r="C1392" s="9">
        <v>45965.73636574074</v>
      </c>
      <c r="D1392" s="9">
        <v>46011</v>
      </c>
      <c r="E1392" s="9">
        <v>46011</v>
      </c>
      <c r="F1392" s="7" t="s">
        <v>4578</v>
      </c>
      <c r="G1392" s="7" t="s">
        <v>4579</v>
      </c>
      <c r="H1392" s="7" t="s">
        <v>1803</v>
      </c>
      <c r="I1392" s="7" t="s">
        <v>1804</v>
      </c>
      <c r="J1392" s="7" t="s">
        <v>25</v>
      </c>
      <c r="K1392" s="7" t="s">
        <v>55</v>
      </c>
      <c r="L1392" s="10">
        <v>523.44000000000005</v>
      </c>
      <c r="M1392" s="10">
        <v>523.44000000000005</v>
      </c>
      <c r="N1392" s="10">
        <f>+L1392-M1392</f>
        <v>0</v>
      </c>
      <c r="O1392" s="10">
        <v>523.44000000000005</v>
      </c>
      <c r="P1392" s="10">
        <f>+L1392-O1392</f>
        <v>0</v>
      </c>
      <c r="Q1392" s="10">
        <v>0</v>
      </c>
      <c r="R1392" s="7" t="s">
        <v>27</v>
      </c>
    </row>
    <row r="1393" spans="1:18" hidden="1">
      <c r="A1393" s="7" t="s">
        <v>29</v>
      </c>
      <c r="B1393" s="8">
        <v>4274</v>
      </c>
      <c r="C1393" s="9">
        <v>45937.453796296293</v>
      </c>
      <c r="D1393" s="9">
        <v>45926</v>
      </c>
      <c r="E1393" s="9">
        <v>45926</v>
      </c>
      <c r="F1393" s="7" t="s">
        <v>4580</v>
      </c>
      <c r="G1393" s="7" t="s">
        <v>2004</v>
      </c>
      <c r="H1393" s="7" t="s">
        <v>2977</v>
      </c>
      <c r="I1393" s="7" t="s">
        <v>915</v>
      </c>
      <c r="J1393" s="7" t="s">
        <v>25</v>
      </c>
      <c r="K1393" s="7" t="s">
        <v>206</v>
      </c>
      <c r="L1393" s="10">
        <v>505.68</v>
      </c>
      <c r="M1393" s="10">
        <v>505.68</v>
      </c>
      <c r="N1393" s="15">
        <f>+L1393-M1393</f>
        <v>0</v>
      </c>
      <c r="O1393" s="15">
        <v>505.68</v>
      </c>
      <c r="P1393" s="15">
        <f>+L1393-O1393</f>
        <v>0</v>
      </c>
      <c r="Q1393" s="10">
        <v>0</v>
      </c>
      <c r="R1393" s="7" t="s">
        <v>87</v>
      </c>
    </row>
    <row r="1394" spans="1:18" hidden="1">
      <c r="A1394" s="7" t="s">
        <v>29</v>
      </c>
      <c r="B1394" s="8">
        <v>19870</v>
      </c>
      <c r="C1394" s="9">
        <v>45805.462152777778</v>
      </c>
      <c r="D1394" s="9">
        <v>45804</v>
      </c>
      <c r="E1394" s="9">
        <v>45804</v>
      </c>
      <c r="F1394" s="7" t="s">
        <v>4581</v>
      </c>
      <c r="G1394" s="7" t="s">
        <v>4582</v>
      </c>
      <c r="H1394" s="7" t="s">
        <v>4583</v>
      </c>
      <c r="I1394" s="7" t="s">
        <v>4584</v>
      </c>
      <c r="J1394" s="7" t="s">
        <v>176</v>
      </c>
      <c r="K1394" s="7" t="s">
        <v>494</v>
      </c>
      <c r="L1394" s="10">
        <v>533.99</v>
      </c>
      <c r="M1394" s="10">
        <v>533.99</v>
      </c>
      <c r="N1394" s="10">
        <f>+L1394-M1394</f>
        <v>0</v>
      </c>
      <c r="O1394" s="10">
        <v>533.99</v>
      </c>
      <c r="P1394" s="10">
        <f>+L1394-O1394</f>
        <v>0</v>
      </c>
      <c r="Q1394" s="10">
        <v>0</v>
      </c>
      <c r="R1394" s="7" t="s">
        <v>27</v>
      </c>
    </row>
    <row r="1395" spans="1:18" hidden="1">
      <c r="A1395" s="7" t="s">
        <v>29</v>
      </c>
      <c r="B1395" s="8">
        <v>4161</v>
      </c>
      <c r="C1395" s="9">
        <v>45693.73574074074</v>
      </c>
      <c r="D1395" s="9">
        <v>45692</v>
      </c>
      <c r="E1395" s="9">
        <v>45692</v>
      </c>
      <c r="F1395" s="7" t="s">
        <v>4585</v>
      </c>
      <c r="G1395" s="7" t="s">
        <v>2441</v>
      </c>
      <c r="H1395" s="7" t="s">
        <v>3190</v>
      </c>
      <c r="I1395" s="7" t="s">
        <v>3191</v>
      </c>
      <c r="J1395" s="7" t="s">
        <v>25</v>
      </c>
      <c r="K1395" s="7" t="s">
        <v>125</v>
      </c>
      <c r="L1395" s="10">
        <v>498.33</v>
      </c>
      <c r="M1395" s="10">
        <v>498.33</v>
      </c>
      <c r="N1395" s="15">
        <f>+L1395-M1395</f>
        <v>0</v>
      </c>
      <c r="O1395" s="15">
        <v>498.33</v>
      </c>
      <c r="P1395" s="15">
        <f>+L1395-O1395</f>
        <v>0</v>
      </c>
      <c r="Q1395" s="10">
        <v>0</v>
      </c>
      <c r="R1395" s="7" t="s">
        <v>87</v>
      </c>
    </row>
    <row r="1396" spans="1:18" hidden="1">
      <c r="A1396" s="7" t="s">
        <v>29</v>
      </c>
      <c r="B1396" s="8">
        <v>4296</v>
      </c>
      <c r="C1396" s="9">
        <v>45986.459467592591</v>
      </c>
      <c r="D1396" s="9">
        <v>45989</v>
      </c>
      <c r="E1396" s="9">
        <v>45981</v>
      </c>
      <c r="F1396" s="7" t="s">
        <v>4586</v>
      </c>
      <c r="G1396" s="7" t="s">
        <v>1519</v>
      </c>
      <c r="H1396" s="7" t="s">
        <v>4587</v>
      </c>
      <c r="I1396" s="7" t="s">
        <v>4588</v>
      </c>
      <c r="J1396" s="7" t="s">
        <v>25</v>
      </c>
      <c r="K1396" s="7" t="s">
        <v>86</v>
      </c>
      <c r="L1396" s="10">
        <v>485.9</v>
      </c>
      <c r="M1396" s="10">
        <v>485.9</v>
      </c>
      <c r="N1396" s="15">
        <f>+L1396-M1396</f>
        <v>0</v>
      </c>
      <c r="O1396" s="15">
        <v>485.9</v>
      </c>
      <c r="P1396" s="15">
        <f>+L1396-O1396</f>
        <v>0</v>
      </c>
      <c r="Q1396" s="10">
        <v>0</v>
      </c>
      <c r="R1396" s="7" t="s">
        <v>87</v>
      </c>
    </row>
    <row r="1397" spans="1:18">
      <c r="A1397" s="7" t="s">
        <v>29</v>
      </c>
      <c r="B1397" s="8">
        <v>20632</v>
      </c>
      <c r="C1397" s="9">
        <v>45958.670366701386</v>
      </c>
      <c r="D1397" s="9">
        <v>45964</v>
      </c>
      <c r="E1397" s="9">
        <v>45964</v>
      </c>
      <c r="F1397" s="7" t="s">
        <v>4589</v>
      </c>
      <c r="G1397" s="7" t="s">
        <v>4590</v>
      </c>
      <c r="H1397" s="7" t="s">
        <v>783</v>
      </c>
      <c r="I1397" s="7" t="s">
        <v>784</v>
      </c>
      <c r="J1397" s="7" t="s">
        <v>25</v>
      </c>
      <c r="K1397" s="7" t="s">
        <v>55</v>
      </c>
      <c r="L1397" s="10">
        <v>473.47</v>
      </c>
      <c r="M1397" s="10">
        <v>473.47</v>
      </c>
      <c r="N1397" s="10">
        <f>+L1397-M1397</f>
        <v>0</v>
      </c>
      <c r="O1397" s="10">
        <v>473.47</v>
      </c>
      <c r="P1397" s="10">
        <f>+L1397-O1397</f>
        <v>0</v>
      </c>
      <c r="Q1397" s="10">
        <v>0</v>
      </c>
      <c r="R1397" s="7" t="s">
        <v>27</v>
      </c>
    </row>
    <row r="1398" spans="1:18" hidden="1">
      <c r="A1398" s="7" t="s">
        <v>29</v>
      </c>
      <c r="B1398" s="8">
        <v>19474</v>
      </c>
      <c r="C1398" s="9">
        <v>45716.479074074072</v>
      </c>
      <c r="D1398" s="9">
        <v>45716</v>
      </c>
      <c r="E1398" s="9">
        <v>45716</v>
      </c>
      <c r="F1398" s="7" t="s">
        <v>4591</v>
      </c>
      <c r="G1398" s="7" t="s">
        <v>4592</v>
      </c>
      <c r="H1398" s="7" t="s">
        <v>4593</v>
      </c>
      <c r="I1398" s="7" t="s">
        <v>4591</v>
      </c>
      <c r="J1398" s="7" t="s">
        <v>40</v>
      </c>
      <c r="K1398" s="7" t="s">
        <v>1784</v>
      </c>
      <c r="L1398" s="10">
        <v>508.5</v>
      </c>
      <c r="M1398" s="10">
        <v>508.5</v>
      </c>
      <c r="N1398" s="10">
        <f>+L1398-M1398</f>
        <v>0</v>
      </c>
      <c r="O1398" s="10">
        <v>508.5</v>
      </c>
      <c r="P1398" s="10">
        <f>+L1398-O1398</f>
        <v>0</v>
      </c>
      <c r="Q1398" s="10">
        <v>0</v>
      </c>
      <c r="R1398" s="7" t="s">
        <v>27</v>
      </c>
    </row>
    <row r="1399" spans="1:18" hidden="1">
      <c r="A1399" s="7" t="s">
        <v>29</v>
      </c>
      <c r="B1399" s="8">
        <v>4207</v>
      </c>
      <c r="C1399" s="9">
        <v>45798.41505787037</v>
      </c>
      <c r="D1399" s="9">
        <v>45798</v>
      </c>
      <c r="E1399" s="9">
        <v>45798</v>
      </c>
      <c r="F1399" s="7" t="s">
        <v>4594</v>
      </c>
      <c r="G1399" s="7" t="s">
        <v>2807</v>
      </c>
      <c r="H1399" s="7" t="s">
        <v>1798</v>
      </c>
      <c r="I1399" s="7" t="s">
        <v>1799</v>
      </c>
      <c r="J1399" s="7" t="s">
        <v>25</v>
      </c>
      <c r="K1399" s="7" t="s">
        <v>125</v>
      </c>
      <c r="L1399" s="10">
        <v>471.21</v>
      </c>
      <c r="M1399" s="10">
        <v>471.21</v>
      </c>
      <c r="N1399" s="15">
        <f>+L1399-M1399</f>
        <v>0</v>
      </c>
      <c r="O1399" s="15">
        <v>471.21</v>
      </c>
      <c r="P1399" s="15">
        <f>+L1399-O1399</f>
        <v>0</v>
      </c>
      <c r="Q1399" s="10">
        <v>0</v>
      </c>
      <c r="R1399" s="7" t="s">
        <v>87</v>
      </c>
    </row>
    <row r="1400" spans="1:18" hidden="1">
      <c r="A1400" s="7" t="s">
        <v>29</v>
      </c>
      <c r="B1400" s="8">
        <v>19782</v>
      </c>
      <c r="C1400" s="9">
        <v>45785.349050925921</v>
      </c>
      <c r="D1400" s="9">
        <v>45784</v>
      </c>
      <c r="E1400" s="9">
        <v>45784</v>
      </c>
      <c r="F1400" s="7" t="s">
        <v>4595</v>
      </c>
      <c r="G1400" s="7" t="s">
        <v>4596</v>
      </c>
      <c r="H1400" s="7" t="s">
        <v>2260</v>
      </c>
      <c r="I1400" s="7" t="s">
        <v>2261</v>
      </c>
      <c r="J1400" s="7" t="s">
        <v>40</v>
      </c>
      <c r="K1400" s="7" t="s">
        <v>46</v>
      </c>
      <c r="L1400" s="10">
        <v>500</v>
      </c>
      <c r="M1400" s="10">
        <v>500</v>
      </c>
      <c r="N1400" s="10">
        <f>+L1400-M1400</f>
        <v>0</v>
      </c>
      <c r="O1400" s="10">
        <v>500</v>
      </c>
      <c r="P1400" s="10">
        <f>+L1400-O1400</f>
        <v>0</v>
      </c>
      <c r="Q1400" s="10">
        <v>0</v>
      </c>
      <c r="R1400" s="7" t="s">
        <v>27</v>
      </c>
    </row>
    <row r="1401" spans="1:18" hidden="1">
      <c r="A1401" s="7" t="s">
        <v>29</v>
      </c>
      <c r="B1401" s="8">
        <v>20789</v>
      </c>
      <c r="C1401" s="9">
        <v>46010.485411689813</v>
      </c>
      <c r="D1401" s="9">
        <v>46009</v>
      </c>
      <c r="E1401" s="9">
        <v>46009</v>
      </c>
      <c r="F1401" s="7" t="s">
        <v>4597</v>
      </c>
      <c r="G1401" s="7" t="s">
        <v>4598</v>
      </c>
      <c r="H1401" s="7" t="s">
        <v>4599</v>
      </c>
      <c r="I1401" s="7" t="s">
        <v>4600</v>
      </c>
      <c r="J1401" s="7" t="s">
        <v>176</v>
      </c>
      <c r="K1401" s="7" t="s">
        <v>360</v>
      </c>
      <c r="L1401" s="10">
        <v>528</v>
      </c>
      <c r="M1401" s="10">
        <v>528</v>
      </c>
      <c r="N1401" s="10">
        <f>+L1401-M1401</f>
        <v>0</v>
      </c>
      <c r="O1401" s="10">
        <v>528</v>
      </c>
      <c r="P1401" s="10">
        <f>+L1401-O1401</f>
        <v>0</v>
      </c>
      <c r="Q1401" s="10">
        <v>0</v>
      </c>
      <c r="R1401" s="7" t="s">
        <v>27</v>
      </c>
    </row>
    <row r="1402" spans="1:18" hidden="1">
      <c r="A1402" s="7" t="s">
        <v>29</v>
      </c>
      <c r="B1402" s="8">
        <v>20289</v>
      </c>
      <c r="C1402" s="9">
        <v>45887.412962962961</v>
      </c>
      <c r="D1402" s="9">
        <v>45883</v>
      </c>
      <c r="E1402" s="9">
        <v>45883</v>
      </c>
      <c r="F1402" s="7" t="s">
        <v>4128</v>
      </c>
      <c r="G1402" s="7" t="s">
        <v>4601</v>
      </c>
      <c r="H1402" s="7" t="s">
        <v>4130</v>
      </c>
      <c r="I1402" s="7" t="s">
        <v>4128</v>
      </c>
      <c r="J1402" s="7" t="s">
        <v>40</v>
      </c>
      <c r="K1402" s="7" t="s">
        <v>1784</v>
      </c>
      <c r="L1402" s="10">
        <v>497.51</v>
      </c>
      <c r="M1402" s="10">
        <v>497.51</v>
      </c>
      <c r="N1402" s="10">
        <f>+L1402-M1402</f>
        <v>0</v>
      </c>
      <c r="O1402" s="10">
        <v>497.51</v>
      </c>
      <c r="P1402" s="10">
        <f>+L1402-O1402</f>
        <v>0</v>
      </c>
      <c r="Q1402" s="10">
        <v>0</v>
      </c>
      <c r="R1402" s="7" t="s">
        <v>27</v>
      </c>
    </row>
    <row r="1403" spans="1:18" hidden="1">
      <c r="A1403" s="7" t="s">
        <v>29</v>
      </c>
      <c r="B1403" s="8">
        <v>20829</v>
      </c>
      <c r="C1403" s="9">
        <v>46028.618993055556</v>
      </c>
      <c r="D1403" s="9">
        <v>46028</v>
      </c>
      <c r="E1403" s="9">
        <v>46028</v>
      </c>
      <c r="F1403" s="7" t="s">
        <v>4602</v>
      </c>
      <c r="G1403" s="7" t="s">
        <v>4603</v>
      </c>
      <c r="H1403" s="7" t="s">
        <v>4604</v>
      </c>
      <c r="I1403" s="7" t="s">
        <v>4605</v>
      </c>
      <c r="J1403" s="7" t="s">
        <v>176</v>
      </c>
      <c r="K1403" s="7" t="s">
        <v>360</v>
      </c>
      <c r="L1403" s="10">
        <v>528</v>
      </c>
      <c r="M1403" s="10">
        <v>528</v>
      </c>
      <c r="N1403" s="10">
        <f>+L1403-M1403</f>
        <v>0</v>
      </c>
      <c r="O1403" s="10">
        <v>528</v>
      </c>
      <c r="P1403" s="10">
        <f>+L1403-O1403</f>
        <v>0</v>
      </c>
      <c r="Q1403" s="10">
        <v>0</v>
      </c>
      <c r="R1403" s="7" t="s">
        <v>27</v>
      </c>
    </row>
    <row r="1404" spans="1:18" hidden="1">
      <c r="A1404" s="7" t="s">
        <v>29</v>
      </c>
      <c r="B1404" s="8">
        <v>20692</v>
      </c>
      <c r="C1404" s="9">
        <v>45972.713692129626</v>
      </c>
      <c r="D1404" s="9">
        <v>45972</v>
      </c>
      <c r="E1404" s="9">
        <v>45972</v>
      </c>
      <c r="F1404" s="7" t="s">
        <v>4606</v>
      </c>
      <c r="G1404" s="7" t="s">
        <v>4607</v>
      </c>
      <c r="H1404" s="7" t="s">
        <v>4608</v>
      </c>
      <c r="I1404" s="7" t="s">
        <v>4609</v>
      </c>
      <c r="J1404" s="7" t="s">
        <v>34</v>
      </c>
      <c r="K1404" s="7" t="s">
        <v>902</v>
      </c>
      <c r="L1404" s="10">
        <v>527.94000000000005</v>
      </c>
      <c r="M1404" s="10">
        <v>527.94000000000005</v>
      </c>
      <c r="N1404" s="10">
        <f>+L1404-M1404</f>
        <v>0</v>
      </c>
      <c r="O1404" s="10">
        <v>527.94000000000005</v>
      </c>
      <c r="P1404" s="10">
        <f>+L1404-O1404</f>
        <v>0</v>
      </c>
      <c r="Q1404" s="10">
        <v>0</v>
      </c>
      <c r="R1404" s="7" t="s">
        <v>27</v>
      </c>
    </row>
    <row r="1405" spans="1:18" hidden="1">
      <c r="A1405" s="7" t="s">
        <v>29</v>
      </c>
      <c r="B1405" s="8">
        <v>20488</v>
      </c>
      <c r="C1405" s="9">
        <v>45923.444409722222</v>
      </c>
      <c r="D1405" s="9">
        <v>45929</v>
      </c>
      <c r="E1405" s="9">
        <v>45922</v>
      </c>
      <c r="F1405" s="7" t="s">
        <v>4610</v>
      </c>
      <c r="G1405" s="7" t="s">
        <v>4611</v>
      </c>
      <c r="H1405" s="7" t="s">
        <v>4612</v>
      </c>
      <c r="I1405" s="7" t="s">
        <v>4613</v>
      </c>
      <c r="J1405" s="7" t="s">
        <v>176</v>
      </c>
      <c r="K1405" s="7" t="s">
        <v>584</v>
      </c>
      <c r="L1405" s="10">
        <v>525</v>
      </c>
      <c r="M1405" s="10">
        <v>525</v>
      </c>
      <c r="N1405" s="10">
        <f>+L1405-M1405</f>
        <v>0</v>
      </c>
      <c r="O1405" s="10">
        <v>525</v>
      </c>
      <c r="P1405" s="10">
        <f>+L1405-O1405</f>
        <v>0</v>
      </c>
      <c r="Q1405" s="10">
        <v>0</v>
      </c>
      <c r="R1405" s="7" t="s">
        <v>27</v>
      </c>
    </row>
    <row r="1406" spans="1:18">
      <c r="A1406" s="7" t="s">
        <v>29</v>
      </c>
      <c r="B1406" s="8">
        <v>20627</v>
      </c>
      <c r="C1406" s="9">
        <v>45958.669166666667</v>
      </c>
      <c r="D1406" s="9">
        <v>45957</v>
      </c>
      <c r="E1406" s="9">
        <v>45957</v>
      </c>
      <c r="F1406" s="7" t="s">
        <v>4614</v>
      </c>
      <c r="G1406" s="7" t="s">
        <v>4615</v>
      </c>
      <c r="H1406" s="7" t="s">
        <v>2205</v>
      </c>
      <c r="I1406" s="7" t="s">
        <v>2206</v>
      </c>
      <c r="J1406" s="7" t="s">
        <v>25</v>
      </c>
      <c r="K1406" s="7" t="s">
        <v>26</v>
      </c>
      <c r="L1406" s="10">
        <v>463.3</v>
      </c>
      <c r="M1406" s="10">
        <v>463.3</v>
      </c>
      <c r="N1406" s="10">
        <f>+L1406-M1406</f>
        <v>0</v>
      </c>
      <c r="O1406" s="10">
        <v>463.3</v>
      </c>
      <c r="P1406" s="10">
        <f>+L1406-O1406</f>
        <v>0</v>
      </c>
      <c r="Q1406" s="10">
        <v>0</v>
      </c>
      <c r="R1406" s="7" t="s">
        <v>27</v>
      </c>
    </row>
    <row r="1407" spans="1:18" hidden="1">
      <c r="A1407" s="7" t="s">
        <v>29</v>
      </c>
      <c r="B1407" s="8">
        <v>20887</v>
      </c>
      <c r="C1407" s="9">
        <v>46042.703090277777</v>
      </c>
      <c r="D1407" s="9">
        <v>46038</v>
      </c>
      <c r="E1407" s="9">
        <v>46038</v>
      </c>
      <c r="F1407" s="7" t="s">
        <v>4616</v>
      </c>
      <c r="G1407" s="7" t="s">
        <v>4617</v>
      </c>
      <c r="H1407" s="7" t="s">
        <v>4618</v>
      </c>
      <c r="I1407" s="7" t="s">
        <v>4619</v>
      </c>
      <c r="J1407" s="7" t="s">
        <v>176</v>
      </c>
      <c r="K1407" s="7" t="s">
        <v>360</v>
      </c>
      <c r="L1407" s="10">
        <v>522</v>
      </c>
      <c r="M1407" s="10">
        <v>522</v>
      </c>
      <c r="N1407" s="10">
        <f>+L1407-M1407</f>
        <v>0</v>
      </c>
      <c r="O1407" s="10">
        <v>522</v>
      </c>
      <c r="P1407" s="10">
        <f>+L1407-O1407</f>
        <v>0</v>
      </c>
      <c r="Q1407" s="10">
        <v>0</v>
      </c>
      <c r="R1407" s="7" t="s">
        <v>27</v>
      </c>
    </row>
    <row r="1408" spans="1:18" hidden="1">
      <c r="A1408" s="7" t="s">
        <v>29</v>
      </c>
      <c r="B1408" s="8">
        <v>20921</v>
      </c>
      <c r="C1408" s="9">
        <v>46051.421307870369</v>
      </c>
      <c r="D1408" s="9">
        <v>46050</v>
      </c>
      <c r="E1408" s="9">
        <v>46050</v>
      </c>
      <c r="F1408" s="7" t="s">
        <v>4620</v>
      </c>
      <c r="G1408" s="7" t="s">
        <v>4621</v>
      </c>
      <c r="H1408" s="7" t="s">
        <v>4622</v>
      </c>
      <c r="I1408" s="7" t="s">
        <v>4623</v>
      </c>
      <c r="J1408" s="7" t="s">
        <v>176</v>
      </c>
      <c r="K1408" s="7" t="s">
        <v>360</v>
      </c>
      <c r="L1408" s="10">
        <v>522</v>
      </c>
      <c r="M1408" s="10">
        <v>522</v>
      </c>
      <c r="N1408" s="10">
        <f>+L1408-M1408</f>
        <v>0</v>
      </c>
      <c r="O1408" s="10">
        <v>522</v>
      </c>
      <c r="P1408" s="10">
        <f>+L1408-O1408</f>
        <v>0</v>
      </c>
      <c r="Q1408" s="10">
        <v>0</v>
      </c>
      <c r="R1408" s="7" t="s">
        <v>27</v>
      </c>
    </row>
    <row r="1409" spans="1:18" hidden="1">
      <c r="A1409" s="7" t="s">
        <v>29</v>
      </c>
      <c r="B1409" s="8">
        <v>19812</v>
      </c>
      <c r="C1409" s="9">
        <v>45791.600462962961</v>
      </c>
      <c r="D1409" s="9">
        <v>45791</v>
      </c>
      <c r="E1409" s="9">
        <v>45791</v>
      </c>
      <c r="F1409" s="7" t="s">
        <v>4624</v>
      </c>
      <c r="G1409" s="7" t="s">
        <v>4625</v>
      </c>
      <c r="H1409" s="7" t="s">
        <v>4626</v>
      </c>
      <c r="I1409" s="7" t="s">
        <v>4627</v>
      </c>
      <c r="J1409" s="7" t="s">
        <v>40</v>
      </c>
      <c r="K1409" s="7" t="s">
        <v>355</v>
      </c>
      <c r="L1409" s="10">
        <v>493.28</v>
      </c>
      <c r="M1409" s="10">
        <v>493.28</v>
      </c>
      <c r="N1409" s="10">
        <f>+L1409-M1409</f>
        <v>0</v>
      </c>
      <c r="O1409" s="10">
        <v>493.28</v>
      </c>
      <c r="P1409" s="10">
        <f>+L1409-O1409</f>
        <v>0</v>
      </c>
      <c r="Q1409" s="10">
        <v>0</v>
      </c>
      <c r="R1409" s="7" t="s">
        <v>27</v>
      </c>
    </row>
    <row r="1410" spans="1:18" hidden="1">
      <c r="A1410" s="7" t="s">
        <v>29</v>
      </c>
      <c r="B1410" s="8">
        <v>20405</v>
      </c>
      <c r="C1410" s="9">
        <v>45908.373530092591</v>
      </c>
      <c r="D1410" s="9">
        <v>45906</v>
      </c>
      <c r="E1410" s="9">
        <v>45906</v>
      </c>
      <c r="F1410" s="7" t="s">
        <v>4628</v>
      </c>
      <c r="G1410" s="7" t="s">
        <v>4629</v>
      </c>
      <c r="H1410" s="7" t="s">
        <v>4630</v>
      </c>
      <c r="I1410" s="7" t="s">
        <v>4631</v>
      </c>
      <c r="J1410" s="7" t="s">
        <v>176</v>
      </c>
      <c r="K1410" s="7" t="s">
        <v>4632</v>
      </c>
      <c r="L1410" s="10">
        <v>516</v>
      </c>
      <c r="M1410" s="10">
        <v>516</v>
      </c>
      <c r="N1410" s="10">
        <f>+L1410-M1410</f>
        <v>0</v>
      </c>
      <c r="O1410" s="10">
        <v>516</v>
      </c>
      <c r="P1410" s="10">
        <f>+L1410-O1410</f>
        <v>0</v>
      </c>
      <c r="Q1410" s="10">
        <v>0</v>
      </c>
      <c r="R1410" s="7" t="s">
        <v>27</v>
      </c>
    </row>
    <row r="1411" spans="1:18" hidden="1">
      <c r="A1411" s="7" t="s">
        <v>29</v>
      </c>
      <c r="B1411" s="8">
        <v>19900</v>
      </c>
      <c r="C1411" s="9">
        <v>45810.57403935185</v>
      </c>
      <c r="D1411" s="9">
        <v>45810</v>
      </c>
      <c r="E1411" s="9">
        <v>45832</v>
      </c>
      <c r="F1411" s="7" t="s">
        <v>4633</v>
      </c>
      <c r="G1411" s="7" t="s">
        <v>4634</v>
      </c>
      <c r="H1411" s="7" t="s">
        <v>3233</v>
      </c>
      <c r="I1411" s="7" t="s">
        <v>3234</v>
      </c>
      <c r="J1411" s="7" t="s">
        <v>34</v>
      </c>
      <c r="K1411" s="7" t="s">
        <v>118</v>
      </c>
      <c r="L1411" s="10">
        <v>514.73</v>
      </c>
      <c r="M1411" s="10">
        <v>514.73</v>
      </c>
      <c r="N1411" s="10">
        <f>+L1411-M1411</f>
        <v>0</v>
      </c>
      <c r="O1411" s="10">
        <v>514.73</v>
      </c>
      <c r="P1411" s="10">
        <f>+L1411-O1411</f>
        <v>0</v>
      </c>
      <c r="Q1411" s="10">
        <v>0</v>
      </c>
      <c r="R1411" s="7" t="s">
        <v>27</v>
      </c>
    </row>
    <row r="1412" spans="1:18" hidden="1">
      <c r="A1412" s="7" t="s">
        <v>29</v>
      </c>
      <c r="B1412" s="8">
        <v>4241</v>
      </c>
      <c r="C1412" s="9">
        <v>45847.472210648149</v>
      </c>
      <c r="D1412" s="9">
        <v>45846</v>
      </c>
      <c r="E1412" s="9">
        <v>45846</v>
      </c>
      <c r="F1412" s="7" t="s">
        <v>4635</v>
      </c>
      <c r="G1412" s="7" t="s">
        <v>2503</v>
      </c>
      <c r="H1412" s="7" t="s">
        <v>280</v>
      </c>
      <c r="I1412" s="7" t="s">
        <v>205</v>
      </c>
      <c r="J1412" s="7" t="s">
        <v>25</v>
      </c>
      <c r="K1412" s="7" t="s">
        <v>206</v>
      </c>
      <c r="L1412" s="10">
        <v>461.4</v>
      </c>
      <c r="M1412" s="10">
        <v>461.4</v>
      </c>
      <c r="N1412" s="15">
        <f>+L1412-M1412</f>
        <v>0</v>
      </c>
      <c r="O1412" s="15">
        <v>461.4</v>
      </c>
      <c r="P1412" s="15">
        <f>+L1412-O1412</f>
        <v>0</v>
      </c>
      <c r="Q1412" s="10">
        <v>0</v>
      </c>
      <c r="R1412" s="7" t="s">
        <v>87</v>
      </c>
    </row>
    <row r="1413" spans="1:18" hidden="1">
      <c r="A1413" s="7" t="s">
        <v>29</v>
      </c>
      <c r="B1413" s="8">
        <v>20778</v>
      </c>
      <c r="C1413" s="9">
        <v>46002.701851851853</v>
      </c>
      <c r="D1413" s="9">
        <v>46002</v>
      </c>
      <c r="E1413" s="9">
        <v>46002</v>
      </c>
      <c r="F1413" s="7" t="s">
        <v>4636</v>
      </c>
      <c r="G1413" s="7" t="s">
        <v>4637</v>
      </c>
      <c r="H1413" s="7" t="s">
        <v>4638</v>
      </c>
      <c r="I1413" s="7" t="s">
        <v>4639</v>
      </c>
      <c r="J1413" s="7" t="s">
        <v>34</v>
      </c>
      <c r="K1413" s="7" t="s">
        <v>477</v>
      </c>
      <c r="L1413" s="10">
        <v>512.25</v>
      </c>
      <c r="M1413" s="10">
        <v>512.25</v>
      </c>
      <c r="N1413" s="10">
        <f>+L1413-M1413</f>
        <v>0</v>
      </c>
      <c r="O1413" s="10">
        <v>512.25</v>
      </c>
      <c r="P1413" s="10">
        <f>+L1413-O1413</f>
        <v>0</v>
      </c>
      <c r="Q1413" s="10">
        <v>0</v>
      </c>
      <c r="R1413" s="7" t="s">
        <v>27</v>
      </c>
    </row>
    <row r="1414" spans="1:18" hidden="1">
      <c r="A1414" s="7" t="s">
        <v>29</v>
      </c>
      <c r="B1414" s="8">
        <v>20155</v>
      </c>
      <c r="C1414" s="9">
        <v>45854.406412037039</v>
      </c>
      <c r="D1414" s="9">
        <v>45849</v>
      </c>
      <c r="E1414" s="9">
        <v>45849</v>
      </c>
      <c r="F1414" s="7" t="s">
        <v>4640</v>
      </c>
      <c r="G1414" s="7" t="s">
        <v>4641</v>
      </c>
      <c r="H1414" s="7" t="s">
        <v>4642</v>
      </c>
      <c r="I1414" s="7" t="s">
        <v>4640</v>
      </c>
      <c r="J1414" s="7" t="s">
        <v>40</v>
      </c>
      <c r="K1414" s="7" t="s">
        <v>1784</v>
      </c>
      <c r="L1414" s="10">
        <v>490.26</v>
      </c>
      <c r="M1414" s="10">
        <v>490.26</v>
      </c>
      <c r="N1414" s="10">
        <f>+L1414-M1414</f>
        <v>0</v>
      </c>
      <c r="O1414" s="10">
        <v>490.26</v>
      </c>
      <c r="P1414" s="10">
        <f>+L1414-O1414</f>
        <v>0</v>
      </c>
      <c r="Q1414" s="10">
        <v>0</v>
      </c>
      <c r="R1414" s="7" t="s">
        <v>27</v>
      </c>
    </row>
    <row r="1415" spans="1:18" hidden="1">
      <c r="A1415" s="7" t="s">
        <v>29</v>
      </c>
      <c r="B1415" s="8">
        <v>20134</v>
      </c>
      <c r="C1415" s="9">
        <v>45849.481192129628</v>
      </c>
      <c r="D1415" s="9">
        <v>45849</v>
      </c>
      <c r="E1415" s="9">
        <v>45849</v>
      </c>
      <c r="F1415" s="7" t="s">
        <v>4643</v>
      </c>
      <c r="G1415" s="7" t="s">
        <v>4644</v>
      </c>
      <c r="H1415" s="7" t="s">
        <v>4645</v>
      </c>
      <c r="I1415" s="7" t="s">
        <v>4643</v>
      </c>
      <c r="J1415" s="7" t="s">
        <v>40</v>
      </c>
      <c r="K1415" s="7" t="s">
        <v>1784</v>
      </c>
      <c r="L1415" s="10">
        <v>488.07</v>
      </c>
      <c r="M1415" s="10">
        <v>488.07</v>
      </c>
      <c r="N1415" s="10">
        <f>+L1415-M1415</f>
        <v>0</v>
      </c>
      <c r="O1415" s="10">
        <v>488.07</v>
      </c>
      <c r="P1415" s="10">
        <f>+L1415-O1415</f>
        <v>0</v>
      </c>
      <c r="Q1415" s="10">
        <v>0</v>
      </c>
      <c r="R1415" s="7" t="s">
        <v>27</v>
      </c>
    </row>
    <row r="1416" spans="1:18" hidden="1">
      <c r="A1416" s="7" t="s">
        <v>29</v>
      </c>
      <c r="B1416" s="8">
        <v>19845</v>
      </c>
      <c r="C1416" s="9">
        <v>45798.536921296298</v>
      </c>
      <c r="D1416" s="9">
        <v>45798</v>
      </c>
      <c r="E1416" s="9">
        <v>45811</v>
      </c>
      <c r="F1416" s="7" t="s">
        <v>4646</v>
      </c>
      <c r="G1416" s="7" t="s">
        <v>4647</v>
      </c>
      <c r="H1416" s="7" t="s">
        <v>4648</v>
      </c>
      <c r="I1416" s="7" t="s">
        <v>4649</v>
      </c>
      <c r="J1416" s="7" t="s">
        <v>34</v>
      </c>
      <c r="K1416" s="7" t="s">
        <v>902</v>
      </c>
      <c r="L1416" s="10">
        <v>506.01</v>
      </c>
      <c r="M1416" s="10">
        <v>506.01</v>
      </c>
      <c r="N1416" s="10">
        <f>+L1416-M1416</f>
        <v>0</v>
      </c>
      <c r="O1416" s="10">
        <v>506.01</v>
      </c>
      <c r="P1416" s="10">
        <f>+L1416-O1416</f>
        <v>0</v>
      </c>
      <c r="Q1416" s="10">
        <v>0</v>
      </c>
      <c r="R1416" s="7" t="s">
        <v>27</v>
      </c>
    </row>
    <row r="1417" spans="1:18" hidden="1">
      <c r="A1417" s="7" t="s">
        <v>29</v>
      </c>
      <c r="B1417" s="8">
        <v>19990</v>
      </c>
      <c r="C1417" s="9">
        <v>45827.525671296295</v>
      </c>
      <c r="D1417" s="9">
        <v>45834</v>
      </c>
      <c r="E1417" s="9">
        <v>45827</v>
      </c>
      <c r="F1417" s="7" t="s">
        <v>4650</v>
      </c>
      <c r="G1417" s="7" t="s">
        <v>4651</v>
      </c>
      <c r="H1417" s="7" t="s">
        <v>2573</v>
      </c>
      <c r="I1417" s="7" t="s">
        <v>2574</v>
      </c>
      <c r="J1417" s="7" t="s">
        <v>176</v>
      </c>
      <c r="K1417" s="7" t="s">
        <v>584</v>
      </c>
      <c r="L1417" s="10">
        <v>503</v>
      </c>
      <c r="M1417" s="10">
        <v>503</v>
      </c>
      <c r="N1417" s="10">
        <f>+L1417-M1417</f>
        <v>0</v>
      </c>
      <c r="O1417" s="10">
        <v>503</v>
      </c>
      <c r="P1417" s="10">
        <f>+L1417-O1417</f>
        <v>0</v>
      </c>
      <c r="Q1417" s="10">
        <v>0</v>
      </c>
      <c r="R1417" s="7" t="s">
        <v>27</v>
      </c>
    </row>
    <row r="1418" spans="1:18" hidden="1">
      <c r="A1418" s="7" t="s">
        <v>29</v>
      </c>
      <c r="B1418" s="8">
        <v>20141</v>
      </c>
      <c r="C1418" s="9">
        <v>45852.538148148145</v>
      </c>
      <c r="D1418" s="9">
        <v>45849</v>
      </c>
      <c r="E1418" s="9">
        <v>45849</v>
      </c>
      <c r="F1418" s="7" t="s">
        <v>4652</v>
      </c>
      <c r="G1418" s="7" t="s">
        <v>4653</v>
      </c>
      <c r="H1418" s="7" t="s">
        <v>4654</v>
      </c>
      <c r="I1418" s="7" t="s">
        <v>4652</v>
      </c>
      <c r="J1418" s="7" t="s">
        <v>40</v>
      </c>
      <c r="K1418" s="7" t="s">
        <v>1784</v>
      </c>
      <c r="L1418" s="10">
        <v>465.6</v>
      </c>
      <c r="M1418" s="10">
        <v>465.6</v>
      </c>
      <c r="N1418" s="10">
        <f>+L1418-M1418</f>
        <v>0</v>
      </c>
      <c r="O1418" s="10">
        <v>465.6</v>
      </c>
      <c r="P1418" s="10">
        <f>+L1418-O1418</f>
        <v>0</v>
      </c>
      <c r="Q1418" s="10">
        <v>0</v>
      </c>
      <c r="R1418" s="7" t="s">
        <v>27</v>
      </c>
    </row>
    <row r="1419" spans="1:18" hidden="1">
      <c r="A1419" s="7" t="s">
        <v>29</v>
      </c>
      <c r="B1419" s="8">
        <v>20153</v>
      </c>
      <c r="C1419" s="9">
        <v>45854.403229166666</v>
      </c>
      <c r="D1419" s="9">
        <v>45849</v>
      </c>
      <c r="E1419" s="9">
        <v>45849</v>
      </c>
      <c r="F1419" s="7" t="s">
        <v>4655</v>
      </c>
      <c r="G1419" s="7" t="s">
        <v>4656</v>
      </c>
      <c r="H1419" s="7" t="s">
        <v>4657</v>
      </c>
      <c r="I1419" s="7" t="s">
        <v>4655</v>
      </c>
      <c r="J1419" s="7" t="s">
        <v>40</v>
      </c>
      <c r="K1419" s="7" t="s">
        <v>1784</v>
      </c>
      <c r="L1419" s="10">
        <v>419.16</v>
      </c>
      <c r="M1419" s="10">
        <v>419.16</v>
      </c>
      <c r="N1419" s="10">
        <f>+L1419-M1419</f>
        <v>0</v>
      </c>
      <c r="O1419" s="10">
        <v>419.16</v>
      </c>
      <c r="P1419" s="10">
        <f>+L1419-O1419</f>
        <v>0</v>
      </c>
      <c r="Q1419" s="10">
        <v>0</v>
      </c>
      <c r="R1419" s="7" t="s">
        <v>27</v>
      </c>
    </row>
    <row r="1420" spans="1:18" hidden="1">
      <c r="A1420" s="7" t="s">
        <v>29</v>
      </c>
      <c r="B1420" s="8">
        <v>20179</v>
      </c>
      <c r="C1420" s="9">
        <v>45861.517812499995</v>
      </c>
      <c r="D1420" s="9">
        <v>45861</v>
      </c>
      <c r="E1420" s="9">
        <v>45861</v>
      </c>
      <c r="F1420" s="7" t="s">
        <v>4658</v>
      </c>
      <c r="G1420" s="7" t="s">
        <v>4659</v>
      </c>
      <c r="H1420" s="7" t="s">
        <v>4660</v>
      </c>
      <c r="I1420" s="7" t="s">
        <v>4661</v>
      </c>
      <c r="J1420" s="7" t="s">
        <v>40</v>
      </c>
      <c r="K1420" s="7" t="s">
        <v>355</v>
      </c>
      <c r="L1420" s="10">
        <v>413</v>
      </c>
      <c r="M1420" s="10">
        <v>413</v>
      </c>
      <c r="N1420" s="10">
        <f>+L1420-M1420</f>
        <v>0</v>
      </c>
      <c r="O1420" s="10">
        <v>413</v>
      </c>
      <c r="P1420" s="10">
        <f>+L1420-O1420</f>
        <v>0</v>
      </c>
      <c r="Q1420" s="10">
        <v>0</v>
      </c>
      <c r="R1420" s="7" t="s">
        <v>27</v>
      </c>
    </row>
    <row r="1421" spans="1:18" hidden="1">
      <c r="A1421" s="7" t="s">
        <v>29</v>
      </c>
      <c r="B1421" s="8">
        <v>20341</v>
      </c>
      <c r="C1421" s="9">
        <v>45896.737615740742</v>
      </c>
      <c r="D1421" s="9">
        <v>45896</v>
      </c>
      <c r="E1421" s="9">
        <v>45896</v>
      </c>
      <c r="F1421" s="7" t="s">
        <v>4662</v>
      </c>
      <c r="G1421" s="7" t="s">
        <v>4663</v>
      </c>
      <c r="H1421" s="7" t="s">
        <v>4664</v>
      </c>
      <c r="I1421" s="7" t="s">
        <v>4665</v>
      </c>
      <c r="J1421" s="7" t="s">
        <v>176</v>
      </c>
      <c r="K1421" s="7" t="s">
        <v>360</v>
      </c>
      <c r="L1421" s="10">
        <v>491.96</v>
      </c>
      <c r="M1421" s="10">
        <v>491.96</v>
      </c>
      <c r="N1421" s="10">
        <f>+L1421-M1421</f>
        <v>0</v>
      </c>
      <c r="O1421" s="10">
        <v>491.96</v>
      </c>
      <c r="P1421" s="10">
        <f>+L1421-O1421</f>
        <v>0</v>
      </c>
      <c r="Q1421" s="10">
        <v>0</v>
      </c>
      <c r="R1421" s="7" t="s">
        <v>27</v>
      </c>
    </row>
    <row r="1422" spans="1:18" hidden="1">
      <c r="A1422" s="7" t="s">
        <v>29</v>
      </c>
      <c r="B1422" s="8">
        <v>19687</v>
      </c>
      <c r="C1422" s="9">
        <v>45762.465173611112</v>
      </c>
      <c r="D1422" s="9">
        <v>45762</v>
      </c>
      <c r="E1422" s="9">
        <v>45762</v>
      </c>
      <c r="F1422" s="7" t="s">
        <v>4666</v>
      </c>
      <c r="G1422" s="7" t="s">
        <v>4667</v>
      </c>
      <c r="H1422" s="7" t="s">
        <v>4668</v>
      </c>
      <c r="I1422" s="7" t="s">
        <v>4666</v>
      </c>
      <c r="J1422" s="7" t="s">
        <v>40</v>
      </c>
      <c r="K1422" s="7" t="s">
        <v>1784</v>
      </c>
      <c r="L1422" s="10">
        <v>399.65</v>
      </c>
      <c r="M1422" s="10">
        <v>399.65</v>
      </c>
      <c r="N1422" s="10">
        <f>+L1422-M1422</f>
        <v>0</v>
      </c>
      <c r="O1422" s="10">
        <v>399.65</v>
      </c>
      <c r="P1422" s="10">
        <f>+L1422-O1422</f>
        <v>0</v>
      </c>
      <c r="Q1422" s="10">
        <v>0</v>
      </c>
      <c r="R1422" s="7" t="s">
        <v>27</v>
      </c>
    </row>
    <row r="1423" spans="1:18" hidden="1">
      <c r="A1423" s="7" t="s">
        <v>29</v>
      </c>
      <c r="B1423" s="8">
        <v>20873</v>
      </c>
      <c r="C1423" s="9">
        <v>46038.716504629629</v>
      </c>
      <c r="D1423" s="9">
        <v>45960</v>
      </c>
      <c r="E1423" s="9">
        <v>46006</v>
      </c>
      <c r="F1423" s="7" t="s">
        <v>4669</v>
      </c>
      <c r="G1423" s="7" t="s">
        <v>4670</v>
      </c>
      <c r="H1423" s="7" t="s">
        <v>4671</v>
      </c>
      <c r="I1423" s="7" t="s">
        <v>4672</v>
      </c>
      <c r="J1423" s="7" t="s">
        <v>40</v>
      </c>
      <c r="K1423" s="7" t="s">
        <v>355</v>
      </c>
      <c r="L1423" s="10">
        <v>388.11</v>
      </c>
      <c r="M1423" s="10">
        <v>388.11</v>
      </c>
      <c r="N1423" s="10">
        <f>+L1423-M1423</f>
        <v>0</v>
      </c>
      <c r="O1423" s="10">
        <v>388.11</v>
      </c>
      <c r="P1423" s="10">
        <f>+L1423-O1423</f>
        <v>0</v>
      </c>
      <c r="Q1423" s="10">
        <v>0</v>
      </c>
      <c r="R1423" s="7" t="s">
        <v>27</v>
      </c>
    </row>
    <row r="1424" spans="1:18" hidden="1">
      <c r="A1424" s="7" t="s">
        <v>29</v>
      </c>
      <c r="B1424" s="8">
        <v>4284</v>
      </c>
      <c r="C1424" s="9">
        <v>45964.400196759256</v>
      </c>
      <c r="D1424" s="9">
        <v>45943</v>
      </c>
      <c r="E1424" s="9">
        <v>46006</v>
      </c>
      <c r="F1424" s="7" t="s">
        <v>4673</v>
      </c>
      <c r="G1424" s="7" t="s">
        <v>2643</v>
      </c>
      <c r="H1424" s="7" t="s">
        <v>4271</v>
      </c>
      <c r="I1424" s="7" t="s">
        <v>4272</v>
      </c>
      <c r="J1424" s="7" t="s">
        <v>25</v>
      </c>
      <c r="K1424" s="7" t="s">
        <v>206</v>
      </c>
      <c r="L1424" s="10">
        <v>455.81</v>
      </c>
      <c r="M1424" s="10">
        <v>455.81</v>
      </c>
      <c r="N1424" s="15">
        <f>+L1424-M1424</f>
        <v>0</v>
      </c>
      <c r="O1424" s="15">
        <v>455.81</v>
      </c>
      <c r="P1424" s="15">
        <f>+L1424-O1424</f>
        <v>0</v>
      </c>
      <c r="Q1424" s="10">
        <v>0</v>
      </c>
      <c r="R1424" s="7" t="s">
        <v>87</v>
      </c>
    </row>
    <row r="1425" spans="1:18">
      <c r="A1425" s="7" t="s">
        <v>29</v>
      </c>
      <c r="B1425" s="8">
        <v>19868</v>
      </c>
      <c r="C1425" s="9">
        <v>45804.740416666667</v>
      </c>
      <c r="D1425" s="9">
        <v>45804</v>
      </c>
      <c r="E1425" s="9">
        <v>45838</v>
      </c>
      <c r="F1425" s="7" t="s">
        <v>4674</v>
      </c>
      <c r="G1425" s="7" t="s">
        <v>4675</v>
      </c>
      <c r="H1425" s="7" t="s">
        <v>311</v>
      </c>
      <c r="I1425" s="7" t="s">
        <v>239</v>
      </c>
      <c r="J1425" s="7" t="s">
        <v>25</v>
      </c>
      <c r="K1425" s="7" t="s">
        <v>537</v>
      </c>
      <c r="L1425" s="10">
        <v>452.23</v>
      </c>
      <c r="M1425" s="10">
        <v>452.23</v>
      </c>
      <c r="N1425" s="10">
        <f>+L1425-M1425</f>
        <v>0</v>
      </c>
      <c r="O1425" s="10">
        <v>452.23</v>
      </c>
      <c r="P1425" s="10">
        <f>+L1425-O1425</f>
        <v>0</v>
      </c>
      <c r="Q1425" s="10">
        <v>0</v>
      </c>
      <c r="R1425" s="7" t="s">
        <v>27</v>
      </c>
    </row>
    <row r="1426" spans="1:18" hidden="1">
      <c r="A1426" s="7" t="s">
        <v>29</v>
      </c>
      <c r="B1426" s="8">
        <v>19932</v>
      </c>
      <c r="C1426" s="9">
        <v>45817.455081018517</v>
      </c>
      <c r="D1426" s="9">
        <v>45814</v>
      </c>
      <c r="E1426" s="9">
        <v>45814</v>
      </c>
      <c r="F1426" s="7" t="s">
        <v>4676</v>
      </c>
      <c r="G1426" s="7" t="s">
        <v>4677</v>
      </c>
      <c r="H1426" s="7" t="s">
        <v>4678</v>
      </c>
      <c r="I1426" s="7" t="s">
        <v>4679</v>
      </c>
      <c r="J1426" s="7" t="s">
        <v>176</v>
      </c>
      <c r="K1426" s="7" t="s">
        <v>494</v>
      </c>
      <c r="L1426" s="10">
        <v>484.63</v>
      </c>
      <c r="M1426" s="10">
        <v>484.63</v>
      </c>
      <c r="N1426" s="10">
        <f>+L1426-M1426</f>
        <v>0</v>
      </c>
      <c r="O1426" s="10">
        <v>484.63</v>
      </c>
      <c r="P1426" s="10">
        <f>+L1426-O1426</f>
        <v>0</v>
      </c>
      <c r="Q1426" s="10">
        <v>0</v>
      </c>
      <c r="R1426" s="7" t="s">
        <v>27</v>
      </c>
    </row>
    <row r="1427" spans="1:18" hidden="1">
      <c r="A1427" s="7" t="s">
        <v>29</v>
      </c>
      <c r="B1427" s="8">
        <v>19638</v>
      </c>
      <c r="C1427" s="9">
        <v>45756.357314814813</v>
      </c>
      <c r="D1427" s="9">
        <v>45756</v>
      </c>
      <c r="E1427" s="9">
        <v>45832</v>
      </c>
      <c r="F1427" s="7" t="s">
        <v>4680</v>
      </c>
      <c r="G1427" s="7" t="s">
        <v>4681</v>
      </c>
      <c r="H1427" s="7" t="s">
        <v>4682</v>
      </c>
      <c r="I1427" s="7" t="s">
        <v>4683</v>
      </c>
      <c r="J1427" s="7" t="s">
        <v>34</v>
      </c>
      <c r="K1427" s="7" t="s">
        <v>902</v>
      </c>
      <c r="L1427" s="10">
        <v>484.17</v>
      </c>
      <c r="M1427" s="10">
        <v>484.17</v>
      </c>
      <c r="N1427" s="10">
        <f>+L1427-M1427</f>
        <v>0</v>
      </c>
      <c r="O1427" s="10">
        <v>484.17</v>
      </c>
      <c r="P1427" s="10">
        <f>+L1427-O1427</f>
        <v>0</v>
      </c>
      <c r="Q1427" s="10">
        <v>0</v>
      </c>
      <c r="R1427" s="7" t="s">
        <v>27</v>
      </c>
    </row>
    <row r="1428" spans="1:18" hidden="1">
      <c r="A1428" s="7" t="s">
        <v>29</v>
      </c>
      <c r="B1428" s="8">
        <v>19764</v>
      </c>
      <c r="C1428" s="9">
        <v>45779.391979166663</v>
      </c>
      <c r="D1428" s="9">
        <v>45776</v>
      </c>
      <c r="E1428" s="9">
        <v>45776</v>
      </c>
      <c r="F1428" s="7" t="s">
        <v>4684</v>
      </c>
      <c r="G1428" s="7" t="s">
        <v>4685</v>
      </c>
      <c r="H1428" s="7" t="s">
        <v>4686</v>
      </c>
      <c r="I1428" s="7" t="s">
        <v>4687</v>
      </c>
      <c r="J1428" s="7" t="s">
        <v>176</v>
      </c>
      <c r="K1428" s="7" t="s">
        <v>494</v>
      </c>
      <c r="L1428" s="10">
        <v>478</v>
      </c>
      <c r="M1428" s="10">
        <v>478</v>
      </c>
      <c r="N1428" s="10">
        <f>+L1428-M1428</f>
        <v>0</v>
      </c>
      <c r="O1428" s="10">
        <v>478</v>
      </c>
      <c r="P1428" s="10">
        <f>+L1428-O1428</f>
        <v>0</v>
      </c>
      <c r="Q1428" s="10">
        <v>0</v>
      </c>
      <c r="R1428" s="7" t="s">
        <v>27</v>
      </c>
    </row>
    <row r="1429" spans="1:18">
      <c r="A1429" s="7" t="s">
        <v>29</v>
      </c>
      <c r="B1429" s="8">
        <v>20847</v>
      </c>
      <c r="C1429" s="9">
        <v>46031.414363425924</v>
      </c>
      <c r="D1429" s="9">
        <v>46031</v>
      </c>
      <c r="E1429" s="9">
        <v>46030</v>
      </c>
      <c r="F1429" s="7" t="s">
        <v>4688</v>
      </c>
      <c r="G1429" s="7" t="s">
        <v>52</v>
      </c>
      <c r="H1429" s="7" t="s">
        <v>4689</v>
      </c>
      <c r="I1429" s="7" t="s">
        <v>4690</v>
      </c>
      <c r="J1429" s="7" t="s">
        <v>25</v>
      </c>
      <c r="K1429" s="7" t="s">
        <v>26</v>
      </c>
      <c r="L1429" s="10">
        <v>452</v>
      </c>
      <c r="M1429" s="10">
        <v>452</v>
      </c>
      <c r="N1429" s="10">
        <f>+L1429-M1429</f>
        <v>0</v>
      </c>
      <c r="O1429" s="10">
        <v>452</v>
      </c>
      <c r="P1429" s="10">
        <f>+L1429-O1429</f>
        <v>0</v>
      </c>
      <c r="Q1429" s="10">
        <v>0</v>
      </c>
      <c r="R1429" s="7" t="s">
        <v>27</v>
      </c>
    </row>
    <row r="1430" spans="1:18" hidden="1">
      <c r="A1430" s="7" t="s">
        <v>29</v>
      </c>
      <c r="B1430" s="8">
        <v>19775</v>
      </c>
      <c r="C1430" s="9">
        <v>45784.416770833333</v>
      </c>
      <c r="D1430" s="9">
        <v>45783</v>
      </c>
      <c r="E1430" s="9">
        <v>45783</v>
      </c>
      <c r="F1430" s="7" t="s">
        <v>4691</v>
      </c>
      <c r="G1430" s="7" t="s">
        <v>4692</v>
      </c>
      <c r="H1430" s="7" t="s">
        <v>4693</v>
      </c>
      <c r="I1430" s="7" t="s">
        <v>4694</v>
      </c>
      <c r="J1430" s="7" t="s">
        <v>176</v>
      </c>
      <c r="K1430" s="7" t="s">
        <v>494</v>
      </c>
      <c r="L1430" s="10">
        <v>467.29</v>
      </c>
      <c r="M1430" s="10">
        <v>467.29</v>
      </c>
      <c r="N1430" s="10">
        <f>+L1430-M1430</f>
        <v>0</v>
      </c>
      <c r="O1430" s="10">
        <v>467.29</v>
      </c>
      <c r="P1430" s="10">
        <f>+L1430-O1430</f>
        <v>0</v>
      </c>
      <c r="Q1430" s="10">
        <v>0</v>
      </c>
      <c r="R1430" s="7" t="s">
        <v>27</v>
      </c>
    </row>
    <row r="1431" spans="1:18" hidden="1">
      <c r="A1431" s="7" t="s">
        <v>29</v>
      </c>
      <c r="B1431" s="8">
        <v>20014</v>
      </c>
      <c r="C1431" s="9">
        <v>45833.43849537037</v>
      </c>
      <c r="D1431" s="9">
        <v>45868</v>
      </c>
      <c r="E1431" s="9">
        <v>45863</v>
      </c>
      <c r="F1431" s="7" t="s">
        <v>4695</v>
      </c>
      <c r="G1431" s="7" t="s">
        <v>4696</v>
      </c>
      <c r="H1431" s="7" t="s">
        <v>3363</v>
      </c>
      <c r="I1431" s="7" t="s">
        <v>3364</v>
      </c>
      <c r="J1431" s="7" t="s">
        <v>34</v>
      </c>
      <c r="K1431" s="7" t="s">
        <v>269</v>
      </c>
      <c r="L1431" s="10">
        <v>466.4</v>
      </c>
      <c r="M1431" s="10">
        <v>466.4</v>
      </c>
      <c r="N1431" s="10">
        <f>+L1431-M1431</f>
        <v>0</v>
      </c>
      <c r="O1431" s="10">
        <v>466.4</v>
      </c>
      <c r="P1431" s="10">
        <f>+L1431-O1431</f>
        <v>0</v>
      </c>
      <c r="Q1431" s="10">
        <v>0</v>
      </c>
      <c r="R1431" s="7" t="s">
        <v>27</v>
      </c>
    </row>
    <row r="1432" spans="1:18" hidden="1">
      <c r="A1432" s="7" t="s">
        <v>29</v>
      </c>
      <c r="B1432" s="8">
        <v>20643</v>
      </c>
      <c r="C1432" s="9">
        <v>45960.661099537036</v>
      </c>
      <c r="D1432" s="9">
        <v>45931</v>
      </c>
      <c r="E1432" s="9">
        <v>45931</v>
      </c>
      <c r="F1432" s="7" t="s">
        <v>4697</v>
      </c>
      <c r="G1432" s="7" t="s">
        <v>4698</v>
      </c>
      <c r="H1432" s="7" t="s">
        <v>4335</v>
      </c>
      <c r="I1432" s="7" t="s">
        <v>4336</v>
      </c>
      <c r="J1432" s="7" t="s">
        <v>40</v>
      </c>
      <c r="K1432" s="7" t="s">
        <v>355</v>
      </c>
      <c r="L1432" s="10">
        <v>376.39</v>
      </c>
      <c r="M1432" s="10">
        <v>376.39</v>
      </c>
      <c r="N1432" s="10">
        <f>+L1432-M1432</f>
        <v>0</v>
      </c>
      <c r="O1432" s="10">
        <v>376.39</v>
      </c>
      <c r="P1432" s="10">
        <f>+L1432-O1432</f>
        <v>0</v>
      </c>
      <c r="Q1432" s="10">
        <v>0</v>
      </c>
      <c r="R1432" s="7" t="s">
        <v>27</v>
      </c>
    </row>
    <row r="1433" spans="1:18" hidden="1">
      <c r="A1433" s="7" t="s">
        <v>29</v>
      </c>
      <c r="B1433" s="8">
        <v>20424</v>
      </c>
      <c r="C1433" s="9">
        <v>45909.651782407404</v>
      </c>
      <c r="D1433" s="9">
        <v>45792</v>
      </c>
      <c r="E1433" s="9">
        <v>45793</v>
      </c>
      <c r="F1433" s="7" t="s">
        <v>4699</v>
      </c>
      <c r="G1433" s="7" t="s">
        <v>4700</v>
      </c>
      <c r="H1433" s="7" t="s">
        <v>2351</v>
      </c>
      <c r="I1433" s="7" t="s">
        <v>2352</v>
      </c>
      <c r="J1433" s="7" t="s">
        <v>176</v>
      </c>
      <c r="K1433" s="7" t="s">
        <v>494</v>
      </c>
      <c r="L1433" s="10">
        <v>465</v>
      </c>
      <c r="M1433" s="10">
        <v>465</v>
      </c>
      <c r="N1433" s="10">
        <f>+L1433-M1433</f>
        <v>0</v>
      </c>
      <c r="O1433" s="10">
        <v>465</v>
      </c>
      <c r="P1433" s="10">
        <f>+L1433-O1433</f>
        <v>0</v>
      </c>
      <c r="Q1433" s="10">
        <v>0</v>
      </c>
      <c r="R1433" s="7" t="s">
        <v>27</v>
      </c>
    </row>
    <row r="1434" spans="1:18">
      <c r="A1434" s="7" t="s">
        <v>29</v>
      </c>
      <c r="B1434" s="8">
        <v>19418</v>
      </c>
      <c r="C1434" s="9">
        <v>45705.565937499996</v>
      </c>
      <c r="D1434" s="9">
        <v>45758</v>
      </c>
      <c r="E1434" s="9">
        <v>45758</v>
      </c>
      <c r="F1434" s="7" t="s">
        <v>4701</v>
      </c>
      <c r="G1434" s="7" t="s">
        <v>590</v>
      </c>
      <c r="H1434" s="7" t="s">
        <v>4702</v>
      </c>
      <c r="I1434" s="7" t="s">
        <v>798</v>
      </c>
      <c r="J1434" s="7" t="s">
        <v>25</v>
      </c>
      <c r="K1434" s="7" t="s">
        <v>525</v>
      </c>
      <c r="L1434" s="10">
        <v>452</v>
      </c>
      <c r="M1434" s="10">
        <v>452</v>
      </c>
      <c r="N1434" s="10">
        <f>+L1434-M1434</f>
        <v>0</v>
      </c>
      <c r="O1434" s="10">
        <v>452</v>
      </c>
      <c r="P1434" s="10">
        <f>+L1434-O1434</f>
        <v>0</v>
      </c>
      <c r="Q1434" s="10">
        <v>0</v>
      </c>
      <c r="R1434" s="7" t="s">
        <v>27</v>
      </c>
    </row>
    <row r="1435" spans="1:18" hidden="1">
      <c r="A1435" s="7" t="s">
        <v>29</v>
      </c>
      <c r="B1435" s="8">
        <v>20259</v>
      </c>
      <c r="C1435" s="9">
        <v>45877.363564814812</v>
      </c>
      <c r="D1435" s="9">
        <v>45909</v>
      </c>
      <c r="E1435" s="9">
        <v>45867</v>
      </c>
      <c r="F1435" s="7" t="s">
        <v>4703</v>
      </c>
      <c r="G1435" s="7" t="s">
        <v>4704</v>
      </c>
      <c r="H1435" s="7" t="s">
        <v>3030</v>
      </c>
      <c r="I1435" s="7" t="s">
        <v>3031</v>
      </c>
      <c r="J1435" s="7" t="s">
        <v>176</v>
      </c>
      <c r="K1435" s="7" t="s">
        <v>177</v>
      </c>
      <c r="L1435" s="10">
        <v>462</v>
      </c>
      <c r="M1435" s="10">
        <v>462</v>
      </c>
      <c r="N1435" s="10">
        <f>+L1435-M1435</f>
        <v>0</v>
      </c>
      <c r="O1435" s="10">
        <v>462</v>
      </c>
      <c r="P1435" s="10">
        <f>+L1435-O1435</f>
        <v>0</v>
      </c>
      <c r="Q1435" s="10">
        <v>0</v>
      </c>
      <c r="R1435" s="7" t="s">
        <v>27</v>
      </c>
    </row>
    <row r="1436" spans="1:18" hidden="1">
      <c r="A1436" s="7" t="s">
        <v>29</v>
      </c>
      <c r="B1436" s="8">
        <v>20218</v>
      </c>
      <c r="C1436" s="9">
        <v>45870.43167824074</v>
      </c>
      <c r="D1436" s="9">
        <v>45869</v>
      </c>
      <c r="E1436" s="9">
        <v>45869</v>
      </c>
      <c r="F1436" s="7" t="s">
        <v>4705</v>
      </c>
      <c r="G1436" s="7" t="s">
        <v>4706</v>
      </c>
      <c r="H1436" s="7" t="s">
        <v>4707</v>
      </c>
      <c r="I1436" s="7" t="s">
        <v>4708</v>
      </c>
      <c r="J1436" s="7" t="s">
        <v>176</v>
      </c>
      <c r="K1436" s="7" t="s">
        <v>494</v>
      </c>
      <c r="L1436" s="10">
        <v>462</v>
      </c>
      <c r="M1436" s="10">
        <v>462</v>
      </c>
      <c r="N1436" s="10">
        <f>+L1436-M1436</f>
        <v>0</v>
      </c>
      <c r="O1436" s="10">
        <v>462</v>
      </c>
      <c r="P1436" s="10">
        <f>+L1436-O1436</f>
        <v>0</v>
      </c>
      <c r="Q1436" s="10">
        <v>0</v>
      </c>
      <c r="R1436" s="7" t="s">
        <v>27</v>
      </c>
    </row>
    <row r="1437" spans="1:18" hidden="1">
      <c r="A1437" s="7" t="s">
        <v>29</v>
      </c>
      <c r="B1437" s="8">
        <v>20412</v>
      </c>
      <c r="C1437" s="9">
        <v>45908.420266203699</v>
      </c>
      <c r="D1437" s="9">
        <v>45905</v>
      </c>
      <c r="E1437" s="9">
        <v>45905</v>
      </c>
      <c r="F1437" s="7" t="s">
        <v>4709</v>
      </c>
      <c r="G1437" s="7" t="s">
        <v>4710</v>
      </c>
      <c r="H1437" s="7" t="s">
        <v>4711</v>
      </c>
      <c r="I1437" s="7" t="s">
        <v>4712</v>
      </c>
      <c r="J1437" s="7" t="s">
        <v>176</v>
      </c>
      <c r="K1437" s="7" t="s">
        <v>360</v>
      </c>
      <c r="L1437" s="10">
        <v>462</v>
      </c>
      <c r="M1437" s="10">
        <v>462</v>
      </c>
      <c r="N1437" s="10">
        <f>+L1437-M1437</f>
        <v>0</v>
      </c>
      <c r="O1437" s="10">
        <v>462</v>
      </c>
      <c r="P1437" s="10">
        <f>+L1437-O1437</f>
        <v>0</v>
      </c>
      <c r="Q1437" s="10">
        <v>0</v>
      </c>
      <c r="R1437" s="7" t="s">
        <v>27</v>
      </c>
    </row>
    <row r="1438" spans="1:18" hidden="1">
      <c r="A1438" s="7" t="s">
        <v>29</v>
      </c>
      <c r="B1438" s="8">
        <v>19884</v>
      </c>
      <c r="C1438" s="9">
        <v>45806.713055555556</v>
      </c>
      <c r="D1438" s="9">
        <v>45805</v>
      </c>
      <c r="E1438" s="9">
        <v>45805</v>
      </c>
      <c r="F1438" s="7" t="s">
        <v>4713</v>
      </c>
      <c r="G1438" s="7" t="s">
        <v>4714</v>
      </c>
      <c r="H1438" s="7" t="s">
        <v>4715</v>
      </c>
      <c r="I1438" s="7" t="s">
        <v>4716</v>
      </c>
      <c r="J1438" s="7" t="s">
        <v>176</v>
      </c>
      <c r="K1438" s="7" t="s">
        <v>494</v>
      </c>
      <c r="L1438" s="10">
        <v>455.25</v>
      </c>
      <c r="M1438" s="10">
        <v>455.25</v>
      </c>
      <c r="N1438" s="10">
        <f>+L1438-M1438</f>
        <v>0</v>
      </c>
      <c r="O1438" s="10">
        <v>455.25</v>
      </c>
      <c r="P1438" s="10">
        <f>+L1438-O1438</f>
        <v>0</v>
      </c>
      <c r="Q1438" s="10">
        <v>0</v>
      </c>
      <c r="R1438" s="7" t="s">
        <v>27</v>
      </c>
    </row>
    <row r="1439" spans="1:18">
      <c r="A1439" s="7" t="s">
        <v>29</v>
      </c>
      <c r="B1439" s="8">
        <v>19880</v>
      </c>
      <c r="C1439" s="9">
        <v>45806.356296296297</v>
      </c>
      <c r="D1439" s="9">
        <v>45856</v>
      </c>
      <c r="E1439" s="9">
        <v>45856</v>
      </c>
      <c r="F1439" s="7" t="s">
        <v>4717</v>
      </c>
      <c r="G1439" s="7" t="s">
        <v>4718</v>
      </c>
      <c r="H1439" s="7" t="s">
        <v>4702</v>
      </c>
      <c r="I1439" s="7" t="s">
        <v>798</v>
      </c>
      <c r="J1439" s="7" t="s">
        <v>25</v>
      </c>
      <c r="K1439" s="7" t="s">
        <v>525</v>
      </c>
      <c r="L1439" s="10">
        <v>452</v>
      </c>
      <c r="M1439" s="10">
        <v>452</v>
      </c>
      <c r="N1439" s="10">
        <f>+L1439-M1439</f>
        <v>0</v>
      </c>
      <c r="O1439" s="10">
        <v>452</v>
      </c>
      <c r="P1439" s="10">
        <f>+L1439-O1439</f>
        <v>0</v>
      </c>
      <c r="Q1439" s="10">
        <v>0</v>
      </c>
      <c r="R1439" s="7" t="s">
        <v>27</v>
      </c>
    </row>
    <row r="1440" spans="1:18">
      <c r="A1440" s="7" t="s">
        <v>29</v>
      </c>
      <c r="B1440" s="8">
        <v>20316</v>
      </c>
      <c r="C1440" s="9">
        <v>45891.623506944445</v>
      </c>
      <c r="D1440" s="9">
        <v>45901</v>
      </c>
      <c r="E1440" s="9">
        <v>45962</v>
      </c>
      <c r="F1440" s="7" t="s">
        <v>4719</v>
      </c>
      <c r="G1440" s="7" t="s">
        <v>4720</v>
      </c>
      <c r="H1440" s="7" t="s">
        <v>4702</v>
      </c>
      <c r="I1440" s="7" t="s">
        <v>798</v>
      </c>
      <c r="J1440" s="7" t="s">
        <v>25</v>
      </c>
      <c r="K1440" s="7" t="s">
        <v>525</v>
      </c>
      <c r="L1440" s="10">
        <v>452</v>
      </c>
      <c r="M1440" s="10">
        <v>452</v>
      </c>
      <c r="N1440" s="10">
        <f>+L1440-M1440</f>
        <v>0</v>
      </c>
      <c r="O1440" s="10">
        <v>452</v>
      </c>
      <c r="P1440" s="10">
        <f>+L1440-O1440</f>
        <v>0</v>
      </c>
      <c r="Q1440" s="10">
        <v>0</v>
      </c>
      <c r="R1440" s="7" t="s">
        <v>27</v>
      </c>
    </row>
    <row r="1441" spans="1:18">
      <c r="A1441" s="7" t="s">
        <v>29</v>
      </c>
      <c r="B1441" s="8">
        <v>20330</v>
      </c>
      <c r="C1441" s="9">
        <v>45895.460682870369</v>
      </c>
      <c r="D1441" s="9">
        <v>45897</v>
      </c>
      <c r="E1441" s="9">
        <v>45891</v>
      </c>
      <c r="F1441" s="7" t="s">
        <v>4721</v>
      </c>
      <c r="G1441" s="7" t="s">
        <v>4722</v>
      </c>
      <c r="H1441" s="7" t="s">
        <v>4723</v>
      </c>
      <c r="I1441" s="7" t="s">
        <v>4724</v>
      </c>
      <c r="J1441" s="7" t="s">
        <v>25</v>
      </c>
      <c r="K1441" s="7" t="s">
        <v>407</v>
      </c>
      <c r="L1441" s="10">
        <v>446.35</v>
      </c>
      <c r="M1441" s="10">
        <v>446.35</v>
      </c>
      <c r="N1441" s="10">
        <f>+L1441-M1441</f>
        <v>0</v>
      </c>
      <c r="O1441" s="10">
        <v>446.35</v>
      </c>
      <c r="P1441" s="10">
        <f>+L1441-O1441</f>
        <v>0</v>
      </c>
      <c r="Q1441" s="10">
        <v>0</v>
      </c>
      <c r="R1441" s="7" t="s">
        <v>27</v>
      </c>
    </row>
    <row r="1442" spans="1:18" hidden="1">
      <c r="A1442" s="7" t="s">
        <v>29</v>
      </c>
      <c r="B1442" s="8">
        <v>4336</v>
      </c>
      <c r="C1442" s="9">
        <v>46044.36383101852</v>
      </c>
      <c r="D1442" s="9">
        <v>46048</v>
      </c>
      <c r="E1442" s="9">
        <v>46043</v>
      </c>
      <c r="F1442" s="7" t="s">
        <v>4725</v>
      </c>
      <c r="G1442" s="7" t="s">
        <v>3210</v>
      </c>
      <c r="H1442" s="7" t="s">
        <v>4726</v>
      </c>
      <c r="I1442" s="7" t="s">
        <v>4727</v>
      </c>
      <c r="J1442" s="7" t="s">
        <v>25</v>
      </c>
      <c r="K1442" s="7" t="s">
        <v>206</v>
      </c>
      <c r="L1442" s="10">
        <v>421.15</v>
      </c>
      <c r="M1442" s="10">
        <v>421.15</v>
      </c>
      <c r="N1442" s="15">
        <f>+L1442-M1442</f>
        <v>0</v>
      </c>
      <c r="O1442" s="15">
        <v>421.15</v>
      </c>
      <c r="P1442" s="15">
        <f>+L1442-O1442</f>
        <v>0</v>
      </c>
      <c r="Q1442" s="10">
        <v>0</v>
      </c>
      <c r="R1442" s="7" t="s">
        <v>87</v>
      </c>
    </row>
    <row r="1443" spans="1:18" hidden="1">
      <c r="A1443" s="7" t="s">
        <v>29</v>
      </c>
      <c r="B1443" s="8">
        <v>19550</v>
      </c>
      <c r="C1443" s="9">
        <v>45740.608796296292</v>
      </c>
      <c r="D1443" s="9">
        <v>45740</v>
      </c>
      <c r="E1443" s="9">
        <v>45771</v>
      </c>
      <c r="F1443" s="7" t="s">
        <v>4728</v>
      </c>
      <c r="G1443" s="7" t="s">
        <v>4729</v>
      </c>
      <c r="H1443" s="7" t="s">
        <v>2470</v>
      </c>
      <c r="I1443" s="7" t="s">
        <v>2471</v>
      </c>
      <c r="J1443" s="7" t="s">
        <v>34</v>
      </c>
      <c r="K1443" s="7" t="s">
        <v>118</v>
      </c>
      <c r="L1443" s="10">
        <v>434.62</v>
      </c>
      <c r="M1443" s="10">
        <v>434.62</v>
      </c>
      <c r="N1443" s="10">
        <f>+L1443-M1443</f>
        <v>0</v>
      </c>
      <c r="O1443" s="10">
        <v>434.62</v>
      </c>
      <c r="P1443" s="10">
        <f>+L1443-O1443</f>
        <v>0</v>
      </c>
      <c r="Q1443" s="10">
        <v>0</v>
      </c>
      <c r="R1443" s="7" t="s">
        <v>27</v>
      </c>
    </row>
    <row r="1444" spans="1:18" hidden="1">
      <c r="A1444" s="7" t="s">
        <v>29</v>
      </c>
      <c r="B1444" s="8">
        <v>19931</v>
      </c>
      <c r="C1444" s="9">
        <v>45817.42628472222</v>
      </c>
      <c r="D1444" s="9">
        <v>45814</v>
      </c>
      <c r="E1444" s="9">
        <v>45814</v>
      </c>
      <c r="F1444" s="7" t="s">
        <v>4730</v>
      </c>
      <c r="G1444" s="7" t="s">
        <v>4731</v>
      </c>
      <c r="H1444" s="7" t="s">
        <v>4732</v>
      </c>
      <c r="I1444" s="7" t="s">
        <v>4733</v>
      </c>
      <c r="J1444" s="7" t="s">
        <v>176</v>
      </c>
      <c r="K1444" s="7" t="s">
        <v>494</v>
      </c>
      <c r="L1444" s="10">
        <v>430</v>
      </c>
      <c r="M1444" s="10">
        <v>430</v>
      </c>
      <c r="N1444" s="10">
        <f>+L1444-M1444</f>
        <v>0</v>
      </c>
      <c r="O1444" s="10">
        <v>430</v>
      </c>
      <c r="P1444" s="10">
        <f>+L1444-O1444</f>
        <v>0</v>
      </c>
      <c r="Q1444" s="10">
        <v>0</v>
      </c>
      <c r="R1444" s="7" t="s">
        <v>27</v>
      </c>
    </row>
    <row r="1445" spans="1:18" hidden="1">
      <c r="A1445" s="7" t="s">
        <v>29</v>
      </c>
      <c r="B1445" s="8">
        <v>20162</v>
      </c>
      <c r="C1445" s="9">
        <v>45859.414039351846</v>
      </c>
      <c r="D1445" s="9">
        <v>45857</v>
      </c>
      <c r="E1445" s="9">
        <v>45857</v>
      </c>
      <c r="F1445" s="7" t="s">
        <v>1221</v>
      </c>
      <c r="G1445" s="7" t="s">
        <v>4734</v>
      </c>
      <c r="H1445" s="7" t="s">
        <v>1223</v>
      </c>
      <c r="I1445" s="7" t="s">
        <v>1224</v>
      </c>
      <c r="J1445" s="7" t="s">
        <v>176</v>
      </c>
      <c r="K1445" s="7" t="s">
        <v>494</v>
      </c>
      <c r="L1445" s="10">
        <v>430</v>
      </c>
      <c r="M1445" s="10">
        <v>430</v>
      </c>
      <c r="N1445" s="10">
        <f>+L1445-M1445</f>
        <v>0</v>
      </c>
      <c r="O1445" s="10">
        <v>430</v>
      </c>
      <c r="P1445" s="10">
        <f>+L1445-O1445</f>
        <v>0</v>
      </c>
      <c r="Q1445" s="10">
        <v>0</v>
      </c>
      <c r="R1445" s="7" t="s">
        <v>27</v>
      </c>
    </row>
    <row r="1446" spans="1:18" hidden="1">
      <c r="A1446" s="7" t="s">
        <v>29</v>
      </c>
      <c r="B1446" s="8">
        <v>4303</v>
      </c>
      <c r="C1446" s="9">
        <v>45987.342463310182</v>
      </c>
      <c r="D1446" s="9">
        <v>46017</v>
      </c>
      <c r="E1446" s="9">
        <v>46017</v>
      </c>
      <c r="F1446" s="7" t="s">
        <v>4735</v>
      </c>
      <c r="G1446" s="7" t="s">
        <v>4736</v>
      </c>
      <c r="H1446" s="7" t="s">
        <v>1297</v>
      </c>
      <c r="I1446" s="7" t="s">
        <v>4737</v>
      </c>
      <c r="J1446" s="7" t="s">
        <v>25</v>
      </c>
      <c r="K1446" s="7" t="s">
        <v>206</v>
      </c>
      <c r="L1446" s="10">
        <v>418.6</v>
      </c>
      <c r="M1446" s="10">
        <v>418.6</v>
      </c>
      <c r="N1446" s="15">
        <f>+L1446-M1446</f>
        <v>0</v>
      </c>
      <c r="O1446" s="15">
        <v>418.6</v>
      </c>
      <c r="P1446" s="15">
        <f>+L1446-O1446</f>
        <v>0</v>
      </c>
      <c r="Q1446" s="10">
        <v>0</v>
      </c>
      <c r="R1446" s="7" t="s">
        <v>87</v>
      </c>
    </row>
    <row r="1447" spans="1:18" hidden="1">
      <c r="A1447" s="7" t="s">
        <v>29</v>
      </c>
      <c r="B1447" s="8">
        <v>20869</v>
      </c>
      <c r="C1447" s="9">
        <v>46036.737986111111</v>
      </c>
      <c r="D1447" s="9">
        <v>46036</v>
      </c>
      <c r="E1447" s="9">
        <v>46036</v>
      </c>
      <c r="F1447" s="7" t="s">
        <v>4738</v>
      </c>
      <c r="G1447" s="7" t="s">
        <v>4739</v>
      </c>
      <c r="H1447" s="7" t="s">
        <v>4740</v>
      </c>
      <c r="I1447" s="7" t="s">
        <v>4741</v>
      </c>
      <c r="J1447" s="7" t="s">
        <v>176</v>
      </c>
      <c r="K1447" s="7" t="s">
        <v>360</v>
      </c>
      <c r="L1447" s="10">
        <v>425.21</v>
      </c>
      <c r="M1447" s="10">
        <v>425.21</v>
      </c>
      <c r="N1447" s="10">
        <f>+L1447-M1447</f>
        <v>0</v>
      </c>
      <c r="O1447" s="10">
        <v>425.21</v>
      </c>
      <c r="P1447" s="10">
        <f>+L1447-O1447</f>
        <v>0</v>
      </c>
      <c r="Q1447" s="10">
        <v>0</v>
      </c>
      <c r="R1447" s="7" t="s">
        <v>27</v>
      </c>
    </row>
    <row r="1448" spans="1:18" hidden="1">
      <c r="A1448" s="7" t="s">
        <v>29</v>
      </c>
      <c r="B1448" s="8">
        <v>20118</v>
      </c>
      <c r="C1448" s="9">
        <v>45846.704780092594</v>
      </c>
      <c r="D1448" s="9">
        <v>45846</v>
      </c>
      <c r="E1448" s="9">
        <v>45846</v>
      </c>
      <c r="F1448" s="7" t="s">
        <v>4742</v>
      </c>
      <c r="G1448" s="7" t="s">
        <v>4743</v>
      </c>
      <c r="H1448" s="7" t="s">
        <v>4744</v>
      </c>
      <c r="I1448" s="7" t="s">
        <v>4745</v>
      </c>
      <c r="J1448" s="7" t="s">
        <v>176</v>
      </c>
      <c r="K1448" s="7" t="s">
        <v>494</v>
      </c>
      <c r="L1448" s="10">
        <v>424.5</v>
      </c>
      <c r="M1448" s="10">
        <v>424.5</v>
      </c>
      <c r="N1448" s="10">
        <f>+L1448-M1448</f>
        <v>0</v>
      </c>
      <c r="O1448" s="10">
        <v>424.5</v>
      </c>
      <c r="P1448" s="10">
        <f>+L1448-O1448</f>
        <v>0</v>
      </c>
      <c r="Q1448" s="10">
        <v>0</v>
      </c>
      <c r="R1448" s="7" t="s">
        <v>27</v>
      </c>
    </row>
    <row r="1449" spans="1:18">
      <c r="A1449" s="7" t="s">
        <v>29</v>
      </c>
      <c r="B1449" s="8">
        <v>19729</v>
      </c>
      <c r="C1449" s="9">
        <v>45775.687465277777</v>
      </c>
      <c r="D1449" s="9">
        <v>45824</v>
      </c>
      <c r="E1449" s="9">
        <v>45793</v>
      </c>
      <c r="F1449" s="7" t="s">
        <v>4746</v>
      </c>
      <c r="G1449" s="7" t="s">
        <v>4747</v>
      </c>
      <c r="H1449" s="7" t="s">
        <v>2956</v>
      </c>
      <c r="I1449" s="7" t="s">
        <v>915</v>
      </c>
      <c r="J1449" s="7" t="s">
        <v>25</v>
      </c>
      <c r="K1449" s="7" t="s">
        <v>55</v>
      </c>
      <c r="L1449" s="10">
        <v>407.04</v>
      </c>
      <c r="M1449" s="10">
        <v>407.04</v>
      </c>
      <c r="N1449" s="10">
        <f>+L1449-M1449</f>
        <v>0</v>
      </c>
      <c r="O1449" s="10">
        <v>407.04</v>
      </c>
      <c r="P1449" s="10">
        <f>+L1449-O1449</f>
        <v>0</v>
      </c>
      <c r="Q1449" s="10">
        <v>0</v>
      </c>
      <c r="R1449" s="7" t="s">
        <v>27</v>
      </c>
    </row>
    <row r="1450" spans="1:18" hidden="1">
      <c r="A1450" s="7" t="s">
        <v>29</v>
      </c>
      <c r="B1450" s="8">
        <v>19719</v>
      </c>
      <c r="C1450" s="9">
        <v>45772.370451388888</v>
      </c>
      <c r="D1450" s="9">
        <v>45729</v>
      </c>
      <c r="E1450" s="9">
        <v>45729</v>
      </c>
      <c r="F1450" s="7" t="s">
        <v>4748</v>
      </c>
      <c r="G1450" s="7" t="s">
        <v>4749</v>
      </c>
      <c r="H1450" s="7" t="s">
        <v>4750</v>
      </c>
      <c r="I1450" s="7" t="s">
        <v>4751</v>
      </c>
      <c r="J1450" s="7" t="s">
        <v>176</v>
      </c>
      <c r="K1450" s="7" t="s">
        <v>494</v>
      </c>
      <c r="L1450" s="10">
        <v>423</v>
      </c>
      <c r="M1450" s="10">
        <v>423</v>
      </c>
      <c r="N1450" s="10">
        <f>+L1450-M1450</f>
        <v>0</v>
      </c>
      <c r="O1450" s="10">
        <v>423</v>
      </c>
      <c r="P1450" s="10">
        <f>+L1450-O1450</f>
        <v>0</v>
      </c>
      <c r="Q1450" s="10">
        <v>0</v>
      </c>
      <c r="R1450" s="7" t="s">
        <v>27</v>
      </c>
    </row>
    <row r="1451" spans="1:18" hidden="1">
      <c r="A1451" s="7" t="s">
        <v>29</v>
      </c>
      <c r="B1451" s="8">
        <v>19925</v>
      </c>
      <c r="C1451" s="9">
        <v>45813.385277777779</v>
      </c>
      <c r="D1451" s="9">
        <v>45812</v>
      </c>
      <c r="E1451" s="9">
        <v>45812</v>
      </c>
      <c r="F1451" s="7" t="s">
        <v>4752</v>
      </c>
      <c r="G1451" s="7" t="s">
        <v>4753</v>
      </c>
      <c r="H1451" s="7" t="s">
        <v>4754</v>
      </c>
      <c r="I1451" s="7" t="s">
        <v>4755</v>
      </c>
      <c r="J1451" s="7" t="s">
        <v>176</v>
      </c>
      <c r="K1451" s="7" t="s">
        <v>494</v>
      </c>
      <c r="L1451" s="10">
        <v>423</v>
      </c>
      <c r="M1451" s="10">
        <v>423</v>
      </c>
      <c r="N1451" s="10">
        <f>+L1451-M1451</f>
        <v>0</v>
      </c>
      <c r="O1451" s="10">
        <v>423</v>
      </c>
      <c r="P1451" s="10">
        <f>+L1451-O1451</f>
        <v>0</v>
      </c>
      <c r="Q1451" s="10">
        <v>0</v>
      </c>
      <c r="R1451" s="7" t="s">
        <v>27</v>
      </c>
    </row>
    <row r="1452" spans="1:18" hidden="1">
      <c r="A1452" s="7" t="s">
        <v>29</v>
      </c>
      <c r="B1452" s="8">
        <v>20538</v>
      </c>
      <c r="C1452" s="9">
        <v>45932.47452546296</v>
      </c>
      <c r="D1452" s="9">
        <v>45932</v>
      </c>
      <c r="E1452" s="9">
        <v>46006</v>
      </c>
      <c r="F1452" s="7" t="s">
        <v>4756</v>
      </c>
      <c r="G1452" s="7" t="s">
        <v>4757</v>
      </c>
      <c r="H1452" s="7" t="s">
        <v>3445</v>
      </c>
      <c r="I1452" s="7" t="s">
        <v>3446</v>
      </c>
      <c r="J1452" s="7" t="s">
        <v>34</v>
      </c>
      <c r="K1452" s="7" t="s">
        <v>35</v>
      </c>
      <c r="L1452" s="10">
        <v>419.56</v>
      </c>
      <c r="M1452" s="10">
        <v>419.56</v>
      </c>
      <c r="N1452" s="10">
        <f>+L1452-M1452</f>
        <v>0</v>
      </c>
      <c r="O1452" s="10">
        <v>419.56</v>
      </c>
      <c r="P1452" s="10">
        <f>+L1452-O1452</f>
        <v>0</v>
      </c>
      <c r="Q1452" s="10">
        <v>0</v>
      </c>
      <c r="R1452" s="7" t="s">
        <v>27</v>
      </c>
    </row>
    <row r="1453" spans="1:18" hidden="1">
      <c r="A1453" s="7" t="s">
        <v>29</v>
      </c>
      <c r="B1453" s="8">
        <v>19784</v>
      </c>
      <c r="C1453" s="9">
        <v>45785.464502314811</v>
      </c>
      <c r="D1453" s="9">
        <v>45762</v>
      </c>
      <c r="E1453" s="9">
        <v>45762</v>
      </c>
      <c r="F1453" s="7" t="s">
        <v>4758</v>
      </c>
      <c r="G1453" s="7" t="s">
        <v>4759</v>
      </c>
      <c r="H1453" s="7" t="s">
        <v>4760</v>
      </c>
      <c r="I1453" s="7" t="s">
        <v>4758</v>
      </c>
      <c r="J1453" s="7" t="s">
        <v>40</v>
      </c>
      <c r="K1453" s="7" t="s">
        <v>1784</v>
      </c>
      <c r="L1453" s="10">
        <v>354.47</v>
      </c>
      <c r="M1453" s="10">
        <v>354.47</v>
      </c>
      <c r="N1453" s="10">
        <f>+L1453-M1453</f>
        <v>0</v>
      </c>
      <c r="O1453" s="10">
        <v>354.47</v>
      </c>
      <c r="P1453" s="10">
        <f>+L1453-O1453</f>
        <v>0</v>
      </c>
      <c r="Q1453" s="10">
        <v>0</v>
      </c>
      <c r="R1453" s="7" t="s">
        <v>27</v>
      </c>
    </row>
    <row r="1454" spans="1:18" hidden="1">
      <c r="A1454" s="7" t="s">
        <v>29</v>
      </c>
      <c r="B1454" s="8">
        <v>19827</v>
      </c>
      <c r="C1454" s="9">
        <v>45793.524895833332</v>
      </c>
      <c r="D1454" s="9">
        <v>45793</v>
      </c>
      <c r="E1454" s="9">
        <v>45793</v>
      </c>
      <c r="F1454" s="7" t="s">
        <v>4761</v>
      </c>
      <c r="G1454" s="7" t="s">
        <v>4762</v>
      </c>
      <c r="H1454" s="7" t="s">
        <v>4763</v>
      </c>
      <c r="I1454" s="7" t="s">
        <v>4764</v>
      </c>
      <c r="J1454" s="7" t="s">
        <v>34</v>
      </c>
      <c r="K1454" s="7" t="s">
        <v>902</v>
      </c>
      <c r="L1454" s="10">
        <v>407.92</v>
      </c>
      <c r="M1454" s="10">
        <v>407.92</v>
      </c>
      <c r="N1454" s="10">
        <f>+L1454-M1454</f>
        <v>0</v>
      </c>
      <c r="O1454" s="10">
        <v>407.92</v>
      </c>
      <c r="P1454" s="10">
        <f>+L1454-O1454</f>
        <v>0</v>
      </c>
      <c r="Q1454" s="10">
        <v>0</v>
      </c>
      <c r="R1454" s="7" t="s">
        <v>27</v>
      </c>
    </row>
    <row r="1455" spans="1:18" hidden="1">
      <c r="A1455" s="7" t="s">
        <v>29</v>
      </c>
      <c r="B1455" s="8">
        <v>19707</v>
      </c>
      <c r="C1455" s="9">
        <v>45771.47174768518</v>
      </c>
      <c r="D1455" s="9">
        <v>45769</v>
      </c>
      <c r="E1455" s="9">
        <v>45769</v>
      </c>
      <c r="F1455" s="7" t="s">
        <v>4765</v>
      </c>
      <c r="G1455" s="7" t="s">
        <v>4766</v>
      </c>
      <c r="H1455" s="7" t="s">
        <v>4767</v>
      </c>
      <c r="I1455" s="7" t="s">
        <v>4768</v>
      </c>
      <c r="J1455" s="7" t="s">
        <v>176</v>
      </c>
      <c r="K1455" s="7" t="s">
        <v>494</v>
      </c>
      <c r="L1455" s="10">
        <v>406.9</v>
      </c>
      <c r="M1455" s="10">
        <v>406.9</v>
      </c>
      <c r="N1455" s="10">
        <f>+L1455-M1455</f>
        <v>0</v>
      </c>
      <c r="O1455" s="10">
        <v>406.9</v>
      </c>
      <c r="P1455" s="10">
        <f>+L1455-O1455</f>
        <v>0</v>
      </c>
      <c r="Q1455" s="10">
        <v>0</v>
      </c>
      <c r="R1455" s="7" t="s">
        <v>27</v>
      </c>
    </row>
    <row r="1456" spans="1:18" hidden="1">
      <c r="A1456" s="7" t="s">
        <v>29</v>
      </c>
      <c r="B1456" s="8">
        <v>4285</v>
      </c>
      <c r="C1456" s="9">
        <v>45964.426608796297</v>
      </c>
      <c r="D1456" s="9">
        <v>45926</v>
      </c>
      <c r="E1456" s="9">
        <v>45926</v>
      </c>
      <c r="F1456" s="7" t="s">
        <v>4769</v>
      </c>
      <c r="G1456" s="7" t="s">
        <v>503</v>
      </c>
      <c r="H1456" s="7" t="s">
        <v>2977</v>
      </c>
      <c r="I1456" s="7" t="s">
        <v>915</v>
      </c>
      <c r="J1456" s="7" t="s">
        <v>25</v>
      </c>
      <c r="K1456" s="7" t="s">
        <v>206</v>
      </c>
      <c r="L1456" s="10">
        <v>403.37</v>
      </c>
      <c r="M1456" s="10">
        <v>403.37</v>
      </c>
      <c r="N1456" s="15">
        <f>+L1456-M1456</f>
        <v>0</v>
      </c>
      <c r="O1456" s="15">
        <v>403.37</v>
      </c>
      <c r="P1456" s="15">
        <f>+L1456-O1456</f>
        <v>0</v>
      </c>
      <c r="Q1456" s="10">
        <v>0</v>
      </c>
      <c r="R1456" s="7" t="s">
        <v>87</v>
      </c>
    </row>
    <row r="1457" spans="1:18" hidden="1">
      <c r="A1457" s="7" t="s">
        <v>29</v>
      </c>
      <c r="B1457" s="8">
        <v>20740</v>
      </c>
      <c r="C1457" s="9">
        <v>45993.435972222222</v>
      </c>
      <c r="D1457" s="9">
        <v>45993</v>
      </c>
      <c r="E1457" s="9">
        <v>46024</v>
      </c>
      <c r="F1457" s="7" t="s">
        <v>4770</v>
      </c>
      <c r="G1457" s="7" t="s">
        <v>4771</v>
      </c>
      <c r="H1457" s="7" t="s">
        <v>4772</v>
      </c>
      <c r="I1457" s="7" t="s">
        <v>4773</v>
      </c>
      <c r="J1457" s="7" t="s">
        <v>34</v>
      </c>
      <c r="K1457" s="7" t="s">
        <v>35</v>
      </c>
      <c r="L1457" s="10">
        <v>405.54</v>
      </c>
      <c r="M1457" s="10">
        <v>405.54</v>
      </c>
      <c r="N1457" s="10">
        <f>+L1457-M1457</f>
        <v>0</v>
      </c>
      <c r="O1457" s="10">
        <v>405.54</v>
      </c>
      <c r="P1457" s="10">
        <f>+L1457-O1457</f>
        <v>0</v>
      </c>
      <c r="Q1457" s="10">
        <v>0</v>
      </c>
      <c r="R1457" s="7" t="s">
        <v>27</v>
      </c>
    </row>
    <row r="1458" spans="1:18" hidden="1">
      <c r="A1458" s="7" t="s">
        <v>29</v>
      </c>
      <c r="B1458" s="8">
        <v>19923</v>
      </c>
      <c r="C1458" s="9">
        <v>45812.45076388889</v>
      </c>
      <c r="D1458" s="9">
        <v>45811</v>
      </c>
      <c r="E1458" s="9">
        <v>45811</v>
      </c>
      <c r="F1458" s="7" t="s">
        <v>4774</v>
      </c>
      <c r="G1458" s="7" t="s">
        <v>4775</v>
      </c>
      <c r="H1458" s="7" t="s">
        <v>4776</v>
      </c>
      <c r="I1458" s="7" t="s">
        <v>4777</v>
      </c>
      <c r="J1458" s="7" t="s">
        <v>176</v>
      </c>
      <c r="K1458" s="7" t="s">
        <v>494</v>
      </c>
      <c r="L1458" s="10">
        <v>404.07</v>
      </c>
      <c r="M1458" s="10">
        <v>404.07</v>
      </c>
      <c r="N1458" s="10">
        <f>+L1458-M1458</f>
        <v>0</v>
      </c>
      <c r="O1458" s="10">
        <v>404.07</v>
      </c>
      <c r="P1458" s="10">
        <f>+L1458-O1458</f>
        <v>0</v>
      </c>
      <c r="Q1458" s="10">
        <v>0</v>
      </c>
      <c r="R1458" s="7" t="s">
        <v>27</v>
      </c>
    </row>
    <row r="1459" spans="1:18">
      <c r="A1459" s="7" t="s">
        <v>29</v>
      </c>
      <c r="B1459" s="8">
        <v>20410</v>
      </c>
      <c r="C1459" s="9">
        <v>45908.408692129626</v>
      </c>
      <c r="D1459" s="9">
        <v>45917</v>
      </c>
      <c r="E1459" s="9">
        <v>45917</v>
      </c>
      <c r="F1459" s="7" t="s">
        <v>4778</v>
      </c>
      <c r="G1459" s="7" t="s">
        <v>4779</v>
      </c>
      <c r="H1459" s="7" t="s">
        <v>4780</v>
      </c>
      <c r="I1459" s="7" t="s">
        <v>4781</v>
      </c>
      <c r="J1459" s="7" t="s">
        <v>25</v>
      </c>
      <c r="K1459" s="7" t="s">
        <v>407</v>
      </c>
      <c r="L1459" s="10">
        <v>401.67</v>
      </c>
      <c r="M1459" s="10">
        <v>401.67</v>
      </c>
      <c r="N1459" s="10">
        <f>+L1459-M1459</f>
        <v>0</v>
      </c>
      <c r="O1459" s="10">
        <v>401.67</v>
      </c>
      <c r="P1459" s="10">
        <f>+L1459-O1459</f>
        <v>0</v>
      </c>
      <c r="Q1459" s="10">
        <v>0</v>
      </c>
      <c r="R1459" s="7" t="s">
        <v>27</v>
      </c>
    </row>
    <row r="1460" spans="1:18" hidden="1">
      <c r="A1460" s="7" t="s">
        <v>29</v>
      </c>
      <c r="B1460" s="8">
        <v>20453</v>
      </c>
      <c r="C1460" s="9">
        <v>45916.621921296297</v>
      </c>
      <c r="D1460" s="9">
        <v>45916</v>
      </c>
      <c r="E1460" s="9">
        <v>45916</v>
      </c>
      <c r="F1460" s="7" t="s">
        <v>4782</v>
      </c>
      <c r="G1460" s="7" t="s">
        <v>4783</v>
      </c>
      <c r="H1460" s="7" t="s">
        <v>4784</v>
      </c>
      <c r="I1460" s="7" t="s">
        <v>4782</v>
      </c>
      <c r="J1460" s="7" t="s">
        <v>40</v>
      </c>
      <c r="K1460" s="7" t="s">
        <v>4785</v>
      </c>
      <c r="L1460" s="10">
        <v>325.32</v>
      </c>
      <c r="M1460" s="10">
        <v>325.32</v>
      </c>
      <c r="N1460" s="10">
        <f>+L1460-M1460</f>
        <v>0</v>
      </c>
      <c r="O1460" s="10">
        <v>325.32</v>
      </c>
      <c r="P1460" s="10">
        <f>+L1460-O1460</f>
        <v>0</v>
      </c>
      <c r="Q1460" s="10">
        <v>0</v>
      </c>
      <c r="R1460" s="7" t="s">
        <v>27</v>
      </c>
    </row>
    <row r="1461" spans="1:18" hidden="1">
      <c r="A1461" s="7" t="s">
        <v>29</v>
      </c>
      <c r="B1461" s="8">
        <v>20061</v>
      </c>
      <c r="C1461" s="9">
        <v>45838.408449074072</v>
      </c>
      <c r="D1461" s="9">
        <v>45835</v>
      </c>
      <c r="E1461" s="9">
        <v>45835</v>
      </c>
      <c r="F1461" s="7" t="s">
        <v>4786</v>
      </c>
      <c r="G1461" s="7" t="s">
        <v>4787</v>
      </c>
      <c r="H1461" s="7" t="s">
        <v>3568</v>
      </c>
      <c r="I1461" s="7" t="s">
        <v>3569</v>
      </c>
      <c r="J1461" s="7" t="s">
        <v>176</v>
      </c>
      <c r="K1461" s="7" t="s">
        <v>494</v>
      </c>
      <c r="L1461" s="10">
        <v>398</v>
      </c>
      <c r="M1461" s="10">
        <v>398</v>
      </c>
      <c r="N1461" s="10">
        <f>+L1461-M1461</f>
        <v>0</v>
      </c>
      <c r="O1461" s="10">
        <v>398</v>
      </c>
      <c r="P1461" s="10">
        <f>+L1461-O1461</f>
        <v>0</v>
      </c>
      <c r="Q1461" s="10">
        <v>0</v>
      </c>
      <c r="R1461" s="7" t="s">
        <v>27</v>
      </c>
    </row>
    <row r="1462" spans="1:18" hidden="1">
      <c r="A1462" s="7" t="s">
        <v>29</v>
      </c>
      <c r="B1462" s="8">
        <v>19677</v>
      </c>
      <c r="C1462" s="9">
        <v>45758.690671296295</v>
      </c>
      <c r="D1462" s="9">
        <v>45756</v>
      </c>
      <c r="E1462" s="9">
        <v>45756</v>
      </c>
      <c r="F1462" s="7" t="s">
        <v>4788</v>
      </c>
      <c r="G1462" s="7" t="s">
        <v>4789</v>
      </c>
      <c r="H1462" s="7" t="s">
        <v>4790</v>
      </c>
      <c r="I1462" s="7" t="s">
        <v>4791</v>
      </c>
      <c r="J1462" s="7" t="s">
        <v>176</v>
      </c>
      <c r="K1462" s="7" t="s">
        <v>494</v>
      </c>
      <c r="L1462" s="10">
        <v>396.2</v>
      </c>
      <c r="M1462" s="10">
        <v>396.2</v>
      </c>
      <c r="N1462" s="10">
        <f>+L1462-M1462</f>
        <v>0</v>
      </c>
      <c r="O1462" s="10">
        <v>396.2</v>
      </c>
      <c r="P1462" s="10">
        <f>+L1462-O1462</f>
        <v>0</v>
      </c>
      <c r="Q1462" s="10">
        <v>0</v>
      </c>
      <c r="R1462" s="7" t="s">
        <v>27</v>
      </c>
    </row>
    <row r="1463" spans="1:18" hidden="1">
      <c r="A1463" s="7" t="s">
        <v>29</v>
      </c>
      <c r="B1463" s="8">
        <v>19582</v>
      </c>
      <c r="C1463" s="9">
        <v>45744.466099537036</v>
      </c>
      <c r="D1463" s="9">
        <v>45742</v>
      </c>
      <c r="E1463" s="9">
        <v>45742</v>
      </c>
      <c r="F1463" s="7" t="s">
        <v>4792</v>
      </c>
      <c r="G1463" s="7" t="s">
        <v>4793</v>
      </c>
      <c r="H1463" s="7" t="s">
        <v>4794</v>
      </c>
      <c r="I1463" s="7" t="s">
        <v>4795</v>
      </c>
      <c r="J1463" s="7" t="s">
        <v>176</v>
      </c>
      <c r="K1463" s="7" t="s">
        <v>494</v>
      </c>
      <c r="L1463" s="10">
        <v>396</v>
      </c>
      <c r="M1463" s="10">
        <v>396</v>
      </c>
      <c r="N1463" s="10">
        <f>+L1463-M1463</f>
        <v>0</v>
      </c>
      <c r="O1463" s="10">
        <v>396</v>
      </c>
      <c r="P1463" s="10">
        <f>+L1463-O1463</f>
        <v>0</v>
      </c>
      <c r="Q1463" s="10">
        <v>0</v>
      </c>
      <c r="R1463" s="7" t="s">
        <v>27</v>
      </c>
    </row>
    <row r="1464" spans="1:18">
      <c r="A1464" s="7" t="s">
        <v>29</v>
      </c>
      <c r="B1464" s="8">
        <v>20020</v>
      </c>
      <c r="C1464" s="9">
        <v>45833.615230208328</v>
      </c>
      <c r="D1464" s="9">
        <v>45835</v>
      </c>
      <c r="E1464" s="9">
        <v>45833</v>
      </c>
      <c r="F1464" s="7" t="s">
        <v>4796</v>
      </c>
      <c r="G1464" s="7" t="s">
        <v>4797</v>
      </c>
      <c r="H1464" s="7" t="s">
        <v>4798</v>
      </c>
      <c r="I1464" s="7" t="s">
        <v>1166</v>
      </c>
      <c r="J1464" s="7" t="s">
        <v>25</v>
      </c>
      <c r="K1464" s="7" t="s">
        <v>3628</v>
      </c>
      <c r="L1464" s="10">
        <v>395.5</v>
      </c>
      <c r="M1464" s="10">
        <v>395.5</v>
      </c>
      <c r="N1464" s="10">
        <f>+L1464-M1464</f>
        <v>0</v>
      </c>
      <c r="O1464" s="10">
        <v>395.5</v>
      </c>
      <c r="P1464" s="10">
        <f>+L1464-O1464</f>
        <v>0</v>
      </c>
      <c r="Q1464" s="10">
        <v>0</v>
      </c>
      <c r="R1464" s="7" t="s">
        <v>27</v>
      </c>
    </row>
    <row r="1465" spans="1:18">
      <c r="A1465" s="7" t="s">
        <v>29</v>
      </c>
      <c r="B1465" s="8">
        <v>20065</v>
      </c>
      <c r="C1465" s="9">
        <v>45838.568260497683</v>
      </c>
      <c r="D1465" s="9">
        <v>45838</v>
      </c>
      <c r="E1465" s="9">
        <v>45838</v>
      </c>
      <c r="F1465" s="7" t="s">
        <v>4799</v>
      </c>
      <c r="G1465" s="7" t="s">
        <v>4800</v>
      </c>
      <c r="H1465" s="7" t="s">
        <v>4798</v>
      </c>
      <c r="I1465" s="7" t="s">
        <v>1166</v>
      </c>
      <c r="J1465" s="7" t="s">
        <v>25</v>
      </c>
      <c r="K1465" s="7" t="s">
        <v>3628</v>
      </c>
      <c r="L1465" s="10">
        <v>395.5</v>
      </c>
      <c r="M1465" s="10">
        <v>395.5</v>
      </c>
      <c r="N1465" s="10">
        <f>+L1465-M1465</f>
        <v>0</v>
      </c>
      <c r="O1465" s="10">
        <v>395.5</v>
      </c>
      <c r="P1465" s="10">
        <f>+L1465-O1465</f>
        <v>0</v>
      </c>
      <c r="Q1465" s="10">
        <v>0</v>
      </c>
      <c r="R1465" s="7" t="s">
        <v>27</v>
      </c>
    </row>
    <row r="1466" spans="1:18" hidden="1">
      <c r="A1466" s="7" t="s">
        <v>29</v>
      </c>
      <c r="B1466" s="8">
        <v>19662</v>
      </c>
      <c r="C1466" s="9">
        <v>45758.481874999998</v>
      </c>
      <c r="D1466" s="9">
        <v>45750</v>
      </c>
      <c r="E1466" s="9">
        <v>45756</v>
      </c>
      <c r="F1466" s="7" t="s">
        <v>4801</v>
      </c>
      <c r="G1466" s="7" t="s">
        <v>4802</v>
      </c>
      <c r="H1466" s="7" t="s">
        <v>4803</v>
      </c>
      <c r="I1466" s="7" t="s">
        <v>4804</v>
      </c>
      <c r="J1466" s="7" t="s">
        <v>176</v>
      </c>
      <c r="K1466" s="7" t="s">
        <v>494</v>
      </c>
      <c r="L1466" s="10">
        <v>390</v>
      </c>
      <c r="M1466" s="10">
        <v>390</v>
      </c>
      <c r="N1466" s="10">
        <f>+L1466-M1466</f>
        <v>0</v>
      </c>
      <c r="O1466" s="10">
        <v>390</v>
      </c>
      <c r="P1466" s="10">
        <f>+L1466-O1466</f>
        <v>0</v>
      </c>
      <c r="Q1466" s="10">
        <v>0</v>
      </c>
      <c r="R1466" s="7" t="s">
        <v>27</v>
      </c>
    </row>
    <row r="1467" spans="1:18" hidden="1">
      <c r="A1467" s="7" t="s">
        <v>29</v>
      </c>
      <c r="B1467" s="8">
        <v>20290</v>
      </c>
      <c r="C1467" s="9">
        <v>45887.532175925924</v>
      </c>
      <c r="D1467" s="9">
        <v>45887</v>
      </c>
      <c r="E1467" s="9">
        <v>45887</v>
      </c>
      <c r="F1467" s="7" t="s">
        <v>2362</v>
      </c>
      <c r="G1467" s="7" t="s">
        <v>4805</v>
      </c>
      <c r="H1467" s="7" t="s">
        <v>2361</v>
      </c>
      <c r="I1467" s="7" t="s">
        <v>2362</v>
      </c>
      <c r="J1467" s="7" t="s">
        <v>40</v>
      </c>
      <c r="K1467" s="7" t="s">
        <v>1784</v>
      </c>
      <c r="L1467" s="10">
        <v>311.87</v>
      </c>
      <c r="M1467" s="10">
        <v>311.87</v>
      </c>
      <c r="N1467" s="10">
        <f>+L1467-M1467</f>
        <v>0</v>
      </c>
      <c r="O1467" s="10">
        <v>311.87</v>
      </c>
      <c r="P1467" s="10">
        <f>+L1467-O1467</f>
        <v>0</v>
      </c>
      <c r="Q1467" s="10">
        <v>0</v>
      </c>
      <c r="R1467" s="7" t="s">
        <v>27</v>
      </c>
    </row>
    <row r="1468" spans="1:18">
      <c r="A1468" s="7" t="s">
        <v>29</v>
      </c>
      <c r="B1468" s="8">
        <v>19513</v>
      </c>
      <c r="C1468" s="9">
        <v>45727.467499999999</v>
      </c>
      <c r="D1468" s="9">
        <v>45743</v>
      </c>
      <c r="E1468" s="9">
        <v>45743</v>
      </c>
      <c r="F1468" s="7" t="s">
        <v>4806</v>
      </c>
      <c r="G1468" s="7" t="s">
        <v>4807</v>
      </c>
      <c r="H1468" s="7" t="s">
        <v>1161</v>
      </c>
      <c r="I1468" s="7" t="s">
        <v>1162</v>
      </c>
      <c r="J1468" s="7" t="s">
        <v>25</v>
      </c>
      <c r="K1468" s="7" t="s">
        <v>3018</v>
      </c>
      <c r="L1468" s="10">
        <v>385.87</v>
      </c>
      <c r="M1468" s="10">
        <v>385.87</v>
      </c>
      <c r="N1468" s="10">
        <f>+L1468-M1468</f>
        <v>0</v>
      </c>
      <c r="O1468" s="10">
        <v>385.87</v>
      </c>
      <c r="P1468" s="10">
        <f>+L1468-O1468</f>
        <v>0</v>
      </c>
      <c r="Q1468" s="10">
        <v>0</v>
      </c>
      <c r="R1468" s="7" t="s">
        <v>27</v>
      </c>
    </row>
    <row r="1469" spans="1:18">
      <c r="A1469" s="7" t="s">
        <v>29</v>
      </c>
      <c r="B1469" s="8">
        <v>19902</v>
      </c>
      <c r="C1469" s="9">
        <v>45810.586319444439</v>
      </c>
      <c r="D1469" s="9">
        <v>45807</v>
      </c>
      <c r="E1469" s="9">
        <v>45855</v>
      </c>
      <c r="F1469" s="7" t="s">
        <v>4808</v>
      </c>
      <c r="G1469" s="7" t="s">
        <v>4809</v>
      </c>
      <c r="H1469" s="7" t="s">
        <v>2284</v>
      </c>
      <c r="I1469" s="7" t="s">
        <v>1763</v>
      </c>
      <c r="J1469" s="7" t="s">
        <v>25</v>
      </c>
      <c r="K1469" s="7" t="s">
        <v>537</v>
      </c>
      <c r="L1469" s="10">
        <v>385</v>
      </c>
      <c r="M1469" s="10">
        <v>385</v>
      </c>
      <c r="N1469" s="10">
        <f>+L1469-M1469</f>
        <v>0</v>
      </c>
      <c r="O1469" s="10">
        <v>385</v>
      </c>
      <c r="P1469" s="10">
        <f>+L1469-O1469</f>
        <v>0</v>
      </c>
      <c r="Q1469" s="10">
        <v>0</v>
      </c>
      <c r="R1469" s="7" t="s">
        <v>27</v>
      </c>
    </row>
    <row r="1470" spans="1:18" hidden="1">
      <c r="A1470" s="7" t="s">
        <v>29</v>
      </c>
      <c r="B1470" s="8">
        <v>20849</v>
      </c>
      <c r="C1470" s="9">
        <v>46031.67796296296</v>
      </c>
      <c r="D1470" s="9">
        <v>45975</v>
      </c>
      <c r="E1470" s="9">
        <v>45978</v>
      </c>
      <c r="F1470" s="7" t="s">
        <v>4810</v>
      </c>
      <c r="G1470" s="7" t="s">
        <v>72</v>
      </c>
      <c r="H1470" s="7" t="s">
        <v>3864</v>
      </c>
      <c r="I1470" s="7" t="s">
        <v>4811</v>
      </c>
      <c r="J1470" s="7" t="s">
        <v>176</v>
      </c>
      <c r="K1470" s="7" t="s">
        <v>360</v>
      </c>
      <c r="L1470" s="10">
        <v>377.2</v>
      </c>
      <c r="M1470" s="10">
        <v>377.2</v>
      </c>
      <c r="N1470" s="10">
        <f>+L1470-M1470</f>
        <v>0</v>
      </c>
      <c r="O1470" s="10">
        <v>377.2</v>
      </c>
      <c r="P1470" s="10">
        <f>+L1470-O1470</f>
        <v>0</v>
      </c>
      <c r="Q1470" s="10">
        <v>0</v>
      </c>
      <c r="R1470" s="7" t="s">
        <v>27</v>
      </c>
    </row>
    <row r="1471" spans="1:18" hidden="1">
      <c r="A1471" s="7" t="s">
        <v>29</v>
      </c>
      <c r="B1471" s="8">
        <v>20647</v>
      </c>
      <c r="C1471" s="9">
        <v>45961.445972222224</v>
      </c>
      <c r="D1471" s="9">
        <v>45961</v>
      </c>
      <c r="E1471" s="9">
        <v>45960</v>
      </c>
      <c r="F1471" s="7" t="s">
        <v>4812</v>
      </c>
      <c r="G1471" s="7" t="s">
        <v>4813</v>
      </c>
      <c r="H1471" s="7" t="s">
        <v>4814</v>
      </c>
      <c r="I1471" s="7" t="s">
        <v>4815</v>
      </c>
      <c r="J1471" s="7" t="s">
        <v>34</v>
      </c>
      <c r="K1471" s="7" t="s">
        <v>902</v>
      </c>
      <c r="L1471" s="10">
        <v>376.72</v>
      </c>
      <c r="M1471" s="10">
        <v>376.72</v>
      </c>
      <c r="N1471" s="10">
        <f>+L1471-M1471</f>
        <v>0</v>
      </c>
      <c r="O1471" s="10">
        <v>376.72</v>
      </c>
      <c r="P1471" s="10">
        <f>+L1471-O1471</f>
        <v>0</v>
      </c>
      <c r="Q1471" s="10">
        <v>0</v>
      </c>
      <c r="R1471" s="7" t="s">
        <v>27</v>
      </c>
    </row>
    <row r="1472" spans="1:18" hidden="1">
      <c r="A1472" s="7" t="s">
        <v>29</v>
      </c>
      <c r="B1472" s="8">
        <v>19688</v>
      </c>
      <c r="C1472" s="9">
        <v>45762.466087962959</v>
      </c>
      <c r="D1472" s="9">
        <v>45762</v>
      </c>
      <c r="E1472" s="9">
        <v>45762</v>
      </c>
      <c r="F1472" s="7" t="s">
        <v>4655</v>
      </c>
      <c r="G1472" s="7" t="s">
        <v>4816</v>
      </c>
      <c r="H1472" s="7" t="s">
        <v>4657</v>
      </c>
      <c r="I1472" s="7" t="s">
        <v>4655</v>
      </c>
      <c r="J1472" s="7" t="s">
        <v>40</v>
      </c>
      <c r="K1472" s="7" t="s">
        <v>1784</v>
      </c>
      <c r="L1472" s="10">
        <v>294.85000000000002</v>
      </c>
      <c r="M1472" s="10">
        <v>294.85000000000002</v>
      </c>
      <c r="N1472" s="10">
        <f>+L1472-M1472</f>
        <v>0</v>
      </c>
      <c r="O1472" s="10">
        <v>294.85000000000002</v>
      </c>
      <c r="P1472" s="10">
        <f>+L1472-O1472</f>
        <v>0</v>
      </c>
      <c r="Q1472" s="10">
        <v>0</v>
      </c>
      <c r="R1472" s="7" t="s">
        <v>27</v>
      </c>
    </row>
    <row r="1473" spans="1:18">
      <c r="A1473" s="7" t="s">
        <v>29</v>
      </c>
      <c r="B1473" s="8">
        <v>20658</v>
      </c>
      <c r="C1473" s="9">
        <v>45965.433900462958</v>
      </c>
      <c r="D1473" s="9">
        <v>45990</v>
      </c>
      <c r="E1473" s="9">
        <v>45990</v>
      </c>
      <c r="F1473" s="7" t="s">
        <v>4817</v>
      </c>
      <c r="G1473" s="7" t="s">
        <v>4818</v>
      </c>
      <c r="H1473" s="7" t="s">
        <v>4819</v>
      </c>
      <c r="I1473" s="7" t="s">
        <v>4820</v>
      </c>
      <c r="J1473" s="7" t="s">
        <v>25</v>
      </c>
      <c r="K1473" s="7" t="s">
        <v>55</v>
      </c>
      <c r="L1473" s="10">
        <v>376.3</v>
      </c>
      <c r="M1473" s="10">
        <v>376.3</v>
      </c>
      <c r="N1473" s="10">
        <f>+L1473-M1473</f>
        <v>0</v>
      </c>
      <c r="O1473" s="10">
        <v>376.3</v>
      </c>
      <c r="P1473" s="10">
        <f>+L1473-O1473</f>
        <v>0</v>
      </c>
      <c r="Q1473" s="10">
        <v>0</v>
      </c>
      <c r="R1473" s="7" t="s">
        <v>27</v>
      </c>
    </row>
    <row r="1474" spans="1:18">
      <c r="A1474" s="7" t="s">
        <v>29</v>
      </c>
      <c r="B1474" s="8">
        <v>19591</v>
      </c>
      <c r="C1474" s="9">
        <v>45747.399988425925</v>
      </c>
      <c r="D1474" s="9">
        <v>45743</v>
      </c>
      <c r="E1474" s="9">
        <v>45622</v>
      </c>
      <c r="F1474" s="7" t="s">
        <v>4821</v>
      </c>
      <c r="G1474" s="7" t="s">
        <v>4822</v>
      </c>
      <c r="H1474" s="7" t="s">
        <v>4823</v>
      </c>
      <c r="I1474" s="7" t="s">
        <v>4824</v>
      </c>
      <c r="J1474" s="7" t="s">
        <v>25</v>
      </c>
      <c r="K1474" s="7" t="s">
        <v>26</v>
      </c>
      <c r="L1474" s="10">
        <v>374.2</v>
      </c>
      <c r="M1474" s="10">
        <v>374.2</v>
      </c>
      <c r="N1474" s="10">
        <f>+L1474-M1474</f>
        <v>0</v>
      </c>
      <c r="O1474" s="10">
        <v>374.2</v>
      </c>
      <c r="P1474" s="10">
        <f>+L1474-O1474</f>
        <v>0</v>
      </c>
      <c r="Q1474" s="10">
        <v>0</v>
      </c>
      <c r="R1474" s="7" t="s">
        <v>27</v>
      </c>
    </row>
    <row r="1475" spans="1:18" hidden="1">
      <c r="A1475" s="7" t="s">
        <v>29</v>
      </c>
      <c r="B1475" s="8">
        <v>19413</v>
      </c>
      <c r="C1475" s="9">
        <v>45700.715995370367</v>
      </c>
      <c r="D1475" s="9">
        <v>45700</v>
      </c>
      <c r="E1475" s="9">
        <v>45728</v>
      </c>
      <c r="F1475" s="7" t="s">
        <v>4825</v>
      </c>
      <c r="G1475" s="7" t="s">
        <v>1670</v>
      </c>
      <c r="H1475" s="7" t="s">
        <v>302</v>
      </c>
      <c r="I1475" s="7" t="s">
        <v>303</v>
      </c>
      <c r="J1475" s="7" t="s">
        <v>34</v>
      </c>
      <c r="K1475" s="7" t="s">
        <v>35</v>
      </c>
      <c r="L1475" s="10">
        <v>372.46</v>
      </c>
      <c r="M1475" s="10">
        <v>372.46</v>
      </c>
      <c r="N1475" s="10">
        <f>+L1475-M1475</f>
        <v>0</v>
      </c>
      <c r="O1475" s="10">
        <v>372.46</v>
      </c>
      <c r="P1475" s="10">
        <f>+L1475-O1475</f>
        <v>0</v>
      </c>
      <c r="Q1475" s="10">
        <v>0</v>
      </c>
      <c r="R1475" s="7" t="s">
        <v>27</v>
      </c>
    </row>
    <row r="1476" spans="1:18" hidden="1">
      <c r="A1476" s="7" t="s">
        <v>29</v>
      </c>
      <c r="B1476" s="8">
        <v>20297</v>
      </c>
      <c r="C1476" s="9">
        <v>45888.442083333328</v>
      </c>
      <c r="D1476" s="9">
        <v>45887</v>
      </c>
      <c r="E1476" s="9">
        <v>45887</v>
      </c>
      <c r="F1476" s="7" t="s">
        <v>4826</v>
      </c>
      <c r="G1476" s="7" t="s">
        <v>4827</v>
      </c>
      <c r="H1476" s="7" t="s">
        <v>4828</v>
      </c>
      <c r="I1476" s="7" t="s">
        <v>4829</v>
      </c>
      <c r="J1476" s="7" t="s">
        <v>176</v>
      </c>
      <c r="K1476" s="7" t="s">
        <v>360</v>
      </c>
      <c r="L1476" s="10">
        <v>372.45</v>
      </c>
      <c r="M1476" s="10">
        <v>372.45</v>
      </c>
      <c r="N1476" s="10">
        <f>+L1476-M1476</f>
        <v>0</v>
      </c>
      <c r="O1476" s="10">
        <v>372.45</v>
      </c>
      <c r="P1476" s="10">
        <f>+L1476-O1476</f>
        <v>0</v>
      </c>
      <c r="Q1476" s="10">
        <v>0</v>
      </c>
      <c r="R1476" s="7" t="s">
        <v>27</v>
      </c>
    </row>
    <row r="1477" spans="1:18" hidden="1">
      <c r="A1477" s="7" t="s">
        <v>29</v>
      </c>
      <c r="B1477" s="8">
        <v>20413</v>
      </c>
      <c r="C1477" s="9">
        <v>45908.423425925925</v>
      </c>
      <c r="D1477" s="9">
        <v>45905</v>
      </c>
      <c r="E1477" s="9">
        <v>45905</v>
      </c>
      <c r="F1477" s="7" t="s">
        <v>4830</v>
      </c>
      <c r="G1477" s="7" t="s">
        <v>4831</v>
      </c>
      <c r="H1477" s="7" t="s">
        <v>4832</v>
      </c>
      <c r="I1477" s="7" t="s">
        <v>4833</v>
      </c>
      <c r="J1477" s="7" t="s">
        <v>176</v>
      </c>
      <c r="K1477" s="7" t="s">
        <v>360</v>
      </c>
      <c r="L1477" s="10">
        <v>372.45</v>
      </c>
      <c r="M1477" s="10">
        <v>372.45</v>
      </c>
      <c r="N1477" s="10">
        <f>+L1477-M1477</f>
        <v>0</v>
      </c>
      <c r="O1477" s="10">
        <v>372.45</v>
      </c>
      <c r="P1477" s="10">
        <f>+L1477-O1477</f>
        <v>0</v>
      </c>
      <c r="Q1477" s="10">
        <v>0</v>
      </c>
      <c r="R1477" s="7" t="s">
        <v>27</v>
      </c>
    </row>
    <row r="1478" spans="1:18">
      <c r="A1478" s="7" t="s">
        <v>29</v>
      </c>
      <c r="B1478" s="8">
        <v>20826</v>
      </c>
      <c r="C1478" s="9">
        <v>46028.433888888889</v>
      </c>
      <c r="D1478" s="9">
        <v>46030</v>
      </c>
      <c r="E1478" s="9">
        <v>46014</v>
      </c>
      <c r="F1478" s="7" t="s">
        <v>4834</v>
      </c>
      <c r="G1478" s="7" t="s">
        <v>4229</v>
      </c>
      <c r="H1478" s="7" t="s">
        <v>4835</v>
      </c>
      <c r="I1478" s="7" t="s">
        <v>4836</v>
      </c>
      <c r="J1478" s="7" t="s">
        <v>25</v>
      </c>
      <c r="K1478" s="7" t="s">
        <v>170</v>
      </c>
      <c r="L1478" s="10">
        <v>370.72</v>
      </c>
      <c r="M1478" s="10">
        <v>370.72</v>
      </c>
      <c r="N1478" s="10">
        <f>+L1478-M1478</f>
        <v>0</v>
      </c>
      <c r="O1478" s="10">
        <v>370.72</v>
      </c>
      <c r="P1478" s="10">
        <f>+L1478-O1478</f>
        <v>0</v>
      </c>
      <c r="Q1478" s="10">
        <v>0</v>
      </c>
      <c r="R1478" s="7" t="s">
        <v>27</v>
      </c>
    </row>
    <row r="1479" spans="1:18" hidden="1">
      <c r="A1479" s="7" t="s">
        <v>29</v>
      </c>
      <c r="B1479" s="8">
        <v>19766</v>
      </c>
      <c r="C1479" s="9">
        <v>45782.438333333332</v>
      </c>
      <c r="D1479" s="9">
        <v>45772</v>
      </c>
      <c r="E1479" s="9">
        <v>45772</v>
      </c>
      <c r="F1479" s="7" t="s">
        <v>4837</v>
      </c>
      <c r="G1479" s="7" t="s">
        <v>4838</v>
      </c>
      <c r="H1479" s="7" t="s">
        <v>4839</v>
      </c>
      <c r="I1479" s="7" t="s">
        <v>4840</v>
      </c>
      <c r="J1479" s="7" t="s">
        <v>176</v>
      </c>
      <c r="K1479" s="7" t="s">
        <v>494</v>
      </c>
      <c r="L1479" s="10">
        <v>367.7</v>
      </c>
      <c r="M1479" s="10">
        <v>367.7</v>
      </c>
      <c r="N1479" s="10">
        <f>+L1479-M1479</f>
        <v>0</v>
      </c>
      <c r="O1479" s="10">
        <v>367.7</v>
      </c>
      <c r="P1479" s="10">
        <f>+L1479-O1479</f>
        <v>0</v>
      </c>
      <c r="Q1479" s="10">
        <v>0</v>
      </c>
      <c r="R1479" s="7" t="s">
        <v>27</v>
      </c>
    </row>
    <row r="1480" spans="1:18" hidden="1">
      <c r="A1480" s="7" t="s">
        <v>29</v>
      </c>
      <c r="B1480" s="8">
        <v>20941</v>
      </c>
      <c r="C1480" s="9">
        <v>46058.489039351851</v>
      </c>
      <c r="D1480" s="9">
        <v>46057</v>
      </c>
      <c r="E1480" s="9">
        <v>46057</v>
      </c>
      <c r="F1480" s="7" t="s">
        <v>4841</v>
      </c>
      <c r="G1480" s="7" t="s">
        <v>4842</v>
      </c>
      <c r="H1480" s="7" t="s">
        <v>4843</v>
      </c>
      <c r="I1480" s="7" t="s">
        <v>4844</v>
      </c>
      <c r="J1480" s="7" t="s">
        <v>176</v>
      </c>
      <c r="K1480" s="7" t="s">
        <v>360</v>
      </c>
      <c r="L1480" s="10">
        <v>364.27</v>
      </c>
      <c r="M1480" s="10">
        <v>364.27</v>
      </c>
      <c r="N1480" s="10">
        <f>+L1480-M1480</f>
        <v>0</v>
      </c>
      <c r="O1480" s="10">
        <v>364.27</v>
      </c>
      <c r="P1480" s="10">
        <f>+L1480-O1480</f>
        <v>0</v>
      </c>
      <c r="Q1480" s="10">
        <v>0</v>
      </c>
      <c r="R1480" s="7" t="s">
        <v>27</v>
      </c>
    </row>
    <row r="1481" spans="1:18">
      <c r="A1481" s="7" t="s">
        <v>29</v>
      </c>
      <c r="B1481" s="8">
        <v>19343</v>
      </c>
      <c r="C1481" s="9">
        <v>45679.383993055555</v>
      </c>
      <c r="D1481" s="9">
        <v>45678</v>
      </c>
      <c r="E1481" s="9">
        <v>45674</v>
      </c>
      <c r="F1481" s="7" t="s">
        <v>4845</v>
      </c>
      <c r="G1481" s="7" t="s">
        <v>3969</v>
      </c>
      <c r="H1481" s="7" t="s">
        <v>4846</v>
      </c>
      <c r="I1481" s="7" t="s">
        <v>4847</v>
      </c>
      <c r="J1481" s="7" t="s">
        <v>25</v>
      </c>
      <c r="K1481" s="7" t="s">
        <v>3018</v>
      </c>
      <c r="L1481" s="10">
        <v>359.58</v>
      </c>
      <c r="M1481" s="10">
        <v>359.58</v>
      </c>
      <c r="N1481" s="10">
        <f>+L1481-M1481</f>
        <v>0</v>
      </c>
      <c r="O1481" s="10">
        <v>359.58</v>
      </c>
      <c r="P1481" s="10">
        <f>+L1481-O1481</f>
        <v>0</v>
      </c>
      <c r="Q1481" s="10">
        <v>0</v>
      </c>
      <c r="R1481" s="7" t="s">
        <v>27</v>
      </c>
    </row>
    <row r="1482" spans="1:18" hidden="1">
      <c r="A1482" s="7" t="s">
        <v>29</v>
      </c>
      <c r="B1482" s="8">
        <v>20527</v>
      </c>
      <c r="C1482" s="9">
        <v>45930.491493055553</v>
      </c>
      <c r="D1482" s="9">
        <v>45930</v>
      </c>
      <c r="E1482" s="9">
        <v>45924</v>
      </c>
      <c r="F1482" s="7" t="s">
        <v>4848</v>
      </c>
      <c r="G1482" s="7" t="s">
        <v>4849</v>
      </c>
      <c r="H1482" s="7" t="s">
        <v>4850</v>
      </c>
      <c r="I1482" s="7" t="s">
        <v>4851</v>
      </c>
      <c r="J1482" s="7" t="s">
        <v>34</v>
      </c>
      <c r="K1482" s="7" t="s">
        <v>412</v>
      </c>
      <c r="L1482" s="10">
        <v>359.14</v>
      </c>
      <c r="M1482" s="10">
        <v>359.14</v>
      </c>
      <c r="N1482" s="10">
        <f>+L1482-M1482</f>
        <v>0</v>
      </c>
      <c r="O1482" s="10">
        <v>359.14</v>
      </c>
      <c r="P1482" s="10">
        <f>+L1482-O1482</f>
        <v>0</v>
      </c>
      <c r="Q1482" s="10">
        <v>0</v>
      </c>
      <c r="R1482" s="7" t="s">
        <v>27</v>
      </c>
    </row>
    <row r="1483" spans="1:18" hidden="1">
      <c r="A1483" s="7" t="s">
        <v>29</v>
      </c>
      <c r="B1483" s="8">
        <v>19999</v>
      </c>
      <c r="C1483" s="9">
        <v>45831.543090277773</v>
      </c>
      <c r="D1483" s="9">
        <v>45831</v>
      </c>
      <c r="E1483" s="9">
        <v>45831</v>
      </c>
      <c r="F1483" s="7" t="s">
        <v>4852</v>
      </c>
      <c r="G1483" s="7" t="s">
        <v>4853</v>
      </c>
      <c r="H1483" s="7" t="s">
        <v>4854</v>
      </c>
      <c r="I1483" s="7" t="s">
        <v>4855</v>
      </c>
      <c r="J1483" s="7" t="s">
        <v>40</v>
      </c>
      <c r="K1483" s="7" t="s">
        <v>355</v>
      </c>
      <c r="L1483" s="10">
        <v>287.58999999999997</v>
      </c>
      <c r="M1483" s="10">
        <v>287.58999999999997</v>
      </c>
      <c r="N1483" s="10">
        <f>+L1483-M1483</f>
        <v>0</v>
      </c>
      <c r="O1483" s="10">
        <v>287.58999999999997</v>
      </c>
      <c r="P1483" s="10">
        <f>+L1483-O1483</f>
        <v>0</v>
      </c>
      <c r="Q1483" s="10">
        <v>0</v>
      </c>
      <c r="R1483" s="7" t="s">
        <v>27</v>
      </c>
    </row>
    <row r="1484" spans="1:18" hidden="1">
      <c r="A1484" s="7" t="s">
        <v>29</v>
      </c>
      <c r="B1484" s="8">
        <v>19815</v>
      </c>
      <c r="C1484" s="9">
        <v>45792.42019675926</v>
      </c>
      <c r="D1484" s="9">
        <v>45791</v>
      </c>
      <c r="E1484" s="9">
        <v>45791</v>
      </c>
      <c r="F1484" s="7" t="s">
        <v>4856</v>
      </c>
      <c r="G1484" s="7" t="s">
        <v>4857</v>
      </c>
      <c r="H1484" s="7" t="s">
        <v>4858</v>
      </c>
      <c r="I1484" s="7" t="s">
        <v>4859</v>
      </c>
      <c r="J1484" s="7" t="s">
        <v>176</v>
      </c>
      <c r="K1484" s="7" t="s">
        <v>494</v>
      </c>
      <c r="L1484" s="10">
        <v>350.4</v>
      </c>
      <c r="M1484" s="10">
        <v>350.4</v>
      </c>
      <c r="N1484" s="10">
        <f>+L1484-M1484</f>
        <v>0</v>
      </c>
      <c r="O1484" s="10">
        <v>350.4</v>
      </c>
      <c r="P1484" s="10">
        <f>+L1484-O1484</f>
        <v>0</v>
      </c>
      <c r="Q1484" s="10">
        <v>0</v>
      </c>
      <c r="R1484" s="7" t="s">
        <v>27</v>
      </c>
    </row>
    <row r="1485" spans="1:18" hidden="1">
      <c r="A1485" s="7" t="s">
        <v>29</v>
      </c>
      <c r="B1485" s="8">
        <v>19622</v>
      </c>
      <c r="C1485" s="9">
        <v>45751.68236111111</v>
      </c>
      <c r="D1485" s="9">
        <v>45628</v>
      </c>
      <c r="E1485" s="9">
        <v>45628</v>
      </c>
      <c r="F1485" s="7" t="s">
        <v>4860</v>
      </c>
      <c r="G1485" s="7" t="s">
        <v>4861</v>
      </c>
      <c r="H1485" s="7" t="s">
        <v>4862</v>
      </c>
      <c r="I1485" s="7" t="s">
        <v>4863</v>
      </c>
      <c r="J1485" s="7" t="s">
        <v>176</v>
      </c>
      <c r="K1485" s="7" t="s">
        <v>569</v>
      </c>
      <c r="L1485" s="10">
        <v>350.3</v>
      </c>
      <c r="M1485" s="10">
        <v>350.3</v>
      </c>
      <c r="N1485" s="10">
        <f>+L1485-M1485</f>
        <v>0</v>
      </c>
      <c r="O1485" s="10">
        <v>350.3</v>
      </c>
      <c r="P1485" s="10">
        <f>+L1485-O1485</f>
        <v>0</v>
      </c>
      <c r="Q1485" s="10">
        <v>0</v>
      </c>
      <c r="R1485" s="7" t="s">
        <v>27</v>
      </c>
    </row>
    <row r="1486" spans="1:18">
      <c r="A1486" s="7" t="s">
        <v>29</v>
      </c>
      <c r="B1486" s="8">
        <v>20888</v>
      </c>
      <c r="C1486" s="9">
        <v>46043.361897881943</v>
      </c>
      <c r="D1486" s="9">
        <v>46045</v>
      </c>
      <c r="E1486" s="9">
        <v>46045</v>
      </c>
      <c r="F1486" s="7" t="s">
        <v>4864</v>
      </c>
      <c r="G1486" s="7" t="s">
        <v>4865</v>
      </c>
      <c r="H1486" s="7" t="s">
        <v>783</v>
      </c>
      <c r="I1486" s="7" t="s">
        <v>784</v>
      </c>
      <c r="J1486" s="7" t="s">
        <v>25</v>
      </c>
      <c r="K1486" s="7" t="s">
        <v>55</v>
      </c>
      <c r="L1486" s="10">
        <v>344.65</v>
      </c>
      <c r="M1486" s="10">
        <v>344.65</v>
      </c>
      <c r="N1486" s="10">
        <f>+L1486-M1486</f>
        <v>0</v>
      </c>
      <c r="O1486" s="10">
        <v>344.65</v>
      </c>
      <c r="P1486" s="10">
        <f>+L1486-O1486</f>
        <v>0</v>
      </c>
      <c r="Q1486" s="10">
        <v>0</v>
      </c>
      <c r="R1486" s="7" t="s">
        <v>27</v>
      </c>
    </row>
    <row r="1487" spans="1:18" hidden="1">
      <c r="A1487" s="7" t="s">
        <v>29</v>
      </c>
      <c r="B1487" s="8">
        <v>19518</v>
      </c>
      <c r="C1487" s="9">
        <v>45728.624513888884</v>
      </c>
      <c r="D1487" s="9">
        <v>45728</v>
      </c>
      <c r="E1487" s="9">
        <v>45726</v>
      </c>
      <c r="F1487" s="7" t="s">
        <v>4866</v>
      </c>
      <c r="G1487" s="7" t="s">
        <v>4867</v>
      </c>
      <c r="H1487" s="7" t="s">
        <v>3351</v>
      </c>
      <c r="I1487" s="7" t="s">
        <v>3352</v>
      </c>
      <c r="J1487" s="7" t="s">
        <v>34</v>
      </c>
      <c r="K1487" s="7" t="s">
        <v>902</v>
      </c>
      <c r="L1487" s="10">
        <v>349.23</v>
      </c>
      <c r="M1487" s="10">
        <v>349.23</v>
      </c>
      <c r="N1487" s="10">
        <f>+L1487-M1487</f>
        <v>0</v>
      </c>
      <c r="O1487" s="10">
        <v>349.23</v>
      </c>
      <c r="P1487" s="10">
        <f>+L1487-O1487</f>
        <v>0</v>
      </c>
      <c r="Q1487" s="10">
        <v>0</v>
      </c>
      <c r="R1487" s="7" t="s">
        <v>27</v>
      </c>
    </row>
    <row r="1488" spans="1:18" hidden="1">
      <c r="A1488" s="7" t="s">
        <v>29</v>
      </c>
      <c r="B1488" s="8">
        <v>20132</v>
      </c>
      <c r="C1488" s="9">
        <v>45849.431018518517</v>
      </c>
      <c r="D1488" s="9">
        <v>45849</v>
      </c>
      <c r="E1488" s="9">
        <v>45849</v>
      </c>
      <c r="F1488" s="7" t="s">
        <v>4868</v>
      </c>
      <c r="G1488" s="7" t="s">
        <v>4869</v>
      </c>
      <c r="H1488" s="7" t="s">
        <v>4870</v>
      </c>
      <c r="I1488" s="7" t="s">
        <v>4868</v>
      </c>
      <c r="J1488" s="7" t="s">
        <v>40</v>
      </c>
      <c r="K1488" s="7" t="s">
        <v>1784</v>
      </c>
      <c r="L1488" s="10">
        <v>274.08</v>
      </c>
      <c r="M1488" s="10">
        <v>274.08</v>
      </c>
      <c r="N1488" s="10">
        <f>+L1488-M1488</f>
        <v>0</v>
      </c>
      <c r="O1488" s="10">
        <v>274.08</v>
      </c>
      <c r="P1488" s="10">
        <f>+L1488-O1488</f>
        <v>0</v>
      </c>
      <c r="Q1488" s="10">
        <v>0</v>
      </c>
      <c r="R1488" s="7" t="s">
        <v>27</v>
      </c>
    </row>
    <row r="1489" spans="1:18">
      <c r="A1489" s="7" t="s">
        <v>29</v>
      </c>
      <c r="B1489" s="8">
        <v>20547</v>
      </c>
      <c r="C1489" s="9">
        <v>45933.565868055557</v>
      </c>
      <c r="D1489" s="9">
        <v>45936</v>
      </c>
      <c r="E1489" s="9">
        <v>45936</v>
      </c>
      <c r="F1489" s="7" t="s">
        <v>4871</v>
      </c>
      <c r="G1489" s="7" t="s">
        <v>4872</v>
      </c>
      <c r="H1489" s="7" t="s">
        <v>1803</v>
      </c>
      <c r="I1489" s="7" t="s">
        <v>1804</v>
      </c>
      <c r="J1489" s="7" t="s">
        <v>25</v>
      </c>
      <c r="K1489" s="7" t="s">
        <v>170</v>
      </c>
      <c r="L1489" s="10">
        <v>343.11</v>
      </c>
      <c r="M1489" s="10">
        <v>343.11</v>
      </c>
      <c r="N1489" s="10">
        <f>+L1489-M1489</f>
        <v>0</v>
      </c>
      <c r="O1489" s="10">
        <v>343.11</v>
      </c>
      <c r="P1489" s="10">
        <f>+L1489-O1489</f>
        <v>0</v>
      </c>
      <c r="Q1489" s="10">
        <v>0</v>
      </c>
      <c r="R1489" s="7" t="s">
        <v>27</v>
      </c>
    </row>
    <row r="1490" spans="1:18" hidden="1">
      <c r="A1490" s="7" t="s">
        <v>29</v>
      </c>
      <c r="B1490" s="8">
        <v>4275</v>
      </c>
      <c r="C1490" s="9">
        <v>45957.388182870367</v>
      </c>
      <c r="D1490" s="9">
        <v>45943</v>
      </c>
      <c r="E1490" s="9">
        <v>46006</v>
      </c>
      <c r="F1490" s="7" t="s">
        <v>4873</v>
      </c>
      <c r="G1490" s="7" t="s">
        <v>2459</v>
      </c>
      <c r="H1490" s="7" t="s">
        <v>1714</v>
      </c>
      <c r="I1490" s="7" t="s">
        <v>910</v>
      </c>
      <c r="J1490" s="7" t="s">
        <v>25</v>
      </c>
      <c r="K1490" s="7" t="s">
        <v>206</v>
      </c>
      <c r="L1490" s="10">
        <v>341.26</v>
      </c>
      <c r="M1490" s="10">
        <v>341.26</v>
      </c>
      <c r="N1490" s="15">
        <f>+L1490-M1490</f>
        <v>0</v>
      </c>
      <c r="O1490" s="15">
        <v>341.26</v>
      </c>
      <c r="P1490" s="15">
        <f>+L1490-O1490</f>
        <v>0</v>
      </c>
      <c r="Q1490" s="10">
        <v>0</v>
      </c>
      <c r="R1490" s="7" t="s">
        <v>87</v>
      </c>
    </row>
    <row r="1491" spans="1:18" hidden="1">
      <c r="A1491" s="7" t="s">
        <v>29</v>
      </c>
      <c r="B1491" s="8">
        <v>4221</v>
      </c>
      <c r="C1491" s="9">
        <v>45814.351342592592</v>
      </c>
      <c r="D1491" s="9">
        <v>45803</v>
      </c>
      <c r="E1491" s="9">
        <v>45869</v>
      </c>
      <c r="F1491" s="7" t="s">
        <v>4874</v>
      </c>
      <c r="G1491" s="7" t="s">
        <v>4358</v>
      </c>
      <c r="H1491" s="7" t="s">
        <v>1714</v>
      </c>
      <c r="I1491" s="7" t="s">
        <v>910</v>
      </c>
      <c r="J1491" s="7" t="s">
        <v>25</v>
      </c>
      <c r="K1491" s="7" t="s">
        <v>206</v>
      </c>
      <c r="L1491" s="10">
        <v>341.26</v>
      </c>
      <c r="M1491" s="10">
        <v>341.26</v>
      </c>
      <c r="N1491" s="15">
        <f>+L1491-M1491</f>
        <v>0</v>
      </c>
      <c r="O1491" s="15">
        <v>341.26</v>
      </c>
      <c r="P1491" s="15">
        <f>+L1491-O1491</f>
        <v>0</v>
      </c>
      <c r="Q1491" s="10">
        <v>0</v>
      </c>
      <c r="R1491" s="7" t="s">
        <v>87</v>
      </c>
    </row>
    <row r="1492" spans="1:18">
      <c r="A1492" s="7" t="s">
        <v>29</v>
      </c>
      <c r="B1492" s="8">
        <v>20482</v>
      </c>
      <c r="C1492" s="9">
        <v>45922.618645833332</v>
      </c>
      <c r="D1492" s="9">
        <v>45954</v>
      </c>
      <c r="E1492" s="9">
        <v>45954</v>
      </c>
      <c r="F1492" s="7" t="s">
        <v>4875</v>
      </c>
      <c r="G1492" s="7" t="s">
        <v>4876</v>
      </c>
      <c r="H1492" s="7" t="s">
        <v>951</v>
      </c>
      <c r="I1492" s="7" t="s">
        <v>952</v>
      </c>
      <c r="J1492" s="7" t="s">
        <v>25</v>
      </c>
      <c r="K1492" s="7" t="s">
        <v>525</v>
      </c>
      <c r="L1492" s="10">
        <v>339</v>
      </c>
      <c r="M1492" s="10">
        <v>339</v>
      </c>
      <c r="N1492" s="10">
        <f>+L1492-M1492</f>
        <v>0</v>
      </c>
      <c r="O1492" s="10">
        <v>339</v>
      </c>
      <c r="P1492" s="10">
        <f>+L1492-O1492</f>
        <v>0</v>
      </c>
      <c r="Q1492" s="10">
        <v>0</v>
      </c>
      <c r="R1492" s="7" t="s">
        <v>27</v>
      </c>
    </row>
    <row r="1493" spans="1:18">
      <c r="A1493" s="7" t="s">
        <v>29</v>
      </c>
      <c r="B1493" s="8">
        <v>20484</v>
      </c>
      <c r="C1493" s="9">
        <v>45922.701157407406</v>
      </c>
      <c r="D1493" s="9">
        <v>45954</v>
      </c>
      <c r="E1493" s="9">
        <v>45954</v>
      </c>
      <c r="F1493" s="7" t="s">
        <v>4877</v>
      </c>
      <c r="G1493" s="7" t="s">
        <v>4878</v>
      </c>
      <c r="H1493" s="7" t="s">
        <v>951</v>
      </c>
      <c r="I1493" s="7" t="s">
        <v>952</v>
      </c>
      <c r="J1493" s="7" t="s">
        <v>25</v>
      </c>
      <c r="K1493" s="7" t="s">
        <v>525</v>
      </c>
      <c r="L1493" s="10">
        <v>339</v>
      </c>
      <c r="M1493" s="10">
        <v>339</v>
      </c>
      <c r="N1493" s="10">
        <f>+L1493-M1493</f>
        <v>0</v>
      </c>
      <c r="O1493" s="10">
        <v>339</v>
      </c>
      <c r="P1493" s="10">
        <f>+L1493-O1493</f>
        <v>0</v>
      </c>
      <c r="Q1493" s="10">
        <v>0</v>
      </c>
      <c r="R1493" s="7" t="s">
        <v>27</v>
      </c>
    </row>
    <row r="1494" spans="1:18">
      <c r="A1494" s="7" t="s">
        <v>29</v>
      </c>
      <c r="B1494" s="8">
        <v>20672</v>
      </c>
      <c r="C1494" s="9">
        <v>45965.738755057871</v>
      </c>
      <c r="D1494" s="9">
        <v>45999</v>
      </c>
      <c r="E1494" s="9">
        <v>45999</v>
      </c>
      <c r="F1494" s="7" t="s">
        <v>4879</v>
      </c>
      <c r="G1494" s="7" t="s">
        <v>4880</v>
      </c>
      <c r="H1494" s="7" t="s">
        <v>1845</v>
      </c>
      <c r="I1494" s="7" t="s">
        <v>952</v>
      </c>
      <c r="J1494" s="7" t="s">
        <v>25</v>
      </c>
      <c r="K1494" s="7" t="s">
        <v>525</v>
      </c>
      <c r="L1494" s="10">
        <v>339</v>
      </c>
      <c r="M1494" s="10">
        <v>339</v>
      </c>
      <c r="N1494" s="10">
        <f>+L1494-M1494</f>
        <v>0</v>
      </c>
      <c r="O1494" s="10">
        <v>339</v>
      </c>
      <c r="P1494" s="10">
        <f>+L1494-O1494</f>
        <v>0</v>
      </c>
      <c r="Q1494" s="10">
        <v>0</v>
      </c>
      <c r="R1494" s="7" t="s">
        <v>27</v>
      </c>
    </row>
    <row r="1495" spans="1:18">
      <c r="A1495" s="7" t="s">
        <v>29</v>
      </c>
      <c r="B1495" s="8">
        <v>20640</v>
      </c>
      <c r="C1495" s="9">
        <v>45960.41776157407</v>
      </c>
      <c r="D1495" s="9">
        <v>45992</v>
      </c>
      <c r="E1495" s="9">
        <v>45992</v>
      </c>
      <c r="F1495" s="7" t="s">
        <v>4881</v>
      </c>
      <c r="G1495" s="7" t="s">
        <v>4882</v>
      </c>
      <c r="H1495" s="7" t="s">
        <v>1845</v>
      </c>
      <c r="I1495" s="7" t="s">
        <v>952</v>
      </c>
      <c r="J1495" s="7" t="s">
        <v>25</v>
      </c>
      <c r="K1495" s="7" t="s">
        <v>525</v>
      </c>
      <c r="L1495" s="10">
        <v>339</v>
      </c>
      <c r="M1495" s="10">
        <v>339</v>
      </c>
      <c r="N1495" s="10">
        <f>+L1495-M1495</f>
        <v>0</v>
      </c>
      <c r="O1495" s="10">
        <v>339</v>
      </c>
      <c r="P1495" s="10">
        <f>+L1495-O1495</f>
        <v>0</v>
      </c>
      <c r="Q1495" s="10">
        <v>0</v>
      </c>
      <c r="R1495" s="7" t="s">
        <v>27</v>
      </c>
    </row>
    <row r="1496" spans="1:18" hidden="1">
      <c r="A1496" s="7" t="s">
        <v>29</v>
      </c>
      <c r="B1496" s="8">
        <v>20033</v>
      </c>
      <c r="C1496" s="9">
        <v>45835.376712962963</v>
      </c>
      <c r="D1496" s="9">
        <v>45721</v>
      </c>
      <c r="E1496" s="9">
        <v>45637</v>
      </c>
      <c r="F1496" s="7" t="s">
        <v>4883</v>
      </c>
      <c r="G1496" s="7" t="s">
        <v>4884</v>
      </c>
      <c r="H1496" s="7" t="s">
        <v>2115</v>
      </c>
      <c r="I1496" s="7" t="s">
        <v>2116</v>
      </c>
      <c r="J1496" s="7" t="s">
        <v>176</v>
      </c>
      <c r="K1496" s="7" t="s">
        <v>550</v>
      </c>
      <c r="L1496" s="10">
        <v>339</v>
      </c>
      <c r="M1496" s="10">
        <v>339</v>
      </c>
      <c r="N1496" s="10">
        <f>+L1496-M1496</f>
        <v>0</v>
      </c>
      <c r="O1496" s="10">
        <v>339</v>
      </c>
      <c r="P1496" s="10">
        <f>+L1496-O1496</f>
        <v>0</v>
      </c>
      <c r="Q1496" s="10">
        <v>0</v>
      </c>
      <c r="R1496" s="7" t="s">
        <v>27</v>
      </c>
    </row>
    <row r="1497" spans="1:18" hidden="1">
      <c r="A1497" s="7" t="s">
        <v>29</v>
      </c>
      <c r="B1497" s="8">
        <v>19970</v>
      </c>
      <c r="C1497" s="9">
        <v>45824.653263888889</v>
      </c>
      <c r="D1497" s="9">
        <v>45721</v>
      </c>
      <c r="E1497" s="9">
        <v>45637</v>
      </c>
      <c r="F1497" s="7" t="s">
        <v>4885</v>
      </c>
      <c r="G1497" s="7" t="s">
        <v>4886</v>
      </c>
      <c r="H1497" s="7" t="s">
        <v>548</v>
      </c>
      <c r="I1497" s="7" t="s">
        <v>549</v>
      </c>
      <c r="J1497" s="7" t="s">
        <v>176</v>
      </c>
      <c r="K1497" s="7" t="s">
        <v>550</v>
      </c>
      <c r="L1497" s="10">
        <v>339</v>
      </c>
      <c r="M1497" s="10">
        <v>339</v>
      </c>
      <c r="N1497" s="10">
        <f>+L1497-M1497</f>
        <v>0</v>
      </c>
      <c r="O1497" s="10">
        <v>339</v>
      </c>
      <c r="P1497" s="10">
        <f>+L1497-O1497</f>
        <v>0</v>
      </c>
      <c r="Q1497" s="10">
        <v>0</v>
      </c>
      <c r="R1497" s="7" t="s">
        <v>27</v>
      </c>
    </row>
    <row r="1498" spans="1:18">
      <c r="A1498" s="7" t="s">
        <v>29</v>
      </c>
      <c r="B1498" s="8">
        <v>20673</v>
      </c>
      <c r="C1498" s="9">
        <v>45965.738946724538</v>
      </c>
      <c r="D1498" s="9">
        <v>46028</v>
      </c>
      <c r="E1498" s="9">
        <v>46028</v>
      </c>
      <c r="F1498" s="7" t="s">
        <v>4887</v>
      </c>
      <c r="G1498" s="7" t="s">
        <v>4888</v>
      </c>
      <c r="H1498" s="7" t="s">
        <v>4889</v>
      </c>
      <c r="I1498" s="7" t="s">
        <v>3774</v>
      </c>
      <c r="J1498" s="7" t="s">
        <v>25</v>
      </c>
      <c r="K1498" s="7" t="s">
        <v>240</v>
      </c>
      <c r="L1498" s="10">
        <v>337.87</v>
      </c>
      <c r="M1498" s="10">
        <v>337.87</v>
      </c>
      <c r="N1498" s="10">
        <f>+L1498-M1498</f>
        <v>0</v>
      </c>
      <c r="O1498" s="10">
        <v>337.87</v>
      </c>
      <c r="P1498" s="10">
        <f>+L1498-O1498</f>
        <v>0</v>
      </c>
      <c r="Q1498" s="10">
        <v>0</v>
      </c>
      <c r="R1498" s="7" t="s">
        <v>27</v>
      </c>
    </row>
    <row r="1499" spans="1:18" hidden="1">
      <c r="A1499" s="7" t="s">
        <v>29</v>
      </c>
      <c r="B1499" s="8">
        <v>20294</v>
      </c>
      <c r="C1499" s="9">
        <v>45888.37868055555</v>
      </c>
      <c r="D1499" s="9">
        <v>45890</v>
      </c>
      <c r="E1499" s="9">
        <v>45883</v>
      </c>
      <c r="F1499" s="7" t="s">
        <v>4890</v>
      </c>
      <c r="G1499" s="7" t="s">
        <v>4891</v>
      </c>
      <c r="H1499" s="7" t="s">
        <v>2151</v>
      </c>
      <c r="I1499" s="7" t="s">
        <v>2152</v>
      </c>
      <c r="J1499" s="7" t="s">
        <v>176</v>
      </c>
      <c r="K1499" s="7" t="s">
        <v>317</v>
      </c>
      <c r="L1499" s="10">
        <v>330</v>
      </c>
      <c r="M1499" s="10">
        <v>330</v>
      </c>
      <c r="N1499" s="10">
        <f>+L1499-M1499</f>
        <v>0</v>
      </c>
      <c r="O1499" s="10">
        <v>330</v>
      </c>
      <c r="P1499" s="10">
        <f>+L1499-O1499</f>
        <v>0</v>
      </c>
      <c r="Q1499" s="10">
        <v>0</v>
      </c>
      <c r="R1499" s="7" t="s">
        <v>27</v>
      </c>
    </row>
    <row r="1500" spans="1:18" hidden="1">
      <c r="A1500" s="7" t="s">
        <v>29</v>
      </c>
      <c r="B1500" s="8">
        <v>20332</v>
      </c>
      <c r="C1500" s="9">
        <v>45895.559548611112</v>
      </c>
      <c r="D1500" s="9">
        <v>45895</v>
      </c>
      <c r="E1500" s="9">
        <v>45895</v>
      </c>
      <c r="F1500" s="7" t="s">
        <v>4892</v>
      </c>
      <c r="G1500" s="7" t="s">
        <v>4893</v>
      </c>
      <c r="H1500" s="7" t="s">
        <v>4894</v>
      </c>
      <c r="I1500" s="7" t="s">
        <v>4892</v>
      </c>
      <c r="J1500" s="7" t="s">
        <v>40</v>
      </c>
      <c r="K1500" s="7" t="s">
        <v>4785</v>
      </c>
      <c r="L1500" s="10">
        <v>254.91</v>
      </c>
      <c r="M1500" s="10">
        <v>254.91</v>
      </c>
      <c r="N1500" s="10">
        <f>+L1500-M1500</f>
        <v>0</v>
      </c>
      <c r="O1500" s="10">
        <v>254.91</v>
      </c>
      <c r="P1500" s="10">
        <f>+L1500-O1500</f>
        <v>0</v>
      </c>
      <c r="Q1500" s="10">
        <v>0</v>
      </c>
      <c r="R1500" s="7" t="s">
        <v>27</v>
      </c>
    </row>
    <row r="1501" spans="1:18" hidden="1">
      <c r="A1501" s="7" t="s">
        <v>29</v>
      </c>
      <c r="B1501" s="8">
        <v>4263</v>
      </c>
      <c r="C1501" s="9">
        <v>45930.681226851848</v>
      </c>
      <c r="D1501" s="9">
        <v>45926</v>
      </c>
      <c r="E1501" s="9">
        <v>45926</v>
      </c>
      <c r="F1501" s="7" t="s">
        <v>4895</v>
      </c>
      <c r="G1501" s="7" t="s">
        <v>2985</v>
      </c>
      <c r="H1501" s="7" t="s">
        <v>4194</v>
      </c>
      <c r="I1501" s="7" t="s">
        <v>351</v>
      </c>
      <c r="J1501" s="7" t="s">
        <v>25</v>
      </c>
      <c r="K1501" s="7" t="s">
        <v>125</v>
      </c>
      <c r="L1501" s="10">
        <v>335.61</v>
      </c>
      <c r="M1501" s="10">
        <v>335.61</v>
      </c>
      <c r="N1501" s="15">
        <f>+L1501-M1501</f>
        <v>0</v>
      </c>
      <c r="O1501" s="15">
        <v>335.61</v>
      </c>
      <c r="P1501" s="15">
        <f>+L1501-O1501</f>
        <v>0</v>
      </c>
      <c r="Q1501" s="10">
        <v>0</v>
      </c>
      <c r="R1501" s="7" t="s">
        <v>87</v>
      </c>
    </row>
    <row r="1502" spans="1:18">
      <c r="A1502" s="7" t="s">
        <v>29</v>
      </c>
      <c r="B1502" s="8">
        <v>19605</v>
      </c>
      <c r="C1502" s="9">
        <v>45750.699037384256</v>
      </c>
      <c r="D1502" s="9">
        <v>45761</v>
      </c>
      <c r="E1502" s="9">
        <v>45792</v>
      </c>
      <c r="F1502" s="7" t="s">
        <v>4896</v>
      </c>
      <c r="G1502" s="7" t="s">
        <v>4897</v>
      </c>
      <c r="H1502" s="7" t="s">
        <v>872</v>
      </c>
      <c r="I1502" s="7" t="s">
        <v>873</v>
      </c>
      <c r="J1502" s="7" t="s">
        <v>25</v>
      </c>
      <c r="K1502" s="7" t="s">
        <v>55</v>
      </c>
      <c r="L1502" s="10">
        <v>325</v>
      </c>
      <c r="M1502" s="10">
        <v>325</v>
      </c>
      <c r="N1502" s="10">
        <f>+L1502-M1502</f>
        <v>0</v>
      </c>
      <c r="O1502" s="10">
        <v>325</v>
      </c>
      <c r="P1502" s="10">
        <f>+L1502-O1502</f>
        <v>0</v>
      </c>
      <c r="Q1502" s="10">
        <v>0</v>
      </c>
      <c r="R1502" s="7" t="s">
        <v>27</v>
      </c>
    </row>
    <row r="1503" spans="1:18">
      <c r="A1503" s="7" t="s">
        <v>29</v>
      </c>
      <c r="B1503" s="8">
        <v>19311</v>
      </c>
      <c r="C1503" s="9">
        <v>45664.568784722222</v>
      </c>
      <c r="D1503" s="9">
        <v>45667</v>
      </c>
      <c r="E1503" s="9">
        <v>45698</v>
      </c>
      <c r="F1503" s="7" t="s">
        <v>4898</v>
      </c>
      <c r="G1503" s="7" t="s">
        <v>1700</v>
      </c>
      <c r="H1503" s="7" t="s">
        <v>951</v>
      </c>
      <c r="I1503" s="7" t="s">
        <v>952</v>
      </c>
      <c r="J1503" s="7" t="s">
        <v>25</v>
      </c>
      <c r="K1503" s="7" t="s">
        <v>525</v>
      </c>
      <c r="L1503" s="10">
        <v>319.11</v>
      </c>
      <c r="M1503" s="10">
        <v>319.11</v>
      </c>
      <c r="N1503" s="10">
        <f>+L1503-M1503</f>
        <v>0</v>
      </c>
      <c r="O1503" s="10">
        <v>319.11</v>
      </c>
      <c r="P1503" s="10">
        <f>+L1503-O1503</f>
        <v>0</v>
      </c>
      <c r="Q1503" s="10">
        <v>0</v>
      </c>
      <c r="R1503" s="7" t="s">
        <v>27</v>
      </c>
    </row>
    <row r="1504" spans="1:18">
      <c r="A1504" s="7" t="s">
        <v>29</v>
      </c>
      <c r="B1504" s="8">
        <v>19367</v>
      </c>
      <c r="C1504" s="9">
        <v>45687.418148148143</v>
      </c>
      <c r="D1504" s="9">
        <v>45716</v>
      </c>
      <c r="E1504" s="9">
        <v>45716</v>
      </c>
      <c r="F1504" s="7" t="s">
        <v>4899</v>
      </c>
      <c r="G1504" s="7" t="s">
        <v>1728</v>
      </c>
      <c r="H1504" s="7" t="s">
        <v>951</v>
      </c>
      <c r="I1504" s="7" t="s">
        <v>952</v>
      </c>
      <c r="J1504" s="7" t="s">
        <v>25</v>
      </c>
      <c r="K1504" s="7" t="s">
        <v>525</v>
      </c>
      <c r="L1504" s="10">
        <v>319.11</v>
      </c>
      <c r="M1504" s="10">
        <v>319.11</v>
      </c>
      <c r="N1504" s="10">
        <f>+L1504-M1504</f>
        <v>0</v>
      </c>
      <c r="O1504" s="10">
        <v>319.11</v>
      </c>
      <c r="P1504" s="10">
        <f>+L1504-O1504</f>
        <v>0</v>
      </c>
      <c r="Q1504" s="10">
        <v>0</v>
      </c>
      <c r="R1504" s="7" t="s">
        <v>27</v>
      </c>
    </row>
    <row r="1505" spans="1:18">
      <c r="A1505" s="7" t="s">
        <v>29</v>
      </c>
      <c r="B1505" s="8">
        <v>20315</v>
      </c>
      <c r="C1505" s="9">
        <v>45891.623287037037</v>
      </c>
      <c r="D1505" s="9">
        <v>45927</v>
      </c>
      <c r="E1505" s="9">
        <v>45927</v>
      </c>
      <c r="F1505" s="7" t="s">
        <v>4900</v>
      </c>
      <c r="G1505" s="7" t="s">
        <v>4901</v>
      </c>
      <c r="H1505" s="7" t="s">
        <v>951</v>
      </c>
      <c r="I1505" s="7" t="s">
        <v>952</v>
      </c>
      <c r="J1505" s="7" t="s">
        <v>25</v>
      </c>
      <c r="K1505" s="7" t="s">
        <v>525</v>
      </c>
      <c r="L1505" s="10">
        <v>319.11</v>
      </c>
      <c r="M1505" s="10">
        <v>319.11</v>
      </c>
      <c r="N1505" s="10">
        <f>+L1505-M1505</f>
        <v>0</v>
      </c>
      <c r="O1505" s="10">
        <v>319.11</v>
      </c>
      <c r="P1505" s="10">
        <f>+L1505-O1505</f>
        <v>0</v>
      </c>
      <c r="Q1505" s="10">
        <v>0</v>
      </c>
      <c r="R1505" s="7" t="s">
        <v>27</v>
      </c>
    </row>
    <row r="1506" spans="1:18">
      <c r="A1506" s="7" t="s">
        <v>29</v>
      </c>
      <c r="B1506" s="8">
        <v>20269</v>
      </c>
      <c r="C1506" s="9">
        <v>45881.357939814814</v>
      </c>
      <c r="D1506" s="9">
        <v>45882</v>
      </c>
      <c r="E1506" s="9">
        <v>45882</v>
      </c>
      <c r="F1506" s="7" t="s">
        <v>4902</v>
      </c>
      <c r="G1506" s="7" t="s">
        <v>4903</v>
      </c>
      <c r="H1506" s="7" t="s">
        <v>3937</v>
      </c>
      <c r="I1506" s="7" t="s">
        <v>3938</v>
      </c>
      <c r="J1506" s="7" t="s">
        <v>25</v>
      </c>
      <c r="K1506" s="7" t="s">
        <v>170</v>
      </c>
      <c r="L1506" s="10">
        <v>318.73</v>
      </c>
      <c r="M1506" s="10">
        <v>318.73</v>
      </c>
      <c r="N1506" s="10">
        <f>+L1506-M1506</f>
        <v>0</v>
      </c>
      <c r="O1506" s="10">
        <v>318.73</v>
      </c>
      <c r="P1506" s="10">
        <f>+L1506-O1506</f>
        <v>0</v>
      </c>
      <c r="Q1506" s="10">
        <v>0</v>
      </c>
      <c r="R1506" s="7" t="s">
        <v>27</v>
      </c>
    </row>
    <row r="1507" spans="1:18" hidden="1">
      <c r="A1507" s="7" t="s">
        <v>29</v>
      </c>
      <c r="B1507" s="8">
        <v>4170</v>
      </c>
      <c r="C1507" s="9">
        <v>45706.732812499999</v>
      </c>
      <c r="D1507" s="9">
        <v>45706</v>
      </c>
      <c r="E1507" s="9">
        <v>45706</v>
      </c>
      <c r="F1507" s="7" t="s">
        <v>4904</v>
      </c>
      <c r="G1507" s="7" t="s">
        <v>4905</v>
      </c>
      <c r="H1507" s="7" t="s">
        <v>4906</v>
      </c>
      <c r="I1507" s="7" t="s">
        <v>4907</v>
      </c>
      <c r="J1507" s="7" t="s">
        <v>25</v>
      </c>
      <c r="K1507" s="7" t="s">
        <v>125</v>
      </c>
      <c r="L1507" s="10">
        <v>299.45</v>
      </c>
      <c r="M1507" s="10">
        <v>299.45</v>
      </c>
      <c r="N1507" s="15">
        <f>+L1507-M1507</f>
        <v>0</v>
      </c>
      <c r="O1507" s="15">
        <v>299.45</v>
      </c>
      <c r="P1507" s="15">
        <f>+L1507-O1507</f>
        <v>0</v>
      </c>
      <c r="Q1507" s="10">
        <v>0</v>
      </c>
      <c r="R1507" s="7" t="s">
        <v>87</v>
      </c>
    </row>
    <row r="1508" spans="1:18">
      <c r="A1508" s="7" t="s">
        <v>29</v>
      </c>
      <c r="B1508" s="8">
        <v>19910</v>
      </c>
      <c r="C1508" s="9">
        <v>45810.591689814813</v>
      </c>
      <c r="D1508" s="9">
        <v>45831</v>
      </c>
      <c r="E1508" s="9">
        <v>45789</v>
      </c>
      <c r="F1508" s="7" t="s">
        <v>4908</v>
      </c>
      <c r="G1508" s="7" t="s">
        <v>4909</v>
      </c>
      <c r="H1508" s="7" t="s">
        <v>4910</v>
      </c>
      <c r="I1508" s="7" t="s">
        <v>855</v>
      </c>
      <c r="J1508" s="7" t="s">
        <v>25</v>
      </c>
      <c r="K1508" s="7" t="s">
        <v>170</v>
      </c>
      <c r="L1508" s="10">
        <v>299.45</v>
      </c>
      <c r="M1508" s="10">
        <v>299.45</v>
      </c>
      <c r="N1508" s="10">
        <f>+L1508-M1508</f>
        <v>0</v>
      </c>
      <c r="O1508" s="10">
        <v>299.45</v>
      </c>
      <c r="P1508" s="10">
        <f>+L1508-O1508</f>
        <v>0</v>
      </c>
      <c r="Q1508" s="10">
        <v>0</v>
      </c>
      <c r="R1508" s="7" t="s">
        <v>27</v>
      </c>
    </row>
    <row r="1509" spans="1:18" hidden="1">
      <c r="A1509" s="7" t="s">
        <v>29</v>
      </c>
      <c r="B1509" s="8">
        <v>19348</v>
      </c>
      <c r="C1509" s="9">
        <v>45679.736701388887</v>
      </c>
      <c r="D1509" s="9">
        <v>45838</v>
      </c>
      <c r="E1509" s="9">
        <v>45792</v>
      </c>
      <c r="F1509" s="7" t="s">
        <v>4911</v>
      </c>
      <c r="G1509" s="7" t="s">
        <v>3386</v>
      </c>
      <c r="H1509" s="7" t="s">
        <v>1516</v>
      </c>
      <c r="I1509" s="7" t="s">
        <v>1517</v>
      </c>
      <c r="J1509" s="7" t="s">
        <v>40</v>
      </c>
      <c r="K1509" s="7" t="s">
        <v>41</v>
      </c>
      <c r="L1509" s="10">
        <v>252.5</v>
      </c>
      <c r="M1509" s="10">
        <v>252.5</v>
      </c>
      <c r="N1509" s="10">
        <f>+L1509-M1509</f>
        <v>0</v>
      </c>
      <c r="O1509" s="10">
        <v>252.5</v>
      </c>
      <c r="P1509" s="10">
        <f>+L1509-O1509</f>
        <v>0</v>
      </c>
      <c r="Q1509" s="10">
        <v>0</v>
      </c>
      <c r="R1509" s="7" t="s">
        <v>27</v>
      </c>
    </row>
    <row r="1510" spans="1:18" hidden="1">
      <c r="A1510" s="7" t="s">
        <v>29</v>
      </c>
      <c r="B1510" s="8">
        <v>19807</v>
      </c>
      <c r="C1510" s="9">
        <v>45791.417581018519</v>
      </c>
      <c r="D1510" s="9">
        <v>45790</v>
      </c>
      <c r="E1510" s="9">
        <v>45791</v>
      </c>
      <c r="F1510" s="7" t="s">
        <v>4912</v>
      </c>
      <c r="G1510" s="7" t="s">
        <v>4913</v>
      </c>
      <c r="H1510" s="7" t="s">
        <v>4914</v>
      </c>
      <c r="I1510" s="7" t="s">
        <v>4915</v>
      </c>
      <c r="J1510" s="7" t="s">
        <v>176</v>
      </c>
      <c r="K1510" s="7" t="s">
        <v>494</v>
      </c>
      <c r="L1510" s="10">
        <v>309.07</v>
      </c>
      <c r="M1510" s="10">
        <v>309.07</v>
      </c>
      <c r="N1510" s="10">
        <f>+L1510-M1510</f>
        <v>0</v>
      </c>
      <c r="O1510" s="10">
        <v>309.07</v>
      </c>
      <c r="P1510" s="10">
        <f>+L1510-O1510</f>
        <v>0</v>
      </c>
      <c r="Q1510" s="10">
        <v>0</v>
      </c>
      <c r="R1510" s="7" t="s">
        <v>27</v>
      </c>
    </row>
    <row r="1511" spans="1:18" hidden="1">
      <c r="A1511" s="7" t="s">
        <v>29</v>
      </c>
      <c r="B1511" s="8">
        <v>20922</v>
      </c>
      <c r="C1511" s="9">
        <v>46051.440289351849</v>
      </c>
      <c r="D1511" s="9">
        <v>46049</v>
      </c>
      <c r="E1511" s="9">
        <v>46049</v>
      </c>
      <c r="F1511" s="7" t="s">
        <v>4916</v>
      </c>
      <c r="G1511" s="7" t="s">
        <v>4917</v>
      </c>
      <c r="H1511" s="7" t="s">
        <v>4918</v>
      </c>
      <c r="I1511" s="7" t="s">
        <v>4919</v>
      </c>
      <c r="J1511" s="7" t="s">
        <v>176</v>
      </c>
      <c r="K1511" s="7" t="s">
        <v>360</v>
      </c>
      <c r="L1511" s="10">
        <v>309</v>
      </c>
      <c r="M1511" s="10">
        <v>309</v>
      </c>
      <c r="N1511" s="10">
        <f>+L1511-M1511</f>
        <v>0</v>
      </c>
      <c r="O1511" s="10">
        <v>309</v>
      </c>
      <c r="P1511" s="10">
        <f>+L1511-O1511</f>
        <v>0</v>
      </c>
      <c r="Q1511" s="10">
        <v>0</v>
      </c>
      <c r="R1511" s="7" t="s">
        <v>27</v>
      </c>
    </row>
    <row r="1512" spans="1:18" hidden="1">
      <c r="A1512" s="7" t="s">
        <v>29</v>
      </c>
      <c r="B1512" s="8">
        <v>4159</v>
      </c>
      <c r="C1512" s="9">
        <v>45688.663541666661</v>
      </c>
      <c r="D1512" s="9">
        <v>45623</v>
      </c>
      <c r="E1512" s="9">
        <v>45623</v>
      </c>
      <c r="F1512" s="7" t="s">
        <v>4920</v>
      </c>
      <c r="G1512" s="7" t="s">
        <v>216</v>
      </c>
      <c r="H1512" s="7" t="s">
        <v>4921</v>
      </c>
      <c r="I1512" s="7" t="s">
        <v>4922</v>
      </c>
      <c r="J1512" s="7" t="s">
        <v>25</v>
      </c>
      <c r="K1512" s="7" t="s">
        <v>125</v>
      </c>
      <c r="L1512" s="10">
        <v>282.5</v>
      </c>
      <c r="M1512" s="10">
        <v>282.5</v>
      </c>
      <c r="N1512" s="15">
        <f>+L1512-M1512</f>
        <v>0</v>
      </c>
      <c r="O1512" s="15">
        <v>282.5</v>
      </c>
      <c r="P1512" s="15">
        <f>+L1512-O1512</f>
        <v>0</v>
      </c>
      <c r="Q1512" s="10">
        <v>0</v>
      </c>
      <c r="R1512" s="7" t="s">
        <v>87</v>
      </c>
    </row>
    <row r="1513" spans="1:18">
      <c r="A1513" s="7" t="s">
        <v>29</v>
      </c>
      <c r="B1513" s="8">
        <v>19536</v>
      </c>
      <c r="C1513" s="9">
        <v>45734.398287037038</v>
      </c>
      <c r="D1513" s="9">
        <v>45735</v>
      </c>
      <c r="E1513" s="9">
        <v>45730</v>
      </c>
      <c r="F1513" s="7" t="s">
        <v>4923</v>
      </c>
      <c r="G1513" s="7" t="s">
        <v>4924</v>
      </c>
      <c r="H1513" s="7" t="s">
        <v>4925</v>
      </c>
      <c r="I1513" s="7" t="s">
        <v>4926</v>
      </c>
      <c r="J1513" s="7" t="s">
        <v>25</v>
      </c>
      <c r="K1513" s="7" t="s">
        <v>537</v>
      </c>
      <c r="L1513" s="10">
        <v>282.5</v>
      </c>
      <c r="M1513" s="10">
        <v>282.5</v>
      </c>
      <c r="N1513" s="10">
        <f>+L1513-M1513</f>
        <v>0</v>
      </c>
      <c r="O1513" s="10">
        <v>282.5</v>
      </c>
      <c r="P1513" s="10">
        <f>+L1513-O1513</f>
        <v>0</v>
      </c>
      <c r="Q1513" s="10">
        <v>0</v>
      </c>
      <c r="R1513" s="7" t="s">
        <v>27</v>
      </c>
    </row>
    <row r="1514" spans="1:18" hidden="1">
      <c r="A1514" s="7" t="s">
        <v>29</v>
      </c>
      <c r="B1514" s="8">
        <v>20339</v>
      </c>
      <c r="C1514" s="9">
        <v>45896.633981481478</v>
      </c>
      <c r="D1514" s="9">
        <v>45895</v>
      </c>
      <c r="E1514" s="9">
        <v>45895</v>
      </c>
      <c r="F1514" s="7" t="s">
        <v>4927</v>
      </c>
      <c r="G1514" s="7" t="s">
        <v>4928</v>
      </c>
      <c r="H1514" s="7" t="s">
        <v>4929</v>
      </c>
      <c r="I1514" s="7" t="s">
        <v>4927</v>
      </c>
      <c r="J1514" s="7" t="s">
        <v>40</v>
      </c>
      <c r="K1514" s="7" t="s">
        <v>4785</v>
      </c>
      <c r="L1514" s="10">
        <v>247.13</v>
      </c>
      <c r="M1514" s="10">
        <v>247.13</v>
      </c>
      <c r="N1514" s="10">
        <f>+L1514-M1514</f>
        <v>0</v>
      </c>
      <c r="O1514" s="10">
        <v>247.13</v>
      </c>
      <c r="P1514" s="10">
        <f>+L1514-O1514</f>
        <v>0</v>
      </c>
      <c r="Q1514" s="10">
        <v>0</v>
      </c>
      <c r="R1514" s="7" t="s">
        <v>27</v>
      </c>
    </row>
    <row r="1515" spans="1:18" hidden="1">
      <c r="A1515" s="7" t="s">
        <v>29</v>
      </c>
      <c r="B1515" s="8">
        <v>19336</v>
      </c>
      <c r="C1515" s="9">
        <v>45674.647303240738</v>
      </c>
      <c r="D1515" s="9">
        <v>45674</v>
      </c>
      <c r="E1515" s="9">
        <v>45674</v>
      </c>
      <c r="F1515" s="7" t="s">
        <v>4412</v>
      </c>
      <c r="G1515" s="7" t="s">
        <v>4348</v>
      </c>
      <c r="H1515" s="7" t="s">
        <v>4414</v>
      </c>
      <c r="I1515" s="7" t="s">
        <v>4412</v>
      </c>
      <c r="J1515" s="7" t="s">
        <v>40</v>
      </c>
      <c r="K1515" s="7" t="s">
        <v>1784</v>
      </c>
      <c r="L1515" s="10">
        <v>233.91</v>
      </c>
      <c r="M1515" s="10">
        <v>233.91</v>
      </c>
      <c r="N1515" s="10">
        <f>+L1515-M1515</f>
        <v>0</v>
      </c>
      <c r="O1515" s="10">
        <v>233.91</v>
      </c>
      <c r="P1515" s="10">
        <f>+L1515-O1515</f>
        <v>0</v>
      </c>
      <c r="Q1515" s="10">
        <v>0</v>
      </c>
      <c r="R1515" s="7" t="s">
        <v>27</v>
      </c>
    </row>
    <row r="1516" spans="1:18" hidden="1">
      <c r="A1516" s="7" t="s">
        <v>29</v>
      </c>
      <c r="B1516" s="8">
        <v>19421</v>
      </c>
      <c r="C1516" s="9">
        <v>45706.413657407407</v>
      </c>
      <c r="D1516" s="9">
        <v>45706</v>
      </c>
      <c r="E1516" s="9">
        <v>45734</v>
      </c>
      <c r="F1516" s="7" t="s">
        <v>4930</v>
      </c>
      <c r="G1516" s="7" t="s">
        <v>654</v>
      </c>
      <c r="H1516" s="7" t="s">
        <v>3261</v>
      </c>
      <c r="I1516" s="7" t="s">
        <v>3262</v>
      </c>
      <c r="J1516" s="7" t="s">
        <v>34</v>
      </c>
      <c r="K1516" s="7" t="s">
        <v>35</v>
      </c>
      <c r="L1516" s="10">
        <v>284.11</v>
      </c>
      <c r="M1516" s="10">
        <v>284.11</v>
      </c>
      <c r="N1516" s="10">
        <f>+L1516-M1516</f>
        <v>0</v>
      </c>
      <c r="O1516" s="10">
        <v>284.11</v>
      </c>
      <c r="P1516" s="10">
        <f>+L1516-O1516</f>
        <v>0</v>
      </c>
      <c r="Q1516" s="10">
        <v>0</v>
      </c>
      <c r="R1516" s="7" t="s">
        <v>27</v>
      </c>
    </row>
    <row r="1517" spans="1:18">
      <c r="A1517" s="7" t="s">
        <v>29</v>
      </c>
      <c r="B1517" s="8">
        <v>20131</v>
      </c>
      <c r="C1517" s="9">
        <v>45848.721041666664</v>
      </c>
      <c r="D1517" s="9">
        <v>45915</v>
      </c>
      <c r="E1517" s="9">
        <v>45915</v>
      </c>
      <c r="F1517" s="7" t="s">
        <v>4931</v>
      </c>
      <c r="G1517" s="7" t="s">
        <v>4932</v>
      </c>
      <c r="H1517" s="7" t="s">
        <v>4933</v>
      </c>
      <c r="I1517" s="7" t="s">
        <v>4934</v>
      </c>
      <c r="J1517" s="7" t="s">
        <v>25</v>
      </c>
      <c r="K1517" s="7" t="s">
        <v>525</v>
      </c>
      <c r="L1517" s="10">
        <v>270</v>
      </c>
      <c r="M1517" s="10">
        <v>270</v>
      </c>
      <c r="N1517" s="10">
        <f>+L1517-M1517</f>
        <v>0</v>
      </c>
      <c r="O1517" s="10">
        <v>270</v>
      </c>
      <c r="P1517" s="10">
        <f>+L1517-O1517</f>
        <v>0</v>
      </c>
      <c r="Q1517" s="10">
        <v>0</v>
      </c>
      <c r="R1517" s="7" t="s">
        <v>27</v>
      </c>
    </row>
    <row r="1518" spans="1:18" hidden="1">
      <c r="A1518" s="7" t="s">
        <v>29</v>
      </c>
      <c r="B1518" s="8">
        <v>20460</v>
      </c>
      <c r="C1518" s="9">
        <v>45918.349004629628</v>
      </c>
      <c r="D1518" s="9">
        <v>45917</v>
      </c>
      <c r="E1518" s="9">
        <v>45917</v>
      </c>
      <c r="F1518" s="7" t="s">
        <v>4935</v>
      </c>
      <c r="G1518" s="7" t="s">
        <v>4936</v>
      </c>
      <c r="H1518" s="7" t="s">
        <v>4937</v>
      </c>
      <c r="I1518" s="7" t="s">
        <v>4938</v>
      </c>
      <c r="J1518" s="7" t="s">
        <v>176</v>
      </c>
      <c r="K1518" s="7" t="s">
        <v>360</v>
      </c>
      <c r="L1518" s="10">
        <v>277</v>
      </c>
      <c r="M1518" s="10">
        <v>277</v>
      </c>
      <c r="N1518" s="10">
        <f>+L1518-M1518</f>
        <v>0</v>
      </c>
      <c r="O1518" s="10">
        <v>277</v>
      </c>
      <c r="P1518" s="10">
        <f>+L1518-O1518</f>
        <v>0</v>
      </c>
      <c r="Q1518" s="10">
        <v>0</v>
      </c>
      <c r="R1518" s="7" t="s">
        <v>27</v>
      </c>
    </row>
    <row r="1519" spans="1:18" hidden="1">
      <c r="A1519" s="7" t="s">
        <v>29</v>
      </c>
      <c r="B1519" s="8">
        <v>20498</v>
      </c>
      <c r="C1519" s="9">
        <v>45923.620752314811</v>
      </c>
      <c r="D1519" s="9">
        <v>45923</v>
      </c>
      <c r="E1519" s="9">
        <v>45923</v>
      </c>
      <c r="F1519" s="7" t="s">
        <v>4939</v>
      </c>
      <c r="G1519" s="7" t="s">
        <v>4940</v>
      </c>
      <c r="H1519" s="7" t="s">
        <v>4941</v>
      </c>
      <c r="I1519" s="7" t="s">
        <v>4942</v>
      </c>
      <c r="J1519" s="7" t="s">
        <v>176</v>
      </c>
      <c r="K1519" s="7" t="s">
        <v>360</v>
      </c>
      <c r="L1519" s="10">
        <v>276.75</v>
      </c>
      <c r="M1519" s="10">
        <v>276.75</v>
      </c>
      <c r="N1519" s="10">
        <f>+L1519-M1519</f>
        <v>0</v>
      </c>
      <c r="O1519" s="10">
        <v>276.75</v>
      </c>
      <c r="P1519" s="10">
        <f>+L1519-O1519</f>
        <v>0</v>
      </c>
      <c r="Q1519" s="10">
        <v>0</v>
      </c>
      <c r="R1519" s="7" t="s">
        <v>27</v>
      </c>
    </row>
    <row r="1520" spans="1:18" hidden="1">
      <c r="A1520" s="7" t="s">
        <v>29</v>
      </c>
      <c r="B1520" s="8">
        <v>20320</v>
      </c>
      <c r="C1520" s="9">
        <v>45894.442870370367</v>
      </c>
      <c r="D1520" s="9">
        <v>45891</v>
      </c>
      <c r="E1520" s="9">
        <v>45891</v>
      </c>
      <c r="F1520" s="7" t="s">
        <v>4943</v>
      </c>
      <c r="G1520" s="7" t="s">
        <v>4944</v>
      </c>
      <c r="H1520" s="7" t="s">
        <v>4945</v>
      </c>
      <c r="I1520" s="7" t="s">
        <v>4946</v>
      </c>
      <c r="J1520" s="7" t="s">
        <v>176</v>
      </c>
      <c r="K1520" s="7" t="s">
        <v>360</v>
      </c>
      <c r="L1520" s="10">
        <v>276.75</v>
      </c>
      <c r="M1520" s="10">
        <v>276.75</v>
      </c>
      <c r="N1520" s="10">
        <f>+L1520-M1520</f>
        <v>0</v>
      </c>
      <c r="O1520" s="10">
        <v>276.75</v>
      </c>
      <c r="P1520" s="10">
        <f>+L1520-O1520</f>
        <v>0</v>
      </c>
      <c r="Q1520" s="10">
        <v>0</v>
      </c>
      <c r="R1520" s="7" t="s">
        <v>27</v>
      </c>
    </row>
    <row r="1521" spans="1:18" hidden="1">
      <c r="A1521" s="7" t="s">
        <v>29</v>
      </c>
      <c r="B1521" s="8">
        <v>19373</v>
      </c>
      <c r="C1521" s="9">
        <v>45692.439398148148</v>
      </c>
      <c r="D1521" s="9">
        <v>45692</v>
      </c>
      <c r="E1521" s="9">
        <v>45688</v>
      </c>
      <c r="F1521" s="7" t="s">
        <v>4947</v>
      </c>
      <c r="G1521" s="7" t="s">
        <v>4948</v>
      </c>
      <c r="H1521" s="7" t="s">
        <v>4949</v>
      </c>
      <c r="I1521" s="7" t="s">
        <v>4950</v>
      </c>
      <c r="J1521" s="7" t="s">
        <v>34</v>
      </c>
      <c r="K1521" s="7" t="s">
        <v>902</v>
      </c>
      <c r="L1521" s="10">
        <v>275.72000000000003</v>
      </c>
      <c r="M1521" s="10">
        <v>275.72000000000003</v>
      </c>
      <c r="N1521" s="10">
        <f>+L1521-M1521</f>
        <v>0</v>
      </c>
      <c r="O1521" s="10">
        <v>275.72000000000003</v>
      </c>
      <c r="P1521" s="10">
        <f>+L1521-O1521</f>
        <v>0</v>
      </c>
      <c r="Q1521" s="10">
        <v>0</v>
      </c>
      <c r="R1521" s="7" t="s">
        <v>27</v>
      </c>
    </row>
    <row r="1522" spans="1:18" hidden="1">
      <c r="A1522" s="7" t="s">
        <v>29</v>
      </c>
      <c r="B1522" s="8">
        <v>20524</v>
      </c>
      <c r="C1522" s="9">
        <v>45929.706249999996</v>
      </c>
      <c r="D1522" s="9">
        <v>45923</v>
      </c>
      <c r="E1522" s="9">
        <v>45923</v>
      </c>
      <c r="F1522" s="7" t="s">
        <v>82</v>
      </c>
      <c r="G1522" s="7" t="s">
        <v>4951</v>
      </c>
      <c r="H1522" s="7" t="s">
        <v>81</v>
      </c>
      <c r="I1522" s="7" t="s">
        <v>82</v>
      </c>
      <c r="J1522" s="7" t="s">
        <v>40</v>
      </c>
      <c r="K1522" s="7" t="s">
        <v>4785</v>
      </c>
      <c r="L1522" s="10">
        <v>220.92</v>
      </c>
      <c r="M1522" s="10">
        <v>220.92</v>
      </c>
      <c r="N1522" s="10">
        <f>+L1522-M1522</f>
        <v>0</v>
      </c>
      <c r="O1522" s="10">
        <v>220.92</v>
      </c>
      <c r="P1522" s="10">
        <f>+L1522-O1522</f>
        <v>0</v>
      </c>
      <c r="Q1522" s="10">
        <v>0</v>
      </c>
      <c r="R1522" s="7" t="s">
        <v>27</v>
      </c>
    </row>
    <row r="1523" spans="1:18" hidden="1">
      <c r="A1523" s="7" t="s">
        <v>29</v>
      </c>
      <c r="B1523" s="8">
        <v>4151</v>
      </c>
      <c r="C1523" s="9">
        <v>45680.652314814812</v>
      </c>
      <c r="D1523" s="9">
        <v>45671</v>
      </c>
      <c r="E1523" s="9">
        <v>45671</v>
      </c>
      <c r="F1523" s="7" t="s">
        <v>4952</v>
      </c>
      <c r="G1523" s="7" t="s">
        <v>3164</v>
      </c>
      <c r="H1523" s="7" t="s">
        <v>4953</v>
      </c>
      <c r="I1523" s="7" t="s">
        <v>4954</v>
      </c>
      <c r="J1523" s="7" t="s">
        <v>25</v>
      </c>
      <c r="K1523" s="7" t="s">
        <v>916</v>
      </c>
      <c r="L1523" s="10">
        <v>265.55</v>
      </c>
      <c r="M1523" s="10">
        <v>265.55</v>
      </c>
      <c r="N1523" s="15">
        <f>+L1523-M1523</f>
        <v>0</v>
      </c>
      <c r="O1523" s="15">
        <v>265.55</v>
      </c>
      <c r="P1523" s="15">
        <f>+L1523-O1523</f>
        <v>0</v>
      </c>
      <c r="Q1523" s="10">
        <v>0</v>
      </c>
      <c r="R1523" s="7" t="s">
        <v>87</v>
      </c>
    </row>
    <row r="1524" spans="1:18" hidden="1">
      <c r="A1524" s="7" t="s">
        <v>29</v>
      </c>
      <c r="B1524" s="8">
        <v>19634</v>
      </c>
      <c r="C1524" s="9">
        <v>45755.386666666665</v>
      </c>
      <c r="D1524" s="9">
        <v>45838</v>
      </c>
      <c r="E1524" s="9">
        <v>45755</v>
      </c>
      <c r="F1524" s="7" t="s">
        <v>1380</v>
      </c>
      <c r="G1524" s="7" t="s">
        <v>4955</v>
      </c>
      <c r="H1524" s="7" t="s">
        <v>1379</v>
      </c>
      <c r="I1524" s="7" t="s">
        <v>1380</v>
      </c>
      <c r="J1524" s="7" t="s">
        <v>40</v>
      </c>
      <c r="K1524" s="7" t="s">
        <v>1784</v>
      </c>
      <c r="L1524" s="10">
        <v>203.77</v>
      </c>
      <c r="M1524" s="10">
        <v>203.77</v>
      </c>
      <c r="N1524" s="10">
        <f>+L1524-M1524</f>
        <v>0</v>
      </c>
      <c r="O1524" s="10">
        <v>203.77</v>
      </c>
      <c r="P1524" s="10">
        <f>+L1524-O1524</f>
        <v>0</v>
      </c>
      <c r="Q1524" s="10">
        <v>0</v>
      </c>
      <c r="R1524" s="7" t="s">
        <v>27</v>
      </c>
    </row>
    <row r="1525" spans="1:18" hidden="1">
      <c r="A1525" s="7" t="s">
        <v>29</v>
      </c>
      <c r="B1525" s="8">
        <v>20254</v>
      </c>
      <c r="C1525" s="9">
        <v>45876.631643518514</v>
      </c>
      <c r="D1525" s="9">
        <v>45876</v>
      </c>
      <c r="E1525" s="9">
        <v>45876</v>
      </c>
      <c r="F1525" s="7" t="s">
        <v>4652</v>
      </c>
      <c r="G1525" s="7" t="s">
        <v>4956</v>
      </c>
      <c r="H1525" s="7" t="s">
        <v>4654</v>
      </c>
      <c r="I1525" s="7" t="s">
        <v>4652</v>
      </c>
      <c r="J1525" s="7" t="s">
        <v>40</v>
      </c>
      <c r="K1525" s="7" t="s">
        <v>1784</v>
      </c>
      <c r="L1525" s="10">
        <v>202.3</v>
      </c>
      <c r="M1525" s="10">
        <v>202.3</v>
      </c>
      <c r="N1525" s="10">
        <f>+L1525-M1525</f>
        <v>0</v>
      </c>
      <c r="O1525" s="10">
        <v>202.3</v>
      </c>
      <c r="P1525" s="10">
        <f>+L1525-O1525</f>
        <v>0</v>
      </c>
      <c r="Q1525" s="10">
        <v>0</v>
      </c>
      <c r="R1525" s="7" t="s">
        <v>27</v>
      </c>
    </row>
    <row r="1526" spans="1:18" hidden="1">
      <c r="A1526" s="7" t="s">
        <v>29</v>
      </c>
      <c r="B1526" s="8">
        <v>4300</v>
      </c>
      <c r="C1526" s="9">
        <v>45987.34103009259</v>
      </c>
      <c r="D1526" s="9">
        <v>46017</v>
      </c>
      <c r="E1526" s="9">
        <v>45986</v>
      </c>
      <c r="F1526" s="7" t="s">
        <v>4957</v>
      </c>
      <c r="G1526" s="7" t="s">
        <v>2166</v>
      </c>
      <c r="H1526" s="7" t="s">
        <v>2685</v>
      </c>
      <c r="I1526" s="7" t="s">
        <v>1298</v>
      </c>
      <c r="J1526" s="7" t="s">
        <v>25</v>
      </c>
      <c r="K1526" s="7" t="s">
        <v>206</v>
      </c>
      <c r="L1526" s="10">
        <v>259.13</v>
      </c>
      <c r="M1526" s="10">
        <v>259.13</v>
      </c>
      <c r="N1526" s="15">
        <f>+L1526-M1526</f>
        <v>0</v>
      </c>
      <c r="O1526" s="15">
        <v>259.13</v>
      </c>
      <c r="P1526" s="15">
        <f>+L1526-O1526</f>
        <v>0</v>
      </c>
      <c r="Q1526" s="10">
        <v>0</v>
      </c>
      <c r="R1526" s="7" t="s">
        <v>87</v>
      </c>
    </row>
    <row r="1527" spans="1:18" hidden="1">
      <c r="A1527" s="7" t="s">
        <v>29</v>
      </c>
      <c r="B1527" s="8">
        <v>20195</v>
      </c>
      <c r="C1527" s="9">
        <v>45867.619212962964</v>
      </c>
      <c r="D1527" s="9">
        <v>45870</v>
      </c>
      <c r="E1527" s="9">
        <v>45863</v>
      </c>
      <c r="F1527" s="7" t="s">
        <v>4958</v>
      </c>
      <c r="G1527" s="7" t="s">
        <v>4959</v>
      </c>
      <c r="H1527" s="7" t="s">
        <v>2542</v>
      </c>
      <c r="I1527" s="7" t="s">
        <v>2543</v>
      </c>
      <c r="J1527" s="7" t="s">
        <v>176</v>
      </c>
      <c r="K1527" s="7" t="s">
        <v>317</v>
      </c>
      <c r="L1527" s="10">
        <v>250</v>
      </c>
      <c r="M1527" s="10">
        <v>250</v>
      </c>
      <c r="N1527" s="10">
        <f>+L1527-M1527</f>
        <v>0</v>
      </c>
      <c r="O1527" s="10">
        <v>250</v>
      </c>
      <c r="P1527" s="10">
        <f>+L1527-O1527</f>
        <v>0</v>
      </c>
      <c r="Q1527" s="10">
        <v>0</v>
      </c>
      <c r="R1527" s="7" t="s">
        <v>27</v>
      </c>
    </row>
    <row r="1528" spans="1:18" hidden="1">
      <c r="A1528" s="7" t="s">
        <v>29</v>
      </c>
      <c r="B1528" s="8">
        <v>20703</v>
      </c>
      <c r="C1528" s="9">
        <v>45979.380636574075</v>
      </c>
      <c r="D1528" s="9">
        <v>45957</v>
      </c>
      <c r="E1528" s="9">
        <v>45922</v>
      </c>
      <c r="F1528" s="7" t="s">
        <v>4960</v>
      </c>
      <c r="G1528" s="7" t="s">
        <v>4961</v>
      </c>
      <c r="H1528" s="7" t="s">
        <v>4962</v>
      </c>
      <c r="I1528" s="7" t="s">
        <v>4963</v>
      </c>
      <c r="J1528" s="7" t="s">
        <v>176</v>
      </c>
      <c r="K1528" s="7" t="s">
        <v>584</v>
      </c>
      <c r="L1528" s="10">
        <v>250</v>
      </c>
      <c r="M1528" s="10">
        <v>250</v>
      </c>
      <c r="N1528" s="10">
        <f>+L1528-M1528</f>
        <v>0</v>
      </c>
      <c r="O1528" s="10">
        <v>250</v>
      </c>
      <c r="P1528" s="10">
        <f>+L1528-O1528</f>
        <v>0</v>
      </c>
      <c r="Q1528" s="10">
        <v>0</v>
      </c>
      <c r="R1528" s="7" t="s">
        <v>27</v>
      </c>
    </row>
    <row r="1529" spans="1:18" hidden="1">
      <c r="A1529" s="7" t="s">
        <v>29</v>
      </c>
      <c r="B1529" s="8">
        <v>20530</v>
      </c>
      <c r="C1529" s="9">
        <v>45930.646157407406</v>
      </c>
      <c r="D1529" s="9">
        <v>45927</v>
      </c>
      <c r="E1529" s="9">
        <v>45927</v>
      </c>
      <c r="F1529" s="7" t="s">
        <v>4964</v>
      </c>
      <c r="G1529" s="7" t="s">
        <v>4965</v>
      </c>
      <c r="H1529" s="7" t="s">
        <v>4966</v>
      </c>
      <c r="I1529" s="7" t="s">
        <v>4967</v>
      </c>
      <c r="J1529" s="7" t="s">
        <v>176</v>
      </c>
      <c r="K1529" s="7" t="s">
        <v>360</v>
      </c>
      <c r="L1529" s="10">
        <v>249.47</v>
      </c>
      <c r="M1529" s="10">
        <v>249.47</v>
      </c>
      <c r="N1529" s="10">
        <f>+L1529-M1529</f>
        <v>0</v>
      </c>
      <c r="O1529" s="10">
        <v>249.47</v>
      </c>
      <c r="P1529" s="10">
        <f>+L1529-O1529</f>
        <v>0</v>
      </c>
      <c r="Q1529" s="10">
        <v>0</v>
      </c>
      <c r="R1529" s="7" t="s">
        <v>27</v>
      </c>
    </row>
    <row r="1530" spans="1:18" hidden="1">
      <c r="A1530" s="7" t="s">
        <v>29</v>
      </c>
      <c r="B1530" s="8">
        <v>19957</v>
      </c>
      <c r="C1530" s="9">
        <v>45820.649814814809</v>
      </c>
      <c r="D1530" s="9">
        <v>45820</v>
      </c>
      <c r="E1530" s="9">
        <v>45820</v>
      </c>
      <c r="F1530" s="7" t="s">
        <v>4968</v>
      </c>
      <c r="G1530" s="7" t="s">
        <v>4969</v>
      </c>
      <c r="H1530" s="7" t="s">
        <v>4970</v>
      </c>
      <c r="I1530" s="7" t="s">
        <v>4968</v>
      </c>
      <c r="J1530" s="7" t="s">
        <v>40</v>
      </c>
      <c r="K1530" s="7" t="s">
        <v>1784</v>
      </c>
      <c r="L1530" s="10">
        <v>200.61</v>
      </c>
      <c r="M1530" s="10">
        <v>200.61</v>
      </c>
      <c r="N1530" s="10">
        <f>+L1530-M1530</f>
        <v>0</v>
      </c>
      <c r="O1530" s="10">
        <v>200.61</v>
      </c>
      <c r="P1530" s="10">
        <f>+L1530-O1530</f>
        <v>0</v>
      </c>
      <c r="Q1530" s="10">
        <v>0</v>
      </c>
      <c r="R1530" s="7" t="s">
        <v>27</v>
      </c>
    </row>
    <row r="1531" spans="1:18" hidden="1">
      <c r="A1531" s="7" t="s">
        <v>29</v>
      </c>
      <c r="B1531" s="8">
        <v>19355</v>
      </c>
      <c r="C1531" s="9">
        <v>45684.384965277779</v>
      </c>
      <c r="D1531" s="9">
        <v>45684</v>
      </c>
      <c r="E1531" s="9">
        <v>45715</v>
      </c>
      <c r="F1531" s="7" t="s">
        <v>4971</v>
      </c>
      <c r="G1531" s="7" t="s">
        <v>3881</v>
      </c>
      <c r="H1531" s="7" t="s">
        <v>3445</v>
      </c>
      <c r="I1531" s="7" t="s">
        <v>3446</v>
      </c>
      <c r="J1531" s="7" t="s">
        <v>34</v>
      </c>
      <c r="K1531" s="7" t="s">
        <v>35</v>
      </c>
      <c r="L1531" s="10">
        <v>246.2</v>
      </c>
      <c r="M1531" s="10">
        <v>246.2</v>
      </c>
      <c r="N1531" s="10">
        <f>+L1531-M1531</f>
        <v>0</v>
      </c>
      <c r="O1531" s="10">
        <v>246.2</v>
      </c>
      <c r="P1531" s="10">
        <f>+L1531-O1531</f>
        <v>0</v>
      </c>
      <c r="Q1531" s="10">
        <v>0</v>
      </c>
      <c r="R1531" s="7" t="s">
        <v>27</v>
      </c>
    </row>
    <row r="1532" spans="1:18" hidden="1">
      <c r="A1532" s="7" t="s">
        <v>29</v>
      </c>
      <c r="B1532" s="8">
        <v>19924</v>
      </c>
      <c r="C1532" s="9">
        <v>45813.316944444443</v>
      </c>
      <c r="D1532" s="9">
        <v>45813</v>
      </c>
      <c r="E1532" s="9">
        <v>45847</v>
      </c>
      <c r="F1532" s="7" t="s">
        <v>4972</v>
      </c>
      <c r="G1532" s="7" t="s">
        <v>4973</v>
      </c>
      <c r="H1532" s="7" t="s">
        <v>1029</v>
      </c>
      <c r="I1532" s="7" t="s">
        <v>1030</v>
      </c>
      <c r="J1532" s="7" t="s">
        <v>34</v>
      </c>
      <c r="K1532" s="7" t="s">
        <v>35</v>
      </c>
      <c r="L1532" s="10">
        <v>245.75</v>
      </c>
      <c r="M1532" s="10">
        <v>245.75</v>
      </c>
      <c r="N1532" s="10">
        <f>+L1532-M1532</f>
        <v>0</v>
      </c>
      <c r="O1532" s="10">
        <v>245.75</v>
      </c>
      <c r="P1532" s="10">
        <f>+L1532-O1532</f>
        <v>0</v>
      </c>
      <c r="Q1532" s="10">
        <v>0</v>
      </c>
      <c r="R1532" s="7" t="s">
        <v>27</v>
      </c>
    </row>
    <row r="1533" spans="1:18" hidden="1">
      <c r="A1533" s="7" t="s">
        <v>29</v>
      </c>
      <c r="B1533" s="8">
        <v>20886</v>
      </c>
      <c r="C1533" s="9">
        <v>46042.64199074074</v>
      </c>
      <c r="D1533" s="9">
        <v>46041</v>
      </c>
      <c r="E1533" s="9">
        <v>46041</v>
      </c>
      <c r="F1533" s="7" t="s">
        <v>4974</v>
      </c>
      <c r="G1533" s="7" t="s">
        <v>4975</v>
      </c>
      <c r="H1533" s="7" t="s">
        <v>1041</v>
      </c>
      <c r="I1533" s="7" t="s">
        <v>1042</v>
      </c>
      <c r="J1533" s="7" t="s">
        <v>176</v>
      </c>
      <c r="K1533" s="7" t="s">
        <v>360</v>
      </c>
      <c r="L1533" s="10">
        <v>244</v>
      </c>
      <c r="M1533" s="10">
        <v>244</v>
      </c>
      <c r="N1533" s="10">
        <f>+L1533-M1533</f>
        <v>0</v>
      </c>
      <c r="O1533" s="10">
        <v>244</v>
      </c>
      <c r="P1533" s="10">
        <f>+L1533-O1533</f>
        <v>0</v>
      </c>
      <c r="Q1533" s="10">
        <v>0</v>
      </c>
      <c r="R1533" s="7" t="s">
        <v>27</v>
      </c>
    </row>
    <row r="1534" spans="1:18" hidden="1">
      <c r="A1534" s="7" t="s">
        <v>29</v>
      </c>
      <c r="B1534" s="8">
        <v>4333</v>
      </c>
      <c r="C1534" s="9">
        <v>46036.366562499999</v>
      </c>
      <c r="D1534" s="9">
        <v>46059</v>
      </c>
      <c r="E1534" s="9">
        <v>46052</v>
      </c>
      <c r="F1534" s="7" t="s">
        <v>4976</v>
      </c>
      <c r="G1534" s="7" t="s">
        <v>2443</v>
      </c>
      <c r="H1534" s="7" t="s">
        <v>280</v>
      </c>
      <c r="I1534" s="7" t="s">
        <v>205</v>
      </c>
      <c r="J1534" s="7" t="s">
        <v>25</v>
      </c>
      <c r="K1534" s="7" t="s">
        <v>206</v>
      </c>
      <c r="L1534" s="10">
        <v>258.86</v>
      </c>
      <c r="M1534" s="10">
        <v>258.86</v>
      </c>
      <c r="N1534" s="15">
        <f>+L1534-M1534</f>
        <v>0</v>
      </c>
      <c r="O1534" s="15">
        <v>258.86</v>
      </c>
      <c r="P1534" s="15">
        <f>+L1534-O1534</f>
        <v>0</v>
      </c>
      <c r="Q1534" s="10">
        <v>0</v>
      </c>
      <c r="R1534" s="7" t="s">
        <v>87</v>
      </c>
    </row>
    <row r="1535" spans="1:18" hidden="1">
      <c r="A1535" s="7" t="s">
        <v>29</v>
      </c>
      <c r="B1535" s="8">
        <v>20078</v>
      </c>
      <c r="C1535" s="9">
        <v>45840.472858796296</v>
      </c>
      <c r="D1535" s="9">
        <v>45701</v>
      </c>
      <c r="E1535" s="9">
        <v>45694</v>
      </c>
      <c r="F1535" s="7" t="s">
        <v>4977</v>
      </c>
      <c r="G1535" s="7" t="s">
        <v>4978</v>
      </c>
      <c r="H1535" s="7" t="s">
        <v>4979</v>
      </c>
      <c r="I1535" s="7" t="s">
        <v>4980</v>
      </c>
      <c r="J1535" s="7" t="s">
        <v>176</v>
      </c>
      <c r="K1535" s="7" t="s">
        <v>584</v>
      </c>
      <c r="L1535" s="10">
        <v>240</v>
      </c>
      <c r="M1535" s="10">
        <v>240</v>
      </c>
      <c r="N1535" s="10">
        <f>+L1535-M1535</f>
        <v>0</v>
      </c>
      <c r="O1535" s="10">
        <v>240</v>
      </c>
      <c r="P1535" s="10">
        <f>+L1535-O1535</f>
        <v>0</v>
      </c>
      <c r="Q1535" s="10">
        <v>0</v>
      </c>
      <c r="R1535" s="7" t="s">
        <v>27</v>
      </c>
    </row>
    <row r="1536" spans="1:18" hidden="1">
      <c r="A1536" s="7" t="s">
        <v>29</v>
      </c>
      <c r="B1536" s="8">
        <v>4278</v>
      </c>
      <c r="C1536" s="9">
        <v>45958.639745370368</v>
      </c>
      <c r="D1536" s="9">
        <v>45957</v>
      </c>
      <c r="E1536" s="9">
        <v>45957</v>
      </c>
      <c r="F1536" s="7" t="s">
        <v>4981</v>
      </c>
      <c r="G1536" s="7" t="s">
        <v>2088</v>
      </c>
      <c r="H1536" s="7" t="s">
        <v>1131</v>
      </c>
      <c r="I1536" s="7" t="s">
        <v>915</v>
      </c>
      <c r="J1536" s="7" t="s">
        <v>25</v>
      </c>
      <c r="K1536" s="7" t="s">
        <v>206</v>
      </c>
      <c r="L1536" s="10">
        <v>257.54000000000002</v>
      </c>
      <c r="M1536" s="10">
        <v>257.54000000000002</v>
      </c>
      <c r="N1536" s="15">
        <f>+L1536-M1536</f>
        <v>0</v>
      </c>
      <c r="O1536" s="15">
        <v>257.54000000000002</v>
      </c>
      <c r="P1536" s="15">
        <f>+L1536-O1536</f>
        <v>0</v>
      </c>
      <c r="Q1536" s="10">
        <v>0</v>
      </c>
      <c r="R1536" s="7" t="s">
        <v>87</v>
      </c>
    </row>
    <row r="1537" spans="1:18" hidden="1">
      <c r="A1537" s="7" t="s">
        <v>29</v>
      </c>
      <c r="B1537" s="8">
        <v>20535</v>
      </c>
      <c r="C1537" s="9">
        <v>45931.454386574071</v>
      </c>
      <c r="D1537" s="9">
        <v>45958</v>
      </c>
      <c r="E1537" s="9">
        <v>45930</v>
      </c>
      <c r="F1537" s="7" t="s">
        <v>4982</v>
      </c>
      <c r="G1537" s="7" t="s">
        <v>4983</v>
      </c>
      <c r="H1537" s="7" t="s">
        <v>4984</v>
      </c>
      <c r="I1537" s="7" t="s">
        <v>4985</v>
      </c>
      <c r="J1537" s="7" t="s">
        <v>176</v>
      </c>
      <c r="K1537" s="7" t="s">
        <v>584</v>
      </c>
      <c r="L1537" s="10">
        <v>236</v>
      </c>
      <c r="M1537" s="10">
        <v>236</v>
      </c>
      <c r="N1537" s="10">
        <f>+L1537-M1537</f>
        <v>0</v>
      </c>
      <c r="O1537" s="10">
        <v>236</v>
      </c>
      <c r="P1537" s="10">
        <f>+L1537-O1537</f>
        <v>0</v>
      </c>
      <c r="Q1537" s="10">
        <v>0</v>
      </c>
      <c r="R1537" s="7" t="s">
        <v>27</v>
      </c>
    </row>
    <row r="1538" spans="1:18" hidden="1">
      <c r="A1538" s="7" t="s">
        <v>29</v>
      </c>
      <c r="B1538" s="8">
        <v>20115</v>
      </c>
      <c r="C1538" s="9">
        <v>45846.432557870372</v>
      </c>
      <c r="D1538" s="9">
        <v>45845</v>
      </c>
      <c r="E1538" s="9">
        <v>45845</v>
      </c>
      <c r="F1538" s="7" t="s">
        <v>4986</v>
      </c>
      <c r="G1538" s="7" t="s">
        <v>4987</v>
      </c>
      <c r="H1538" s="7" t="s">
        <v>4988</v>
      </c>
      <c r="I1538" s="7" t="s">
        <v>4989</v>
      </c>
      <c r="J1538" s="7" t="s">
        <v>176</v>
      </c>
      <c r="K1538" s="7" t="s">
        <v>494</v>
      </c>
      <c r="L1538" s="10">
        <v>235.6</v>
      </c>
      <c r="M1538" s="10">
        <v>235.6</v>
      </c>
      <c r="N1538" s="10">
        <f>+L1538-M1538</f>
        <v>0</v>
      </c>
      <c r="O1538" s="10">
        <v>235.6</v>
      </c>
      <c r="P1538" s="10">
        <f>+L1538-O1538</f>
        <v>0</v>
      </c>
      <c r="Q1538" s="10">
        <v>0</v>
      </c>
      <c r="R1538" s="7" t="s">
        <v>27</v>
      </c>
    </row>
    <row r="1539" spans="1:18" hidden="1">
      <c r="A1539" s="7" t="s">
        <v>29</v>
      </c>
      <c r="B1539" s="8">
        <v>19869</v>
      </c>
      <c r="C1539" s="9">
        <v>45805.436307870368</v>
      </c>
      <c r="D1539" s="9">
        <v>45804</v>
      </c>
      <c r="E1539" s="9">
        <v>45804</v>
      </c>
      <c r="F1539" s="7" t="s">
        <v>4990</v>
      </c>
      <c r="G1539" s="7" t="s">
        <v>4991</v>
      </c>
      <c r="H1539" s="7" t="s">
        <v>4992</v>
      </c>
      <c r="I1539" s="7" t="s">
        <v>4993</v>
      </c>
      <c r="J1539" s="7" t="s">
        <v>176</v>
      </c>
      <c r="K1539" s="7" t="s">
        <v>494</v>
      </c>
      <c r="L1539" s="10">
        <v>235.6</v>
      </c>
      <c r="M1539" s="10">
        <v>235.6</v>
      </c>
      <c r="N1539" s="10">
        <f>+L1539-M1539</f>
        <v>0</v>
      </c>
      <c r="O1539" s="10">
        <v>235.6</v>
      </c>
      <c r="P1539" s="10">
        <f>+L1539-O1539</f>
        <v>0</v>
      </c>
      <c r="Q1539" s="10">
        <v>0</v>
      </c>
      <c r="R1539" s="7" t="s">
        <v>27</v>
      </c>
    </row>
    <row r="1540" spans="1:18" hidden="1">
      <c r="A1540" s="7" t="s">
        <v>29</v>
      </c>
      <c r="B1540" s="8">
        <v>20157</v>
      </c>
      <c r="C1540" s="9">
        <v>45855.42052083333</v>
      </c>
      <c r="D1540" s="9">
        <v>45854</v>
      </c>
      <c r="E1540" s="9">
        <v>45854</v>
      </c>
      <c r="F1540" s="7" t="s">
        <v>4994</v>
      </c>
      <c r="G1540" s="7" t="s">
        <v>4995</v>
      </c>
      <c r="H1540" s="7" t="s">
        <v>4996</v>
      </c>
      <c r="I1540" s="7" t="s">
        <v>4997</v>
      </c>
      <c r="J1540" s="7" t="s">
        <v>176</v>
      </c>
      <c r="K1540" s="7" t="s">
        <v>494</v>
      </c>
      <c r="L1540" s="10">
        <v>235.6</v>
      </c>
      <c r="M1540" s="10">
        <v>235.6</v>
      </c>
      <c r="N1540" s="10">
        <f>+L1540-M1540</f>
        <v>0</v>
      </c>
      <c r="O1540" s="10">
        <v>235.6</v>
      </c>
      <c r="P1540" s="10">
        <f>+L1540-O1540</f>
        <v>0</v>
      </c>
      <c r="Q1540" s="10">
        <v>0</v>
      </c>
      <c r="R1540" s="7" t="s">
        <v>27</v>
      </c>
    </row>
    <row r="1541" spans="1:18" hidden="1">
      <c r="A1541" s="7" t="s">
        <v>29</v>
      </c>
      <c r="B1541" s="8">
        <v>20092</v>
      </c>
      <c r="C1541" s="9">
        <v>45841.364351851851</v>
      </c>
      <c r="D1541" s="9">
        <v>45840</v>
      </c>
      <c r="E1541" s="9">
        <v>45840</v>
      </c>
      <c r="F1541" s="7" t="s">
        <v>4998</v>
      </c>
      <c r="G1541" s="7" t="s">
        <v>4999</v>
      </c>
      <c r="H1541" s="7" t="s">
        <v>5000</v>
      </c>
      <c r="I1541" s="7" t="s">
        <v>4998</v>
      </c>
      <c r="J1541" s="7" t="s">
        <v>40</v>
      </c>
      <c r="K1541" s="7" t="s">
        <v>1784</v>
      </c>
      <c r="L1541" s="10">
        <v>200.6</v>
      </c>
      <c r="M1541" s="10">
        <v>200.6</v>
      </c>
      <c r="N1541" s="10">
        <f>+L1541-M1541</f>
        <v>0</v>
      </c>
      <c r="O1541" s="10">
        <v>200.6</v>
      </c>
      <c r="P1541" s="10">
        <f>+L1541-O1541</f>
        <v>0</v>
      </c>
      <c r="Q1541" s="10">
        <v>0</v>
      </c>
      <c r="R1541" s="7" t="s">
        <v>27</v>
      </c>
    </row>
    <row r="1542" spans="1:18" hidden="1">
      <c r="A1542" s="7" t="s">
        <v>29</v>
      </c>
      <c r="B1542" s="8">
        <v>20309</v>
      </c>
      <c r="C1542" s="9">
        <v>45890.628020833334</v>
      </c>
      <c r="D1542" s="9">
        <v>45890</v>
      </c>
      <c r="E1542" s="9">
        <v>45890</v>
      </c>
      <c r="F1542" s="7" t="s">
        <v>5001</v>
      </c>
      <c r="G1542" s="7" t="s">
        <v>5002</v>
      </c>
      <c r="H1542" s="7" t="s">
        <v>5003</v>
      </c>
      <c r="I1542" s="7" t="s">
        <v>5004</v>
      </c>
      <c r="J1542" s="7" t="s">
        <v>176</v>
      </c>
      <c r="K1542" s="7" t="s">
        <v>360</v>
      </c>
      <c r="L1542" s="10">
        <v>233.68</v>
      </c>
      <c r="M1542" s="10">
        <v>233.68</v>
      </c>
      <c r="N1542" s="10">
        <f>+L1542-M1542</f>
        <v>0</v>
      </c>
      <c r="O1542" s="10">
        <v>233.68</v>
      </c>
      <c r="P1542" s="10">
        <f>+L1542-O1542</f>
        <v>0</v>
      </c>
      <c r="Q1542" s="10">
        <v>0</v>
      </c>
      <c r="R1542" s="7" t="s">
        <v>27</v>
      </c>
    </row>
    <row r="1543" spans="1:18" hidden="1">
      <c r="A1543" s="7" t="s">
        <v>29</v>
      </c>
      <c r="B1543" s="8">
        <v>19701</v>
      </c>
      <c r="C1543" s="9">
        <v>45770.437696759254</v>
      </c>
      <c r="D1543" s="9">
        <v>45769</v>
      </c>
      <c r="E1543" s="9">
        <v>45769</v>
      </c>
      <c r="F1543" s="7" t="s">
        <v>5005</v>
      </c>
      <c r="G1543" s="7" t="s">
        <v>5006</v>
      </c>
      <c r="H1543" s="7" t="s">
        <v>5007</v>
      </c>
      <c r="I1543" s="7" t="s">
        <v>5008</v>
      </c>
      <c r="J1543" s="7" t="s">
        <v>176</v>
      </c>
      <c r="K1543" s="7" t="s">
        <v>494</v>
      </c>
      <c r="L1543" s="10">
        <v>233.68</v>
      </c>
      <c r="M1543" s="10">
        <v>233.68</v>
      </c>
      <c r="N1543" s="10">
        <f>+L1543-M1543</f>
        <v>0</v>
      </c>
      <c r="O1543" s="10">
        <v>233.68</v>
      </c>
      <c r="P1543" s="10">
        <f>+L1543-O1543</f>
        <v>0</v>
      </c>
      <c r="Q1543" s="10">
        <v>0</v>
      </c>
      <c r="R1543" s="7" t="s">
        <v>27</v>
      </c>
    </row>
    <row r="1544" spans="1:18" hidden="1">
      <c r="A1544" s="7" t="s">
        <v>29</v>
      </c>
      <c r="B1544" s="8">
        <v>20451</v>
      </c>
      <c r="C1544" s="9">
        <v>45916.388182870367</v>
      </c>
      <c r="D1544" s="9">
        <v>45913</v>
      </c>
      <c r="E1544" s="9">
        <v>45913</v>
      </c>
      <c r="F1544" s="7" t="s">
        <v>5009</v>
      </c>
      <c r="G1544" s="7" t="s">
        <v>5010</v>
      </c>
      <c r="H1544" s="7" t="s">
        <v>5011</v>
      </c>
      <c r="I1544" s="7" t="s">
        <v>5012</v>
      </c>
      <c r="J1544" s="7" t="s">
        <v>176</v>
      </c>
      <c r="K1544" s="7" t="s">
        <v>360</v>
      </c>
      <c r="L1544" s="10">
        <v>233</v>
      </c>
      <c r="M1544" s="10">
        <v>233</v>
      </c>
      <c r="N1544" s="10">
        <f>+L1544-M1544</f>
        <v>0</v>
      </c>
      <c r="O1544" s="10">
        <v>233</v>
      </c>
      <c r="P1544" s="10">
        <f>+L1544-O1544</f>
        <v>0</v>
      </c>
      <c r="Q1544" s="10">
        <v>0</v>
      </c>
      <c r="R1544" s="7" t="s">
        <v>27</v>
      </c>
    </row>
    <row r="1545" spans="1:18" hidden="1">
      <c r="A1545" s="7" t="s">
        <v>29</v>
      </c>
      <c r="B1545" s="8">
        <v>4271</v>
      </c>
      <c r="C1545" s="9">
        <v>45937.433576388888</v>
      </c>
      <c r="D1545" s="9">
        <v>45932</v>
      </c>
      <c r="E1545" s="9">
        <v>45932</v>
      </c>
      <c r="F1545" s="7" t="s">
        <v>5013</v>
      </c>
      <c r="G1545" s="7" t="s">
        <v>5014</v>
      </c>
      <c r="H1545" s="7" t="s">
        <v>1714</v>
      </c>
      <c r="I1545" s="7" t="s">
        <v>910</v>
      </c>
      <c r="J1545" s="7" t="s">
        <v>25</v>
      </c>
      <c r="K1545" s="7" t="s">
        <v>86</v>
      </c>
      <c r="L1545" s="10">
        <v>255.68</v>
      </c>
      <c r="M1545" s="10">
        <v>255.68</v>
      </c>
      <c r="N1545" s="15">
        <f>+L1545-M1545</f>
        <v>0</v>
      </c>
      <c r="O1545" s="15">
        <v>255.68</v>
      </c>
      <c r="P1545" s="15">
        <f>+L1545-O1545</f>
        <v>0</v>
      </c>
      <c r="Q1545" s="10">
        <v>0</v>
      </c>
      <c r="R1545" s="7" t="s">
        <v>87</v>
      </c>
    </row>
    <row r="1546" spans="1:18" hidden="1">
      <c r="A1546" s="7" t="s">
        <v>29</v>
      </c>
      <c r="B1546" s="8">
        <v>19723</v>
      </c>
      <c r="C1546" s="9">
        <v>45772.439756944441</v>
      </c>
      <c r="D1546" s="9">
        <v>45772</v>
      </c>
      <c r="E1546" s="9">
        <v>45772</v>
      </c>
      <c r="F1546" s="7" t="s">
        <v>5015</v>
      </c>
      <c r="G1546" s="7" t="s">
        <v>5016</v>
      </c>
      <c r="H1546" s="7" t="s">
        <v>5017</v>
      </c>
      <c r="I1546" s="7" t="s">
        <v>5018</v>
      </c>
      <c r="J1546" s="7" t="s">
        <v>176</v>
      </c>
      <c r="K1546" s="7" t="s">
        <v>494</v>
      </c>
      <c r="L1546" s="10">
        <v>227.7</v>
      </c>
      <c r="M1546" s="10">
        <v>227.7</v>
      </c>
      <c r="N1546" s="10">
        <f>+L1546-M1546</f>
        <v>0</v>
      </c>
      <c r="O1546" s="10">
        <v>227.7</v>
      </c>
      <c r="P1546" s="10">
        <f>+L1546-O1546</f>
        <v>0</v>
      </c>
      <c r="Q1546" s="10">
        <v>0</v>
      </c>
      <c r="R1546" s="7" t="s">
        <v>27</v>
      </c>
    </row>
    <row r="1547" spans="1:18" hidden="1">
      <c r="A1547" s="7" t="s">
        <v>29</v>
      </c>
      <c r="B1547" s="8">
        <v>19669</v>
      </c>
      <c r="C1547" s="9">
        <v>45758.600428240738</v>
      </c>
      <c r="D1547" s="9">
        <v>45749</v>
      </c>
      <c r="E1547" s="9">
        <v>45749</v>
      </c>
      <c r="F1547" s="7" t="s">
        <v>5019</v>
      </c>
      <c r="G1547" s="7" t="s">
        <v>5020</v>
      </c>
      <c r="H1547" s="7" t="s">
        <v>5021</v>
      </c>
      <c r="I1547" s="7" t="s">
        <v>5022</v>
      </c>
      <c r="J1547" s="7" t="s">
        <v>176</v>
      </c>
      <c r="K1547" s="7" t="s">
        <v>494</v>
      </c>
      <c r="L1547" s="10">
        <v>227.7</v>
      </c>
      <c r="M1547" s="10">
        <v>227.7</v>
      </c>
      <c r="N1547" s="10">
        <f>+L1547-M1547</f>
        <v>0</v>
      </c>
      <c r="O1547" s="10">
        <v>227.7</v>
      </c>
      <c r="P1547" s="10">
        <f>+L1547-O1547</f>
        <v>0</v>
      </c>
      <c r="Q1547" s="10">
        <v>0</v>
      </c>
      <c r="R1547" s="7" t="s">
        <v>27</v>
      </c>
    </row>
    <row r="1548" spans="1:18" hidden="1">
      <c r="A1548" s="7" t="s">
        <v>29</v>
      </c>
      <c r="B1548" s="8">
        <v>19935</v>
      </c>
      <c r="C1548" s="9">
        <v>45818.389120370368</v>
      </c>
      <c r="D1548" s="9">
        <v>45817</v>
      </c>
      <c r="E1548" s="9">
        <v>45817</v>
      </c>
      <c r="F1548" s="7" t="s">
        <v>5023</v>
      </c>
      <c r="G1548" s="7" t="s">
        <v>5024</v>
      </c>
      <c r="H1548" s="7" t="s">
        <v>5025</v>
      </c>
      <c r="I1548" s="7" t="s">
        <v>5026</v>
      </c>
      <c r="J1548" s="7" t="s">
        <v>176</v>
      </c>
      <c r="K1548" s="7" t="s">
        <v>494</v>
      </c>
      <c r="L1548" s="10">
        <v>227.7</v>
      </c>
      <c r="M1548" s="10">
        <v>227.7</v>
      </c>
      <c r="N1548" s="10">
        <f>+L1548-M1548</f>
        <v>0</v>
      </c>
      <c r="O1548" s="10">
        <v>227.7</v>
      </c>
      <c r="P1548" s="10">
        <f>+L1548-O1548</f>
        <v>0</v>
      </c>
      <c r="Q1548" s="10">
        <v>0</v>
      </c>
      <c r="R1548" s="7" t="s">
        <v>27</v>
      </c>
    </row>
    <row r="1549" spans="1:18" hidden="1">
      <c r="A1549" s="7" t="s">
        <v>29</v>
      </c>
      <c r="B1549" s="8">
        <v>19962</v>
      </c>
      <c r="C1549" s="9">
        <v>45821.704826388886</v>
      </c>
      <c r="D1549" s="9">
        <v>45828</v>
      </c>
      <c r="E1549" s="9">
        <v>45821</v>
      </c>
      <c r="F1549" s="7" t="s">
        <v>5027</v>
      </c>
      <c r="G1549" s="7" t="s">
        <v>5028</v>
      </c>
      <c r="H1549" s="7" t="s">
        <v>5029</v>
      </c>
      <c r="I1549" s="7" t="s">
        <v>5030</v>
      </c>
      <c r="J1549" s="7" t="s">
        <v>176</v>
      </c>
      <c r="K1549" s="7" t="s">
        <v>494</v>
      </c>
      <c r="L1549" s="10">
        <v>227.7</v>
      </c>
      <c r="M1549" s="10">
        <v>227.7</v>
      </c>
      <c r="N1549" s="10">
        <f>+L1549-M1549</f>
        <v>0</v>
      </c>
      <c r="O1549" s="10">
        <v>227.7</v>
      </c>
      <c r="P1549" s="10">
        <f>+L1549-O1549</f>
        <v>0</v>
      </c>
      <c r="Q1549" s="10">
        <v>0</v>
      </c>
      <c r="R1549" s="7" t="s">
        <v>27</v>
      </c>
    </row>
    <row r="1550" spans="1:18">
      <c r="A1550" s="7" t="s">
        <v>29</v>
      </c>
      <c r="B1550" s="8">
        <v>19369</v>
      </c>
      <c r="C1550" s="9">
        <v>45687.673009259255</v>
      </c>
      <c r="D1550" s="9">
        <v>45695</v>
      </c>
      <c r="E1550" s="9">
        <v>45723</v>
      </c>
      <c r="F1550" s="7" t="s">
        <v>5031</v>
      </c>
      <c r="G1550" s="7" t="s">
        <v>203</v>
      </c>
      <c r="H1550" s="7" t="s">
        <v>4933</v>
      </c>
      <c r="I1550" s="7" t="s">
        <v>4934</v>
      </c>
      <c r="J1550" s="7" t="s">
        <v>25</v>
      </c>
      <c r="K1550" s="7" t="s">
        <v>525</v>
      </c>
      <c r="L1550" s="10">
        <v>250</v>
      </c>
      <c r="M1550" s="10">
        <v>250</v>
      </c>
      <c r="N1550" s="10">
        <f>+L1550-M1550</f>
        <v>0</v>
      </c>
      <c r="O1550" s="10">
        <v>250</v>
      </c>
      <c r="P1550" s="10">
        <f>+L1550-O1550</f>
        <v>0</v>
      </c>
      <c r="Q1550" s="10">
        <v>0</v>
      </c>
      <c r="R1550" s="7" t="s">
        <v>27</v>
      </c>
    </row>
    <row r="1551" spans="1:18" hidden="1">
      <c r="A1551" s="7" t="s">
        <v>29</v>
      </c>
      <c r="B1551" s="8">
        <v>20370</v>
      </c>
      <c r="C1551" s="9">
        <v>45901.467766203699</v>
      </c>
      <c r="D1551" s="9">
        <v>45901</v>
      </c>
      <c r="E1551" s="9">
        <v>45931</v>
      </c>
      <c r="F1551" s="7" t="s">
        <v>5032</v>
      </c>
      <c r="G1551" s="7" t="s">
        <v>5033</v>
      </c>
      <c r="H1551" s="7" t="s">
        <v>4082</v>
      </c>
      <c r="I1551" s="7" t="s">
        <v>4083</v>
      </c>
      <c r="J1551" s="7" t="s">
        <v>34</v>
      </c>
      <c r="K1551" s="7" t="s">
        <v>118</v>
      </c>
      <c r="L1551" s="10">
        <v>227.23</v>
      </c>
      <c r="M1551" s="10">
        <v>227.23</v>
      </c>
      <c r="N1551" s="10">
        <f>+L1551-M1551</f>
        <v>0</v>
      </c>
      <c r="O1551" s="10">
        <v>227.23</v>
      </c>
      <c r="P1551" s="10">
        <f>+L1551-O1551</f>
        <v>0</v>
      </c>
      <c r="Q1551" s="10">
        <v>0</v>
      </c>
      <c r="R1551" s="7" t="s">
        <v>27</v>
      </c>
    </row>
    <row r="1552" spans="1:18" hidden="1">
      <c r="A1552" s="7" t="s">
        <v>29</v>
      </c>
      <c r="B1552" s="8">
        <v>20688</v>
      </c>
      <c r="C1552" s="9">
        <v>45972.398993055554</v>
      </c>
      <c r="D1552" s="9">
        <v>45972</v>
      </c>
      <c r="E1552" s="9">
        <v>45951</v>
      </c>
      <c r="F1552" s="7" t="s">
        <v>5034</v>
      </c>
      <c r="G1552" s="7" t="s">
        <v>5035</v>
      </c>
      <c r="H1552" s="7" t="s">
        <v>5036</v>
      </c>
      <c r="I1552" s="7" t="s">
        <v>5037</v>
      </c>
      <c r="J1552" s="7" t="s">
        <v>34</v>
      </c>
      <c r="K1552" s="7" t="s">
        <v>105</v>
      </c>
      <c r="L1552" s="10">
        <v>226.11</v>
      </c>
      <c r="M1552" s="10">
        <v>226.11</v>
      </c>
      <c r="N1552" s="10">
        <f>+L1552-M1552</f>
        <v>0</v>
      </c>
      <c r="O1552" s="10">
        <v>226.11</v>
      </c>
      <c r="P1552" s="10">
        <f>+L1552-O1552</f>
        <v>0</v>
      </c>
      <c r="Q1552" s="10">
        <v>0</v>
      </c>
      <c r="R1552" s="7" t="s">
        <v>27</v>
      </c>
    </row>
    <row r="1553" spans="1:18" hidden="1">
      <c r="A1553" s="7" t="s">
        <v>29</v>
      </c>
      <c r="B1553" s="8">
        <v>20686</v>
      </c>
      <c r="C1553" s="9">
        <v>45971.702592592592</v>
      </c>
      <c r="D1553" s="9">
        <v>45971</v>
      </c>
      <c r="E1553" s="9">
        <v>45971</v>
      </c>
      <c r="F1553" s="7" t="s">
        <v>5038</v>
      </c>
      <c r="G1553" s="7" t="s">
        <v>5039</v>
      </c>
      <c r="H1553" s="7" t="s">
        <v>3169</v>
      </c>
      <c r="I1553" s="7" t="s">
        <v>3170</v>
      </c>
      <c r="J1553" s="7" t="s">
        <v>34</v>
      </c>
      <c r="K1553" s="7" t="s">
        <v>733</v>
      </c>
      <c r="L1553" s="10">
        <v>226</v>
      </c>
      <c r="M1553" s="10">
        <v>226</v>
      </c>
      <c r="N1553" s="10">
        <f>+L1553-M1553</f>
        <v>0</v>
      </c>
      <c r="O1553" s="10">
        <v>226</v>
      </c>
      <c r="P1553" s="10">
        <f>+L1553-O1553</f>
        <v>0</v>
      </c>
      <c r="Q1553" s="10">
        <v>0</v>
      </c>
      <c r="R1553" s="7" t="s">
        <v>27</v>
      </c>
    </row>
    <row r="1554" spans="1:18" hidden="1">
      <c r="A1554" s="7" t="s">
        <v>29</v>
      </c>
      <c r="B1554" s="8">
        <v>20879</v>
      </c>
      <c r="C1554" s="9">
        <v>46041.654317129629</v>
      </c>
      <c r="D1554" s="9">
        <v>46041</v>
      </c>
      <c r="E1554" s="9">
        <v>46041</v>
      </c>
      <c r="F1554" s="7" t="s">
        <v>3375</v>
      </c>
      <c r="G1554" s="7" t="s">
        <v>5040</v>
      </c>
      <c r="H1554" s="7" t="s">
        <v>3377</v>
      </c>
      <c r="I1554" s="7" t="s">
        <v>3378</v>
      </c>
      <c r="J1554" s="7" t="s">
        <v>176</v>
      </c>
      <c r="K1554" s="7" t="s">
        <v>360</v>
      </c>
      <c r="L1554" s="10">
        <v>222</v>
      </c>
      <c r="M1554" s="10">
        <v>222</v>
      </c>
      <c r="N1554" s="10">
        <f>+L1554-M1554</f>
        <v>0</v>
      </c>
      <c r="O1554" s="10">
        <v>222</v>
      </c>
      <c r="P1554" s="10">
        <f>+L1554-O1554</f>
        <v>0</v>
      </c>
      <c r="Q1554" s="10">
        <v>0</v>
      </c>
      <c r="R1554" s="7" t="s">
        <v>27</v>
      </c>
    </row>
    <row r="1555" spans="1:18" hidden="1">
      <c r="A1555" s="7" t="s">
        <v>29</v>
      </c>
      <c r="B1555" s="8">
        <v>20605</v>
      </c>
      <c r="C1555" s="9">
        <v>45951.661990740737</v>
      </c>
      <c r="D1555" s="9">
        <v>45910</v>
      </c>
      <c r="E1555" s="9">
        <v>45910</v>
      </c>
      <c r="F1555" s="7" t="s">
        <v>2261</v>
      </c>
      <c r="G1555" s="7" t="s">
        <v>5041</v>
      </c>
      <c r="H1555" s="7" t="s">
        <v>2260</v>
      </c>
      <c r="I1555" s="7" t="s">
        <v>2261</v>
      </c>
      <c r="J1555" s="7" t="s">
        <v>40</v>
      </c>
      <c r="K1555" s="7" t="s">
        <v>4785</v>
      </c>
      <c r="L1555" s="10">
        <v>182.38</v>
      </c>
      <c r="M1555" s="10">
        <v>182.38</v>
      </c>
      <c r="N1555" s="10">
        <f>+L1555-M1555</f>
        <v>0</v>
      </c>
      <c r="O1555" s="10">
        <v>182.38</v>
      </c>
      <c r="P1555" s="10">
        <f>+L1555-O1555</f>
        <v>0</v>
      </c>
      <c r="Q1555" s="10">
        <v>0</v>
      </c>
      <c r="R1555" s="7" t="s">
        <v>27</v>
      </c>
    </row>
    <row r="1556" spans="1:18" hidden="1">
      <c r="A1556" s="7" t="s">
        <v>29</v>
      </c>
      <c r="B1556" s="8">
        <v>20943</v>
      </c>
      <c r="C1556" s="9">
        <v>46058.640868055554</v>
      </c>
      <c r="D1556" s="9">
        <v>46056</v>
      </c>
      <c r="E1556" s="9">
        <v>46057</v>
      </c>
      <c r="F1556" s="7" t="s">
        <v>5042</v>
      </c>
      <c r="G1556" s="7" t="s">
        <v>5043</v>
      </c>
      <c r="H1556" s="7" t="s">
        <v>5044</v>
      </c>
      <c r="I1556" s="7" t="s">
        <v>5045</v>
      </c>
      <c r="J1556" s="7" t="s">
        <v>176</v>
      </c>
      <c r="K1556" s="7" t="s">
        <v>360</v>
      </c>
      <c r="L1556" s="10">
        <v>216</v>
      </c>
      <c r="M1556" s="10">
        <v>216</v>
      </c>
      <c r="N1556" s="10">
        <f>+L1556-M1556</f>
        <v>0</v>
      </c>
      <c r="O1556" s="10">
        <v>216</v>
      </c>
      <c r="P1556" s="10">
        <f>+L1556-O1556</f>
        <v>0</v>
      </c>
      <c r="Q1556" s="10">
        <v>0</v>
      </c>
      <c r="R1556" s="7" t="s">
        <v>27</v>
      </c>
    </row>
    <row r="1557" spans="1:18" hidden="1">
      <c r="A1557" s="7" t="s">
        <v>29</v>
      </c>
      <c r="B1557" s="8">
        <v>20615</v>
      </c>
      <c r="C1557" s="9">
        <v>45954.458368055552</v>
      </c>
      <c r="D1557" s="9">
        <v>45979</v>
      </c>
      <c r="E1557" s="9">
        <v>45937</v>
      </c>
      <c r="F1557" s="7" t="s">
        <v>5046</v>
      </c>
      <c r="G1557" s="7" t="s">
        <v>5047</v>
      </c>
      <c r="H1557" s="7" t="s">
        <v>2372</v>
      </c>
      <c r="I1557" s="7" t="s">
        <v>2373</v>
      </c>
      <c r="J1557" s="7" t="s">
        <v>176</v>
      </c>
      <c r="K1557" s="7" t="s">
        <v>584</v>
      </c>
      <c r="L1557" s="10">
        <v>211</v>
      </c>
      <c r="M1557" s="10">
        <v>211</v>
      </c>
      <c r="N1557" s="10">
        <f>+L1557-M1557</f>
        <v>0</v>
      </c>
      <c r="O1557" s="10">
        <v>211</v>
      </c>
      <c r="P1557" s="10">
        <f>+L1557-O1557</f>
        <v>0</v>
      </c>
      <c r="Q1557" s="10">
        <v>0</v>
      </c>
      <c r="R1557" s="7" t="s">
        <v>27</v>
      </c>
    </row>
    <row r="1558" spans="1:18" hidden="1">
      <c r="A1558" s="7" t="s">
        <v>29</v>
      </c>
      <c r="B1558" s="8">
        <v>19547</v>
      </c>
      <c r="C1558" s="9">
        <v>45737.456747685181</v>
      </c>
      <c r="D1558" s="9">
        <v>45763</v>
      </c>
      <c r="E1558" s="9">
        <v>45735</v>
      </c>
      <c r="F1558" s="7" t="s">
        <v>5048</v>
      </c>
      <c r="G1558" s="7" t="s">
        <v>5049</v>
      </c>
      <c r="H1558" s="7" t="s">
        <v>5050</v>
      </c>
      <c r="I1558" s="7" t="s">
        <v>5051</v>
      </c>
      <c r="J1558" s="7" t="s">
        <v>34</v>
      </c>
      <c r="K1558" s="7" t="s">
        <v>451</v>
      </c>
      <c r="L1558" s="10">
        <v>208.46</v>
      </c>
      <c r="M1558" s="10">
        <v>208.46</v>
      </c>
      <c r="N1558" s="10">
        <f>+L1558-M1558</f>
        <v>0</v>
      </c>
      <c r="O1558" s="10">
        <v>208.46</v>
      </c>
      <c r="P1558" s="10">
        <f>+L1558-O1558</f>
        <v>0</v>
      </c>
      <c r="Q1558" s="10">
        <v>0</v>
      </c>
      <c r="R1558" s="7" t="s">
        <v>27</v>
      </c>
    </row>
    <row r="1559" spans="1:18" hidden="1">
      <c r="A1559" s="7" t="s">
        <v>29</v>
      </c>
      <c r="B1559" s="8">
        <v>4149</v>
      </c>
      <c r="C1559" s="9">
        <v>45680.39708333333</v>
      </c>
      <c r="D1559" s="9">
        <v>45678</v>
      </c>
      <c r="E1559" s="9">
        <v>45678</v>
      </c>
      <c r="F1559" s="7" t="s">
        <v>5052</v>
      </c>
      <c r="G1559" s="7" t="s">
        <v>1028</v>
      </c>
      <c r="H1559" s="7" t="s">
        <v>3970</v>
      </c>
      <c r="I1559" s="7" t="s">
        <v>788</v>
      </c>
      <c r="J1559" s="7" t="s">
        <v>25</v>
      </c>
      <c r="K1559" s="7" t="s">
        <v>125</v>
      </c>
      <c r="L1559" s="10">
        <v>240.55</v>
      </c>
      <c r="M1559" s="10">
        <v>240.55</v>
      </c>
      <c r="N1559" s="15">
        <f>+L1559-M1559</f>
        <v>0</v>
      </c>
      <c r="O1559" s="15">
        <v>240.55</v>
      </c>
      <c r="P1559" s="15">
        <f>+L1559-O1559</f>
        <v>0</v>
      </c>
      <c r="Q1559" s="10">
        <v>0</v>
      </c>
      <c r="R1559" s="7" t="s">
        <v>87</v>
      </c>
    </row>
    <row r="1560" spans="1:18" hidden="1">
      <c r="A1560" s="7" t="s">
        <v>29</v>
      </c>
      <c r="B1560" s="8">
        <v>20401</v>
      </c>
      <c r="C1560" s="9">
        <v>45904.695891203701</v>
      </c>
      <c r="D1560" s="9">
        <v>45904</v>
      </c>
      <c r="E1560" s="9">
        <v>45904</v>
      </c>
      <c r="F1560" s="7" t="s">
        <v>5053</v>
      </c>
      <c r="G1560" s="7" t="s">
        <v>5054</v>
      </c>
      <c r="H1560" s="7" t="s">
        <v>5055</v>
      </c>
      <c r="I1560" s="7" t="s">
        <v>5053</v>
      </c>
      <c r="J1560" s="7" t="s">
        <v>40</v>
      </c>
      <c r="K1560" s="7" t="s">
        <v>4785</v>
      </c>
      <c r="L1560" s="10">
        <v>174.92</v>
      </c>
      <c r="M1560" s="10">
        <v>174.92</v>
      </c>
      <c r="N1560" s="10">
        <f>+L1560-M1560</f>
        <v>0</v>
      </c>
      <c r="O1560" s="10">
        <v>174.92</v>
      </c>
      <c r="P1560" s="10">
        <f>+L1560-O1560</f>
        <v>0</v>
      </c>
      <c r="Q1560" s="10">
        <v>0</v>
      </c>
      <c r="R1560" s="7" t="s">
        <v>27</v>
      </c>
    </row>
    <row r="1561" spans="1:18" hidden="1">
      <c r="A1561" s="7" t="s">
        <v>29</v>
      </c>
      <c r="B1561" s="8">
        <v>19408</v>
      </c>
      <c r="C1561" s="9">
        <v>45699.507870370369</v>
      </c>
      <c r="D1561" s="9">
        <v>45694</v>
      </c>
      <c r="E1561" s="9">
        <v>45694</v>
      </c>
      <c r="F1561" s="7" t="s">
        <v>5056</v>
      </c>
      <c r="G1561" s="7" t="s">
        <v>4518</v>
      </c>
      <c r="H1561" s="7" t="s">
        <v>5057</v>
      </c>
      <c r="I1561" s="7" t="s">
        <v>5056</v>
      </c>
      <c r="J1561" s="7" t="s">
        <v>40</v>
      </c>
      <c r="K1561" s="7" t="s">
        <v>1784</v>
      </c>
      <c r="L1561" s="10">
        <v>170.65</v>
      </c>
      <c r="M1561" s="10">
        <v>170.65</v>
      </c>
      <c r="N1561" s="10">
        <f>+L1561-M1561</f>
        <v>0</v>
      </c>
      <c r="O1561" s="10">
        <v>170.65</v>
      </c>
      <c r="P1561" s="10">
        <f>+L1561-O1561</f>
        <v>0</v>
      </c>
      <c r="Q1561" s="10">
        <v>0</v>
      </c>
      <c r="R1561" s="7" t="s">
        <v>27</v>
      </c>
    </row>
    <row r="1562" spans="1:18" hidden="1">
      <c r="A1562" s="7" t="s">
        <v>29</v>
      </c>
      <c r="B1562" s="8">
        <v>19395</v>
      </c>
      <c r="C1562" s="9">
        <v>45695.603749999995</v>
      </c>
      <c r="D1562" s="9">
        <v>45684</v>
      </c>
      <c r="E1562" s="9">
        <v>45684</v>
      </c>
      <c r="F1562" s="7" t="s">
        <v>5058</v>
      </c>
      <c r="G1562" s="7" t="s">
        <v>3735</v>
      </c>
      <c r="H1562" s="7" t="s">
        <v>4435</v>
      </c>
      <c r="I1562" s="7" t="s">
        <v>4436</v>
      </c>
      <c r="J1562" s="7" t="s">
        <v>176</v>
      </c>
      <c r="K1562" s="7" t="s">
        <v>494</v>
      </c>
      <c r="L1562" s="10">
        <v>202</v>
      </c>
      <c r="M1562" s="10">
        <v>202</v>
      </c>
      <c r="N1562" s="10">
        <f>+L1562-M1562</f>
        <v>0</v>
      </c>
      <c r="O1562" s="10">
        <v>202</v>
      </c>
      <c r="P1562" s="10">
        <f>+L1562-O1562</f>
        <v>0</v>
      </c>
      <c r="Q1562" s="10">
        <v>0</v>
      </c>
      <c r="R1562" s="7" t="s">
        <v>27</v>
      </c>
    </row>
    <row r="1563" spans="1:18" hidden="1">
      <c r="A1563" s="7" t="s">
        <v>29</v>
      </c>
      <c r="B1563" s="8">
        <v>19450</v>
      </c>
      <c r="C1563" s="9">
        <v>45712.70475694444</v>
      </c>
      <c r="D1563" s="9">
        <v>45665</v>
      </c>
      <c r="E1563" s="9">
        <v>45665</v>
      </c>
      <c r="F1563" s="7" t="s">
        <v>5059</v>
      </c>
      <c r="G1563" s="7" t="s">
        <v>3401</v>
      </c>
      <c r="H1563" s="7" t="s">
        <v>5060</v>
      </c>
      <c r="I1563" s="7" t="s">
        <v>5061</v>
      </c>
      <c r="J1563" s="7" t="s">
        <v>176</v>
      </c>
      <c r="K1563" s="7" t="s">
        <v>494</v>
      </c>
      <c r="L1563" s="10">
        <v>202</v>
      </c>
      <c r="M1563" s="10">
        <v>202</v>
      </c>
      <c r="N1563" s="10">
        <f>+L1563-M1563</f>
        <v>0</v>
      </c>
      <c r="O1563" s="10">
        <v>202</v>
      </c>
      <c r="P1563" s="10">
        <f>+L1563-O1563</f>
        <v>0</v>
      </c>
      <c r="Q1563" s="10">
        <v>0</v>
      </c>
      <c r="R1563" s="7" t="s">
        <v>27</v>
      </c>
    </row>
    <row r="1564" spans="1:18" hidden="1">
      <c r="A1564" s="7" t="s">
        <v>29</v>
      </c>
      <c r="B1564" s="8">
        <v>19449</v>
      </c>
      <c r="C1564" s="9">
        <v>45712.704421296294</v>
      </c>
      <c r="D1564" s="9">
        <v>45664</v>
      </c>
      <c r="E1564" s="9">
        <v>45664</v>
      </c>
      <c r="F1564" s="7" t="s">
        <v>5062</v>
      </c>
      <c r="G1564" s="7" t="s">
        <v>3327</v>
      </c>
      <c r="H1564" s="7" t="s">
        <v>5063</v>
      </c>
      <c r="I1564" s="7" t="s">
        <v>5064</v>
      </c>
      <c r="J1564" s="7" t="s">
        <v>176</v>
      </c>
      <c r="K1564" s="7" t="s">
        <v>494</v>
      </c>
      <c r="L1564" s="10">
        <v>202</v>
      </c>
      <c r="M1564" s="10">
        <v>202</v>
      </c>
      <c r="N1564" s="10">
        <f>+L1564-M1564</f>
        <v>0</v>
      </c>
      <c r="O1564" s="10">
        <v>202</v>
      </c>
      <c r="P1564" s="10">
        <f>+L1564-O1564</f>
        <v>0</v>
      </c>
      <c r="Q1564" s="10">
        <v>0</v>
      </c>
      <c r="R1564" s="7" t="s">
        <v>27</v>
      </c>
    </row>
    <row r="1565" spans="1:18" hidden="1">
      <c r="A1565" s="7" t="s">
        <v>29</v>
      </c>
      <c r="B1565" s="8">
        <v>19861</v>
      </c>
      <c r="C1565" s="9">
        <v>45803.487592592588</v>
      </c>
      <c r="D1565" s="9">
        <v>45803</v>
      </c>
      <c r="E1565" s="9">
        <v>45803</v>
      </c>
      <c r="F1565" s="7" t="s">
        <v>5065</v>
      </c>
      <c r="G1565" s="7" t="s">
        <v>5066</v>
      </c>
      <c r="H1565" s="7" t="s">
        <v>5067</v>
      </c>
      <c r="I1565" s="7" t="s">
        <v>5068</v>
      </c>
      <c r="J1565" s="7" t="s">
        <v>40</v>
      </c>
      <c r="K1565" s="7" t="s">
        <v>355</v>
      </c>
      <c r="L1565" s="10">
        <v>169.5</v>
      </c>
      <c r="M1565" s="10">
        <v>169.5</v>
      </c>
      <c r="N1565" s="10">
        <f>+L1565-M1565</f>
        <v>0</v>
      </c>
      <c r="O1565" s="10">
        <v>169.5</v>
      </c>
      <c r="P1565" s="10">
        <f>+L1565-O1565</f>
        <v>0</v>
      </c>
      <c r="Q1565" s="10">
        <v>0</v>
      </c>
      <c r="R1565" s="7" t="s">
        <v>27</v>
      </c>
    </row>
    <row r="1566" spans="1:18" hidden="1">
      <c r="A1566" s="7" t="s">
        <v>29</v>
      </c>
      <c r="B1566" s="8">
        <v>19915</v>
      </c>
      <c r="C1566" s="9">
        <v>45811.429907407408</v>
      </c>
      <c r="D1566" s="9">
        <v>45811</v>
      </c>
      <c r="E1566" s="9">
        <v>45811</v>
      </c>
      <c r="F1566" s="7" t="s">
        <v>5069</v>
      </c>
      <c r="G1566" s="7" t="s">
        <v>5070</v>
      </c>
      <c r="H1566" s="7" t="s">
        <v>5071</v>
      </c>
      <c r="I1566" s="7" t="s">
        <v>5069</v>
      </c>
      <c r="J1566" s="7" t="s">
        <v>40</v>
      </c>
      <c r="K1566" s="7" t="s">
        <v>1784</v>
      </c>
      <c r="L1566" s="10">
        <v>165.61</v>
      </c>
      <c r="M1566" s="10">
        <v>165.61</v>
      </c>
      <c r="N1566" s="10">
        <f>+L1566-M1566</f>
        <v>0</v>
      </c>
      <c r="O1566" s="10">
        <v>165.61</v>
      </c>
      <c r="P1566" s="10">
        <f>+L1566-O1566</f>
        <v>0</v>
      </c>
      <c r="Q1566" s="10">
        <v>0</v>
      </c>
      <c r="R1566" s="7" t="s">
        <v>27</v>
      </c>
    </row>
    <row r="1567" spans="1:18" hidden="1">
      <c r="A1567" s="7" t="s">
        <v>29</v>
      </c>
      <c r="B1567" s="8">
        <v>4235</v>
      </c>
      <c r="C1567" s="9">
        <v>45831.39671296296</v>
      </c>
      <c r="D1567" s="9">
        <v>45821</v>
      </c>
      <c r="E1567" s="9">
        <v>45821</v>
      </c>
      <c r="F1567" s="7" t="s">
        <v>5072</v>
      </c>
      <c r="G1567" s="7" t="s">
        <v>251</v>
      </c>
      <c r="H1567" s="7" t="s">
        <v>4194</v>
      </c>
      <c r="I1567" s="7" t="s">
        <v>351</v>
      </c>
      <c r="J1567" s="7" t="s">
        <v>25</v>
      </c>
      <c r="K1567" s="7" t="s">
        <v>125</v>
      </c>
      <c r="L1567" s="10">
        <v>237.3</v>
      </c>
      <c r="M1567" s="10">
        <v>237.3</v>
      </c>
      <c r="N1567" s="15">
        <f>+L1567-M1567</f>
        <v>0</v>
      </c>
      <c r="O1567" s="15">
        <v>237.3</v>
      </c>
      <c r="P1567" s="15">
        <f>+L1567-O1567</f>
        <v>0</v>
      </c>
      <c r="Q1567" s="10">
        <v>0</v>
      </c>
      <c r="R1567" s="7" t="s">
        <v>87</v>
      </c>
    </row>
    <row r="1568" spans="1:18" hidden="1">
      <c r="A1568" s="7" t="s">
        <v>29</v>
      </c>
      <c r="B1568" s="8">
        <v>20203</v>
      </c>
      <c r="C1568" s="9">
        <v>45868.706238425926</v>
      </c>
      <c r="D1568" s="9">
        <v>45531</v>
      </c>
      <c r="E1568" s="9">
        <v>45868</v>
      </c>
      <c r="F1568" s="7" t="s">
        <v>5073</v>
      </c>
      <c r="G1568" s="7" t="s">
        <v>5074</v>
      </c>
      <c r="H1568" s="7" t="s">
        <v>2454</v>
      </c>
      <c r="I1568" s="7" t="s">
        <v>2455</v>
      </c>
      <c r="J1568" s="7" t="s">
        <v>176</v>
      </c>
      <c r="K1568" s="7" t="s">
        <v>584</v>
      </c>
      <c r="L1568" s="10">
        <v>200</v>
      </c>
      <c r="M1568" s="10">
        <v>200</v>
      </c>
      <c r="N1568" s="10">
        <f>+L1568-M1568</f>
        <v>0</v>
      </c>
      <c r="O1568" s="10">
        <v>200</v>
      </c>
      <c r="P1568" s="10">
        <f>+L1568-O1568</f>
        <v>0</v>
      </c>
      <c r="Q1568" s="10">
        <v>0</v>
      </c>
      <c r="R1568" s="7" t="s">
        <v>27</v>
      </c>
    </row>
    <row r="1569" spans="1:18" hidden="1">
      <c r="A1569" s="7" t="s">
        <v>29</v>
      </c>
      <c r="B1569" s="8">
        <v>19830</v>
      </c>
      <c r="C1569" s="9">
        <v>45796.397060185183</v>
      </c>
      <c r="D1569" s="9">
        <v>45794</v>
      </c>
      <c r="E1569" s="9">
        <v>45794</v>
      </c>
      <c r="F1569" s="7" t="s">
        <v>5075</v>
      </c>
      <c r="G1569" s="7" t="s">
        <v>5076</v>
      </c>
      <c r="H1569" s="7" t="s">
        <v>5077</v>
      </c>
      <c r="I1569" s="7" t="s">
        <v>5078</v>
      </c>
      <c r="J1569" s="7" t="s">
        <v>176</v>
      </c>
      <c r="K1569" s="7" t="s">
        <v>494</v>
      </c>
      <c r="L1569" s="10">
        <v>199.47</v>
      </c>
      <c r="M1569" s="10">
        <v>199.47</v>
      </c>
      <c r="N1569" s="10">
        <f>+L1569-M1569</f>
        <v>0</v>
      </c>
      <c r="O1569" s="10">
        <v>199.47</v>
      </c>
      <c r="P1569" s="10">
        <f>+L1569-O1569</f>
        <v>0</v>
      </c>
      <c r="Q1569" s="10">
        <v>0</v>
      </c>
      <c r="R1569" s="7" t="s">
        <v>27</v>
      </c>
    </row>
    <row r="1570" spans="1:18" hidden="1">
      <c r="A1570" s="7" t="s">
        <v>29</v>
      </c>
      <c r="B1570" s="8">
        <v>20531</v>
      </c>
      <c r="C1570" s="9">
        <v>45930.652337962958</v>
      </c>
      <c r="D1570" s="9">
        <v>45926</v>
      </c>
      <c r="E1570" s="9">
        <v>45926</v>
      </c>
      <c r="F1570" s="7" t="s">
        <v>5079</v>
      </c>
      <c r="G1570" s="7" t="s">
        <v>5080</v>
      </c>
      <c r="H1570" s="7" t="s">
        <v>5081</v>
      </c>
      <c r="I1570" s="7" t="s">
        <v>5082</v>
      </c>
      <c r="J1570" s="7" t="s">
        <v>176</v>
      </c>
      <c r="K1570" s="7" t="s">
        <v>360</v>
      </c>
      <c r="L1570" s="10">
        <v>199.47</v>
      </c>
      <c r="M1570" s="10">
        <v>199.47</v>
      </c>
      <c r="N1570" s="10">
        <f>+L1570-M1570</f>
        <v>0</v>
      </c>
      <c r="O1570" s="10">
        <v>199.47</v>
      </c>
      <c r="P1570" s="10">
        <f>+L1570-O1570</f>
        <v>0</v>
      </c>
      <c r="Q1570" s="10">
        <v>0</v>
      </c>
      <c r="R1570" s="7" t="s">
        <v>27</v>
      </c>
    </row>
    <row r="1571" spans="1:18" hidden="1">
      <c r="A1571" s="7" t="s">
        <v>29</v>
      </c>
      <c r="B1571" s="8">
        <v>20296</v>
      </c>
      <c r="C1571" s="9">
        <v>45888.432453703703</v>
      </c>
      <c r="D1571" s="9">
        <v>45887</v>
      </c>
      <c r="E1571" s="9">
        <v>45887</v>
      </c>
      <c r="F1571" s="7" t="s">
        <v>5083</v>
      </c>
      <c r="G1571" s="7" t="s">
        <v>5084</v>
      </c>
      <c r="H1571" s="7" t="s">
        <v>5085</v>
      </c>
      <c r="I1571" s="7" t="s">
        <v>5086</v>
      </c>
      <c r="J1571" s="7" t="s">
        <v>176</v>
      </c>
      <c r="K1571" s="7" t="s">
        <v>360</v>
      </c>
      <c r="L1571" s="10">
        <v>199.46</v>
      </c>
      <c r="M1571" s="10">
        <v>199.46</v>
      </c>
      <c r="N1571" s="10">
        <f>+L1571-M1571</f>
        <v>0</v>
      </c>
      <c r="O1571" s="10">
        <v>199.46</v>
      </c>
      <c r="P1571" s="10">
        <f>+L1571-O1571</f>
        <v>0</v>
      </c>
      <c r="Q1571" s="10">
        <v>0</v>
      </c>
      <c r="R1571" s="7" t="s">
        <v>27</v>
      </c>
    </row>
    <row r="1572" spans="1:18" hidden="1">
      <c r="A1572" s="7" t="s">
        <v>29</v>
      </c>
      <c r="B1572" s="8">
        <v>20336</v>
      </c>
      <c r="C1572" s="9">
        <v>45895.729270833333</v>
      </c>
      <c r="D1572" s="9">
        <v>45895</v>
      </c>
      <c r="E1572" s="9">
        <v>45895</v>
      </c>
      <c r="F1572" s="7" t="s">
        <v>5083</v>
      </c>
      <c r="G1572" s="7" t="s">
        <v>5087</v>
      </c>
      <c r="H1572" s="7" t="s">
        <v>5085</v>
      </c>
      <c r="I1572" s="7" t="s">
        <v>5086</v>
      </c>
      <c r="J1572" s="7" t="s">
        <v>176</v>
      </c>
      <c r="K1572" s="7" t="s">
        <v>360</v>
      </c>
      <c r="L1572" s="10">
        <v>199.46</v>
      </c>
      <c r="M1572" s="10">
        <v>199.46</v>
      </c>
      <c r="N1572" s="10">
        <f>+L1572-M1572</f>
        <v>0</v>
      </c>
      <c r="O1572" s="10">
        <v>199.46</v>
      </c>
      <c r="P1572" s="10">
        <f>+L1572-O1572</f>
        <v>0</v>
      </c>
      <c r="Q1572" s="10">
        <v>0</v>
      </c>
      <c r="R1572" s="7" t="s">
        <v>27</v>
      </c>
    </row>
    <row r="1573" spans="1:18" hidden="1">
      <c r="A1573" s="7" t="s">
        <v>29</v>
      </c>
      <c r="B1573" s="8">
        <v>20114</v>
      </c>
      <c r="C1573" s="9">
        <v>45846.427314814813</v>
      </c>
      <c r="D1573" s="9">
        <v>45845</v>
      </c>
      <c r="E1573" s="9">
        <v>45845</v>
      </c>
      <c r="F1573" s="7" t="s">
        <v>5088</v>
      </c>
      <c r="G1573" s="7" t="s">
        <v>5089</v>
      </c>
      <c r="H1573" s="7" t="s">
        <v>5090</v>
      </c>
      <c r="I1573" s="7" t="s">
        <v>5091</v>
      </c>
      <c r="J1573" s="7" t="s">
        <v>176</v>
      </c>
      <c r="K1573" s="7" t="s">
        <v>494</v>
      </c>
      <c r="L1573" s="10">
        <v>199</v>
      </c>
      <c r="M1573" s="10">
        <v>199</v>
      </c>
      <c r="N1573" s="10">
        <f>+L1573-M1573</f>
        <v>0</v>
      </c>
      <c r="O1573" s="10">
        <v>199</v>
      </c>
      <c r="P1573" s="10">
        <f>+L1573-O1573</f>
        <v>0</v>
      </c>
      <c r="Q1573" s="10">
        <v>0</v>
      </c>
      <c r="R1573" s="7" t="s">
        <v>27</v>
      </c>
    </row>
    <row r="1574" spans="1:18" hidden="1">
      <c r="A1574" s="7" t="s">
        <v>29</v>
      </c>
      <c r="B1574" s="8">
        <v>20185</v>
      </c>
      <c r="C1574" s="9">
        <v>45866.408310185187</v>
      </c>
      <c r="D1574" s="9">
        <v>45862</v>
      </c>
      <c r="E1574" s="9">
        <v>45862</v>
      </c>
      <c r="F1574" s="7" t="s">
        <v>5092</v>
      </c>
      <c r="G1574" s="7" t="s">
        <v>5093</v>
      </c>
      <c r="H1574" s="7" t="s">
        <v>5094</v>
      </c>
      <c r="I1574" s="7" t="s">
        <v>5095</v>
      </c>
      <c r="J1574" s="7" t="s">
        <v>176</v>
      </c>
      <c r="K1574" s="7" t="s">
        <v>494</v>
      </c>
      <c r="L1574" s="10">
        <v>199</v>
      </c>
      <c r="M1574" s="10">
        <v>199</v>
      </c>
      <c r="N1574" s="10">
        <f>+L1574-M1574</f>
        <v>0</v>
      </c>
      <c r="O1574" s="10">
        <v>199</v>
      </c>
      <c r="P1574" s="10">
        <f>+L1574-O1574</f>
        <v>0</v>
      </c>
      <c r="Q1574" s="10">
        <v>0</v>
      </c>
      <c r="R1574" s="7" t="s">
        <v>27</v>
      </c>
    </row>
    <row r="1575" spans="1:18" hidden="1">
      <c r="A1575" s="7" t="s">
        <v>29</v>
      </c>
      <c r="B1575" s="8">
        <v>20174</v>
      </c>
      <c r="C1575" s="9">
        <v>45860.485231481478</v>
      </c>
      <c r="D1575" s="9">
        <v>45857</v>
      </c>
      <c r="E1575" s="9">
        <v>45857</v>
      </c>
      <c r="F1575" s="7" t="s">
        <v>5096</v>
      </c>
      <c r="G1575" s="7" t="s">
        <v>5097</v>
      </c>
      <c r="H1575" s="7" t="s">
        <v>5098</v>
      </c>
      <c r="I1575" s="7" t="s">
        <v>5099</v>
      </c>
      <c r="J1575" s="7" t="s">
        <v>176</v>
      </c>
      <c r="K1575" s="7" t="s">
        <v>494</v>
      </c>
      <c r="L1575" s="10">
        <v>199</v>
      </c>
      <c r="M1575" s="10">
        <v>199</v>
      </c>
      <c r="N1575" s="10">
        <f>+L1575-M1575</f>
        <v>0</v>
      </c>
      <c r="O1575" s="10">
        <v>199</v>
      </c>
      <c r="P1575" s="10">
        <f>+L1575-O1575</f>
        <v>0</v>
      </c>
      <c r="Q1575" s="10">
        <v>0</v>
      </c>
      <c r="R1575" s="7" t="s">
        <v>27</v>
      </c>
    </row>
    <row r="1576" spans="1:18" hidden="1">
      <c r="A1576" s="7" t="s">
        <v>29</v>
      </c>
      <c r="B1576" s="8">
        <v>19768</v>
      </c>
      <c r="C1576" s="9">
        <v>45782.456504629627</v>
      </c>
      <c r="D1576" s="9">
        <v>45777</v>
      </c>
      <c r="E1576" s="9">
        <v>45781</v>
      </c>
      <c r="F1576" s="7" t="s">
        <v>5100</v>
      </c>
      <c r="G1576" s="7" t="s">
        <v>5101</v>
      </c>
      <c r="H1576" s="7" t="s">
        <v>5102</v>
      </c>
      <c r="I1576" s="7" t="s">
        <v>5103</v>
      </c>
      <c r="J1576" s="7" t="s">
        <v>176</v>
      </c>
      <c r="K1576" s="7" t="s">
        <v>494</v>
      </c>
      <c r="L1576" s="10">
        <v>199</v>
      </c>
      <c r="M1576" s="10">
        <v>199</v>
      </c>
      <c r="N1576" s="10">
        <f>+L1576-M1576</f>
        <v>0</v>
      </c>
      <c r="O1576" s="10">
        <v>199</v>
      </c>
      <c r="P1576" s="10">
        <f>+L1576-O1576</f>
        <v>0</v>
      </c>
      <c r="Q1576" s="10">
        <v>0</v>
      </c>
      <c r="R1576" s="7" t="s">
        <v>27</v>
      </c>
    </row>
    <row r="1577" spans="1:18" hidden="1">
      <c r="A1577" s="7" t="s">
        <v>29</v>
      </c>
      <c r="B1577" s="8">
        <v>20069</v>
      </c>
      <c r="C1577" s="9">
        <v>45838.697685185187</v>
      </c>
      <c r="D1577" s="9">
        <v>45838</v>
      </c>
      <c r="E1577" s="9">
        <v>45838</v>
      </c>
      <c r="F1577" s="7" t="s">
        <v>5104</v>
      </c>
      <c r="G1577" s="7" t="s">
        <v>5105</v>
      </c>
      <c r="H1577" s="7" t="s">
        <v>5106</v>
      </c>
      <c r="I1577" s="7" t="s">
        <v>5107</v>
      </c>
      <c r="J1577" s="7" t="s">
        <v>176</v>
      </c>
      <c r="K1577" s="7" t="s">
        <v>494</v>
      </c>
      <c r="L1577" s="10">
        <v>199</v>
      </c>
      <c r="M1577" s="10">
        <v>199</v>
      </c>
      <c r="N1577" s="10">
        <f>+L1577-M1577</f>
        <v>0</v>
      </c>
      <c r="O1577" s="10">
        <v>199</v>
      </c>
      <c r="P1577" s="10">
        <f>+L1577-O1577</f>
        <v>0</v>
      </c>
      <c r="Q1577" s="10">
        <v>0</v>
      </c>
      <c r="R1577" s="7" t="s">
        <v>27</v>
      </c>
    </row>
    <row r="1578" spans="1:18" hidden="1">
      <c r="A1578" s="7" t="s">
        <v>29</v>
      </c>
      <c r="B1578" s="8">
        <v>19571</v>
      </c>
      <c r="C1578" s="9">
        <v>45742.621157407404</v>
      </c>
      <c r="D1578" s="9">
        <v>45741</v>
      </c>
      <c r="E1578" s="9">
        <v>45743</v>
      </c>
      <c r="F1578" s="7" t="s">
        <v>5108</v>
      </c>
      <c r="G1578" s="7" t="s">
        <v>5109</v>
      </c>
      <c r="H1578" s="7" t="s">
        <v>5110</v>
      </c>
      <c r="I1578" s="7" t="s">
        <v>5111</v>
      </c>
      <c r="J1578" s="7" t="s">
        <v>176</v>
      </c>
      <c r="K1578" s="7" t="s">
        <v>374</v>
      </c>
      <c r="L1578" s="10">
        <v>192</v>
      </c>
      <c r="M1578" s="10">
        <v>192</v>
      </c>
      <c r="N1578" s="10">
        <f>+L1578-M1578</f>
        <v>0</v>
      </c>
      <c r="O1578" s="10">
        <v>192</v>
      </c>
      <c r="P1578" s="10">
        <f>+L1578-O1578</f>
        <v>0</v>
      </c>
      <c r="Q1578" s="10">
        <v>0</v>
      </c>
      <c r="R1578" s="7" t="s">
        <v>27</v>
      </c>
    </row>
    <row r="1579" spans="1:18">
      <c r="A1579" s="7" t="s">
        <v>29</v>
      </c>
      <c r="B1579" s="8">
        <v>20238</v>
      </c>
      <c r="C1579" s="9">
        <v>45875.362465277773</v>
      </c>
      <c r="D1579" s="9">
        <v>45873</v>
      </c>
      <c r="E1579" s="9">
        <v>45873</v>
      </c>
      <c r="F1579" s="7" t="s">
        <v>5112</v>
      </c>
      <c r="G1579" s="7" t="s">
        <v>5113</v>
      </c>
      <c r="H1579" s="7" t="s">
        <v>1161</v>
      </c>
      <c r="I1579" s="7" t="s">
        <v>1162</v>
      </c>
      <c r="J1579" s="7" t="s">
        <v>25</v>
      </c>
      <c r="K1579" s="7" t="s">
        <v>55</v>
      </c>
      <c r="L1579" s="10">
        <v>236.24</v>
      </c>
      <c r="M1579" s="10">
        <v>236.24</v>
      </c>
      <c r="N1579" s="10">
        <f>+L1579-M1579</f>
        <v>0</v>
      </c>
      <c r="O1579" s="10">
        <v>236.24</v>
      </c>
      <c r="P1579" s="10">
        <f>+L1579-O1579</f>
        <v>0</v>
      </c>
      <c r="Q1579" s="10">
        <v>0</v>
      </c>
      <c r="R1579" s="7" t="s">
        <v>27</v>
      </c>
    </row>
    <row r="1580" spans="1:18" hidden="1">
      <c r="A1580" s="7" t="s">
        <v>29</v>
      </c>
      <c r="B1580" s="8">
        <v>19920</v>
      </c>
      <c r="C1580" s="9">
        <v>45812.43787037037</v>
      </c>
      <c r="D1580" s="9">
        <v>45817</v>
      </c>
      <c r="E1580" s="9">
        <v>45810</v>
      </c>
      <c r="F1580" s="7" t="s">
        <v>5114</v>
      </c>
      <c r="G1580" s="7" t="s">
        <v>5115</v>
      </c>
      <c r="H1580" s="7" t="s">
        <v>5116</v>
      </c>
      <c r="I1580" s="7" t="s">
        <v>5117</v>
      </c>
      <c r="J1580" s="7" t="s">
        <v>176</v>
      </c>
      <c r="K1580" s="7" t="s">
        <v>317</v>
      </c>
      <c r="L1580" s="10">
        <v>183.3</v>
      </c>
      <c r="M1580" s="10">
        <v>183.3</v>
      </c>
      <c r="N1580" s="10">
        <f>+L1580-M1580</f>
        <v>0</v>
      </c>
      <c r="O1580" s="10">
        <v>183.3</v>
      </c>
      <c r="P1580" s="10">
        <f>+L1580-O1580</f>
        <v>0</v>
      </c>
      <c r="Q1580" s="10">
        <v>0</v>
      </c>
      <c r="R1580" s="7" t="s">
        <v>27</v>
      </c>
    </row>
    <row r="1581" spans="1:18" hidden="1">
      <c r="A1581" s="7" t="s">
        <v>29</v>
      </c>
      <c r="B1581" s="8">
        <v>19357</v>
      </c>
      <c r="C1581" s="9">
        <v>45685.345659722218</v>
      </c>
      <c r="D1581" s="9">
        <v>45685</v>
      </c>
      <c r="E1581" s="9">
        <v>45716</v>
      </c>
      <c r="F1581" s="7" t="s">
        <v>5118</v>
      </c>
      <c r="G1581" s="7" t="s">
        <v>3711</v>
      </c>
      <c r="H1581" s="7" t="s">
        <v>5119</v>
      </c>
      <c r="I1581" s="7" t="s">
        <v>5120</v>
      </c>
      <c r="J1581" s="7" t="s">
        <v>34</v>
      </c>
      <c r="K1581" s="7" t="s">
        <v>118</v>
      </c>
      <c r="L1581" s="10">
        <v>182.5</v>
      </c>
      <c r="M1581" s="10">
        <v>182.5</v>
      </c>
      <c r="N1581" s="10">
        <f>+L1581-M1581</f>
        <v>0</v>
      </c>
      <c r="O1581" s="10">
        <v>182.5</v>
      </c>
      <c r="P1581" s="10">
        <f>+L1581-O1581</f>
        <v>0</v>
      </c>
      <c r="Q1581" s="10">
        <v>0</v>
      </c>
      <c r="R1581" s="7" t="s">
        <v>27</v>
      </c>
    </row>
    <row r="1582" spans="1:18" hidden="1">
      <c r="A1582" s="7" t="s">
        <v>29</v>
      </c>
      <c r="B1582" s="8">
        <v>19351</v>
      </c>
      <c r="C1582" s="9">
        <v>45681.47111111111</v>
      </c>
      <c r="D1582" s="9">
        <v>45681</v>
      </c>
      <c r="E1582" s="9">
        <v>45681</v>
      </c>
      <c r="F1582" s="7" t="s">
        <v>5121</v>
      </c>
      <c r="G1582" s="7" t="s">
        <v>3470</v>
      </c>
      <c r="H1582" s="7" t="s">
        <v>5122</v>
      </c>
      <c r="I1582" s="7" t="s">
        <v>5121</v>
      </c>
      <c r="J1582" s="7" t="s">
        <v>40</v>
      </c>
      <c r="K1582" s="7" t="s">
        <v>1784</v>
      </c>
      <c r="L1582" s="10">
        <v>160.46</v>
      </c>
      <c r="M1582" s="10">
        <v>160.46</v>
      </c>
      <c r="N1582" s="10">
        <f>+L1582-M1582</f>
        <v>0</v>
      </c>
      <c r="O1582" s="10">
        <v>160.46</v>
      </c>
      <c r="P1582" s="10">
        <f>+L1582-O1582</f>
        <v>0</v>
      </c>
      <c r="Q1582" s="10">
        <v>0</v>
      </c>
      <c r="R1582" s="7" t="s">
        <v>27</v>
      </c>
    </row>
    <row r="1583" spans="1:18" hidden="1">
      <c r="A1583" s="7" t="s">
        <v>29</v>
      </c>
      <c r="B1583" s="8">
        <v>4248</v>
      </c>
      <c r="C1583" s="9">
        <v>45881.370739930557</v>
      </c>
      <c r="D1583" s="9">
        <v>45868</v>
      </c>
      <c r="E1583" s="9">
        <v>45868</v>
      </c>
      <c r="F1583" s="7" t="s">
        <v>5123</v>
      </c>
      <c r="G1583" s="7" t="s">
        <v>2533</v>
      </c>
      <c r="H1583" s="7" t="s">
        <v>204</v>
      </c>
      <c r="I1583" s="7" t="s">
        <v>205</v>
      </c>
      <c r="J1583" s="7" t="s">
        <v>25</v>
      </c>
      <c r="K1583" s="7" t="s">
        <v>206</v>
      </c>
      <c r="L1583" s="10">
        <v>233.29</v>
      </c>
      <c r="M1583" s="10">
        <v>233.29</v>
      </c>
      <c r="N1583" s="15">
        <f>+L1583-M1583</f>
        <v>0</v>
      </c>
      <c r="O1583" s="15">
        <v>233.29</v>
      </c>
      <c r="P1583" s="15">
        <f>+L1583-O1583</f>
        <v>0</v>
      </c>
      <c r="Q1583" s="10">
        <v>0</v>
      </c>
      <c r="R1583" s="7" t="s">
        <v>87</v>
      </c>
    </row>
    <row r="1584" spans="1:18">
      <c r="A1584" s="7" t="s">
        <v>29</v>
      </c>
      <c r="B1584" s="8">
        <v>20568</v>
      </c>
      <c r="C1584" s="9">
        <v>45943.344208796298</v>
      </c>
      <c r="D1584" s="9">
        <v>45929</v>
      </c>
      <c r="E1584" s="9">
        <v>45985</v>
      </c>
      <c r="F1584" s="7" t="s">
        <v>5124</v>
      </c>
      <c r="G1584" s="7" t="s">
        <v>5125</v>
      </c>
      <c r="H1584" s="7" t="s">
        <v>1393</v>
      </c>
      <c r="I1584" s="7" t="s">
        <v>915</v>
      </c>
      <c r="J1584" s="7" t="s">
        <v>25</v>
      </c>
      <c r="K1584" s="7" t="s">
        <v>55</v>
      </c>
      <c r="L1584" s="10">
        <v>231.61</v>
      </c>
      <c r="M1584" s="10">
        <v>231.61</v>
      </c>
      <c r="N1584" s="10">
        <f>+L1584-M1584</f>
        <v>0</v>
      </c>
      <c r="O1584" s="10">
        <v>231.61</v>
      </c>
      <c r="P1584" s="10">
        <f>+L1584-O1584</f>
        <v>0</v>
      </c>
      <c r="Q1584" s="10">
        <v>0</v>
      </c>
      <c r="R1584" s="7" t="s">
        <v>27</v>
      </c>
    </row>
    <row r="1585" spans="1:18" hidden="1">
      <c r="A1585" s="7" t="s">
        <v>29</v>
      </c>
      <c r="B1585" s="8">
        <v>20152</v>
      </c>
      <c r="C1585" s="9">
        <v>45854.393391203703</v>
      </c>
      <c r="D1585" s="9">
        <v>45849</v>
      </c>
      <c r="E1585" s="9">
        <v>45849</v>
      </c>
      <c r="F1585" s="7" t="s">
        <v>5126</v>
      </c>
      <c r="G1585" s="7" t="s">
        <v>5127</v>
      </c>
      <c r="H1585" s="7" t="s">
        <v>5128</v>
      </c>
      <c r="I1585" s="7" t="s">
        <v>5126</v>
      </c>
      <c r="J1585" s="7" t="s">
        <v>40</v>
      </c>
      <c r="K1585" s="7" t="s">
        <v>1784</v>
      </c>
      <c r="L1585" s="10">
        <v>158.16</v>
      </c>
      <c r="M1585" s="10">
        <v>158.16</v>
      </c>
      <c r="N1585" s="10">
        <f>+L1585-M1585</f>
        <v>0</v>
      </c>
      <c r="O1585" s="10">
        <v>158.16</v>
      </c>
      <c r="P1585" s="10">
        <f>+L1585-O1585</f>
        <v>0</v>
      </c>
      <c r="Q1585" s="10">
        <v>0</v>
      </c>
      <c r="R1585" s="7" t="s">
        <v>27</v>
      </c>
    </row>
    <row r="1586" spans="1:18" hidden="1">
      <c r="A1586" s="7" t="s">
        <v>29</v>
      </c>
      <c r="B1586" s="8">
        <v>4272</v>
      </c>
      <c r="C1586" s="9">
        <v>45937.453125</v>
      </c>
      <c r="D1586" s="9">
        <v>45929</v>
      </c>
      <c r="E1586" s="9">
        <v>45929</v>
      </c>
      <c r="F1586" s="7" t="s">
        <v>5129</v>
      </c>
      <c r="G1586" s="7" t="s">
        <v>3985</v>
      </c>
      <c r="H1586" s="7" t="s">
        <v>5130</v>
      </c>
      <c r="I1586" s="7" t="s">
        <v>5131</v>
      </c>
      <c r="J1586" s="7" t="s">
        <v>25</v>
      </c>
      <c r="K1586" s="7" t="s">
        <v>86</v>
      </c>
      <c r="L1586" s="10">
        <v>227.13</v>
      </c>
      <c r="M1586" s="10">
        <v>227.13</v>
      </c>
      <c r="N1586" s="15">
        <f>+L1586-M1586</f>
        <v>0</v>
      </c>
      <c r="O1586" s="15">
        <v>227.13</v>
      </c>
      <c r="P1586" s="15">
        <f>+L1586-O1586</f>
        <v>0</v>
      </c>
      <c r="Q1586" s="10">
        <v>0</v>
      </c>
      <c r="R1586" s="7" t="s">
        <v>87</v>
      </c>
    </row>
    <row r="1587" spans="1:18" hidden="1">
      <c r="A1587" s="7" t="s">
        <v>29</v>
      </c>
      <c r="B1587" s="8">
        <v>20335</v>
      </c>
      <c r="C1587" s="9">
        <v>45895.710046296292</v>
      </c>
      <c r="D1587" s="9">
        <v>45895</v>
      </c>
      <c r="E1587" s="9">
        <v>45895</v>
      </c>
      <c r="F1587" s="7" t="s">
        <v>5132</v>
      </c>
      <c r="G1587" s="7" t="s">
        <v>5133</v>
      </c>
      <c r="H1587" s="7" t="s">
        <v>5134</v>
      </c>
      <c r="I1587" s="7" t="s">
        <v>5135</v>
      </c>
      <c r="J1587" s="7" t="s">
        <v>176</v>
      </c>
      <c r="K1587" s="7" t="s">
        <v>360</v>
      </c>
      <c r="L1587" s="10">
        <v>171.62</v>
      </c>
      <c r="M1587" s="10">
        <v>171.62</v>
      </c>
      <c r="N1587" s="10">
        <f>+L1587-M1587</f>
        <v>0</v>
      </c>
      <c r="O1587" s="10">
        <v>171.62</v>
      </c>
      <c r="P1587" s="10">
        <f>+L1587-O1587</f>
        <v>0</v>
      </c>
      <c r="Q1587" s="10">
        <v>0</v>
      </c>
      <c r="R1587" s="7" t="s">
        <v>27</v>
      </c>
    </row>
    <row r="1588" spans="1:18" hidden="1">
      <c r="A1588" s="7" t="s">
        <v>29</v>
      </c>
      <c r="B1588" s="8">
        <v>20883</v>
      </c>
      <c r="C1588" s="9">
        <v>46042.541099537033</v>
      </c>
      <c r="D1588" s="9">
        <v>46041</v>
      </c>
      <c r="E1588" s="9">
        <v>46041</v>
      </c>
      <c r="F1588" s="7" t="s">
        <v>5136</v>
      </c>
      <c r="G1588" s="7" t="s">
        <v>5137</v>
      </c>
      <c r="H1588" s="7" t="s">
        <v>5138</v>
      </c>
      <c r="I1588" s="7" t="s">
        <v>794</v>
      </c>
      <c r="J1588" s="7" t="s">
        <v>176</v>
      </c>
      <c r="K1588" s="7" t="s">
        <v>360</v>
      </c>
      <c r="L1588" s="10">
        <v>171.5</v>
      </c>
      <c r="M1588" s="10">
        <v>171.5</v>
      </c>
      <c r="N1588" s="10">
        <f>+L1588-M1588</f>
        <v>0</v>
      </c>
      <c r="O1588" s="10">
        <v>171.5</v>
      </c>
      <c r="P1588" s="10">
        <f>+L1588-O1588</f>
        <v>0</v>
      </c>
      <c r="Q1588" s="10">
        <v>0</v>
      </c>
      <c r="R1588" s="7" t="s">
        <v>27</v>
      </c>
    </row>
    <row r="1589" spans="1:18" hidden="1">
      <c r="A1589" s="7" t="s">
        <v>29</v>
      </c>
      <c r="B1589" s="8">
        <v>20159</v>
      </c>
      <c r="C1589" s="9">
        <v>45856.413831018515</v>
      </c>
      <c r="D1589" s="9">
        <v>45855</v>
      </c>
      <c r="E1589" s="9">
        <v>45855</v>
      </c>
      <c r="F1589" s="7" t="s">
        <v>5139</v>
      </c>
      <c r="G1589" s="7" t="s">
        <v>5140</v>
      </c>
      <c r="H1589" s="7" t="s">
        <v>5141</v>
      </c>
      <c r="I1589" s="7" t="s">
        <v>5142</v>
      </c>
      <c r="J1589" s="7" t="s">
        <v>176</v>
      </c>
      <c r="K1589" s="7" t="s">
        <v>494</v>
      </c>
      <c r="L1589" s="10">
        <v>171.5</v>
      </c>
      <c r="M1589" s="10">
        <v>171.5</v>
      </c>
      <c r="N1589" s="10">
        <f>+L1589-M1589</f>
        <v>0</v>
      </c>
      <c r="O1589" s="10">
        <v>171.5</v>
      </c>
      <c r="P1589" s="10">
        <f>+L1589-O1589</f>
        <v>0</v>
      </c>
      <c r="Q1589" s="10">
        <v>0</v>
      </c>
      <c r="R1589" s="7" t="s">
        <v>27</v>
      </c>
    </row>
    <row r="1590" spans="1:18" hidden="1">
      <c r="A1590" s="7" t="s">
        <v>29</v>
      </c>
      <c r="B1590" s="8">
        <v>19417</v>
      </c>
      <c r="C1590" s="9">
        <v>45705.420914351853</v>
      </c>
      <c r="D1590" s="9">
        <v>45702</v>
      </c>
      <c r="E1590" s="9">
        <v>45702</v>
      </c>
      <c r="F1590" s="7" t="s">
        <v>5143</v>
      </c>
      <c r="G1590" s="7" t="s">
        <v>4162</v>
      </c>
      <c r="H1590" s="7" t="s">
        <v>5144</v>
      </c>
      <c r="I1590" s="7" t="s">
        <v>5143</v>
      </c>
      <c r="J1590" s="7" t="s">
        <v>40</v>
      </c>
      <c r="K1590" s="7" t="s">
        <v>1784</v>
      </c>
      <c r="L1590" s="10">
        <v>153.33000000000001</v>
      </c>
      <c r="M1590" s="10">
        <v>153.33000000000001</v>
      </c>
      <c r="N1590" s="10">
        <f>+L1590-M1590</f>
        <v>0</v>
      </c>
      <c r="O1590" s="10">
        <v>153.33000000000001</v>
      </c>
      <c r="P1590" s="10">
        <f>+L1590-O1590</f>
        <v>0</v>
      </c>
      <c r="Q1590" s="10">
        <v>0</v>
      </c>
      <c r="R1590" s="7" t="s">
        <v>27</v>
      </c>
    </row>
    <row r="1591" spans="1:18" hidden="1">
      <c r="A1591" s="7" t="s">
        <v>29</v>
      </c>
      <c r="B1591" s="8">
        <v>20136</v>
      </c>
      <c r="C1591" s="9">
        <v>45849.513333333329</v>
      </c>
      <c r="D1591" s="9">
        <v>45849</v>
      </c>
      <c r="E1591" s="9">
        <v>45849</v>
      </c>
      <c r="F1591" s="7" t="s">
        <v>5145</v>
      </c>
      <c r="G1591" s="7" t="s">
        <v>5146</v>
      </c>
      <c r="H1591" s="7" t="s">
        <v>5147</v>
      </c>
      <c r="I1591" s="7" t="s">
        <v>5145</v>
      </c>
      <c r="J1591" s="7" t="s">
        <v>40</v>
      </c>
      <c r="K1591" s="7" t="s">
        <v>1784</v>
      </c>
      <c r="L1591" s="10">
        <v>146.69</v>
      </c>
      <c r="M1591" s="10">
        <v>146.69</v>
      </c>
      <c r="N1591" s="10">
        <f>+L1591-M1591</f>
        <v>0</v>
      </c>
      <c r="O1591" s="10">
        <v>146.69</v>
      </c>
      <c r="P1591" s="10">
        <f>+L1591-O1591</f>
        <v>0</v>
      </c>
      <c r="Q1591" s="10">
        <v>0</v>
      </c>
      <c r="R1591" s="7" t="s">
        <v>27</v>
      </c>
    </row>
    <row r="1592" spans="1:18" hidden="1">
      <c r="A1592" s="7" t="s">
        <v>29</v>
      </c>
      <c r="B1592" s="8">
        <v>20135</v>
      </c>
      <c r="C1592" s="9">
        <v>45849.492997685185</v>
      </c>
      <c r="D1592" s="9">
        <v>45849</v>
      </c>
      <c r="E1592" s="9">
        <v>45849</v>
      </c>
      <c r="F1592" s="7" t="s">
        <v>5148</v>
      </c>
      <c r="G1592" s="7" t="s">
        <v>5149</v>
      </c>
      <c r="H1592" s="7" t="s">
        <v>5150</v>
      </c>
      <c r="I1592" s="7" t="s">
        <v>5148</v>
      </c>
      <c r="J1592" s="7" t="s">
        <v>40</v>
      </c>
      <c r="K1592" s="7" t="s">
        <v>1784</v>
      </c>
      <c r="L1592" s="10">
        <v>145.69999999999999</v>
      </c>
      <c r="M1592" s="10">
        <v>145.69999999999999</v>
      </c>
      <c r="N1592" s="10">
        <f>+L1592-M1592</f>
        <v>0</v>
      </c>
      <c r="O1592" s="10">
        <v>145.69999999999999</v>
      </c>
      <c r="P1592" s="10">
        <f>+L1592-O1592</f>
        <v>0</v>
      </c>
      <c r="Q1592" s="10">
        <v>0</v>
      </c>
      <c r="R1592" s="7" t="s">
        <v>27</v>
      </c>
    </row>
    <row r="1593" spans="1:18" hidden="1">
      <c r="A1593" s="7" t="s">
        <v>29</v>
      </c>
      <c r="B1593" s="8">
        <v>19702</v>
      </c>
      <c r="C1593" s="9">
        <v>45770.446782407409</v>
      </c>
      <c r="D1593" s="9">
        <v>45769</v>
      </c>
      <c r="E1593" s="9">
        <v>45769</v>
      </c>
      <c r="F1593" s="7" t="s">
        <v>5151</v>
      </c>
      <c r="G1593" s="7" t="s">
        <v>5152</v>
      </c>
      <c r="H1593" s="7" t="s">
        <v>5153</v>
      </c>
      <c r="I1593" s="7" t="s">
        <v>5154</v>
      </c>
      <c r="J1593" s="7" t="s">
        <v>176</v>
      </c>
      <c r="K1593" s="7" t="s">
        <v>494</v>
      </c>
      <c r="L1593" s="10">
        <v>163.80000000000001</v>
      </c>
      <c r="M1593" s="10">
        <v>163.80000000000001</v>
      </c>
      <c r="N1593" s="10">
        <f>+L1593-M1593</f>
        <v>0</v>
      </c>
      <c r="O1593" s="10">
        <v>163.80000000000001</v>
      </c>
      <c r="P1593" s="10">
        <f>+L1593-O1593</f>
        <v>0</v>
      </c>
      <c r="Q1593" s="10">
        <v>0</v>
      </c>
      <c r="R1593" s="7" t="s">
        <v>27</v>
      </c>
    </row>
    <row r="1594" spans="1:18" hidden="1">
      <c r="A1594" s="7" t="s">
        <v>29</v>
      </c>
      <c r="B1594" s="8">
        <v>19720</v>
      </c>
      <c r="C1594" s="9">
        <v>45772.370949074073</v>
      </c>
      <c r="D1594" s="9">
        <v>45705</v>
      </c>
      <c r="E1594" s="9">
        <v>45705</v>
      </c>
      <c r="F1594" s="7" t="s">
        <v>5155</v>
      </c>
      <c r="G1594" s="7" t="s">
        <v>5156</v>
      </c>
      <c r="H1594" s="7" t="s">
        <v>5157</v>
      </c>
      <c r="I1594" s="7" t="s">
        <v>5158</v>
      </c>
      <c r="J1594" s="7" t="s">
        <v>176</v>
      </c>
      <c r="K1594" s="7" t="s">
        <v>494</v>
      </c>
      <c r="L1594" s="10">
        <v>163.80000000000001</v>
      </c>
      <c r="M1594" s="10">
        <v>163.80000000000001</v>
      </c>
      <c r="N1594" s="10">
        <f>+L1594-M1594</f>
        <v>0</v>
      </c>
      <c r="O1594" s="10">
        <v>163.80000000000001</v>
      </c>
      <c r="P1594" s="10">
        <f>+L1594-O1594</f>
        <v>0</v>
      </c>
      <c r="Q1594" s="10">
        <v>0</v>
      </c>
      <c r="R1594" s="7" t="s">
        <v>27</v>
      </c>
    </row>
    <row r="1595" spans="1:18">
      <c r="A1595" s="7" t="s">
        <v>29</v>
      </c>
      <c r="B1595" s="8">
        <v>20507</v>
      </c>
      <c r="C1595" s="9">
        <v>45924.43949074074</v>
      </c>
      <c r="D1595" s="9">
        <v>45926</v>
      </c>
      <c r="E1595" s="9">
        <v>45919</v>
      </c>
      <c r="F1595" s="7" t="s">
        <v>5159</v>
      </c>
      <c r="G1595" s="7" t="s">
        <v>5160</v>
      </c>
      <c r="H1595" s="7" t="s">
        <v>5161</v>
      </c>
      <c r="I1595" s="7" t="s">
        <v>906</v>
      </c>
      <c r="J1595" s="7" t="s">
        <v>25</v>
      </c>
      <c r="K1595" s="7" t="s">
        <v>407</v>
      </c>
      <c r="L1595" s="10">
        <v>207.75</v>
      </c>
      <c r="M1595" s="10">
        <v>207.75</v>
      </c>
      <c r="N1595" s="10">
        <f>+L1595-M1595</f>
        <v>0</v>
      </c>
      <c r="O1595" s="10">
        <v>207.75</v>
      </c>
      <c r="P1595" s="10">
        <f>+L1595-O1595</f>
        <v>0</v>
      </c>
      <c r="Q1595" s="10">
        <v>0</v>
      </c>
      <c r="R1595" s="7" t="s">
        <v>27</v>
      </c>
    </row>
    <row r="1596" spans="1:18" hidden="1">
      <c r="A1596" s="7" t="s">
        <v>29</v>
      </c>
      <c r="B1596" s="8">
        <v>4203</v>
      </c>
      <c r="C1596" s="9">
        <v>45793.380011574074</v>
      </c>
      <c r="D1596" s="9">
        <v>45785</v>
      </c>
      <c r="E1596" s="9">
        <v>45818</v>
      </c>
      <c r="F1596" s="7" t="s">
        <v>5162</v>
      </c>
      <c r="G1596" s="7" t="s">
        <v>5163</v>
      </c>
      <c r="H1596" s="7" t="s">
        <v>1714</v>
      </c>
      <c r="I1596" s="7" t="s">
        <v>910</v>
      </c>
      <c r="J1596" s="7" t="s">
        <v>25</v>
      </c>
      <c r="K1596" s="7" t="s">
        <v>206</v>
      </c>
      <c r="L1596" s="10">
        <v>205.72</v>
      </c>
      <c r="M1596" s="10">
        <v>205.72</v>
      </c>
      <c r="N1596" s="15">
        <f>+L1596-M1596</f>
        <v>0</v>
      </c>
      <c r="O1596" s="15">
        <v>205.72</v>
      </c>
      <c r="P1596" s="15">
        <f>+L1596-O1596</f>
        <v>0</v>
      </c>
      <c r="Q1596" s="10">
        <v>0</v>
      </c>
      <c r="R1596" s="7" t="s">
        <v>87</v>
      </c>
    </row>
    <row r="1597" spans="1:18" hidden="1">
      <c r="A1597" s="7" t="s">
        <v>29</v>
      </c>
      <c r="B1597" s="8">
        <v>19844</v>
      </c>
      <c r="C1597" s="9">
        <v>45798.429837962962</v>
      </c>
      <c r="D1597" s="9">
        <v>45798</v>
      </c>
      <c r="E1597" s="9">
        <v>45798</v>
      </c>
      <c r="F1597" s="7" t="s">
        <v>5164</v>
      </c>
      <c r="G1597" s="7" t="s">
        <v>98</v>
      </c>
      <c r="H1597" s="7" t="s">
        <v>2494</v>
      </c>
      <c r="I1597" s="7" t="s">
        <v>2495</v>
      </c>
      <c r="J1597" s="7" t="s">
        <v>176</v>
      </c>
      <c r="K1597" s="7" t="s">
        <v>494</v>
      </c>
      <c r="L1597" s="10">
        <v>163</v>
      </c>
      <c r="M1597" s="10">
        <v>163</v>
      </c>
      <c r="N1597" s="10">
        <f>+L1597-M1597</f>
        <v>0</v>
      </c>
      <c r="O1597" s="10">
        <v>163</v>
      </c>
      <c r="P1597" s="10">
        <f>+L1597-O1597</f>
        <v>0</v>
      </c>
      <c r="Q1597" s="10">
        <v>0</v>
      </c>
      <c r="R1597" s="7" t="s">
        <v>27</v>
      </c>
    </row>
    <row r="1598" spans="1:18">
      <c r="A1598" s="7" t="s">
        <v>29</v>
      </c>
      <c r="B1598" s="8">
        <v>20582</v>
      </c>
      <c r="C1598" s="9">
        <v>45944.362997685181</v>
      </c>
      <c r="D1598" s="9">
        <v>45947</v>
      </c>
      <c r="E1598" s="9">
        <v>45943</v>
      </c>
      <c r="F1598" s="7" t="s">
        <v>5165</v>
      </c>
      <c r="G1598" s="7" t="s">
        <v>5166</v>
      </c>
      <c r="H1598" s="7" t="s">
        <v>4780</v>
      </c>
      <c r="I1598" s="7" t="s">
        <v>4781</v>
      </c>
      <c r="J1598" s="7" t="s">
        <v>25</v>
      </c>
      <c r="K1598" s="7" t="s">
        <v>407</v>
      </c>
      <c r="L1598" s="10">
        <v>200.01</v>
      </c>
      <c r="M1598" s="10">
        <v>200.01</v>
      </c>
      <c r="N1598" s="10">
        <f>+L1598-M1598</f>
        <v>0</v>
      </c>
      <c r="O1598" s="10">
        <v>200.01</v>
      </c>
      <c r="P1598" s="10">
        <f>+L1598-O1598</f>
        <v>0</v>
      </c>
      <c r="Q1598" s="10">
        <v>0</v>
      </c>
      <c r="R1598" s="7" t="s">
        <v>27</v>
      </c>
    </row>
    <row r="1599" spans="1:18">
      <c r="A1599" s="7" t="s">
        <v>29</v>
      </c>
      <c r="B1599" s="8">
        <v>20408</v>
      </c>
      <c r="C1599" s="9">
        <v>45908.407731481479</v>
      </c>
      <c r="D1599" s="9">
        <v>45908</v>
      </c>
      <c r="E1599" s="9">
        <v>45903</v>
      </c>
      <c r="F1599" s="7" t="s">
        <v>5167</v>
      </c>
      <c r="G1599" s="7" t="s">
        <v>5168</v>
      </c>
      <c r="H1599" s="7" t="s">
        <v>4780</v>
      </c>
      <c r="I1599" s="7" t="s">
        <v>4781</v>
      </c>
      <c r="J1599" s="7" t="s">
        <v>25</v>
      </c>
      <c r="K1599" s="7" t="s">
        <v>407</v>
      </c>
      <c r="L1599" s="10">
        <v>187.89</v>
      </c>
      <c r="M1599" s="10">
        <v>187.89</v>
      </c>
      <c r="N1599" s="10">
        <f>+L1599-M1599</f>
        <v>0</v>
      </c>
      <c r="O1599" s="10">
        <v>187.89</v>
      </c>
      <c r="P1599" s="10">
        <f>+L1599-O1599</f>
        <v>0</v>
      </c>
      <c r="Q1599" s="10">
        <v>0</v>
      </c>
      <c r="R1599" s="7" t="s">
        <v>27</v>
      </c>
    </row>
    <row r="1600" spans="1:18">
      <c r="A1600" s="7" t="s">
        <v>29</v>
      </c>
      <c r="B1600" s="8">
        <v>19299</v>
      </c>
      <c r="C1600" s="9">
        <v>45659.442685185182</v>
      </c>
      <c r="D1600" s="9">
        <v>45656</v>
      </c>
      <c r="E1600" s="9">
        <v>45656</v>
      </c>
      <c r="F1600" s="7" t="s">
        <v>5169</v>
      </c>
      <c r="G1600" s="7" t="s">
        <v>3245</v>
      </c>
      <c r="H1600" s="7" t="s">
        <v>2508</v>
      </c>
      <c r="I1600" s="7" t="s">
        <v>2509</v>
      </c>
      <c r="J1600" s="7" t="s">
        <v>25</v>
      </c>
      <c r="K1600" s="7" t="s">
        <v>26</v>
      </c>
      <c r="L1600" s="10">
        <v>176.28</v>
      </c>
      <c r="M1600" s="10">
        <v>176.28</v>
      </c>
      <c r="N1600" s="10">
        <f>+L1600-M1600</f>
        <v>0</v>
      </c>
      <c r="O1600" s="10">
        <v>176.28</v>
      </c>
      <c r="P1600" s="10">
        <f>+L1600-O1600</f>
        <v>0</v>
      </c>
      <c r="Q1600" s="10">
        <v>0</v>
      </c>
      <c r="R1600" s="7" t="s">
        <v>27</v>
      </c>
    </row>
    <row r="1601" spans="1:18">
      <c r="A1601" s="7" t="s">
        <v>29</v>
      </c>
      <c r="B1601" s="8">
        <v>19592</v>
      </c>
      <c r="C1601" s="9">
        <v>45747.400497685187</v>
      </c>
      <c r="D1601" s="9">
        <v>45744</v>
      </c>
      <c r="E1601" s="9">
        <v>45744</v>
      </c>
      <c r="F1601" s="7" t="s">
        <v>5170</v>
      </c>
      <c r="G1601" s="7" t="s">
        <v>5171</v>
      </c>
      <c r="H1601" s="7" t="s">
        <v>5172</v>
      </c>
      <c r="I1601" s="7" t="s">
        <v>5173</v>
      </c>
      <c r="J1601" s="7" t="s">
        <v>25</v>
      </c>
      <c r="K1601" s="7" t="s">
        <v>1307</v>
      </c>
      <c r="L1601" s="10">
        <v>172.77</v>
      </c>
      <c r="M1601" s="10">
        <v>172.77</v>
      </c>
      <c r="N1601" s="10">
        <f>+L1601-M1601</f>
        <v>0</v>
      </c>
      <c r="O1601" s="10">
        <v>172.77</v>
      </c>
      <c r="P1601" s="10">
        <f>+L1601-O1601</f>
        <v>0</v>
      </c>
      <c r="Q1601" s="10">
        <v>0</v>
      </c>
      <c r="R1601" s="7" t="s">
        <v>27</v>
      </c>
    </row>
    <row r="1602" spans="1:18">
      <c r="A1602" s="7" t="s">
        <v>29</v>
      </c>
      <c r="B1602" s="8">
        <v>19468</v>
      </c>
      <c r="C1602" s="9">
        <v>45715.461446759255</v>
      </c>
      <c r="D1602" s="9">
        <v>45716</v>
      </c>
      <c r="E1602" s="9">
        <v>45716</v>
      </c>
      <c r="F1602" s="7" t="s">
        <v>5174</v>
      </c>
      <c r="G1602" s="7" t="s">
        <v>5175</v>
      </c>
      <c r="H1602" s="7" t="s">
        <v>2284</v>
      </c>
      <c r="I1602" s="7" t="s">
        <v>1763</v>
      </c>
      <c r="J1602" s="7" t="s">
        <v>25</v>
      </c>
      <c r="K1602" s="7" t="s">
        <v>525</v>
      </c>
      <c r="L1602" s="10">
        <v>150</v>
      </c>
      <c r="M1602" s="10">
        <v>150</v>
      </c>
      <c r="N1602" s="10">
        <f>+L1602-M1602</f>
        <v>0</v>
      </c>
      <c r="O1602" s="10">
        <v>150</v>
      </c>
      <c r="P1602" s="10">
        <f>+L1602-O1602</f>
        <v>0</v>
      </c>
      <c r="Q1602" s="10">
        <v>0</v>
      </c>
      <c r="R1602" s="7" t="s">
        <v>27</v>
      </c>
    </row>
    <row r="1603" spans="1:18" hidden="1">
      <c r="A1603" s="7" t="s">
        <v>29</v>
      </c>
      <c r="B1603" s="8">
        <v>4209</v>
      </c>
      <c r="C1603" s="9">
        <v>45800.41333333333</v>
      </c>
      <c r="D1603" s="9">
        <v>45800</v>
      </c>
      <c r="E1603" s="9">
        <v>45800</v>
      </c>
      <c r="F1603" s="7" t="s">
        <v>5176</v>
      </c>
      <c r="G1603" s="7" t="s">
        <v>5177</v>
      </c>
      <c r="H1603" s="7" t="s">
        <v>5178</v>
      </c>
      <c r="I1603" s="7" t="s">
        <v>5179</v>
      </c>
      <c r="J1603" s="7" t="s">
        <v>25</v>
      </c>
      <c r="K1603" s="7" t="s">
        <v>916</v>
      </c>
      <c r="L1603" s="10">
        <v>146.9</v>
      </c>
      <c r="M1603" s="10">
        <v>146.9</v>
      </c>
      <c r="N1603" s="15">
        <f>+L1603-M1603</f>
        <v>0</v>
      </c>
      <c r="O1603" s="15">
        <v>146.9</v>
      </c>
      <c r="P1603" s="15">
        <f>+L1603-O1603</f>
        <v>0</v>
      </c>
      <c r="Q1603" s="10">
        <v>0</v>
      </c>
      <c r="R1603" s="7" t="s">
        <v>87</v>
      </c>
    </row>
    <row r="1604" spans="1:18" hidden="1">
      <c r="A1604" s="7" t="s">
        <v>29</v>
      </c>
      <c r="B1604" s="8">
        <v>20165</v>
      </c>
      <c r="C1604" s="9">
        <v>45859.493333333332</v>
      </c>
      <c r="D1604" s="9">
        <v>45856</v>
      </c>
      <c r="E1604" s="9">
        <v>45856</v>
      </c>
      <c r="F1604" s="7" t="s">
        <v>5180</v>
      </c>
      <c r="G1604" s="7" t="s">
        <v>5181</v>
      </c>
      <c r="H1604" s="7" t="s">
        <v>5182</v>
      </c>
      <c r="I1604" s="7" t="s">
        <v>5183</v>
      </c>
      <c r="J1604" s="7" t="s">
        <v>40</v>
      </c>
      <c r="K1604" s="7" t="s">
        <v>355</v>
      </c>
      <c r="L1604" s="10">
        <v>136.22</v>
      </c>
      <c r="M1604" s="10">
        <v>136.22</v>
      </c>
      <c r="N1604" s="10">
        <f>+L1604-M1604</f>
        <v>0</v>
      </c>
      <c r="O1604" s="10">
        <v>136.22</v>
      </c>
      <c r="P1604" s="10">
        <f>+L1604-O1604</f>
        <v>0</v>
      </c>
      <c r="Q1604" s="10">
        <v>0</v>
      </c>
      <c r="R1604" s="7" t="s">
        <v>27</v>
      </c>
    </row>
    <row r="1605" spans="1:18" hidden="1">
      <c r="A1605" s="7" t="s">
        <v>29</v>
      </c>
      <c r="B1605" s="8">
        <v>20913</v>
      </c>
      <c r="C1605" s="9">
        <v>46049.632685185185</v>
      </c>
      <c r="D1605" s="9">
        <v>46049</v>
      </c>
      <c r="E1605" s="9">
        <v>46049</v>
      </c>
      <c r="F1605" s="7" t="s">
        <v>5184</v>
      </c>
      <c r="G1605" s="7" t="s">
        <v>5185</v>
      </c>
      <c r="H1605" s="7" t="s">
        <v>5186</v>
      </c>
      <c r="I1605" s="7" t="s">
        <v>5187</v>
      </c>
      <c r="J1605" s="7" t="s">
        <v>176</v>
      </c>
      <c r="K1605" s="7" t="s">
        <v>360</v>
      </c>
      <c r="L1605" s="10">
        <v>160.18</v>
      </c>
      <c r="M1605" s="10">
        <v>160.18</v>
      </c>
      <c r="N1605" s="10">
        <f>+L1605-M1605</f>
        <v>0</v>
      </c>
      <c r="O1605" s="10">
        <v>160.18</v>
      </c>
      <c r="P1605" s="10">
        <f>+L1605-O1605</f>
        <v>0</v>
      </c>
      <c r="Q1605" s="10">
        <v>0</v>
      </c>
      <c r="R1605" s="7" t="s">
        <v>27</v>
      </c>
    </row>
    <row r="1606" spans="1:18" hidden="1">
      <c r="A1606" s="7" t="s">
        <v>29</v>
      </c>
      <c r="B1606" s="8">
        <v>20944</v>
      </c>
      <c r="C1606" s="9">
        <v>46058.653495370367</v>
      </c>
      <c r="D1606" s="9">
        <v>46056</v>
      </c>
      <c r="E1606" s="9">
        <v>46057</v>
      </c>
      <c r="F1606" s="7" t="s">
        <v>5188</v>
      </c>
      <c r="G1606" s="7" t="s">
        <v>5189</v>
      </c>
      <c r="H1606" s="7" t="s">
        <v>5190</v>
      </c>
      <c r="I1606" s="7" t="s">
        <v>5191</v>
      </c>
      <c r="J1606" s="7" t="s">
        <v>176</v>
      </c>
      <c r="K1606" s="7" t="s">
        <v>360</v>
      </c>
      <c r="L1606" s="10">
        <v>160</v>
      </c>
      <c r="M1606" s="10">
        <v>160</v>
      </c>
      <c r="N1606" s="10">
        <f>+L1606-M1606</f>
        <v>0</v>
      </c>
      <c r="O1606" s="10">
        <v>160</v>
      </c>
      <c r="P1606" s="10">
        <f>+L1606-O1606</f>
        <v>0</v>
      </c>
      <c r="Q1606" s="10">
        <v>0</v>
      </c>
      <c r="R1606" s="7" t="s">
        <v>27</v>
      </c>
    </row>
    <row r="1607" spans="1:18" hidden="1">
      <c r="A1607" s="7" t="s">
        <v>29</v>
      </c>
      <c r="B1607" s="8">
        <v>19959</v>
      </c>
      <c r="C1607" s="9">
        <v>45820.680648148147</v>
      </c>
      <c r="D1607" s="9">
        <v>45820</v>
      </c>
      <c r="E1607" s="9">
        <v>45820</v>
      </c>
      <c r="F1607" s="7" t="s">
        <v>4998</v>
      </c>
      <c r="G1607" s="7" t="s">
        <v>5192</v>
      </c>
      <c r="H1607" s="7" t="s">
        <v>5000</v>
      </c>
      <c r="I1607" s="7" t="s">
        <v>4998</v>
      </c>
      <c r="J1607" s="7" t="s">
        <v>40</v>
      </c>
      <c r="K1607" s="7" t="s">
        <v>1784</v>
      </c>
      <c r="L1607" s="10">
        <v>136</v>
      </c>
      <c r="M1607" s="10">
        <v>136</v>
      </c>
      <c r="N1607" s="10">
        <f>+L1607-M1607</f>
        <v>0</v>
      </c>
      <c r="O1607" s="10">
        <v>136</v>
      </c>
      <c r="P1607" s="10">
        <f>+L1607-O1607</f>
        <v>0</v>
      </c>
      <c r="Q1607" s="10">
        <v>0</v>
      </c>
      <c r="R1607" s="7" t="s">
        <v>27</v>
      </c>
    </row>
    <row r="1608" spans="1:18" hidden="1">
      <c r="A1608" s="7" t="s">
        <v>29</v>
      </c>
      <c r="B1608" s="8">
        <v>19533</v>
      </c>
      <c r="C1608" s="9">
        <v>45734.350659722222</v>
      </c>
      <c r="D1608" s="9">
        <v>45734</v>
      </c>
      <c r="E1608" s="9">
        <v>45734</v>
      </c>
      <c r="F1608" s="7" t="s">
        <v>5193</v>
      </c>
      <c r="G1608" s="7" t="s">
        <v>5194</v>
      </c>
      <c r="H1608" s="7" t="s">
        <v>5195</v>
      </c>
      <c r="I1608" s="7" t="s">
        <v>5193</v>
      </c>
      <c r="J1608" s="7" t="s">
        <v>40</v>
      </c>
      <c r="K1608" s="7" t="s">
        <v>1784</v>
      </c>
      <c r="L1608" s="10">
        <v>135.6</v>
      </c>
      <c r="M1608" s="10">
        <v>135.6</v>
      </c>
      <c r="N1608" s="10">
        <f>+L1608-M1608</f>
        <v>0</v>
      </c>
      <c r="O1608" s="10">
        <v>135.6</v>
      </c>
      <c r="P1608" s="10">
        <f>+L1608-O1608</f>
        <v>0</v>
      </c>
      <c r="Q1608" s="10">
        <v>0</v>
      </c>
      <c r="R1608" s="7" t="s">
        <v>27</v>
      </c>
    </row>
    <row r="1609" spans="1:18" hidden="1">
      <c r="A1609" s="7" t="s">
        <v>29</v>
      </c>
      <c r="B1609" s="8">
        <v>20328</v>
      </c>
      <c r="C1609" s="9">
        <v>45895.418182870366</v>
      </c>
      <c r="D1609" s="9">
        <v>45894</v>
      </c>
      <c r="E1609" s="9">
        <v>45894</v>
      </c>
      <c r="F1609" s="7" t="s">
        <v>5196</v>
      </c>
      <c r="G1609" s="7" t="s">
        <v>5197</v>
      </c>
      <c r="H1609" s="7" t="s">
        <v>5198</v>
      </c>
      <c r="I1609" s="7" t="s">
        <v>5199</v>
      </c>
      <c r="J1609" s="7" t="s">
        <v>176</v>
      </c>
      <c r="K1609" s="7" t="s">
        <v>360</v>
      </c>
      <c r="L1609" s="10">
        <v>150.5</v>
      </c>
      <c r="M1609" s="10">
        <v>150.5</v>
      </c>
      <c r="N1609" s="10">
        <f>+L1609-M1609</f>
        <v>0</v>
      </c>
      <c r="O1609" s="10">
        <v>150.5</v>
      </c>
      <c r="P1609" s="10">
        <f>+L1609-O1609</f>
        <v>0</v>
      </c>
      <c r="Q1609" s="10">
        <v>0</v>
      </c>
      <c r="R1609" s="7" t="s">
        <v>27</v>
      </c>
    </row>
    <row r="1610" spans="1:18" hidden="1">
      <c r="A1610" s="7" t="s">
        <v>29</v>
      </c>
      <c r="B1610" s="8">
        <v>20872</v>
      </c>
      <c r="C1610" s="9">
        <v>46037.660266203704</v>
      </c>
      <c r="D1610" s="9">
        <v>46037</v>
      </c>
      <c r="E1610" s="9">
        <v>46037</v>
      </c>
      <c r="F1610" s="7" t="s">
        <v>5200</v>
      </c>
      <c r="G1610" s="7" t="s">
        <v>150</v>
      </c>
      <c r="H1610" s="7" t="s">
        <v>5201</v>
      </c>
      <c r="I1610" s="7" t="s">
        <v>5202</v>
      </c>
      <c r="J1610" s="7" t="s">
        <v>176</v>
      </c>
      <c r="K1610" s="7" t="s">
        <v>360</v>
      </c>
      <c r="L1610" s="10">
        <v>150.5</v>
      </c>
      <c r="M1610" s="10">
        <v>150.5</v>
      </c>
      <c r="N1610" s="10">
        <f>+L1610-M1610</f>
        <v>0</v>
      </c>
      <c r="O1610" s="10">
        <v>150.5</v>
      </c>
      <c r="P1610" s="10">
        <f>+L1610-O1610</f>
        <v>0</v>
      </c>
      <c r="Q1610" s="10">
        <v>0</v>
      </c>
      <c r="R1610" s="7" t="s">
        <v>27</v>
      </c>
    </row>
    <row r="1611" spans="1:18">
      <c r="A1611" s="7" t="s">
        <v>29</v>
      </c>
      <c r="B1611" s="8">
        <v>19375</v>
      </c>
      <c r="C1611" s="9">
        <v>45693.402372685181</v>
      </c>
      <c r="D1611" s="9">
        <v>45692</v>
      </c>
      <c r="E1611" s="9">
        <v>45692</v>
      </c>
      <c r="F1611" s="7" t="s">
        <v>5203</v>
      </c>
      <c r="G1611" s="7" t="s">
        <v>2988</v>
      </c>
      <c r="H1611" s="7" t="s">
        <v>3748</v>
      </c>
      <c r="I1611" s="7" t="s">
        <v>3749</v>
      </c>
      <c r="J1611" s="7" t="s">
        <v>25</v>
      </c>
      <c r="K1611" s="7" t="s">
        <v>55</v>
      </c>
      <c r="L1611" s="10">
        <v>136.88</v>
      </c>
      <c r="M1611" s="10">
        <v>136.88</v>
      </c>
      <c r="N1611" s="10">
        <f>+L1611-M1611</f>
        <v>0</v>
      </c>
      <c r="O1611" s="10">
        <v>136.88</v>
      </c>
      <c r="P1611" s="10">
        <f>+L1611-O1611</f>
        <v>0</v>
      </c>
      <c r="Q1611" s="10">
        <v>0</v>
      </c>
      <c r="R1611" s="7" t="s">
        <v>27</v>
      </c>
    </row>
    <row r="1612" spans="1:18" hidden="1">
      <c r="A1612" s="7" t="s">
        <v>29</v>
      </c>
      <c r="B1612" s="8">
        <v>20788</v>
      </c>
      <c r="C1612" s="9">
        <v>46010.467673611107</v>
      </c>
      <c r="D1612" s="9">
        <v>46010</v>
      </c>
      <c r="E1612" s="9">
        <v>46010</v>
      </c>
      <c r="F1612" s="7" t="s">
        <v>5204</v>
      </c>
      <c r="G1612" s="7" t="s">
        <v>5205</v>
      </c>
      <c r="H1612" s="7" t="s">
        <v>5206</v>
      </c>
      <c r="I1612" s="7" t="s">
        <v>5207</v>
      </c>
      <c r="J1612" s="7" t="s">
        <v>40</v>
      </c>
      <c r="K1612" s="7" t="s">
        <v>113</v>
      </c>
      <c r="L1612" s="10">
        <v>129.94999999999999</v>
      </c>
      <c r="M1612" s="10">
        <v>129.94999999999999</v>
      </c>
      <c r="N1612" s="10">
        <f>+L1612-M1612</f>
        <v>0</v>
      </c>
      <c r="O1612" s="10">
        <v>129.94999999999999</v>
      </c>
      <c r="P1612" s="10">
        <f>+L1612-O1612</f>
        <v>0</v>
      </c>
      <c r="Q1612" s="10">
        <v>0</v>
      </c>
      <c r="R1612" s="7" t="s">
        <v>27</v>
      </c>
    </row>
    <row r="1613" spans="1:18" hidden="1">
      <c r="A1613" s="7" t="s">
        <v>29</v>
      </c>
      <c r="B1613" s="8">
        <v>19835</v>
      </c>
      <c r="C1613" s="9">
        <v>45796.507349537038</v>
      </c>
      <c r="D1613" s="9">
        <v>45824</v>
      </c>
      <c r="E1613" s="9">
        <v>45824</v>
      </c>
      <c r="F1613" s="7" t="s">
        <v>4655</v>
      </c>
      <c r="G1613" s="7" t="s">
        <v>5208</v>
      </c>
      <c r="H1613" s="7" t="s">
        <v>4657</v>
      </c>
      <c r="I1613" s="7" t="s">
        <v>4655</v>
      </c>
      <c r="J1613" s="7" t="s">
        <v>40</v>
      </c>
      <c r="K1613" s="7" t="s">
        <v>1784</v>
      </c>
      <c r="L1613" s="10">
        <v>129.41</v>
      </c>
      <c r="M1613" s="10">
        <v>129.41</v>
      </c>
      <c r="N1613" s="10">
        <f>+L1613-M1613</f>
        <v>0</v>
      </c>
      <c r="O1613" s="10">
        <v>129.41</v>
      </c>
      <c r="P1613" s="10">
        <f>+L1613-O1613</f>
        <v>0</v>
      </c>
      <c r="Q1613" s="10">
        <v>0</v>
      </c>
      <c r="R1613" s="7" t="s">
        <v>27</v>
      </c>
    </row>
    <row r="1614" spans="1:18">
      <c r="A1614" s="7" t="s">
        <v>29</v>
      </c>
      <c r="B1614" s="8">
        <v>19912</v>
      </c>
      <c r="C1614" s="9">
        <v>45810.593113425923</v>
      </c>
      <c r="D1614" s="9">
        <v>45821</v>
      </c>
      <c r="E1614" s="9">
        <v>45792</v>
      </c>
      <c r="F1614" s="7" t="s">
        <v>5209</v>
      </c>
      <c r="G1614" s="7" t="s">
        <v>5210</v>
      </c>
      <c r="H1614" s="7" t="s">
        <v>3077</v>
      </c>
      <c r="I1614" s="7" t="s">
        <v>327</v>
      </c>
      <c r="J1614" s="7" t="s">
        <v>25</v>
      </c>
      <c r="K1614" s="7" t="s">
        <v>170</v>
      </c>
      <c r="L1614" s="10">
        <v>125.5</v>
      </c>
      <c r="M1614" s="10">
        <v>125.5</v>
      </c>
      <c r="N1614" s="10">
        <f>+L1614-M1614</f>
        <v>0</v>
      </c>
      <c r="O1614" s="10">
        <v>125.5</v>
      </c>
      <c r="P1614" s="10">
        <f>+L1614-O1614</f>
        <v>0</v>
      </c>
      <c r="Q1614" s="10">
        <v>0</v>
      </c>
      <c r="R1614" s="7" t="s">
        <v>27</v>
      </c>
    </row>
    <row r="1615" spans="1:18">
      <c r="A1615" s="7" t="s">
        <v>29</v>
      </c>
      <c r="B1615" s="8">
        <v>20144</v>
      </c>
      <c r="C1615" s="9">
        <v>45852.596251122683</v>
      </c>
      <c r="D1615" s="9">
        <v>45863</v>
      </c>
      <c r="E1615" s="9">
        <v>45847</v>
      </c>
      <c r="F1615" s="7" t="s">
        <v>5211</v>
      </c>
      <c r="G1615" s="7" t="s">
        <v>5212</v>
      </c>
      <c r="H1615" s="7" t="s">
        <v>919</v>
      </c>
      <c r="I1615" s="7" t="s">
        <v>920</v>
      </c>
      <c r="J1615" s="7" t="s">
        <v>25</v>
      </c>
      <c r="K1615" s="7" t="s">
        <v>55</v>
      </c>
      <c r="L1615" s="10">
        <v>118.65</v>
      </c>
      <c r="M1615" s="10">
        <v>118.65</v>
      </c>
      <c r="N1615" s="10">
        <f>+L1615-M1615</f>
        <v>0</v>
      </c>
      <c r="O1615" s="10">
        <v>118.65</v>
      </c>
      <c r="P1615" s="10">
        <f>+L1615-O1615</f>
        <v>0</v>
      </c>
      <c r="Q1615" s="10">
        <v>0</v>
      </c>
      <c r="R1615" s="7" t="s">
        <v>27</v>
      </c>
    </row>
    <row r="1616" spans="1:18" hidden="1">
      <c r="A1616" s="7" t="s">
        <v>29</v>
      </c>
      <c r="B1616" s="8">
        <v>19632</v>
      </c>
      <c r="C1616" s="9">
        <v>45754.3821412037</v>
      </c>
      <c r="D1616" s="9">
        <v>45734</v>
      </c>
      <c r="E1616" s="9">
        <v>45734</v>
      </c>
      <c r="F1616" s="7" t="s">
        <v>4652</v>
      </c>
      <c r="G1616" s="7" t="s">
        <v>5213</v>
      </c>
      <c r="H1616" s="7" t="s">
        <v>4654</v>
      </c>
      <c r="I1616" s="7" t="s">
        <v>4652</v>
      </c>
      <c r="J1616" s="7" t="s">
        <v>40</v>
      </c>
      <c r="K1616" s="7" t="s">
        <v>1784</v>
      </c>
      <c r="L1616" s="10">
        <v>128.81</v>
      </c>
      <c r="M1616" s="10">
        <v>128.81</v>
      </c>
      <c r="N1616" s="10">
        <f>+L1616-M1616</f>
        <v>0</v>
      </c>
      <c r="O1616" s="10">
        <v>128.81</v>
      </c>
      <c r="P1616" s="10">
        <f>+L1616-O1616</f>
        <v>0</v>
      </c>
      <c r="Q1616" s="10">
        <v>0</v>
      </c>
      <c r="R1616" s="7" t="s">
        <v>27</v>
      </c>
    </row>
    <row r="1617" spans="1:18" hidden="1">
      <c r="A1617" s="7" t="s">
        <v>29</v>
      </c>
      <c r="B1617" s="8">
        <v>19860</v>
      </c>
      <c r="C1617" s="9">
        <v>45803.474895833329</v>
      </c>
      <c r="D1617" s="9">
        <v>45803</v>
      </c>
      <c r="E1617" s="9">
        <v>45803</v>
      </c>
      <c r="F1617" s="7" t="s">
        <v>5214</v>
      </c>
      <c r="G1617" s="7" t="s">
        <v>5215</v>
      </c>
      <c r="H1617" s="7" t="s">
        <v>5216</v>
      </c>
      <c r="I1617" s="7" t="s">
        <v>5217</v>
      </c>
      <c r="J1617" s="7" t="s">
        <v>40</v>
      </c>
      <c r="K1617" s="7" t="s">
        <v>355</v>
      </c>
      <c r="L1617" s="10">
        <v>123.63</v>
      </c>
      <c r="M1617" s="10">
        <v>123.63</v>
      </c>
      <c r="N1617" s="10">
        <f>+L1617-M1617</f>
        <v>0</v>
      </c>
      <c r="O1617" s="10">
        <v>123.63</v>
      </c>
      <c r="P1617" s="10">
        <f>+L1617-O1617</f>
        <v>0</v>
      </c>
      <c r="Q1617" s="10">
        <v>0</v>
      </c>
      <c r="R1617" s="7" t="s">
        <v>27</v>
      </c>
    </row>
    <row r="1618" spans="1:18" hidden="1">
      <c r="A1618" s="7" t="s">
        <v>29</v>
      </c>
      <c r="B1618" s="8">
        <v>19333</v>
      </c>
      <c r="C1618" s="9">
        <v>45674.479027777779</v>
      </c>
      <c r="D1618" s="9">
        <v>45674</v>
      </c>
      <c r="E1618" s="9">
        <v>45674</v>
      </c>
      <c r="F1618" s="7" t="s">
        <v>5218</v>
      </c>
      <c r="G1618" s="7" t="s">
        <v>1788</v>
      </c>
      <c r="H1618" s="7" t="s">
        <v>5219</v>
      </c>
      <c r="I1618" s="7" t="s">
        <v>5218</v>
      </c>
      <c r="J1618" s="7" t="s">
        <v>40</v>
      </c>
      <c r="K1618" s="7" t="s">
        <v>1784</v>
      </c>
      <c r="L1618" s="10">
        <v>114.08</v>
      </c>
      <c r="M1618" s="10">
        <v>114.08</v>
      </c>
      <c r="N1618" s="10">
        <f>+L1618-M1618</f>
        <v>0</v>
      </c>
      <c r="O1618" s="10">
        <v>114.08</v>
      </c>
      <c r="P1618" s="10">
        <f>+L1618-O1618</f>
        <v>0</v>
      </c>
      <c r="Q1618" s="10">
        <v>0</v>
      </c>
      <c r="R1618" s="7" t="s">
        <v>27</v>
      </c>
    </row>
    <row r="1619" spans="1:18" hidden="1">
      <c r="A1619" s="7" t="s">
        <v>29</v>
      </c>
      <c r="B1619" s="8">
        <v>19524</v>
      </c>
      <c r="C1619" s="9">
        <v>45730.43304398148</v>
      </c>
      <c r="D1619" s="9">
        <v>45712</v>
      </c>
      <c r="E1619" s="9">
        <v>45712</v>
      </c>
      <c r="F1619" s="7" t="s">
        <v>5220</v>
      </c>
      <c r="G1619" s="7" t="s">
        <v>5221</v>
      </c>
      <c r="H1619" s="7" t="s">
        <v>5222</v>
      </c>
      <c r="I1619" s="7" t="s">
        <v>5223</v>
      </c>
      <c r="J1619" s="7" t="s">
        <v>176</v>
      </c>
      <c r="K1619" s="7" t="s">
        <v>494</v>
      </c>
      <c r="L1619" s="10">
        <v>133</v>
      </c>
      <c r="M1619" s="10">
        <v>133</v>
      </c>
      <c r="N1619" s="10">
        <f>+L1619-M1619</f>
        <v>0</v>
      </c>
      <c r="O1619" s="10">
        <v>133</v>
      </c>
      <c r="P1619" s="10">
        <f>+L1619-O1619</f>
        <v>0</v>
      </c>
      <c r="Q1619" s="10">
        <v>0</v>
      </c>
      <c r="R1619" s="7" t="s">
        <v>27</v>
      </c>
    </row>
    <row r="1620" spans="1:18" hidden="1">
      <c r="A1620" s="7" t="s">
        <v>29</v>
      </c>
      <c r="B1620" s="8">
        <v>19517</v>
      </c>
      <c r="C1620" s="9">
        <v>45728.393888888888</v>
      </c>
      <c r="D1620" s="9">
        <v>45727</v>
      </c>
      <c r="E1620" s="9">
        <v>45727</v>
      </c>
      <c r="F1620" s="7" t="s">
        <v>3109</v>
      </c>
      <c r="G1620" s="7" t="s">
        <v>5224</v>
      </c>
      <c r="H1620" s="7" t="s">
        <v>3108</v>
      </c>
      <c r="I1620" s="7" t="s">
        <v>3109</v>
      </c>
      <c r="J1620" s="7" t="s">
        <v>40</v>
      </c>
      <c r="K1620" s="7" t="s">
        <v>1784</v>
      </c>
      <c r="L1620" s="10">
        <v>111.65</v>
      </c>
      <c r="M1620" s="10">
        <v>111.65</v>
      </c>
      <c r="N1620" s="10">
        <f>+L1620-M1620</f>
        <v>0</v>
      </c>
      <c r="O1620" s="10">
        <v>111.65</v>
      </c>
      <c r="P1620" s="10">
        <f>+L1620-O1620</f>
        <v>0</v>
      </c>
      <c r="Q1620" s="10">
        <v>0</v>
      </c>
      <c r="R1620" s="7" t="s">
        <v>27</v>
      </c>
    </row>
    <row r="1621" spans="1:18" hidden="1">
      <c r="A1621" s="7" t="s">
        <v>29</v>
      </c>
      <c r="B1621" s="8">
        <v>20471</v>
      </c>
      <c r="C1621" s="9">
        <v>45918.616875</v>
      </c>
      <c r="D1621" s="9">
        <v>45917</v>
      </c>
      <c r="E1621" s="9">
        <v>45917</v>
      </c>
      <c r="F1621" s="7" t="s">
        <v>5225</v>
      </c>
      <c r="G1621" s="7" t="s">
        <v>5226</v>
      </c>
      <c r="H1621" s="7" t="s">
        <v>5227</v>
      </c>
      <c r="I1621" s="7" t="s">
        <v>5225</v>
      </c>
      <c r="J1621" s="7" t="s">
        <v>40</v>
      </c>
      <c r="K1621" s="7" t="s">
        <v>4785</v>
      </c>
      <c r="L1621" s="10">
        <v>110.74</v>
      </c>
      <c r="M1621" s="10">
        <v>110.74</v>
      </c>
      <c r="N1621" s="10">
        <f>+L1621-M1621</f>
        <v>0</v>
      </c>
      <c r="O1621" s="10">
        <v>110.74</v>
      </c>
      <c r="P1621" s="10">
        <f>+L1621-O1621</f>
        <v>0</v>
      </c>
      <c r="Q1621" s="10">
        <v>0</v>
      </c>
      <c r="R1621" s="7" t="s">
        <v>27</v>
      </c>
    </row>
    <row r="1622" spans="1:18" hidden="1">
      <c r="A1622" s="7" t="s">
        <v>29</v>
      </c>
      <c r="B1622" s="8">
        <v>19331</v>
      </c>
      <c r="C1622" s="9">
        <v>45673.732245370367</v>
      </c>
      <c r="D1622" s="9">
        <v>45807</v>
      </c>
      <c r="E1622" s="9">
        <v>45807</v>
      </c>
      <c r="F1622" s="7" t="s">
        <v>5228</v>
      </c>
      <c r="G1622" s="7" t="s">
        <v>2416</v>
      </c>
      <c r="H1622" s="7" t="s">
        <v>5229</v>
      </c>
      <c r="I1622" s="7" t="s">
        <v>5228</v>
      </c>
      <c r="J1622" s="7" t="s">
        <v>40</v>
      </c>
      <c r="K1622" s="7" t="s">
        <v>1784</v>
      </c>
      <c r="L1622" s="10">
        <v>109.07</v>
      </c>
      <c r="M1622" s="10">
        <v>109.07</v>
      </c>
      <c r="N1622" s="10">
        <f>+L1622-M1622</f>
        <v>0</v>
      </c>
      <c r="O1622" s="10">
        <v>109.07</v>
      </c>
      <c r="P1622" s="10">
        <f>+L1622-O1622</f>
        <v>0</v>
      </c>
      <c r="Q1622" s="10">
        <v>0</v>
      </c>
      <c r="R1622" s="7" t="s">
        <v>27</v>
      </c>
    </row>
    <row r="1623" spans="1:18">
      <c r="A1623" s="7" t="s">
        <v>29</v>
      </c>
      <c r="B1623" s="8">
        <v>19577</v>
      </c>
      <c r="C1623" s="9">
        <v>45743.469918784722</v>
      </c>
      <c r="D1623" s="9">
        <v>45743</v>
      </c>
      <c r="E1623" s="9">
        <v>45743</v>
      </c>
      <c r="F1623" s="7" t="s">
        <v>5230</v>
      </c>
      <c r="G1623" s="7" t="s">
        <v>5231</v>
      </c>
      <c r="H1623" s="7" t="s">
        <v>955</v>
      </c>
      <c r="I1623" s="7" t="s">
        <v>435</v>
      </c>
      <c r="J1623" s="7" t="s">
        <v>25</v>
      </c>
      <c r="K1623" s="7" t="s">
        <v>26</v>
      </c>
      <c r="L1623" s="10">
        <v>114.87</v>
      </c>
      <c r="M1623" s="10">
        <v>114.87</v>
      </c>
      <c r="N1623" s="10">
        <f>+L1623-M1623</f>
        <v>0</v>
      </c>
      <c r="O1623" s="10">
        <v>114.87</v>
      </c>
      <c r="P1623" s="10">
        <f>+L1623-O1623</f>
        <v>0</v>
      </c>
      <c r="Q1623" s="10">
        <v>0</v>
      </c>
      <c r="R1623" s="7" t="s">
        <v>27</v>
      </c>
    </row>
    <row r="1624" spans="1:18" hidden="1">
      <c r="A1624" s="7" t="s">
        <v>29</v>
      </c>
      <c r="B1624" s="8">
        <v>19473</v>
      </c>
      <c r="C1624" s="9">
        <v>45716.458055555551</v>
      </c>
      <c r="D1624" s="9">
        <v>45716</v>
      </c>
      <c r="E1624" s="9">
        <v>45716</v>
      </c>
      <c r="F1624" s="7" t="s">
        <v>5145</v>
      </c>
      <c r="G1624" s="7" t="s">
        <v>1713</v>
      </c>
      <c r="H1624" s="7" t="s">
        <v>5147</v>
      </c>
      <c r="I1624" s="7" t="s">
        <v>5145</v>
      </c>
      <c r="J1624" s="7" t="s">
        <v>40</v>
      </c>
      <c r="K1624" s="7" t="s">
        <v>1784</v>
      </c>
      <c r="L1624" s="10">
        <v>105.73</v>
      </c>
      <c r="M1624" s="10">
        <v>105.73</v>
      </c>
      <c r="N1624" s="10">
        <f>+L1624-M1624</f>
        <v>0</v>
      </c>
      <c r="O1624" s="10">
        <v>105.73</v>
      </c>
      <c r="P1624" s="10">
        <f>+L1624-O1624</f>
        <v>0</v>
      </c>
      <c r="Q1624" s="10">
        <v>0</v>
      </c>
      <c r="R1624" s="7" t="s">
        <v>27</v>
      </c>
    </row>
    <row r="1625" spans="1:18">
      <c r="A1625" s="7" t="s">
        <v>29</v>
      </c>
      <c r="B1625" s="8">
        <v>20422</v>
      </c>
      <c r="C1625" s="9">
        <v>45909.473877314813</v>
      </c>
      <c r="D1625" s="9">
        <v>45909</v>
      </c>
      <c r="E1625" s="9">
        <v>45909</v>
      </c>
      <c r="F1625" s="7" t="s">
        <v>5232</v>
      </c>
      <c r="G1625" s="7" t="s">
        <v>5233</v>
      </c>
      <c r="H1625" s="7" t="s">
        <v>5234</v>
      </c>
      <c r="I1625" s="7" t="s">
        <v>5235</v>
      </c>
      <c r="J1625" s="7" t="s">
        <v>25</v>
      </c>
      <c r="K1625" s="7" t="s">
        <v>525</v>
      </c>
      <c r="L1625" s="10">
        <v>101.96</v>
      </c>
      <c r="M1625" s="10">
        <v>101.96</v>
      </c>
      <c r="N1625" s="10">
        <f>+L1625-M1625</f>
        <v>0</v>
      </c>
      <c r="O1625" s="10">
        <v>101.96</v>
      </c>
      <c r="P1625" s="10">
        <f>+L1625-O1625</f>
        <v>0</v>
      </c>
      <c r="Q1625" s="10">
        <v>0</v>
      </c>
      <c r="R1625" s="7" t="s">
        <v>27</v>
      </c>
    </row>
    <row r="1626" spans="1:18">
      <c r="A1626" s="7" t="s">
        <v>29</v>
      </c>
      <c r="B1626" s="8">
        <v>19321</v>
      </c>
      <c r="C1626" s="9">
        <v>45667.404560185183</v>
      </c>
      <c r="D1626" s="9">
        <v>45698</v>
      </c>
      <c r="E1626" s="9">
        <v>45726</v>
      </c>
      <c r="F1626" s="7" t="s">
        <v>5236</v>
      </c>
      <c r="G1626" s="7" t="s">
        <v>4905</v>
      </c>
      <c r="H1626" s="7" t="s">
        <v>4933</v>
      </c>
      <c r="I1626" s="7" t="s">
        <v>4934</v>
      </c>
      <c r="J1626" s="7" t="s">
        <v>25</v>
      </c>
      <c r="K1626" s="7" t="s">
        <v>525</v>
      </c>
      <c r="L1626" s="10">
        <v>100</v>
      </c>
      <c r="M1626" s="10">
        <v>100</v>
      </c>
      <c r="N1626" s="10">
        <f>+L1626-M1626</f>
        <v>0</v>
      </c>
      <c r="O1626" s="10">
        <v>100</v>
      </c>
      <c r="P1626" s="10">
        <f>+L1626-O1626</f>
        <v>0</v>
      </c>
      <c r="Q1626" s="10">
        <v>0</v>
      </c>
      <c r="R1626" s="7" t="s">
        <v>27</v>
      </c>
    </row>
    <row r="1627" spans="1:18">
      <c r="A1627" s="7" t="s">
        <v>29</v>
      </c>
      <c r="B1627" s="8">
        <v>20912</v>
      </c>
      <c r="C1627" s="9">
        <v>46049.48118938657</v>
      </c>
      <c r="D1627" s="9">
        <v>46052</v>
      </c>
      <c r="E1627" s="9">
        <v>46052</v>
      </c>
      <c r="F1627" s="7" t="s">
        <v>5237</v>
      </c>
      <c r="G1627" s="7" t="s">
        <v>5238</v>
      </c>
      <c r="H1627" s="7" t="s">
        <v>5239</v>
      </c>
      <c r="I1627" s="7" t="s">
        <v>5240</v>
      </c>
      <c r="J1627" s="7" t="s">
        <v>25</v>
      </c>
      <c r="K1627" s="7" t="s">
        <v>170</v>
      </c>
      <c r="L1627" s="10">
        <v>67.8</v>
      </c>
      <c r="M1627" s="10">
        <v>67.8</v>
      </c>
      <c r="N1627" s="10">
        <f>+L1627-M1627</f>
        <v>0</v>
      </c>
      <c r="O1627" s="10">
        <v>67.8</v>
      </c>
      <c r="P1627" s="10">
        <f>+L1627-O1627</f>
        <v>0</v>
      </c>
      <c r="Q1627" s="10">
        <v>0</v>
      </c>
      <c r="R1627" s="7" t="s">
        <v>27</v>
      </c>
    </row>
    <row r="1628" spans="1:18" hidden="1">
      <c r="A1628" s="7" t="s">
        <v>29</v>
      </c>
      <c r="B1628" s="8">
        <v>19402</v>
      </c>
      <c r="C1628" s="9">
        <v>45698.486192129625</v>
      </c>
      <c r="D1628" s="9">
        <v>45694</v>
      </c>
      <c r="E1628" s="9">
        <v>45694</v>
      </c>
      <c r="F1628" s="7" t="s">
        <v>74</v>
      </c>
      <c r="G1628" s="7" t="s">
        <v>3843</v>
      </c>
      <c r="H1628" s="7" t="s">
        <v>1325</v>
      </c>
      <c r="I1628" s="7" t="s">
        <v>74</v>
      </c>
      <c r="J1628" s="7" t="s">
        <v>40</v>
      </c>
      <c r="K1628" s="7" t="s">
        <v>1784</v>
      </c>
      <c r="L1628" s="10">
        <v>104.82</v>
      </c>
      <c r="M1628" s="10">
        <v>104.82</v>
      </c>
      <c r="N1628" s="10">
        <f>+L1628-M1628</f>
        <v>0</v>
      </c>
      <c r="O1628" s="10">
        <v>104.82</v>
      </c>
      <c r="P1628" s="10">
        <f>+L1628-O1628</f>
        <v>0</v>
      </c>
      <c r="Q1628" s="10">
        <v>0</v>
      </c>
      <c r="R1628" s="7" t="s">
        <v>27</v>
      </c>
    </row>
    <row r="1629" spans="1:18">
      <c r="A1629" s="7" t="s">
        <v>29</v>
      </c>
      <c r="B1629" s="8">
        <v>20088</v>
      </c>
      <c r="C1629" s="9">
        <v>45840.712534722217</v>
      </c>
      <c r="D1629" s="9">
        <v>45841</v>
      </c>
      <c r="E1629" s="9">
        <v>45835</v>
      </c>
      <c r="F1629" s="7" t="s">
        <v>5241</v>
      </c>
      <c r="G1629" s="7" t="s">
        <v>5242</v>
      </c>
      <c r="H1629" s="7" t="s">
        <v>5243</v>
      </c>
      <c r="I1629" s="7" t="s">
        <v>5244</v>
      </c>
      <c r="J1629" s="7" t="s">
        <v>25</v>
      </c>
      <c r="K1629" s="7" t="s">
        <v>525</v>
      </c>
      <c r="L1629" s="10">
        <v>56.5</v>
      </c>
      <c r="M1629" s="10">
        <v>56.5</v>
      </c>
      <c r="N1629" s="10">
        <f>+L1629-M1629</f>
        <v>0</v>
      </c>
      <c r="O1629" s="10">
        <v>56.5</v>
      </c>
      <c r="P1629" s="10">
        <f>+L1629-O1629</f>
        <v>0</v>
      </c>
      <c r="Q1629" s="10">
        <v>0</v>
      </c>
      <c r="R1629" s="7" t="s">
        <v>27</v>
      </c>
    </row>
    <row r="1630" spans="1:18" hidden="1">
      <c r="A1630" s="7" t="s">
        <v>29</v>
      </c>
      <c r="B1630" s="8">
        <v>19690</v>
      </c>
      <c r="C1630" s="9">
        <v>45762.475844907407</v>
      </c>
      <c r="D1630" s="9">
        <v>45838</v>
      </c>
      <c r="E1630" s="9">
        <v>45762</v>
      </c>
      <c r="F1630" s="7" t="s">
        <v>4758</v>
      </c>
      <c r="G1630" s="7" t="s">
        <v>5245</v>
      </c>
      <c r="H1630" s="7" t="s">
        <v>4760</v>
      </c>
      <c r="I1630" s="7" t="s">
        <v>4758</v>
      </c>
      <c r="J1630" s="7" t="s">
        <v>40</v>
      </c>
      <c r="K1630" s="7" t="s">
        <v>1784</v>
      </c>
      <c r="L1630" s="10">
        <v>104.74</v>
      </c>
      <c r="M1630" s="10">
        <v>104.74</v>
      </c>
      <c r="N1630" s="10">
        <f>+L1630-M1630</f>
        <v>0</v>
      </c>
      <c r="O1630" s="10">
        <v>104.74</v>
      </c>
      <c r="P1630" s="10">
        <f>+L1630-O1630</f>
        <v>0</v>
      </c>
      <c r="Q1630" s="10">
        <v>0</v>
      </c>
      <c r="R1630" s="7" t="s">
        <v>27</v>
      </c>
    </row>
    <row r="1631" spans="1:18">
      <c r="A1631" s="7" t="s">
        <v>29</v>
      </c>
      <c r="B1631" s="8">
        <v>20425</v>
      </c>
      <c r="C1631" s="9">
        <v>45909.670015509255</v>
      </c>
      <c r="D1631" s="9">
        <v>45911</v>
      </c>
      <c r="E1631" s="9">
        <v>45904</v>
      </c>
      <c r="F1631" s="7" t="s">
        <v>5246</v>
      </c>
      <c r="G1631" s="7" t="s">
        <v>5247</v>
      </c>
      <c r="H1631" s="7" t="s">
        <v>5248</v>
      </c>
      <c r="I1631" s="7" t="s">
        <v>5249</v>
      </c>
      <c r="J1631" s="7" t="s">
        <v>25</v>
      </c>
      <c r="K1631" s="7" t="s">
        <v>525</v>
      </c>
      <c r="L1631" s="10">
        <v>56.5</v>
      </c>
      <c r="M1631" s="10">
        <v>56.5</v>
      </c>
      <c r="N1631" s="10">
        <f>+L1631-M1631</f>
        <v>0</v>
      </c>
      <c r="O1631" s="10">
        <v>56.5</v>
      </c>
      <c r="P1631" s="10">
        <f>+L1631-O1631</f>
        <v>0</v>
      </c>
      <c r="Q1631" s="10">
        <v>0</v>
      </c>
      <c r="R1631" s="7" t="s">
        <v>27</v>
      </c>
    </row>
    <row r="1632" spans="1:18" hidden="1">
      <c r="A1632" s="7" t="s">
        <v>29</v>
      </c>
      <c r="B1632" s="8">
        <v>20308</v>
      </c>
      <c r="C1632" s="9">
        <v>45890.557673611111</v>
      </c>
      <c r="D1632" s="9">
        <v>45889</v>
      </c>
      <c r="E1632" s="9">
        <v>45889</v>
      </c>
      <c r="F1632" s="7" t="s">
        <v>60</v>
      </c>
      <c r="G1632" s="7" t="s">
        <v>5250</v>
      </c>
      <c r="H1632" s="7" t="s">
        <v>160</v>
      </c>
      <c r="I1632" s="7" t="s">
        <v>60</v>
      </c>
      <c r="J1632" s="7" t="s">
        <v>40</v>
      </c>
      <c r="K1632" s="7" t="s">
        <v>4785</v>
      </c>
      <c r="L1632" s="10">
        <v>104.56</v>
      </c>
      <c r="M1632" s="10">
        <v>104.56</v>
      </c>
      <c r="N1632" s="10">
        <f>+L1632-M1632</f>
        <v>0</v>
      </c>
      <c r="O1632" s="10">
        <v>104.56</v>
      </c>
      <c r="P1632" s="10">
        <f>+L1632-O1632</f>
        <v>0</v>
      </c>
      <c r="Q1632" s="10">
        <v>0</v>
      </c>
      <c r="R1632" s="7" t="s">
        <v>27</v>
      </c>
    </row>
    <row r="1633" spans="1:18" hidden="1">
      <c r="A1633" s="7" t="s">
        <v>29</v>
      </c>
      <c r="B1633" s="8">
        <v>19318</v>
      </c>
      <c r="C1633" s="9">
        <v>45666.472893518519</v>
      </c>
      <c r="D1633" s="9">
        <v>45660</v>
      </c>
      <c r="E1633" s="9">
        <v>45660</v>
      </c>
      <c r="F1633" s="7" t="s">
        <v>5145</v>
      </c>
      <c r="G1633" s="7" t="s">
        <v>5251</v>
      </c>
      <c r="H1633" s="7" t="s">
        <v>5147</v>
      </c>
      <c r="I1633" s="7" t="s">
        <v>5145</v>
      </c>
      <c r="J1633" s="7" t="s">
        <v>40</v>
      </c>
      <c r="K1633" s="7" t="s">
        <v>1784</v>
      </c>
      <c r="L1633" s="10">
        <v>102.33</v>
      </c>
      <c r="M1633" s="10">
        <v>102.33</v>
      </c>
      <c r="N1633" s="10">
        <f>+L1633-M1633</f>
        <v>0</v>
      </c>
      <c r="O1633" s="10">
        <v>102.33</v>
      </c>
      <c r="P1633" s="10">
        <f>+L1633-O1633</f>
        <v>0</v>
      </c>
      <c r="Q1633" s="10">
        <v>0</v>
      </c>
      <c r="R1633" s="7" t="s">
        <v>27</v>
      </c>
    </row>
    <row r="1634" spans="1:18" hidden="1">
      <c r="A1634" s="7" t="s">
        <v>29</v>
      </c>
      <c r="B1634" s="8">
        <v>20456</v>
      </c>
      <c r="C1634" s="9">
        <v>45917.422847222224</v>
      </c>
      <c r="D1634" s="9">
        <v>45917</v>
      </c>
      <c r="E1634" s="9">
        <v>45917</v>
      </c>
      <c r="F1634" s="7" t="s">
        <v>5252</v>
      </c>
      <c r="G1634" s="7" t="s">
        <v>5253</v>
      </c>
      <c r="H1634" s="7" t="s">
        <v>5254</v>
      </c>
      <c r="I1634" s="7" t="s">
        <v>5252</v>
      </c>
      <c r="J1634" s="7" t="s">
        <v>40</v>
      </c>
      <c r="K1634" s="7" t="s">
        <v>4785</v>
      </c>
      <c r="L1634" s="10">
        <v>101.7</v>
      </c>
      <c r="M1634" s="10">
        <v>101.7</v>
      </c>
      <c r="N1634" s="10">
        <f>+L1634-M1634</f>
        <v>0</v>
      </c>
      <c r="O1634" s="10">
        <v>101.7</v>
      </c>
      <c r="P1634" s="10">
        <f>+L1634-O1634</f>
        <v>0</v>
      </c>
      <c r="Q1634" s="10">
        <v>0</v>
      </c>
      <c r="R1634" s="7" t="s">
        <v>27</v>
      </c>
    </row>
    <row r="1635" spans="1:18" hidden="1">
      <c r="A1635" s="7" t="s">
        <v>29</v>
      </c>
      <c r="B1635" s="8">
        <v>20319</v>
      </c>
      <c r="C1635" s="9">
        <v>45894.404780092591</v>
      </c>
      <c r="D1635" s="9">
        <v>45894</v>
      </c>
      <c r="E1635" s="9">
        <v>45894</v>
      </c>
      <c r="F1635" s="7" t="s">
        <v>5255</v>
      </c>
      <c r="G1635" s="7" t="s">
        <v>5256</v>
      </c>
      <c r="H1635" s="7" t="s">
        <v>5257</v>
      </c>
      <c r="I1635" s="7" t="s">
        <v>5258</v>
      </c>
      <c r="J1635" s="7" t="s">
        <v>40</v>
      </c>
      <c r="K1635" s="7" t="s">
        <v>4785</v>
      </c>
      <c r="L1635" s="10">
        <v>101.7</v>
      </c>
      <c r="M1635" s="10">
        <v>101.7</v>
      </c>
      <c r="N1635" s="10">
        <f>+L1635-M1635</f>
        <v>0</v>
      </c>
      <c r="O1635" s="10">
        <v>101.7</v>
      </c>
      <c r="P1635" s="10">
        <f>+L1635-O1635</f>
        <v>0</v>
      </c>
      <c r="Q1635" s="10">
        <v>0</v>
      </c>
      <c r="R1635" s="7" t="s">
        <v>27</v>
      </c>
    </row>
    <row r="1636" spans="1:18" hidden="1">
      <c r="A1636" s="7" t="s">
        <v>29</v>
      </c>
      <c r="B1636" s="8">
        <v>20253</v>
      </c>
      <c r="C1636" s="9">
        <v>45876.621203703704</v>
      </c>
      <c r="D1636" s="9">
        <v>45876</v>
      </c>
      <c r="E1636" s="9">
        <v>45876</v>
      </c>
      <c r="F1636" s="7" t="s">
        <v>4206</v>
      </c>
      <c r="G1636" s="7" t="s">
        <v>5259</v>
      </c>
      <c r="H1636" s="7" t="s">
        <v>4208</v>
      </c>
      <c r="I1636" s="7" t="s">
        <v>4206</v>
      </c>
      <c r="J1636" s="7" t="s">
        <v>40</v>
      </c>
      <c r="K1636" s="7" t="s">
        <v>1784</v>
      </c>
      <c r="L1636" s="10">
        <v>91.2</v>
      </c>
      <c r="M1636" s="10">
        <v>91.2</v>
      </c>
      <c r="N1636" s="10">
        <f>+L1636-M1636</f>
        <v>0</v>
      </c>
      <c r="O1636" s="10">
        <v>91.2</v>
      </c>
      <c r="P1636" s="10">
        <f>+L1636-O1636</f>
        <v>0</v>
      </c>
      <c r="Q1636" s="10">
        <v>0</v>
      </c>
      <c r="R1636" s="7" t="s">
        <v>27</v>
      </c>
    </row>
    <row r="1637" spans="1:18" hidden="1">
      <c r="A1637" s="7" t="s">
        <v>29</v>
      </c>
      <c r="B1637" s="8">
        <v>19330</v>
      </c>
      <c r="C1637" s="9">
        <v>45673.63962962963</v>
      </c>
      <c r="D1637" s="9">
        <v>45673</v>
      </c>
      <c r="E1637" s="9">
        <v>45673</v>
      </c>
      <c r="F1637" s="7" t="s">
        <v>5260</v>
      </c>
      <c r="G1637" s="7" t="s">
        <v>628</v>
      </c>
      <c r="H1637" s="7" t="s">
        <v>5261</v>
      </c>
      <c r="I1637" s="7" t="s">
        <v>5260</v>
      </c>
      <c r="J1637" s="7" t="s">
        <v>40</v>
      </c>
      <c r="K1637" s="7" t="s">
        <v>1784</v>
      </c>
      <c r="L1637" s="10">
        <v>90.84</v>
      </c>
      <c r="M1637" s="10">
        <v>90.84</v>
      </c>
      <c r="N1637" s="10">
        <f>+L1637-M1637</f>
        <v>0</v>
      </c>
      <c r="O1637" s="10">
        <v>90.84</v>
      </c>
      <c r="P1637" s="10">
        <f>+L1637-O1637</f>
        <v>0</v>
      </c>
      <c r="Q1637" s="10">
        <v>0</v>
      </c>
      <c r="R1637" s="7" t="s">
        <v>27</v>
      </c>
    </row>
    <row r="1638" spans="1:18" hidden="1">
      <c r="A1638" s="7" t="s">
        <v>29</v>
      </c>
      <c r="B1638" s="8">
        <v>20432</v>
      </c>
      <c r="C1638" s="9">
        <v>45910.43782407407</v>
      </c>
      <c r="D1638" s="9">
        <v>45909</v>
      </c>
      <c r="E1638" s="9">
        <v>45909</v>
      </c>
      <c r="F1638" s="7" t="s">
        <v>5262</v>
      </c>
      <c r="G1638" s="7" t="s">
        <v>5263</v>
      </c>
      <c r="H1638" s="7" t="s">
        <v>5264</v>
      </c>
      <c r="I1638" s="7" t="s">
        <v>5262</v>
      </c>
      <c r="J1638" s="7" t="s">
        <v>40</v>
      </c>
      <c r="K1638" s="7" t="s">
        <v>4785</v>
      </c>
      <c r="L1638" s="10">
        <v>90.4</v>
      </c>
      <c r="M1638" s="10">
        <v>90.4</v>
      </c>
      <c r="N1638" s="10">
        <f>+L1638-M1638</f>
        <v>0</v>
      </c>
      <c r="O1638" s="10">
        <v>90.4</v>
      </c>
      <c r="P1638" s="10">
        <f>+L1638-O1638</f>
        <v>0</v>
      </c>
      <c r="Q1638" s="10">
        <v>0</v>
      </c>
      <c r="R1638" s="7" t="s">
        <v>27</v>
      </c>
    </row>
    <row r="1639" spans="1:18">
      <c r="A1639" s="7" t="s">
        <v>29</v>
      </c>
      <c r="B1639" s="8">
        <v>20239</v>
      </c>
      <c r="C1639" s="9">
        <v>45875.36273148148</v>
      </c>
      <c r="D1639" s="9">
        <v>45874</v>
      </c>
      <c r="E1639" s="9">
        <v>45877</v>
      </c>
      <c r="F1639" s="7" t="s">
        <v>5265</v>
      </c>
      <c r="G1639" s="7" t="s">
        <v>5266</v>
      </c>
      <c r="H1639" s="7" t="s">
        <v>5267</v>
      </c>
      <c r="I1639" s="7" t="s">
        <v>5268</v>
      </c>
      <c r="J1639" s="7" t="s">
        <v>25</v>
      </c>
      <c r="K1639" s="7" t="s">
        <v>170</v>
      </c>
      <c r="L1639" s="10">
        <v>56.5</v>
      </c>
      <c r="M1639" s="10">
        <v>56.5</v>
      </c>
      <c r="N1639" s="10">
        <f>+L1639-M1639</f>
        <v>0</v>
      </c>
      <c r="O1639" s="10">
        <v>56.5</v>
      </c>
      <c r="P1639" s="10">
        <f>+L1639-O1639</f>
        <v>0</v>
      </c>
      <c r="Q1639" s="10">
        <v>0</v>
      </c>
      <c r="R1639" s="7" t="s">
        <v>27</v>
      </c>
    </row>
    <row r="1640" spans="1:18" hidden="1">
      <c r="A1640" s="7" t="s">
        <v>29</v>
      </c>
      <c r="B1640" s="8">
        <v>19689</v>
      </c>
      <c r="C1640" s="9">
        <v>45762.470891203702</v>
      </c>
      <c r="D1640" s="9">
        <v>45762</v>
      </c>
      <c r="E1640" s="9">
        <v>45762</v>
      </c>
      <c r="F1640" s="7" t="s">
        <v>4655</v>
      </c>
      <c r="G1640" s="7" t="s">
        <v>5269</v>
      </c>
      <c r="H1640" s="7" t="s">
        <v>4657</v>
      </c>
      <c r="I1640" s="7" t="s">
        <v>4655</v>
      </c>
      <c r="J1640" s="7" t="s">
        <v>40</v>
      </c>
      <c r="K1640" s="7" t="s">
        <v>1784</v>
      </c>
      <c r="L1640" s="10">
        <v>89.9</v>
      </c>
      <c r="M1640" s="10">
        <v>89.9</v>
      </c>
      <c r="N1640" s="10">
        <f>+L1640-M1640</f>
        <v>0</v>
      </c>
      <c r="O1640" s="10">
        <v>89.9</v>
      </c>
      <c r="P1640" s="10">
        <f>+L1640-O1640</f>
        <v>0</v>
      </c>
      <c r="Q1640" s="10">
        <v>0</v>
      </c>
      <c r="R1640" s="7" t="s">
        <v>27</v>
      </c>
    </row>
    <row r="1641" spans="1:18" hidden="1">
      <c r="A1641" s="7" t="s">
        <v>29</v>
      </c>
      <c r="B1641" s="8">
        <v>20151</v>
      </c>
      <c r="C1641" s="9">
        <v>45854.366331018515</v>
      </c>
      <c r="D1641" s="9">
        <v>45853</v>
      </c>
      <c r="E1641" s="9">
        <v>45853</v>
      </c>
      <c r="F1641" s="7" t="s">
        <v>5270</v>
      </c>
      <c r="G1641" s="7" t="s">
        <v>5271</v>
      </c>
      <c r="H1641" s="7" t="s">
        <v>160</v>
      </c>
      <c r="I1641" s="7" t="s">
        <v>60</v>
      </c>
      <c r="J1641" s="7" t="s">
        <v>40</v>
      </c>
      <c r="K1641" s="7" t="s">
        <v>355</v>
      </c>
      <c r="L1641" s="10">
        <v>89.27</v>
      </c>
      <c r="M1641" s="10">
        <v>89.27</v>
      </c>
      <c r="N1641" s="10">
        <f>+L1641-M1641</f>
        <v>0</v>
      </c>
      <c r="O1641" s="10">
        <v>89.27</v>
      </c>
      <c r="P1641" s="10">
        <f>+L1641-O1641</f>
        <v>0</v>
      </c>
      <c r="Q1641" s="10">
        <v>0</v>
      </c>
      <c r="R1641" s="7" t="s">
        <v>27</v>
      </c>
    </row>
    <row r="1642" spans="1:18" hidden="1">
      <c r="A1642" s="7" t="s">
        <v>29</v>
      </c>
      <c r="B1642" s="8">
        <v>20532</v>
      </c>
      <c r="C1642" s="9">
        <v>45930.702499999999</v>
      </c>
      <c r="D1642" s="9">
        <v>45929</v>
      </c>
      <c r="E1642" s="9">
        <v>45922</v>
      </c>
      <c r="F1642" s="7" t="s">
        <v>5272</v>
      </c>
      <c r="G1642" s="7" t="s">
        <v>5273</v>
      </c>
      <c r="H1642" s="7" t="s">
        <v>3118</v>
      </c>
      <c r="I1642" s="7" t="s">
        <v>3119</v>
      </c>
      <c r="J1642" s="7" t="s">
        <v>176</v>
      </c>
      <c r="K1642" s="7" t="s">
        <v>584</v>
      </c>
      <c r="L1642" s="10">
        <v>100</v>
      </c>
      <c r="M1642" s="10">
        <v>100</v>
      </c>
      <c r="N1642" s="10">
        <f>+L1642-M1642</f>
        <v>0</v>
      </c>
      <c r="O1642" s="10">
        <v>100</v>
      </c>
      <c r="P1642" s="10">
        <f>+L1642-O1642</f>
        <v>0</v>
      </c>
      <c r="Q1642" s="10">
        <v>0</v>
      </c>
      <c r="R1642" s="7" t="s">
        <v>27</v>
      </c>
    </row>
    <row r="1643" spans="1:18" hidden="1">
      <c r="A1643" s="7" t="s">
        <v>29</v>
      </c>
      <c r="B1643" s="8">
        <v>20160</v>
      </c>
      <c r="C1643" s="9">
        <v>45856.693078703705</v>
      </c>
      <c r="D1643" s="9">
        <v>45862</v>
      </c>
      <c r="E1643" s="9">
        <v>45855</v>
      </c>
      <c r="F1643" s="7" t="s">
        <v>5274</v>
      </c>
      <c r="G1643" s="7" t="s">
        <v>5275</v>
      </c>
      <c r="H1643" s="7" t="s">
        <v>2800</v>
      </c>
      <c r="I1643" s="7" t="s">
        <v>2801</v>
      </c>
      <c r="J1643" s="7" t="s">
        <v>176</v>
      </c>
      <c r="K1643" s="7" t="s">
        <v>374</v>
      </c>
      <c r="L1643" s="10">
        <v>100</v>
      </c>
      <c r="M1643" s="10">
        <v>100</v>
      </c>
      <c r="N1643" s="10">
        <f>+L1643-M1643</f>
        <v>0</v>
      </c>
      <c r="O1643" s="10">
        <v>100</v>
      </c>
      <c r="P1643" s="10">
        <f>+L1643-O1643</f>
        <v>0</v>
      </c>
      <c r="Q1643" s="10">
        <v>0</v>
      </c>
      <c r="R1643" s="7" t="s">
        <v>27</v>
      </c>
    </row>
    <row r="1644" spans="1:18" hidden="1">
      <c r="A1644" s="7" t="s">
        <v>29</v>
      </c>
      <c r="B1644" s="8">
        <v>20781</v>
      </c>
      <c r="C1644" s="9">
        <v>46007.436095798606</v>
      </c>
      <c r="D1644" s="9">
        <v>45996</v>
      </c>
      <c r="E1644" s="9">
        <v>45996</v>
      </c>
      <c r="F1644" s="7" t="s">
        <v>5276</v>
      </c>
      <c r="G1644" s="7" t="s">
        <v>5277</v>
      </c>
      <c r="H1644" s="7" t="s">
        <v>5278</v>
      </c>
      <c r="I1644" s="7" t="s">
        <v>5279</v>
      </c>
      <c r="J1644" s="7" t="s">
        <v>176</v>
      </c>
      <c r="K1644" s="7" t="s">
        <v>360</v>
      </c>
      <c r="L1644" s="10">
        <v>95.5</v>
      </c>
      <c r="M1644" s="10">
        <v>95.5</v>
      </c>
      <c r="N1644" s="10">
        <f>+L1644-M1644</f>
        <v>0</v>
      </c>
      <c r="O1644" s="10">
        <v>95.5</v>
      </c>
      <c r="P1644" s="10">
        <f>+L1644-O1644</f>
        <v>0</v>
      </c>
      <c r="Q1644" s="10">
        <v>0</v>
      </c>
      <c r="R1644" s="7" t="s">
        <v>27</v>
      </c>
    </row>
    <row r="1645" spans="1:18" hidden="1">
      <c r="A1645" s="7" t="s">
        <v>29</v>
      </c>
      <c r="B1645" s="8">
        <v>20565</v>
      </c>
      <c r="C1645" s="9">
        <v>45940.444768518515</v>
      </c>
      <c r="D1645" s="9">
        <v>45940</v>
      </c>
      <c r="E1645" s="9">
        <v>45939</v>
      </c>
      <c r="F1645" s="7" t="s">
        <v>5280</v>
      </c>
      <c r="G1645" s="7" t="s">
        <v>5281</v>
      </c>
      <c r="H1645" s="7" t="s">
        <v>1930</v>
      </c>
      <c r="I1645" s="7" t="s">
        <v>1931</v>
      </c>
      <c r="J1645" s="7" t="s">
        <v>34</v>
      </c>
      <c r="K1645" s="7" t="s">
        <v>35</v>
      </c>
      <c r="L1645" s="10">
        <v>92.07</v>
      </c>
      <c r="M1645" s="10">
        <v>92.07</v>
      </c>
      <c r="N1645" s="10">
        <f>+L1645-M1645</f>
        <v>0</v>
      </c>
      <c r="O1645" s="10">
        <v>92.07</v>
      </c>
      <c r="P1645" s="10">
        <f>+L1645-O1645</f>
        <v>0</v>
      </c>
      <c r="Q1645" s="10">
        <v>0</v>
      </c>
      <c r="R1645" s="7" t="s">
        <v>27</v>
      </c>
    </row>
    <row r="1646" spans="1:18" hidden="1">
      <c r="A1646" s="7" t="s">
        <v>29</v>
      </c>
      <c r="B1646" s="8">
        <v>19751</v>
      </c>
      <c r="C1646" s="9">
        <v>45777.383437500001</v>
      </c>
      <c r="D1646" s="9">
        <v>45768</v>
      </c>
      <c r="E1646" s="9">
        <v>45768</v>
      </c>
      <c r="F1646" s="7" t="s">
        <v>5282</v>
      </c>
      <c r="G1646" s="7" t="s">
        <v>5283</v>
      </c>
      <c r="H1646" s="7" t="s">
        <v>5284</v>
      </c>
      <c r="I1646" s="7" t="s">
        <v>5282</v>
      </c>
      <c r="J1646" s="7" t="s">
        <v>40</v>
      </c>
      <c r="K1646" s="7" t="s">
        <v>1784</v>
      </c>
      <c r="L1646" s="10">
        <v>85.48</v>
      </c>
      <c r="M1646" s="10">
        <v>85.48</v>
      </c>
      <c r="N1646" s="10">
        <f>+L1646-M1646</f>
        <v>0</v>
      </c>
      <c r="O1646" s="10">
        <v>85.48</v>
      </c>
      <c r="P1646" s="10">
        <f>+L1646-O1646</f>
        <v>0</v>
      </c>
      <c r="Q1646" s="10">
        <v>0</v>
      </c>
      <c r="R1646" s="7" t="s">
        <v>27</v>
      </c>
    </row>
    <row r="1647" spans="1:18" hidden="1">
      <c r="A1647" s="7" t="s">
        <v>29</v>
      </c>
      <c r="B1647" s="8">
        <v>20436</v>
      </c>
      <c r="C1647" s="9">
        <v>45911.432395833333</v>
      </c>
      <c r="D1647" s="9">
        <v>45911</v>
      </c>
      <c r="E1647" s="9">
        <v>45911</v>
      </c>
      <c r="F1647" s="7" t="s">
        <v>5285</v>
      </c>
      <c r="G1647" s="7" t="s">
        <v>5286</v>
      </c>
      <c r="H1647" s="7" t="s">
        <v>5287</v>
      </c>
      <c r="I1647" s="7" t="s">
        <v>5285</v>
      </c>
      <c r="J1647" s="7" t="s">
        <v>40</v>
      </c>
      <c r="K1647" s="7" t="s">
        <v>4785</v>
      </c>
      <c r="L1647" s="10">
        <v>80.41</v>
      </c>
      <c r="M1647" s="10">
        <v>80.41</v>
      </c>
      <c r="N1647" s="10">
        <f>+L1647-M1647</f>
        <v>0</v>
      </c>
      <c r="O1647" s="10">
        <v>80.41</v>
      </c>
      <c r="P1647" s="10">
        <f>+L1647-O1647</f>
        <v>0</v>
      </c>
      <c r="Q1647" s="10">
        <v>0</v>
      </c>
      <c r="R1647" s="7" t="s">
        <v>27</v>
      </c>
    </row>
    <row r="1648" spans="1:18" hidden="1">
      <c r="A1648" s="7" t="s">
        <v>29</v>
      </c>
      <c r="B1648" s="8">
        <v>19334</v>
      </c>
      <c r="C1648" s="9">
        <v>45674.498657407406</v>
      </c>
      <c r="D1648" s="9">
        <v>45674</v>
      </c>
      <c r="E1648" s="9">
        <v>45674</v>
      </c>
      <c r="F1648" s="7" t="s">
        <v>5288</v>
      </c>
      <c r="G1648" s="7" t="s">
        <v>5289</v>
      </c>
      <c r="H1648" s="7" t="s">
        <v>5290</v>
      </c>
      <c r="I1648" s="7" t="s">
        <v>5288</v>
      </c>
      <c r="J1648" s="7" t="s">
        <v>40</v>
      </c>
      <c r="K1648" s="7" t="s">
        <v>1784</v>
      </c>
      <c r="L1648" s="10">
        <v>79.67</v>
      </c>
      <c r="M1648" s="10">
        <v>79.67</v>
      </c>
      <c r="N1648" s="10">
        <f>+L1648-M1648</f>
        <v>0</v>
      </c>
      <c r="O1648" s="10">
        <v>79.67</v>
      </c>
      <c r="P1648" s="10">
        <f>+L1648-O1648</f>
        <v>0</v>
      </c>
      <c r="Q1648" s="10">
        <v>0</v>
      </c>
      <c r="R1648" s="7" t="s">
        <v>27</v>
      </c>
    </row>
    <row r="1649" spans="1:18" hidden="1">
      <c r="A1649" s="7" t="s">
        <v>29</v>
      </c>
      <c r="B1649" s="8">
        <v>19405</v>
      </c>
      <c r="C1649" s="9">
        <v>45699.497777777775</v>
      </c>
      <c r="D1649" s="9">
        <v>45693</v>
      </c>
      <c r="E1649" s="9">
        <v>45693</v>
      </c>
      <c r="F1649" s="7" t="s">
        <v>5291</v>
      </c>
      <c r="G1649" s="7" t="s">
        <v>908</v>
      </c>
      <c r="H1649" s="7" t="s">
        <v>5292</v>
      </c>
      <c r="I1649" s="7" t="s">
        <v>5291</v>
      </c>
      <c r="J1649" s="7" t="s">
        <v>40</v>
      </c>
      <c r="K1649" s="7" t="s">
        <v>1784</v>
      </c>
      <c r="L1649" s="10">
        <v>79.099999999999994</v>
      </c>
      <c r="M1649" s="10">
        <v>79.099999999999994</v>
      </c>
      <c r="N1649" s="10">
        <f>+L1649-M1649</f>
        <v>0</v>
      </c>
      <c r="O1649" s="10">
        <v>79.099999999999994</v>
      </c>
      <c r="P1649" s="10">
        <f>+L1649-O1649</f>
        <v>0</v>
      </c>
      <c r="Q1649" s="10">
        <v>0</v>
      </c>
      <c r="R1649" s="7" t="s">
        <v>27</v>
      </c>
    </row>
    <row r="1650" spans="1:18" hidden="1">
      <c r="A1650" s="7" t="s">
        <v>29</v>
      </c>
      <c r="B1650" s="8">
        <v>20307</v>
      </c>
      <c r="C1650" s="9">
        <v>45890.557291666664</v>
      </c>
      <c r="D1650" s="9">
        <v>45889</v>
      </c>
      <c r="E1650" s="9">
        <v>45889</v>
      </c>
      <c r="F1650" s="7" t="s">
        <v>5293</v>
      </c>
      <c r="G1650" s="7" t="s">
        <v>5294</v>
      </c>
      <c r="H1650" s="7" t="s">
        <v>5295</v>
      </c>
      <c r="I1650" s="7" t="s">
        <v>5293</v>
      </c>
      <c r="J1650" s="7" t="s">
        <v>40</v>
      </c>
      <c r="K1650" s="7" t="s">
        <v>4785</v>
      </c>
      <c r="L1650" s="10">
        <v>79.099999999999994</v>
      </c>
      <c r="M1650" s="10">
        <v>79.099999999999994</v>
      </c>
      <c r="N1650" s="10">
        <f>+L1650-M1650</f>
        <v>0</v>
      </c>
      <c r="O1650" s="10">
        <v>79.099999999999994</v>
      </c>
      <c r="P1650" s="10">
        <f>+L1650-O1650</f>
        <v>0</v>
      </c>
      <c r="Q1650" s="10">
        <v>0</v>
      </c>
      <c r="R1650" s="7" t="s">
        <v>27</v>
      </c>
    </row>
    <row r="1651" spans="1:18" hidden="1">
      <c r="A1651" s="7" t="s">
        <v>29</v>
      </c>
      <c r="B1651" s="8">
        <v>19335</v>
      </c>
      <c r="C1651" s="9">
        <v>45674.637037037035</v>
      </c>
      <c r="D1651" s="9">
        <v>45674</v>
      </c>
      <c r="E1651" s="9">
        <v>45674</v>
      </c>
      <c r="F1651" s="7" t="s">
        <v>5296</v>
      </c>
      <c r="G1651" s="7" t="s">
        <v>3587</v>
      </c>
      <c r="H1651" s="7" t="s">
        <v>5297</v>
      </c>
      <c r="I1651" s="7" t="s">
        <v>5296</v>
      </c>
      <c r="J1651" s="7" t="s">
        <v>40</v>
      </c>
      <c r="K1651" s="7" t="s">
        <v>1784</v>
      </c>
      <c r="L1651" s="10">
        <v>79.099999999999994</v>
      </c>
      <c r="M1651" s="10">
        <v>79.099999999999994</v>
      </c>
      <c r="N1651" s="10">
        <f>+L1651-M1651</f>
        <v>0</v>
      </c>
      <c r="O1651" s="10">
        <v>79.099999999999994</v>
      </c>
      <c r="P1651" s="10">
        <f>+L1651-O1651</f>
        <v>0</v>
      </c>
      <c r="Q1651" s="10">
        <v>0</v>
      </c>
      <c r="R1651" s="7" t="s">
        <v>27</v>
      </c>
    </row>
    <row r="1652" spans="1:18" hidden="1">
      <c r="A1652" s="7" t="s">
        <v>29</v>
      </c>
      <c r="B1652" s="8">
        <v>20910</v>
      </c>
      <c r="C1652" s="9">
        <v>46048.546678240738</v>
      </c>
      <c r="D1652" s="9">
        <v>46048</v>
      </c>
      <c r="E1652" s="9">
        <v>46045</v>
      </c>
      <c r="F1652" s="7" t="s">
        <v>5298</v>
      </c>
      <c r="G1652" s="7" t="s">
        <v>5299</v>
      </c>
      <c r="H1652" s="7" t="s">
        <v>5300</v>
      </c>
      <c r="I1652" s="7" t="s">
        <v>5301</v>
      </c>
      <c r="J1652" s="7" t="s">
        <v>34</v>
      </c>
      <c r="K1652" s="7" t="s">
        <v>477</v>
      </c>
      <c r="L1652" s="10">
        <v>80.459999999999994</v>
      </c>
      <c r="M1652" s="10">
        <v>80.459999999999994</v>
      </c>
      <c r="N1652" s="10">
        <f>+L1652-M1652</f>
        <v>0</v>
      </c>
      <c r="O1652" s="10">
        <v>80.459999999999994</v>
      </c>
      <c r="P1652" s="10">
        <f>+L1652-O1652</f>
        <v>0</v>
      </c>
      <c r="Q1652" s="10">
        <v>0</v>
      </c>
      <c r="R1652" s="7" t="s">
        <v>27</v>
      </c>
    </row>
    <row r="1653" spans="1:18" hidden="1">
      <c r="A1653" s="7" t="s">
        <v>29</v>
      </c>
      <c r="B1653" s="8">
        <v>20373</v>
      </c>
      <c r="C1653" s="9">
        <v>45901.613622685181</v>
      </c>
      <c r="D1653" s="9">
        <v>45898</v>
      </c>
      <c r="E1653" s="9">
        <v>45898</v>
      </c>
      <c r="F1653" s="7" t="s">
        <v>4927</v>
      </c>
      <c r="G1653" s="7" t="s">
        <v>5302</v>
      </c>
      <c r="H1653" s="7" t="s">
        <v>4929</v>
      </c>
      <c r="I1653" s="7" t="s">
        <v>4927</v>
      </c>
      <c r="J1653" s="7" t="s">
        <v>40</v>
      </c>
      <c r="K1653" s="7" t="s">
        <v>4785</v>
      </c>
      <c r="L1653" s="10">
        <v>67.12</v>
      </c>
      <c r="M1653" s="10">
        <v>67.12</v>
      </c>
      <c r="N1653" s="10">
        <f>+L1653-M1653</f>
        <v>0</v>
      </c>
      <c r="O1653" s="10">
        <v>67.12</v>
      </c>
      <c r="P1653" s="10">
        <f>+L1653-O1653</f>
        <v>0</v>
      </c>
      <c r="Q1653" s="10">
        <v>0</v>
      </c>
      <c r="R1653" s="7" t="s">
        <v>27</v>
      </c>
    </row>
    <row r="1654" spans="1:18" hidden="1">
      <c r="A1654" s="7" t="s">
        <v>29</v>
      </c>
      <c r="B1654" s="8">
        <v>19494</v>
      </c>
      <c r="C1654" s="9">
        <v>45722.382997685185</v>
      </c>
      <c r="D1654" s="9">
        <v>45721</v>
      </c>
      <c r="E1654" s="9">
        <v>45721</v>
      </c>
      <c r="F1654" s="7" t="s">
        <v>5303</v>
      </c>
      <c r="G1654" s="7" t="s">
        <v>5304</v>
      </c>
      <c r="H1654" s="7" t="s">
        <v>2260</v>
      </c>
      <c r="I1654" s="7" t="s">
        <v>2261</v>
      </c>
      <c r="J1654" s="7" t="s">
        <v>40</v>
      </c>
      <c r="K1654" s="7" t="s">
        <v>2986</v>
      </c>
      <c r="L1654" s="10">
        <v>65.52</v>
      </c>
      <c r="M1654" s="10">
        <v>65.52</v>
      </c>
      <c r="N1654" s="10">
        <f>+L1654-M1654</f>
        <v>0</v>
      </c>
      <c r="O1654" s="10">
        <v>65.52</v>
      </c>
      <c r="P1654" s="10">
        <f>+L1654-O1654</f>
        <v>0</v>
      </c>
      <c r="Q1654" s="10">
        <v>0</v>
      </c>
      <c r="R1654" s="7" t="s">
        <v>27</v>
      </c>
    </row>
    <row r="1655" spans="1:18" hidden="1">
      <c r="A1655" s="7" t="s">
        <v>29</v>
      </c>
      <c r="B1655" s="8">
        <v>20156</v>
      </c>
      <c r="C1655" s="9">
        <v>45854.406747685185</v>
      </c>
      <c r="D1655" s="9">
        <v>45849</v>
      </c>
      <c r="E1655" s="9">
        <v>45849</v>
      </c>
      <c r="F1655" s="7" t="s">
        <v>5305</v>
      </c>
      <c r="G1655" s="7" t="s">
        <v>5306</v>
      </c>
      <c r="H1655" s="7" t="s">
        <v>5307</v>
      </c>
      <c r="I1655" s="7" t="s">
        <v>5305</v>
      </c>
      <c r="J1655" s="7" t="s">
        <v>40</v>
      </c>
      <c r="K1655" s="7" t="s">
        <v>1784</v>
      </c>
      <c r="L1655" s="10">
        <v>62.51</v>
      </c>
      <c r="M1655" s="10">
        <v>62.51</v>
      </c>
      <c r="N1655" s="10">
        <f>+L1655-M1655</f>
        <v>0</v>
      </c>
      <c r="O1655" s="10">
        <v>62.51</v>
      </c>
      <c r="P1655" s="10">
        <f>+L1655-O1655</f>
        <v>0</v>
      </c>
      <c r="Q1655" s="10">
        <v>0</v>
      </c>
      <c r="R1655" s="7" t="s">
        <v>27</v>
      </c>
    </row>
    <row r="1656" spans="1:18" hidden="1">
      <c r="A1656" s="7" t="s">
        <v>29</v>
      </c>
      <c r="B1656" s="8">
        <v>20481</v>
      </c>
      <c r="C1656" s="9">
        <v>45922.612210648149</v>
      </c>
      <c r="D1656" s="9">
        <v>45922</v>
      </c>
      <c r="E1656" s="9">
        <v>45922</v>
      </c>
      <c r="F1656" s="7" t="s">
        <v>5308</v>
      </c>
      <c r="G1656" s="7" t="s">
        <v>5309</v>
      </c>
      <c r="H1656" s="7" t="s">
        <v>5310</v>
      </c>
      <c r="I1656" s="7" t="s">
        <v>5311</v>
      </c>
      <c r="J1656" s="7" t="s">
        <v>40</v>
      </c>
      <c r="K1656" s="7" t="s">
        <v>525</v>
      </c>
      <c r="L1656" s="10">
        <v>60.01</v>
      </c>
      <c r="M1656" s="10">
        <v>60.01</v>
      </c>
      <c r="N1656" s="10">
        <f>+L1656-M1656</f>
        <v>0</v>
      </c>
      <c r="O1656" s="10">
        <v>60.01</v>
      </c>
      <c r="P1656" s="10">
        <f>+L1656-O1656</f>
        <v>0</v>
      </c>
      <c r="Q1656" s="10">
        <v>0</v>
      </c>
      <c r="R1656" s="7" t="s">
        <v>27</v>
      </c>
    </row>
    <row r="1657" spans="1:18" hidden="1">
      <c r="A1657" s="7" t="s">
        <v>29</v>
      </c>
      <c r="B1657" s="8">
        <v>20511</v>
      </c>
      <c r="C1657" s="9">
        <v>45925.684953703705</v>
      </c>
      <c r="D1657" s="9">
        <v>45924</v>
      </c>
      <c r="E1657" s="9">
        <v>45924</v>
      </c>
      <c r="F1657" s="7" t="s">
        <v>5312</v>
      </c>
      <c r="G1657" s="7" t="s">
        <v>5313</v>
      </c>
      <c r="H1657" s="7" t="s">
        <v>5314</v>
      </c>
      <c r="I1657" s="7" t="s">
        <v>5312</v>
      </c>
      <c r="J1657" s="7" t="s">
        <v>40</v>
      </c>
      <c r="K1657" s="7" t="s">
        <v>4785</v>
      </c>
      <c r="L1657" s="10">
        <v>58.48</v>
      </c>
      <c r="M1657" s="10">
        <v>58.48</v>
      </c>
      <c r="N1657" s="10">
        <f>+L1657-M1657</f>
        <v>0</v>
      </c>
      <c r="O1657" s="10">
        <v>58.48</v>
      </c>
      <c r="P1657" s="10">
        <f>+L1657-O1657</f>
        <v>0</v>
      </c>
      <c r="Q1657" s="10">
        <v>0</v>
      </c>
      <c r="R1657" s="7" t="s">
        <v>27</v>
      </c>
    </row>
    <row r="1658" spans="1:18" hidden="1">
      <c r="A1658" s="7" t="s">
        <v>29</v>
      </c>
      <c r="B1658" s="8">
        <v>19996</v>
      </c>
      <c r="C1658" s="9">
        <v>45831.447835648149</v>
      </c>
      <c r="D1658" s="9">
        <v>45829</v>
      </c>
      <c r="E1658" s="9">
        <v>45829</v>
      </c>
      <c r="F1658" s="7" t="s">
        <v>5315</v>
      </c>
      <c r="G1658" s="7" t="s">
        <v>5316</v>
      </c>
      <c r="H1658" s="7" t="s">
        <v>5317</v>
      </c>
      <c r="I1658" s="7" t="s">
        <v>5318</v>
      </c>
      <c r="J1658" s="7" t="s">
        <v>176</v>
      </c>
      <c r="K1658" s="7" t="s">
        <v>494</v>
      </c>
      <c r="L1658" s="10">
        <v>71.5</v>
      </c>
      <c r="M1658" s="10">
        <v>71.5</v>
      </c>
      <c r="N1658" s="10">
        <f>+L1658-M1658</f>
        <v>0</v>
      </c>
      <c r="O1658" s="10">
        <v>71.5</v>
      </c>
      <c r="P1658" s="10">
        <f>+L1658-O1658</f>
        <v>0</v>
      </c>
      <c r="Q1658" s="10">
        <v>0</v>
      </c>
      <c r="R1658" s="7" t="s">
        <v>27</v>
      </c>
    </row>
    <row r="1659" spans="1:18" hidden="1">
      <c r="A1659" s="7" t="s">
        <v>29</v>
      </c>
      <c r="B1659" s="8">
        <v>20175</v>
      </c>
      <c r="C1659" s="9">
        <v>45860.495474537034</v>
      </c>
      <c r="D1659" s="9">
        <v>45860</v>
      </c>
      <c r="E1659" s="9">
        <v>45860</v>
      </c>
      <c r="F1659" s="7" t="s">
        <v>5319</v>
      </c>
      <c r="G1659" s="7" t="s">
        <v>5320</v>
      </c>
      <c r="H1659" s="7" t="s">
        <v>5321</v>
      </c>
      <c r="I1659" s="7" t="s">
        <v>5319</v>
      </c>
      <c r="J1659" s="7" t="s">
        <v>40</v>
      </c>
      <c r="K1659" s="7" t="s">
        <v>1784</v>
      </c>
      <c r="L1659" s="10">
        <v>58.17</v>
      </c>
      <c r="M1659" s="10">
        <v>58.17</v>
      </c>
      <c r="N1659" s="10">
        <f>+L1659-M1659</f>
        <v>0</v>
      </c>
      <c r="O1659" s="10">
        <v>58.17</v>
      </c>
      <c r="P1659" s="10">
        <f>+L1659-O1659</f>
        <v>0</v>
      </c>
      <c r="Q1659" s="10">
        <v>0</v>
      </c>
      <c r="R1659" s="7" t="s">
        <v>27</v>
      </c>
    </row>
    <row r="1660" spans="1:18" hidden="1">
      <c r="A1660" s="7" t="s">
        <v>29</v>
      </c>
      <c r="B1660" s="8">
        <v>19696</v>
      </c>
      <c r="C1660" s="9">
        <v>45769.665462962963</v>
      </c>
      <c r="D1660" s="9">
        <v>45769</v>
      </c>
      <c r="E1660" s="9">
        <v>45769</v>
      </c>
      <c r="F1660" s="7" t="s">
        <v>5322</v>
      </c>
      <c r="G1660" s="7" t="s">
        <v>5323</v>
      </c>
      <c r="H1660" s="7" t="s">
        <v>1325</v>
      </c>
      <c r="I1660" s="7" t="s">
        <v>74</v>
      </c>
      <c r="J1660" s="7" t="s">
        <v>40</v>
      </c>
      <c r="K1660" s="7" t="s">
        <v>4135</v>
      </c>
      <c r="L1660" s="10">
        <v>56.5</v>
      </c>
      <c r="M1660" s="10">
        <v>56.5</v>
      </c>
      <c r="N1660" s="10">
        <f>+L1660-M1660</f>
        <v>0</v>
      </c>
      <c r="O1660" s="10">
        <v>56.5</v>
      </c>
      <c r="P1660" s="10">
        <f>+L1660-O1660</f>
        <v>0</v>
      </c>
      <c r="Q1660" s="10">
        <v>0</v>
      </c>
      <c r="R1660" s="7" t="s">
        <v>27</v>
      </c>
    </row>
    <row r="1661" spans="1:18" hidden="1">
      <c r="A1661" s="7" t="s">
        <v>29</v>
      </c>
      <c r="B1661" s="8">
        <v>20727</v>
      </c>
      <c r="C1661" s="9">
        <v>45987.487141203703</v>
      </c>
      <c r="D1661" s="9">
        <v>45986</v>
      </c>
      <c r="E1661" s="9">
        <v>45986</v>
      </c>
      <c r="F1661" s="7" t="s">
        <v>5324</v>
      </c>
      <c r="G1661" s="7" t="s">
        <v>5325</v>
      </c>
      <c r="H1661" s="7" t="s">
        <v>5326</v>
      </c>
      <c r="I1661" s="7" t="s">
        <v>5327</v>
      </c>
      <c r="J1661" s="7" t="s">
        <v>40</v>
      </c>
      <c r="K1661" s="7" t="s">
        <v>4135</v>
      </c>
      <c r="L1661" s="10">
        <v>52.51</v>
      </c>
      <c r="M1661" s="10">
        <v>52.51</v>
      </c>
      <c r="N1661" s="10">
        <f>+L1661-M1661</f>
        <v>0</v>
      </c>
      <c r="O1661" s="10">
        <v>52.51</v>
      </c>
      <c r="P1661" s="10">
        <f>+L1661-O1661</f>
        <v>0</v>
      </c>
      <c r="Q1661" s="10">
        <v>0</v>
      </c>
      <c r="R1661" s="7" t="s">
        <v>27</v>
      </c>
    </row>
    <row r="1662" spans="1:18" hidden="1">
      <c r="A1662" s="7" t="s">
        <v>29</v>
      </c>
      <c r="B1662" s="8">
        <v>20452</v>
      </c>
      <c r="C1662" s="9">
        <v>45916.556608796294</v>
      </c>
      <c r="D1662" s="9">
        <v>45912</v>
      </c>
      <c r="E1662" s="9">
        <v>45912</v>
      </c>
      <c r="F1662" s="7" t="s">
        <v>5328</v>
      </c>
      <c r="G1662" s="7" t="s">
        <v>5329</v>
      </c>
      <c r="H1662" s="7" t="s">
        <v>5330</v>
      </c>
      <c r="I1662" s="7" t="s">
        <v>5328</v>
      </c>
      <c r="J1662" s="7" t="s">
        <v>40</v>
      </c>
      <c r="K1662" s="7" t="s">
        <v>4785</v>
      </c>
      <c r="L1662" s="10">
        <v>51.81</v>
      </c>
      <c r="M1662" s="10">
        <v>51.81</v>
      </c>
      <c r="N1662" s="10">
        <f>+L1662-M1662</f>
        <v>0</v>
      </c>
      <c r="O1662" s="10">
        <v>51.81</v>
      </c>
      <c r="P1662" s="10">
        <f>+L1662-O1662</f>
        <v>0</v>
      </c>
      <c r="Q1662" s="10">
        <v>0</v>
      </c>
      <c r="R1662" s="7" t="s">
        <v>27</v>
      </c>
    </row>
    <row r="1663" spans="1:18" hidden="1">
      <c r="A1663" s="7" t="s">
        <v>29</v>
      </c>
      <c r="B1663" s="8">
        <v>19488</v>
      </c>
      <c r="C1663" s="9">
        <v>45720.399722222217</v>
      </c>
      <c r="D1663" s="9">
        <v>45720</v>
      </c>
      <c r="E1663" s="9">
        <v>45719</v>
      </c>
      <c r="F1663" s="7" t="s">
        <v>5331</v>
      </c>
      <c r="G1663" s="7" t="s">
        <v>5332</v>
      </c>
      <c r="H1663" s="7" t="s">
        <v>5333</v>
      </c>
      <c r="I1663" s="7" t="s">
        <v>5334</v>
      </c>
      <c r="J1663" s="7" t="s">
        <v>34</v>
      </c>
      <c r="K1663" s="7" t="s">
        <v>902</v>
      </c>
      <c r="L1663" s="10">
        <v>60</v>
      </c>
      <c r="M1663" s="10">
        <v>60</v>
      </c>
      <c r="N1663" s="10">
        <f>+L1663-M1663</f>
        <v>0</v>
      </c>
      <c r="O1663" s="10">
        <v>60</v>
      </c>
      <c r="P1663" s="10">
        <f>+L1663-O1663</f>
        <v>0</v>
      </c>
      <c r="Q1663" s="10">
        <v>0</v>
      </c>
      <c r="R1663" s="7" t="s">
        <v>27</v>
      </c>
    </row>
    <row r="1664" spans="1:18" hidden="1">
      <c r="A1664" s="7" t="s">
        <v>29</v>
      </c>
      <c r="B1664" s="8">
        <v>20792</v>
      </c>
      <c r="C1664" s="9">
        <v>46010.656863425924</v>
      </c>
      <c r="D1664" s="9">
        <v>46010</v>
      </c>
      <c r="E1664" s="9">
        <v>46010</v>
      </c>
      <c r="F1664" s="7" t="s">
        <v>5335</v>
      </c>
      <c r="G1664" s="7" t="s">
        <v>5336</v>
      </c>
      <c r="H1664" s="7" t="s">
        <v>2169</v>
      </c>
      <c r="I1664" s="7" t="s">
        <v>2170</v>
      </c>
      <c r="J1664" s="7" t="s">
        <v>176</v>
      </c>
      <c r="K1664" s="7" t="s">
        <v>360</v>
      </c>
      <c r="L1664" s="10">
        <v>60</v>
      </c>
      <c r="M1664" s="10">
        <v>60</v>
      </c>
      <c r="N1664" s="10">
        <f>+L1664-M1664</f>
        <v>0</v>
      </c>
      <c r="O1664" s="10">
        <v>60</v>
      </c>
      <c r="P1664" s="10">
        <f>+L1664-O1664</f>
        <v>0</v>
      </c>
      <c r="Q1664" s="10">
        <v>0</v>
      </c>
      <c r="R1664" s="7" t="s">
        <v>27</v>
      </c>
    </row>
    <row r="1665" spans="1:18" hidden="1">
      <c r="A1665" s="7" t="s">
        <v>29</v>
      </c>
      <c r="B1665" s="8">
        <v>20805</v>
      </c>
      <c r="C1665" s="9">
        <v>46014.455601851849</v>
      </c>
      <c r="D1665" s="9">
        <v>46013</v>
      </c>
      <c r="E1665" s="9">
        <v>46013</v>
      </c>
      <c r="F1665" s="7" t="s">
        <v>3809</v>
      </c>
      <c r="G1665" s="7" t="s">
        <v>5337</v>
      </c>
      <c r="H1665" s="7" t="s">
        <v>3811</v>
      </c>
      <c r="I1665" s="7" t="s">
        <v>3812</v>
      </c>
      <c r="J1665" s="7" t="s">
        <v>176</v>
      </c>
      <c r="K1665" s="7" t="s">
        <v>360</v>
      </c>
      <c r="L1665" s="10">
        <v>60</v>
      </c>
      <c r="M1665" s="10">
        <v>60</v>
      </c>
      <c r="N1665" s="10">
        <f>+L1665-M1665</f>
        <v>0</v>
      </c>
      <c r="O1665" s="10">
        <v>60</v>
      </c>
      <c r="P1665" s="10">
        <f>+L1665-O1665</f>
        <v>0</v>
      </c>
      <c r="Q1665" s="10">
        <v>0</v>
      </c>
      <c r="R1665" s="7" t="s">
        <v>27</v>
      </c>
    </row>
    <row r="1666" spans="1:18" hidden="1">
      <c r="A1666" s="7" t="s">
        <v>29</v>
      </c>
      <c r="B1666" s="8">
        <v>20246</v>
      </c>
      <c r="C1666" s="9">
        <v>45875.38758101852</v>
      </c>
      <c r="D1666" s="9">
        <v>45874</v>
      </c>
      <c r="E1666" s="9">
        <v>45874</v>
      </c>
      <c r="F1666" s="7" t="s">
        <v>5338</v>
      </c>
      <c r="G1666" s="7" t="s">
        <v>5339</v>
      </c>
      <c r="H1666" s="7" t="s">
        <v>4075</v>
      </c>
      <c r="I1666" s="7" t="s">
        <v>4076</v>
      </c>
      <c r="J1666" s="7" t="s">
        <v>176</v>
      </c>
      <c r="K1666" s="7" t="s">
        <v>494</v>
      </c>
      <c r="L1666" s="10">
        <v>60</v>
      </c>
      <c r="M1666" s="10">
        <v>60</v>
      </c>
      <c r="N1666" s="10">
        <f>+L1666-M1666</f>
        <v>0</v>
      </c>
      <c r="O1666" s="10">
        <v>60</v>
      </c>
      <c r="P1666" s="10">
        <f>+L1666-O1666</f>
        <v>0</v>
      </c>
      <c r="Q1666" s="10">
        <v>0</v>
      </c>
      <c r="R1666" s="7" t="s">
        <v>27</v>
      </c>
    </row>
    <row r="1667" spans="1:18" hidden="1">
      <c r="A1667" s="7" t="s">
        <v>29</v>
      </c>
      <c r="B1667" s="8">
        <v>20431</v>
      </c>
      <c r="C1667" s="9">
        <v>45910.432847222219</v>
      </c>
      <c r="D1667" s="9">
        <v>45909</v>
      </c>
      <c r="E1667" s="9">
        <v>45909</v>
      </c>
      <c r="F1667" s="7" t="s">
        <v>5328</v>
      </c>
      <c r="G1667" s="7" t="s">
        <v>5340</v>
      </c>
      <c r="H1667" s="7" t="s">
        <v>5330</v>
      </c>
      <c r="I1667" s="7" t="s">
        <v>5328</v>
      </c>
      <c r="J1667" s="7" t="s">
        <v>40</v>
      </c>
      <c r="K1667" s="7" t="s">
        <v>4785</v>
      </c>
      <c r="L1667" s="10">
        <v>51.81</v>
      </c>
      <c r="M1667" s="10">
        <v>51.81</v>
      </c>
      <c r="N1667" s="10">
        <f>+L1667-M1667</f>
        <v>0</v>
      </c>
      <c r="O1667" s="10">
        <v>51.81</v>
      </c>
      <c r="P1667" s="10">
        <f>+L1667-O1667</f>
        <v>0</v>
      </c>
      <c r="Q1667" s="10">
        <v>0</v>
      </c>
      <c r="R1667" s="7" t="s">
        <v>27</v>
      </c>
    </row>
    <row r="1668" spans="1:18" hidden="1">
      <c r="A1668" s="7" t="s">
        <v>29</v>
      </c>
      <c r="B1668" s="8">
        <v>20148</v>
      </c>
      <c r="C1668" s="9">
        <v>45853.600624999999</v>
      </c>
      <c r="D1668" s="9">
        <v>45853</v>
      </c>
      <c r="E1668" s="9">
        <v>45853</v>
      </c>
      <c r="F1668" s="7" t="s">
        <v>74</v>
      </c>
      <c r="G1668" s="7" t="s">
        <v>5341</v>
      </c>
      <c r="H1668" s="7" t="s">
        <v>1325</v>
      </c>
      <c r="I1668" s="7" t="s">
        <v>74</v>
      </c>
      <c r="J1668" s="7" t="s">
        <v>40</v>
      </c>
      <c r="K1668" s="7" t="s">
        <v>1784</v>
      </c>
      <c r="L1668" s="10">
        <v>50.53</v>
      </c>
      <c r="M1668" s="10">
        <v>50.53</v>
      </c>
      <c r="N1668" s="10">
        <f>+L1668-M1668</f>
        <v>0</v>
      </c>
      <c r="O1668" s="10">
        <v>50.53</v>
      </c>
      <c r="P1668" s="10">
        <f>+L1668-O1668</f>
        <v>0</v>
      </c>
      <c r="Q1668" s="10">
        <v>0</v>
      </c>
      <c r="R1668" s="7" t="s">
        <v>27</v>
      </c>
    </row>
    <row r="1669" spans="1:18" hidden="1">
      <c r="A1669" s="7" t="s">
        <v>29</v>
      </c>
      <c r="B1669" s="8">
        <v>19380</v>
      </c>
      <c r="C1669" s="9">
        <v>45693.626805555556</v>
      </c>
      <c r="D1669" s="9">
        <v>45693</v>
      </c>
      <c r="E1669" s="9">
        <v>45693</v>
      </c>
      <c r="F1669" s="7" t="s">
        <v>5342</v>
      </c>
      <c r="G1669" s="7" t="s">
        <v>1157</v>
      </c>
      <c r="H1669" s="7" t="s">
        <v>5343</v>
      </c>
      <c r="I1669" s="7" t="s">
        <v>5342</v>
      </c>
      <c r="J1669" s="7" t="s">
        <v>40</v>
      </c>
      <c r="K1669" s="7" t="s">
        <v>1784</v>
      </c>
      <c r="L1669" s="10">
        <v>49.36</v>
      </c>
      <c r="M1669" s="10">
        <v>49.36</v>
      </c>
      <c r="N1669" s="10">
        <f>+L1669-M1669</f>
        <v>0</v>
      </c>
      <c r="O1669" s="10">
        <v>49.36</v>
      </c>
      <c r="P1669" s="10">
        <f>+L1669-O1669</f>
        <v>0</v>
      </c>
      <c r="Q1669" s="10">
        <v>0</v>
      </c>
      <c r="R1669" s="7" t="s">
        <v>27</v>
      </c>
    </row>
    <row r="1670" spans="1:18" hidden="1">
      <c r="A1670" s="7" t="s">
        <v>29</v>
      </c>
      <c r="B1670" s="8">
        <v>20317</v>
      </c>
      <c r="C1670" s="9">
        <v>45891.640520833331</v>
      </c>
      <c r="D1670" s="9">
        <v>45891</v>
      </c>
      <c r="E1670" s="9">
        <v>45891</v>
      </c>
      <c r="F1670" s="7" t="s">
        <v>74</v>
      </c>
      <c r="G1670" s="7" t="s">
        <v>5344</v>
      </c>
      <c r="H1670" s="7" t="s">
        <v>1325</v>
      </c>
      <c r="I1670" s="7" t="s">
        <v>74</v>
      </c>
      <c r="J1670" s="7" t="s">
        <v>40</v>
      </c>
      <c r="K1670" s="7" t="s">
        <v>4785</v>
      </c>
      <c r="L1670" s="10">
        <v>45.77</v>
      </c>
      <c r="M1670" s="10">
        <v>45.77</v>
      </c>
      <c r="N1670" s="10">
        <f>+L1670-M1670</f>
        <v>0</v>
      </c>
      <c r="O1670" s="10">
        <v>45.77</v>
      </c>
      <c r="P1670" s="10">
        <f>+L1670-O1670</f>
        <v>0</v>
      </c>
      <c r="Q1670" s="10">
        <v>0</v>
      </c>
      <c r="R1670" s="7" t="s">
        <v>27</v>
      </c>
    </row>
    <row r="1671" spans="1:18" hidden="1">
      <c r="A1671" s="7" t="s">
        <v>29</v>
      </c>
      <c r="B1671" s="8">
        <v>20529</v>
      </c>
      <c r="C1671" s="9">
        <v>45930.645451388889</v>
      </c>
      <c r="D1671" s="9">
        <v>45930</v>
      </c>
      <c r="E1671" s="9">
        <v>45930</v>
      </c>
      <c r="F1671" s="7" t="s">
        <v>5312</v>
      </c>
      <c r="G1671" s="7" t="s">
        <v>5345</v>
      </c>
      <c r="H1671" s="7" t="s">
        <v>5314</v>
      </c>
      <c r="I1671" s="7" t="s">
        <v>5312</v>
      </c>
      <c r="J1671" s="7" t="s">
        <v>40</v>
      </c>
      <c r="K1671" s="7" t="s">
        <v>4785</v>
      </c>
      <c r="L1671" s="10">
        <v>45.48</v>
      </c>
      <c r="M1671" s="10">
        <v>45.48</v>
      </c>
      <c r="N1671" s="10">
        <f>+L1671-M1671</f>
        <v>0</v>
      </c>
      <c r="O1671" s="10">
        <v>45.48</v>
      </c>
      <c r="P1671" s="10">
        <f>+L1671-O1671</f>
        <v>0</v>
      </c>
      <c r="Q1671" s="10">
        <v>0</v>
      </c>
      <c r="R1671" s="7" t="s">
        <v>27</v>
      </c>
    </row>
    <row r="1672" spans="1:18" hidden="1">
      <c r="A1672" s="7" t="s">
        <v>29</v>
      </c>
      <c r="B1672" s="8">
        <v>20275</v>
      </c>
      <c r="C1672" s="9">
        <v>45881.545428240737</v>
      </c>
      <c r="D1672" s="9">
        <v>45881</v>
      </c>
      <c r="E1672" s="9">
        <v>45881</v>
      </c>
      <c r="F1672" s="7" t="s">
        <v>5346</v>
      </c>
      <c r="G1672" s="7" t="s">
        <v>5347</v>
      </c>
      <c r="H1672" s="7" t="s">
        <v>5348</v>
      </c>
      <c r="I1672" s="7" t="s">
        <v>5346</v>
      </c>
      <c r="J1672" s="7" t="s">
        <v>40</v>
      </c>
      <c r="K1672" s="7" t="s">
        <v>4785</v>
      </c>
      <c r="L1672" s="10">
        <v>40.92</v>
      </c>
      <c r="M1672" s="10">
        <v>40.92</v>
      </c>
      <c r="N1672" s="10">
        <f>+L1672-M1672</f>
        <v>0</v>
      </c>
      <c r="O1672" s="10">
        <v>40.92</v>
      </c>
      <c r="P1672" s="10">
        <f>+L1672-O1672</f>
        <v>0</v>
      </c>
      <c r="Q1672" s="10">
        <v>0</v>
      </c>
      <c r="R1672" s="7" t="s">
        <v>27</v>
      </c>
    </row>
    <row r="1673" spans="1:18" hidden="1">
      <c r="A1673" s="7" t="s">
        <v>29</v>
      </c>
      <c r="B1673" s="8">
        <v>20449</v>
      </c>
      <c r="C1673" s="9">
        <v>45912.650775462964</v>
      </c>
      <c r="D1673" s="9">
        <v>45912</v>
      </c>
      <c r="E1673" s="9">
        <v>45912</v>
      </c>
      <c r="F1673" s="7" t="s">
        <v>5349</v>
      </c>
      <c r="G1673" s="7" t="s">
        <v>5350</v>
      </c>
      <c r="H1673" s="7" t="s">
        <v>5351</v>
      </c>
      <c r="I1673" s="7" t="s">
        <v>5349</v>
      </c>
      <c r="J1673" s="7" t="s">
        <v>40</v>
      </c>
      <c r="K1673" s="7" t="s">
        <v>4785</v>
      </c>
      <c r="L1673" s="10">
        <v>40.92</v>
      </c>
      <c r="M1673" s="10">
        <v>40.92</v>
      </c>
      <c r="N1673" s="10">
        <f>+L1673-M1673</f>
        <v>0</v>
      </c>
      <c r="O1673" s="10">
        <v>40.92</v>
      </c>
      <c r="P1673" s="10">
        <f>+L1673-O1673</f>
        <v>0</v>
      </c>
      <c r="Q1673" s="10">
        <v>0</v>
      </c>
      <c r="R1673" s="7" t="s">
        <v>27</v>
      </c>
    </row>
    <row r="1674" spans="1:18" hidden="1">
      <c r="A1674" s="7" t="s">
        <v>29</v>
      </c>
      <c r="B1674" s="8">
        <v>19345</v>
      </c>
      <c r="C1674" s="9">
        <v>45679.631273148145</v>
      </c>
      <c r="D1674" s="9">
        <v>45679</v>
      </c>
      <c r="E1674" s="9">
        <v>45686</v>
      </c>
      <c r="F1674" s="7" t="s">
        <v>5352</v>
      </c>
      <c r="G1674" s="7" t="s">
        <v>5353</v>
      </c>
      <c r="H1674" s="7" t="s">
        <v>5354</v>
      </c>
      <c r="I1674" s="7" t="s">
        <v>5355</v>
      </c>
      <c r="J1674" s="7" t="s">
        <v>34</v>
      </c>
      <c r="K1674" s="7" t="s">
        <v>35</v>
      </c>
      <c r="L1674" s="10">
        <v>50.29</v>
      </c>
      <c r="M1674" s="10">
        <v>50.29</v>
      </c>
      <c r="N1674" s="10">
        <f>+L1674-M1674</f>
        <v>0</v>
      </c>
      <c r="O1674" s="10">
        <v>50.29</v>
      </c>
      <c r="P1674" s="10">
        <f>+L1674-O1674</f>
        <v>0</v>
      </c>
      <c r="Q1674" s="10">
        <v>0</v>
      </c>
      <c r="R1674" s="7" t="s">
        <v>27</v>
      </c>
    </row>
    <row r="1675" spans="1:18" hidden="1">
      <c r="A1675" s="7" t="s">
        <v>29</v>
      </c>
      <c r="B1675" s="8">
        <v>20423</v>
      </c>
      <c r="C1675" s="9">
        <v>45909.480127314811</v>
      </c>
      <c r="D1675" s="9">
        <v>45905</v>
      </c>
      <c r="E1675" s="9">
        <v>45905</v>
      </c>
      <c r="F1675" s="7" t="s">
        <v>5356</v>
      </c>
      <c r="G1675" s="7" t="s">
        <v>5357</v>
      </c>
      <c r="H1675" s="7" t="s">
        <v>5358</v>
      </c>
      <c r="I1675" s="7" t="s">
        <v>5356</v>
      </c>
      <c r="J1675" s="7" t="s">
        <v>40</v>
      </c>
      <c r="K1675" s="7" t="s">
        <v>4785</v>
      </c>
      <c r="L1675" s="10">
        <v>40.92</v>
      </c>
      <c r="M1675" s="10">
        <v>40.92</v>
      </c>
      <c r="N1675" s="10">
        <f>+L1675-M1675</f>
        <v>0</v>
      </c>
      <c r="O1675" s="10">
        <v>40.92</v>
      </c>
      <c r="P1675" s="10">
        <f>+L1675-O1675</f>
        <v>0</v>
      </c>
      <c r="Q1675" s="10">
        <v>0</v>
      </c>
      <c r="R1675" s="7" t="s">
        <v>27</v>
      </c>
    </row>
    <row r="1676" spans="1:18" hidden="1">
      <c r="A1676" s="7" t="s">
        <v>29</v>
      </c>
      <c r="B1676" s="8">
        <v>19454</v>
      </c>
      <c r="C1676" s="9">
        <v>45713.448379629626</v>
      </c>
      <c r="D1676" s="9">
        <v>45712</v>
      </c>
      <c r="E1676" s="9">
        <v>45712</v>
      </c>
      <c r="F1676" s="7" t="s">
        <v>5359</v>
      </c>
      <c r="G1676" s="7" t="s">
        <v>4736</v>
      </c>
      <c r="H1676" s="7" t="s">
        <v>5360</v>
      </c>
      <c r="I1676" s="7" t="s">
        <v>5359</v>
      </c>
      <c r="J1676" s="7" t="s">
        <v>40</v>
      </c>
      <c r="K1676" s="7" t="s">
        <v>1784</v>
      </c>
      <c r="L1676" s="10">
        <v>40.28</v>
      </c>
      <c r="M1676" s="10">
        <v>40.28</v>
      </c>
      <c r="N1676" s="10">
        <f>+L1676-M1676</f>
        <v>0</v>
      </c>
      <c r="O1676" s="10">
        <v>40.28</v>
      </c>
      <c r="P1676" s="10">
        <f>+L1676-O1676</f>
        <v>0</v>
      </c>
      <c r="Q1676" s="10">
        <v>0</v>
      </c>
      <c r="R1676" s="7" t="s">
        <v>27</v>
      </c>
    </row>
    <row r="1677" spans="1:18" hidden="1">
      <c r="A1677" s="7" t="s">
        <v>29</v>
      </c>
      <c r="B1677" s="8">
        <v>19934</v>
      </c>
      <c r="C1677" s="9">
        <v>45817.496388888889</v>
      </c>
      <c r="D1677" s="9">
        <v>45814</v>
      </c>
      <c r="E1677" s="9">
        <v>45814</v>
      </c>
      <c r="F1677" s="7" t="s">
        <v>5361</v>
      </c>
      <c r="G1677" s="7" t="s">
        <v>5362</v>
      </c>
      <c r="H1677" s="7" t="s">
        <v>5363</v>
      </c>
      <c r="I1677" s="7" t="s">
        <v>5361</v>
      </c>
      <c r="J1677" s="7" t="s">
        <v>40</v>
      </c>
      <c r="K1677" s="7" t="s">
        <v>1784</v>
      </c>
      <c r="L1677" s="10">
        <v>33.76</v>
      </c>
      <c r="M1677" s="10">
        <v>33.76</v>
      </c>
      <c r="N1677" s="10">
        <f>+L1677-M1677</f>
        <v>0</v>
      </c>
      <c r="O1677" s="10">
        <v>33.76</v>
      </c>
      <c r="P1677" s="10">
        <f>+L1677-O1677</f>
        <v>0</v>
      </c>
      <c r="Q1677" s="10">
        <v>0</v>
      </c>
      <c r="R1677" s="7" t="s">
        <v>27</v>
      </c>
    </row>
    <row r="1678" spans="1:18" hidden="1">
      <c r="A1678" s="7" t="s">
        <v>29</v>
      </c>
      <c r="B1678" s="8">
        <v>19796</v>
      </c>
      <c r="C1678" s="9">
        <v>45789.494166666664</v>
      </c>
      <c r="D1678" s="9">
        <v>45784</v>
      </c>
      <c r="E1678" s="9">
        <v>45777</v>
      </c>
      <c r="F1678" s="7" t="s">
        <v>5364</v>
      </c>
      <c r="G1678" s="7" t="s">
        <v>5365</v>
      </c>
      <c r="H1678" s="7" t="s">
        <v>5366</v>
      </c>
      <c r="I1678" s="7" t="s">
        <v>5367</v>
      </c>
      <c r="J1678" s="7" t="s">
        <v>176</v>
      </c>
      <c r="K1678" s="7" t="s">
        <v>317</v>
      </c>
      <c r="L1678" s="10">
        <v>45.2</v>
      </c>
      <c r="M1678" s="10">
        <v>45.2</v>
      </c>
      <c r="N1678" s="10">
        <f>+L1678-M1678</f>
        <v>0</v>
      </c>
      <c r="O1678" s="10">
        <v>45.2</v>
      </c>
      <c r="P1678" s="10">
        <f>+L1678-O1678</f>
        <v>0</v>
      </c>
      <c r="Q1678" s="10">
        <v>0</v>
      </c>
      <c r="R1678" s="7" t="s">
        <v>27</v>
      </c>
    </row>
    <row r="1679" spans="1:18" hidden="1">
      <c r="A1679" s="7" t="s">
        <v>29</v>
      </c>
      <c r="B1679" s="8">
        <v>20002</v>
      </c>
      <c r="C1679" s="9">
        <v>45831.61887731481</v>
      </c>
      <c r="D1679" s="9">
        <v>45831</v>
      </c>
      <c r="E1679" s="9">
        <v>45831</v>
      </c>
      <c r="F1679" s="7" t="s">
        <v>5368</v>
      </c>
      <c r="G1679" s="7" t="s">
        <v>5369</v>
      </c>
      <c r="H1679" s="7" t="s">
        <v>5370</v>
      </c>
      <c r="I1679" s="7" t="s">
        <v>5368</v>
      </c>
      <c r="J1679" s="7" t="s">
        <v>40</v>
      </c>
      <c r="K1679" s="7" t="s">
        <v>1784</v>
      </c>
      <c r="L1679" s="10">
        <v>30.65</v>
      </c>
      <c r="M1679" s="10">
        <v>30.65</v>
      </c>
      <c r="N1679" s="10">
        <f>+L1679-M1679</f>
        <v>0</v>
      </c>
      <c r="O1679" s="10">
        <v>30.65</v>
      </c>
      <c r="P1679" s="10">
        <f>+L1679-O1679</f>
        <v>0</v>
      </c>
      <c r="Q1679" s="10">
        <v>0</v>
      </c>
      <c r="R1679" s="7" t="s">
        <v>27</v>
      </c>
    </row>
    <row r="1680" spans="1:18" hidden="1">
      <c r="A1680" s="7" t="s">
        <v>29</v>
      </c>
      <c r="B1680" s="8">
        <v>19693</v>
      </c>
      <c r="C1680" s="9">
        <v>45768.581215277773</v>
      </c>
      <c r="D1680" s="9">
        <v>45768</v>
      </c>
      <c r="E1680" s="9">
        <v>45768</v>
      </c>
      <c r="F1680" s="7" t="s">
        <v>5371</v>
      </c>
      <c r="G1680" s="7" t="s">
        <v>5372</v>
      </c>
      <c r="H1680" s="7" t="s">
        <v>5373</v>
      </c>
      <c r="I1680" s="7" t="s">
        <v>5371</v>
      </c>
      <c r="J1680" s="7" t="s">
        <v>40</v>
      </c>
      <c r="K1680" s="7" t="s">
        <v>1784</v>
      </c>
      <c r="L1680" s="10">
        <v>25.43</v>
      </c>
      <c r="M1680" s="10">
        <v>25.43</v>
      </c>
      <c r="N1680" s="10">
        <f>+L1680-M1680</f>
        <v>0</v>
      </c>
      <c r="O1680" s="10">
        <v>25.43</v>
      </c>
      <c r="P1680" s="10">
        <f>+L1680-O1680</f>
        <v>0</v>
      </c>
      <c r="Q1680" s="10">
        <v>0</v>
      </c>
      <c r="R1680" s="7" t="s">
        <v>27</v>
      </c>
    </row>
    <row r="1681" spans="1:19" hidden="1">
      <c r="A1681" s="7" t="s">
        <v>29</v>
      </c>
      <c r="B1681" s="8">
        <v>19949</v>
      </c>
      <c r="C1681" s="9">
        <v>45819.643923611111</v>
      </c>
      <c r="D1681" s="9">
        <v>45819</v>
      </c>
      <c r="E1681" s="9">
        <v>45819</v>
      </c>
      <c r="F1681" s="7" t="s">
        <v>5374</v>
      </c>
      <c r="G1681" s="7" t="s">
        <v>5375</v>
      </c>
      <c r="H1681" s="7" t="s">
        <v>5376</v>
      </c>
      <c r="I1681" s="7" t="s">
        <v>5374</v>
      </c>
      <c r="J1681" s="7" t="s">
        <v>40</v>
      </c>
      <c r="K1681" s="7" t="s">
        <v>1784</v>
      </c>
      <c r="L1681" s="10">
        <v>24.09</v>
      </c>
      <c r="M1681" s="10">
        <v>24.09</v>
      </c>
      <c r="N1681" s="10">
        <f>+L1681-M1681</f>
        <v>0</v>
      </c>
      <c r="O1681" s="10">
        <v>24.09</v>
      </c>
      <c r="P1681" s="10">
        <f>+L1681-O1681</f>
        <v>0</v>
      </c>
      <c r="Q1681" s="10">
        <v>0</v>
      </c>
      <c r="R1681" s="7" t="s">
        <v>27</v>
      </c>
    </row>
    <row r="1682" spans="1:19" hidden="1">
      <c r="A1682" s="7" t="s">
        <v>29</v>
      </c>
      <c r="B1682" s="8">
        <v>19469</v>
      </c>
      <c r="C1682" s="9">
        <v>45715.633958333332</v>
      </c>
      <c r="D1682" s="9">
        <v>45715</v>
      </c>
      <c r="E1682" s="9">
        <v>45715</v>
      </c>
      <c r="F1682" s="7" t="s">
        <v>5342</v>
      </c>
      <c r="G1682" s="7" t="s">
        <v>1406</v>
      </c>
      <c r="H1682" s="7" t="s">
        <v>5343</v>
      </c>
      <c r="I1682" s="7" t="s">
        <v>5342</v>
      </c>
      <c r="J1682" s="7" t="s">
        <v>40</v>
      </c>
      <c r="K1682" s="7" t="s">
        <v>1784</v>
      </c>
      <c r="L1682" s="10">
        <v>14.92</v>
      </c>
      <c r="M1682" s="10">
        <v>14.92</v>
      </c>
      <c r="N1682" s="10">
        <f>+L1682-M1682</f>
        <v>0</v>
      </c>
      <c r="O1682" s="10">
        <v>14.92</v>
      </c>
      <c r="P1682" s="10">
        <f>+L1682-O1682</f>
        <v>0</v>
      </c>
      <c r="Q1682" s="10">
        <v>0</v>
      </c>
      <c r="R1682" s="7" t="s">
        <v>27</v>
      </c>
    </row>
    <row r="1683" spans="1:19" hidden="1">
      <c r="A1683" s="7" t="s">
        <v>29</v>
      </c>
      <c r="B1683" s="8">
        <v>20485</v>
      </c>
      <c r="C1683" s="9">
        <v>45923.34643518518</v>
      </c>
      <c r="D1683" s="9">
        <v>45918</v>
      </c>
      <c r="E1683" s="9">
        <v>45918</v>
      </c>
      <c r="F1683" s="7" t="s">
        <v>5377</v>
      </c>
      <c r="G1683" s="7" t="s">
        <v>5378</v>
      </c>
      <c r="H1683" s="7" t="s">
        <v>5379</v>
      </c>
      <c r="I1683" s="7" t="s">
        <v>5377</v>
      </c>
      <c r="J1683" s="7" t="s">
        <v>40</v>
      </c>
      <c r="K1683" s="7" t="s">
        <v>4785</v>
      </c>
      <c r="L1683" s="10">
        <v>12.43</v>
      </c>
      <c r="M1683" s="10">
        <v>12.43</v>
      </c>
      <c r="N1683" s="10">
        <f>+L1683-M1683</f>
        <v>0</v>
      </c>
      <c r="O1683" s="10">
        <v>12.43</v>
      </c>
      <c r="P1683" s="10">
        <f>+L1683-O1683</f>
        <v>0</v>
      </c>
      <c r="Q1683" s="10">
        <v>0</v>
      </c>
      <c r="R1683" s="7" t="s">
        <v>27</v>
      </c>
    </row>
    <row r="1684" spans="1:19" hidden="1">
      <c r="A1684" s="7" t="s">
        <v>29</v>
      </c>
      <c r="B1684" s="8">
        <v>20073</v>
      </c>
      <c r="C1684" s="9">
        <v>45839.65861111111</v>
      </c>
      <c r="D1684" s="9">
        <v>45839</v>
      </c>
      <c r="E1684" s="9">
        <v>45870</v>
      </c>
      <c r="F1684" s="7" t="s">
        <v>5380</v>
      </c>
      <c r="G1684" s="7" t="s">
        <v>5381</v>
      </c>
      <c r="H1684" s="7" t="s">
        <v>3445</v>
      </c>
      <c r="I1684" s="7" t="s">
        <v>3446</v>
      </c>
      <c r="J1684" s="7" t="s">
        <v>34</v>
      </c>
      <c r="K1684" s="7" t="s">
        <v>35</v>
      </c>
      <c r="L1684" s="10">
        <v>31.58</v>
      </c>
      <c r="M1684" s="10">
        <v>31.58</v>
      </c>
      <c r="N1684" s="10">
        <f>+L1684-M1684</f>
        <v>0</v>
      </c>
      <c r="O1684" s="10">
        <v>31.58</v>
      </c>
      <c r="P1684" s="10">
        <f>+L1684-O1684</f>
        <v>0</v>
      </c>
      <c r="Q1684" s="10">
        <v>0</v>
      </c>
      <c r="R1684" s="7" t="s">
        <v>27</v>
      </c>
    </row>
    <row r="1685" spans="1:19" hidden="1">
      <c r="A1685" s="7" t="s">
        <v>29</v>
      </c>
      <c r="B1685" s="8">
        <v>20030</v>
      </c>
      <c r="C1685" s="9">
        <v>45834.562465277777</v>
      </c>
      <c r="D1685" s="9">
        <v>45834</v>
      </c>
      <c r="E1685" s="9">
        <v>45834</v>
      </c>
      <c r="F1685" s="7" t="s">
        <v>5382</v>
      </c>
      <c r="G1685" s="7" t="s">
        <v>5383</v>
      </c>
      <c r="H1685" s="7" t="s">
        <v>5384</v>
      </c>
      <c r="I1685" s="7" t="s">
        <v>5382</v>
      </c>
      <c r="J1685" s="7" t="s">
        <v>40</v>
      </c>
      <c r="K1685" s="7" t="s">
        <v>1784</v>
      </c>
      <c r="L1685" s="10">
        <v>10.71</v>
      </c>
      <c r="M1685" s="10">
        <v>10.71</v>
      </c>
      <c r="N1685" s="10">
        <f>+L1685-M1685</f>
        <v>0</v>
      </c>
      <c r="O1685" s="10">
        <v>10.71</v>
      </c>
      <c r="P1685" s="10">
        <f>+L1685-O1685</f>
        <v>0</v>
      </c>
      <c r="Q1685" s="10">
        <v>0</v>
      </c>
      <c r="R1685" s="7" t="s">
        <v>27</v>
      </c>
    </row>
    <row r="1686" spans="1:19" hidden="1">
      <c r="A1686" s="7" t="s">
        <v>29</v>
      </c>
      <c r="B1686" s="8">
        <v>20301</v>
      </c>
      <c r="C1686" s="9">
        <v>45888.565428240741</v>
      </c>
      <c r="D1686" s="9">
        <v>45887</v>
      </c>
      <c r="E1686" s="9">
        <v>45887</v>
      </c>
      <c r="F1686" s="7" t="s">
        <v>4826</v>
      </c>
      <c r="G1686" s="7" t="s">
        <v>5385</v>
      </c>
      <c r="H1686" s="7" t="s">
        <v>4828</v>
      </c>
      <c r="I1686" s="7" t="s">
        <v>4829</v>
      </c>
      <c r="J1686" s="7" t="s">
        <v>176</v>
      </c>
      <c r="K1686" s="7" t="s">
        <v>360</v>
      </c>
      <c r="L1686" s="10">
        <v>30</v>
      </c>
      <c r="M1686" s="10">
        <v>30</v>
      </c>
      <c r="N1686" s="10">
        <f>+L1686-M1686</f>
        <v>0</v>
      </c>
      <c r="O1686" s="10">
        <v>30</v>
      </c>
      <c r="P1686" s="10">
        <f>+L1686-O1686</f>
        <v>0</v>
      </c>
      <c r="Q1686" s="10">
        <v>0</v>
      </c>
      <c r="R1686" s="7" t="s">
        <v>27</v>
      </c>
    </row>
    <row r="1687" spans="1:19" hidden="1">
      <c r="A1687" s="7" t="s">
        <v>29</v>
      </c>
      <c r="B1687" s="8">
        <v>20685</v>
      </c>
      <c r="C1687" s="9">
        <v>45971.490370370368</v>
      </c>
      <c r="D1687" s="9">
        <v>45972</v>
      </c>
      <c r="E1687" s="9">
        <v>45965</v>
      </c>
      <c r="F1687" s="7" t="s">
        <v>5386</v>
      </c>
      <c r="G1687" s="7" t="s">
        <v>5387</v>
      </c>
      <c r="H1687" s="7" t="s">
        <v>1994</v>
      </c>
      <c r="I1687" s="7" t="s">
        <v>1995</v>
      </c>
      <c r="J1687" s="7" t="s">
        <v>176</v>
      </c>
      <c r="K1687" s="7" t="s">
        <v>550</v>
      </c>
      <c r="L1687" s="10">
        <v>29</v>
      </c>
      <c r="M1687" s="10">
        <v>29</v>
      </c>
      <c r="N1687" s="10">
        <f>+L1687-M1687</f>
        <v>0</v>
      </c>
      <c r="O1687" s="10">
        <v>29</v>
      </c>
      <c r="P1687" s="10">
        <f>+L1687-O1687</f>
        <v>0</v>
      </c>
      <c r="Q1687" s="10">
        <v>0</v>
      </c>
      <c r="R1687" s="7" t="s">
        <v>27</v>
      </c>
    </row>
    <row r="1688" spans="1:19" hidden="1">
      <c r="A1688" s="7" t="s">
        <v>29</v>
      </c>
      <c r="B1688" s="8">
        <v>20397</v>
      </c>
      <c r="C1688" s="9">
        <v>45903.699212962958</v>
      </c>
      <c r="D1688" s="9">
        <v>45902</v>
      </c>
      <c r="E1688" s="9">
        <v>45902</v>
      </c>
      <c r="F1688" s="7" t="s">
        <v>5305</v>
      </c>
      <c r="G1688" s="7" t="s">
        <v>5388</v>
      </c>
      <c r="H1688" s="7" t="s">
        <v>5307</v>
      </c>
      <c r="I1688" s="7" t="s">
        <v>5305</v>
      </c>
      <c r="J1688" s="7" t="s">
        <v>40</v>
      </c>
      <c r="K1688" s="7" t="s">
        <v>4785</v>
      </c>
      <c r="L1688" s="10">
        <v>10.17</v>
      </c>
      <c r="M1688" s="10">
        <v>10.17</v>
      </c>
      <c r="N1688" s="10">
        <f>+L1688-M1688</f>
        <v>0</v>
      </c>
      <c r="O1688" s="10">
        <v>10.17</v>
      </c>
      <c r="P1688" s="10">
        <f>+L1688-O1688</f>
        <v>0</v>
      </c>
      <c r="Q1688" s="10">
        <v>0</v>
      </c>
      <c r="R1688" s="7" t="s">
        <v>27</v>
      </c>
    </row>
    <row r="1689" spans="1:19" hidden="1">
      <c r="A1689" s="7" t="s">
        <v>29</v>
      </c>
      <c r="B1689" s="8">
        <v>20416</v>
      </c>
      <c r="C1689" s="9">
        <v>45908.653587962959</v>
      </c>
      <c r="D1689" s="9">
        <v>45908</v>
      </c>
      <c r="E1689" s="9">
        <v>45908</v>
      </c>
      <c r="F1689" s="7" t="s">
        <v>5389</v>
      </c>
      <c r="G1689" s="7" t="s">
        <v>5390</v>
      </c>
      <c r="H1689" s="7" t="s">
        <v>5391</v>
      </c>
      <c r="I1689" s="7" t="s">
        <v>5389</v>
      </c>
      <c r="J1689" s="7" t="s">
        <v>40</v>
      </c>
      <c r="K1689" s="7" t="s">
        <v>4785</v>
      </c>
      <c r="L1689" s="10">
        <v>9.89</v>
      </c>
      <c r="M1689" s="10">
        <v>9.89</v>
      </c>
      <c r="N1689" s="10">
        <f>+L1689-M1689</f>
        <v>0</v>
      </c>
      <c r="O1689" s="10">
        <v>9.89</v>
      </c>
      <c r="P1689" s="10">
        <f>+L1689-O1689</f>
        <v>0</v>
      </c>
      <c r="Q1689" s="10">
        <v>0</v>
      </c>
      <c r="R1689" s="7" t="s">
        <v>27</v>
      </c>
    </row>
    <row r="1690" spans="1:19" hidden="1">
      <c r="A1690" s="7" t="s">
        <v>29</v>
      </c>
      <c r="B1690" s="8">
        <v>20509</v>
      </c>
      <c r="C1690" s="9">
        <v>45924.74119212963</v>
      </c>
      <c r="D1690" s="9">
        <v>45924</v>
      </c>
      <c r="E1690" s="9">
        <v>45924</v>
      </c>
      <c r="F1690" s="7" t="s">
        <v>5392</v>
      </c>
      <c r="G1690" s="7" t="s">
        <v>5393</v>
      </c>
      <c r="H1690" s="7" t="s">
        <v>5394</v>
      </c>
      <c r="I1690" s="7" t="s">
        <v>5395</v>
      </c>
      <c r="J1690" s="7" t="s">
        <v>176</v>
      </c>
      <c r="K1690" s="7" t="s">
        <v>360</v>
      </c>
      <c r="L1690" s="10">
        <v>0</v>
      </c>
      <c r="M1690" s="10">
        <v>0</v>
      </c>
      <c r="N1690" s="10">
        <f>+L1690-M1690</f>
        <v>0</v>
      </c>
      <c r="O1690" s="10">
        <v>0</v>
      </c>
      <c r="P1690" s="10">
        <f>+L1690-O1690</f>
        <v>0</v>
      </c>
      <c r="Q1690" s="10">
        <v>0</v>
      </c>
      <c r="R1690" s="7" t="s">
        <v>27</v>
      </c>
    </row>
    <row r="1691" spans="1:19" hidden="1">
      <c r="A1691" s="7" t="s">
        <v>29</v>
      </c>
      <c r="B1691" s="8">
        <v>20851</v>
      </c>
      <c r="C1691" s="9">
        <v>46034.472457604163</v>
      </c>
      <c r="D1691" s="9">
        <v>45357</v>
      </c>
      <c r="E1691" s="9">
        <v>45329</v>
      </c>
      <c r="F1691" s="7" t="s">
        <v>5396</v>
      </c>
      <c r="G1691" s="7" t="s">
        <v>5397</v>
      </c>
      <c r="H1691" s="7" t="s">
        <v>5398</v>
      </c>
      <c r="I1691" s="7" t="s">
        <v>5399</v>
      </c>
      <c r="J1691" s="7" t="s">
        <v>176</v>
      </c>
      <c r="K1691" s="7" t="s">
        <v>177</v>
      </c>
      <c r="L1691" s="10">
        <v>0</v>
      </c>
      <c r="M1691" s="10">
        <v>0</v>
      </c>
      <c r="N1691" s="10">
        <f>+L1691-M1691</f>
        <v>0</v>
      </c>
      <c r="O1691" s="10">
        <v>0</v>
      </c>
      <c r="P1691" s="10">
        <f>+L1691-O1691</f>
        <v>0</v>
      </c>
      <c r="Q1691" s="10">
        <v>0</v>
      </c>
      <c r="R1691" s="7" t="s">
        <v>27</v>
      </c>
    </row>
    <row r="1692" spans="1:19" hidden="1">
      <c r="A1692" s="7" t="s">
        <v>29</v>
      </c>
      <c r="B1692" s="8">
        <v>20864</v>
      </c>
      <c r="C1692" s="9">
        <v>46035.698020833333</v>
      </c>
      <c r="D1692" s="9">
        <v>46035</v>
      </c>
      <c r="E1692" s="9">
        <v>46035</v>
      </c>
      <c r="F1692" s="7" t="s">
        <v>5400</v>
      </c>
      <c r="G1692" s="7" t="s">
        <v>5401</v>
      </c>
      <c r="H1692" s="7" t="s">
        <v>3203</v>
      </c>
      <c r="I1692" s="7" t="s">
        <v>3204</v>
      </c>
      <c r="J1692" s="7" t="s">
        <v>176</v>
      </c>
      <c r="K1692" s="7" t="s">
        <v>360</v>
      </c>
      <c r="L1692" s="10">
        <v>0</v>
      </c>
      <c r="M1692" s="10">
        <v>0</v>
      </c>
      <c r="N1692" s="10">
        <f>+L1692-M1692</f>
        <v>0</v>
      </c>
      <c r="O1692" s="10">
        <v>0</v>
      </c>
      <c r="P1692" s="10">
        <f>+L1692-O1692</f>
        <v>0</v>
      </c>
      <c r="Q1692" s="10">
        <v>0</v>
      </c>
      <c r="R1692" s="7" t="s">
        <v>27</v>
      </c>
    </row>
    <row r="1693" spans="1:19" hidden="1">
      <c r="A1693" s="7" t="s">
        <v>29</v>
      </c>
      <c r="B1693" s="8">
        <v>4321</v>
      </c>
      <c r="C1693" s="9">
        <v>46009.701231134255</v>
      </c>
      <c r="D1693" s="9">
        <v>45895</v>
      </c>
      <c r="E1693" s="9">
        <v>45895</v>
      </c>
      <c r="F1693" s="7" t="s">
        <v>5402</v>
      </c>
      <c r="G1693" s="7" t="s">
        <v>4250</v>
      </c>
      <c r="H1693" s="7" t="s">
        <v>5403</v>
      </c>
      <c r="I1693" s="7" t="s">
        <v>5404</v>
      </c>
      <c r="J1693" s="7" t="s">
        <v>25</v>
      </c>
      <c r="K1693" s="7" t="s">
        <v>86</v>
      </c>
      <c r="L1693" s="10">
        <v>90943.42</v>
      </c>
      <c r="M1693" s="10">
        <v>39640.449999999997</v>
      </c>
      <c r="N1693" s="15">
        <f>+L1693-M1693</f>
        <v>51302.97</v>
      </c>
      <c r="O1693" s="15">
        <v>90943.43</v>
      </c>
      <c r="P1693" s="15">
        <f>+L1693-O1693</f>
        <v>-9.9999999947613105E-3</v>
      </c>
      <c r="Q1693" s="10">
        <v>0</v>
      </c>
      <c r="R1693" s="7" t="s">
        <v>87</v>
      </c>
      <c r="S1693" t="s">
        <v>5405</v>
      </c>
    </row>
    <row r="1694" spans="1:19" hidden="1">
      <c r="A1694" s="7" t="s">
        <v>29</v>
      </c>
      <c r="B1694" s="8">
        <v>20426</v>
      </c>
      <c r="C1694" s="9">
        <v>45909.58079861111</v>
      </c>
      <c r="D1694" s="9">
        <v>45909</v>
      </c>
      <c r="E1694" s="9">
        <v>45945</v>
      </c>
      <c r="F1694" s="7" t="s">
        <v>5406</v>
      </c>
      <c r="G1694" s="7" t="s">
        <v>5407</v>
      </c>
      <c r="H1694" s="7" t="s">
        <v>5408</v>
      </c>
      <c r="I1694" s="7" t="s">
        <v>5409</v>
      </c>
      <c r="J1694" s="7" t="s">
        <v>34</v>
      </c>
      <c r="K1694" s="7" t="s">
        <v>118</v>
      </c>
      <c r="L1694" s="10">
        <v>16717.66</v>
      </c>
      <c r="M1694" s="10">
        <v>16717.669999999998</v>
      </c>
      <c r="N1694" s="10">
        <f>+L1694-M1694</f>
        <v>-9.9999999983992893E-3</v>
      </c>
      <c r="O1694" s="10">
        <v>16717.669999999998</v>
      </c>
      <c r="P1694" s="10">
        <f>+L1694-O1694</f>
        <v>-9.9999999983992893E-3</v>
      </c>
      <c r="Q1694" s="10">
        <v>0</v>
      </c>
      <c r="R1694" s="7" t="s">
        <v>27</v>
      </c>
    </row>
    <row r="1695" spans="1:19" hidden="1">
      <c r="A1695" s="7" t="s">
        <v>29</v>
      </c>
      <c r="B1695" s="8">
        <v>19545</v>
      </c>
      <c r="C1695" s="9">
        <v>45736.36987268518</v>
      </c>
      <c r="D1695" s="9">
        <v>45736</v>
      </c>
      <c r="E1695" s="9">
        <v>45735</v>
      </c>
      <c r="F1695" s="7" t="s">
        <v>5410</v>
      </c>
      <c r="G1695" s="7" t="s">
        <v>5411</v>
      </c>
      <c r="H1695" s="7" t="s">
        <v>3169</v>
      </c>
      <c r="I1695" s="7" t="s">
        <v>3170</v>
      </c>
      <c r="J1695" s="7" t="s">
        <v>34</v>
      </c>
      <c r="K1695" s="7" t="s">
        <v>902</v>
      </c>
      <c r="L1695" s="10">
        <v>3400.48</v>
      </c>
      <c r="M1695" s="10">
        <v>3400.49</v>
      </c>
      <c r="N1695" s="10">
        <f>+L1695-M1695</f>
        <v>-9.9999999997635314E-3</v>
      </c>
      <c r="O1695" s="10">
        <v>3400.49</v>
      </c>
      <c r="P1695" s="10">
        <f>+L1695-O1695</f>
        <v>-9.9999999997635314E-3</v>
      </c>
      <c r="Q1695" s="10">
        <v>0</v>
      </c>
      <c r="R1695" s="7" t="s">
        <v>27</v>
      </c>
    </row>
    <row r="1696" spans="1:19" hidden="1">
      <c r="A1696" s="7" t="s">
        <v>29</v>
      </c>
      <c r="B1696" s="8">
        <v>20161</v>
      </c>
      <c r="C1696" s="9">
        <v>45859.388969907406</v>
      </c>
      <c r="D1696" s="9">
        <v>45857</v>
      </c>
      <c r="E1696" s="9">
        <v>45857</v>
      </c>
      <c r="F1696" s="7" t="s">
        <v>5412</v>
      </c>
      <c r="G1696" s="7" t="s">
        <v>5413</v>
      </c>
      <c r="H1696" s="7" t="s">
        <v>5414</v>
      </c>
      <c r="I1696" s="7" t="s">
        <v>5415</v>
      </c>
      <c r="J1696" s="7" t="s">
        <v>176</v>
      </c>
      <c r="K1696" s="7" t="s">
        <v>494</v>
      </c>
      <c r="L1696" s="10">
        <v>1199</v>
      </c>
      <c r="M1696" s="10">
        <v>1199.01</v>
      </c>
      <c r="N1696" s="10">
        <f>+L1696-M1696</f>
        <v>-9.9999999999909051E-3</v>
      </c>
      <c r="O1696" s="10">
        <v>1199.01</v>
      </c>
      <c r="P1696" s="10">
        <f>+L1696-O1696</f>
        <v>-9.9999999999909051E-3</v>
      </c>
      <c r="Q1696" s="10">
        <v>0</v>
      </c>
      <c r="R1696" s="7" t="s">
        <v>27</v>
      </c>
    </row>
    <row r="1697" spans="1:19" hidden="1">
      <c r="A1697" s="7" t="s">
        <v>29</v>
      </c>
      <c r="B1697" s="8">
        <v>20230</v>
      </c>
      <c r="C1697" s="9">
        <v>45874.401331018518</v>
      </c>
      <c r="D1697" s="9">
        <v>45874</v>
      </c>
      <c r="E1697" s="9">
        <v>45905</v>
      </c>
      <c r="F1697" s="7" t="s">
        <v>5416</v>
      </c>
      <c r="G1697" s="7" t="s">
        <v>5417</v>
      </c>
      <c r="H1697" s="7" t="s">
        <v>4090</v>
      </c>
      <c r="I1697" s="7" t="s">
        <v>4091</v>
      </c>
      <c r="J1697" s="7" t="s">
        <v>34</v>
      </c>
      <c r="K1697" s="7" t="s">
        <v>35</v>
      </c>
      <c r="L1697" s="10">
        <v>1033.94</v>
      </c>
      <c r="M1697" s="10">
        <v>1033.95</v>
      </c>
      <c r="N1697" s="10">
        <f>+L1697-M1697</f>
        <v>-9.9999999999909051E-3</v>
      </c>
      <c r="O1697" s="10">
        <v>1033.95</v>
      </c>
      <c r="P1697" s="10">
        <f>+L1697-O1697</f>
        <v>-9.9999999999909051E-3</v>
      </c>
      <c r="Q1697" s="10">
        <v>0</v>
      </c>
      <c r="R1697" s="7" t="s">
        <v>27</v>
      </c>
    </row>
    <row r="1698" spans="1:19" hidden="1">
      <c r="A1698" s="7" t="s">
        <v>29</v>
      </c>
      <c r="B1698" s="8">
        <v>19568</v>
      </c>
      <c r="C1698" s="9">
        <v>45742.619074074071</v>
      </c>
      <c r="D1698" s="9">
        <v>45740</v>
      </c>
      <c r="E1698" s="9">
        <v>45740</v>
      </c>
      <c r="F1698" s="7" t="s">
        <v>5418</v>
      </c>
      <c r="G1698" s="7" t="s">
        <v>5419</v>
      </c>
      <c r="H1698" s="7" t="s">
        <v>5420</v>
      </c>
      <c r="I1698" s="7" t="s">
        <v>5421</v>
      </c>
      <c r="J1698" s="7" t="s">
        <v>176</v>
      </c>
      <c r="K1698" s="7" t="s">
        <v>494</v>
      </c>
      <c r="L1698" s="10">
        <v>423</v>
      </c>
      <c r="M1698" s="10">
        <v>423.01</v>
      </c>
      <c r="N1698" s="10">
        <f>+L1698-M1698</f>
        <v>-9.9999999999909051E-3</v>
      </c>
      <c r="O1698" s="10">
        <v>423.01</v>
      </c>
      <c r="P1698" s="10">
        <f>+L1698-O1698</f>
        <v>-9.9999999999909051E-3</v>
      </c>
      <c r="Q1698" s="10">
        <v>0</v>
      </c>
      <c r="R1698" s="7" t="s">
        <v>27</v>
      </c>
    </row>
    <row r="1699" spans="1:19" hidden="1">
      <c r="A1699" s="7" t="s">
        <v>29</v>
      </c>
      <c r="B1699" s="8">
        <v>4292</v>
      </c>
      <c r="C1699" s="9">
        <v>45967.431944444441</v>
      </c>
      <c r="D1699" s="9">
        <v>45938</v>
      </c>
      <c r="E1699" s="9">
        <v>45938</v>
      </c>
      <c r="F1699" s="7" t="s">
        <v>5422</v>
      </c>
      <c r="G1699" s="7" t="s">
        <v>2613</v>
      </c>
      <c r="H1699" s="7" t="s">
        <v>5423</v>
      </c>
      <c r="I1699" s="7" t="s">
        <v>5424</v>
      </c>
      <c r="J1699" s="7" t="s">
        <v>25</v>
      </c>
      <c r="K1699" s="7" t="s">
        <v>206</v>
      </c>
      <c r="L1699" s="10">
        <v>1632.56</v>
      </c>
      <c r="M1699" s="10">
        <v>1632.57</v>
      </c>
      <c r="N1699" s="15">
        <f>+L1699-M1699</f>
        <v>-9.9999999999909051E-3</v>
      </c>
      <c r="O1699" s="15">
        <v>1632.57</v>
      </c>
      <c r="P1699" s="15">
        <f>+L1699-O1699</f>
        <v>-9.9999999999909051E-3</v>
      </c>
      <c r="Q1699" s="10">
        <v>0</v>
      </c>
      <c r="R1699" s="7" t="s">
        <v>87</v>
      </c>
    </row>
    <row r="1700" spans="1:19" hidden="1">
      <c r="A1700" s="7" t="s">
        <v>29</v>
      </c>
      <c r="B1700" s="8">
        <v>4247</v>
      </c>
      <c r="C1700" s="9">
        <v>45880.663229166668</v>
      </c>
      <c r="D1700" s="9">
        <v>45880</v>
      </c>
      <c r="E1700" s="9">
        <v>45880</v>
      </c>
      <c r="F1700" s="7" t="s">
        <v>5425</v>
      </c>
      <c r="G1700" s="7" t="s">
        <v>3050</v>
      </c>
      <c r="H1700" s="7" t="s">
        <v>4024</v>
      </c>
      <c r="I1700" s="7" t="s">
        <v>4025</v>
      </c>
      <c r="J1700" s="7" t="s">
        <v>25</v>
      </c>
      <c r="K1700" s="7" t="s">
        <v>206</v>
      </c>
      <c r="L1700" s="10">
        <v>1164.0899999999999</v>
      </c>
      <c r="M1700" s="10">
        <v>1164.0999999999999</v>
      </c>
      <c r="N1700" s="15">
        <f>+L1700-M1700</f>
        <v>-9.9999999999909051E-3</v>
      </c>
      <c r="O1700" s="15">
        <v>1164.0999999999999</v>
      </c>
      <c r="P1700" s="15">
        <f>+L1700-O1700</f>
        <v>-9.9999999999909051E-3</v>
      </c>
      <c r="Q1700" s="10">
        <v>0</v>
      </c>
      <c r="R1700" s="7" t="s">
        <v>87</v>
      </c>
    </row>
    <row r="1701" spans="1:19">
      <c r="A1701" s="7" t="s">
        <v>29</v>
      </c>
      <c r="B1701" s="8">
        <v>20579</v>
      </c>
      <c r="C1701" s="9">
        <v>45944.362384259257</v>
      </c>
      <c r="D1701" s="9">
        <v>45908</v>
      </c>
      <c r="E1701" s="9">
        <v>45992</v>
      </c>
      <c r="F1701" s="7" t="s">
        <v>5426</v>
      </c>
      <c r="G1701" s="7" t="s">
        <v>5427</v>
      </c>
      <c r="H1701" s="7" t="s">
        <v>3457</v>
      </c>
      <c r="I1701" s="7" t="s">
        <v>3458</v>
      </c>
      <c r="J1701" s="7" t="s">
        <v>25</v>
      </c>
      <c r="K1701" s="7" t="s">
        <v>55</v>
      </c>
      <c r="L1701" s="10">
        <v>916.91</v>
      </c>
      <c r="M1701" s="10">
        <v>916.92</v>
      </c>
      <c r="N1701" s="10">
        <f>+L1701-M1701</f>
        <v>-9.9999999999909051E-3</v>
      </c>
      <c r="O1701" s="10">
        <v>916.92</v>
      </c>
      <c r="P1701" s="10">
        <f>+L1701-O1701</f>
        <v>-9.9999999999909051E-3</v>
      </c>
      <c r="Q1701" s="10">
        <v>0</v>
      </c>
      <c r="R1701" s="7" t="s">
        <v>27</v>
      </c>
    </row>
    <row r="1702" spans="1:19">
      <c r="A1702" s="7" t="s">
        <v>29</v>
      </c>
      <c r="B1702" s="8">
        <v>19589</v>
      </c>
      <c r="C1702" s="9">
        <v>45747.399375000001</v>
      </c>
      <c r="D1702" s="9">
        <v>45765</v>
      </c>
      <c r="E1702" s="9">
        <v>45743</v>
      </c>
      <c r="F1702" s="7" t="s">
        <v>5428</v>
      </c>
      <c r="G1702" s="7" t="s">
        <v>5429</v>
      </c>
      <c r="H1702" s="7" t="s">
        <v>5430</v>
      </c>
      <c r="I1702" s="7" t="s">
        <v>5431</v>
      </c>
      <c r="J1702" s="7" t="s">
        <v>25</v>
      </c>
      <c r="K1702" s="7" t="s">
        <v>26</v>
      </c>
      <c r="L1702" s="10">
        <v>240.57</v>
      </c>
      <c r="M1702" s="10">
        <v>240.58</v>
      </c>
      <c r="N1702" s="10">
        <f>+L1702-M1702</f>
        <v>-1.0000000000019327E-2</v>
      </c>
      <c r="O1702" s="10">
        <v>240.58</v>
      </c>
      <c r="P1702" s="10">
        <f>+L1702-O1702</f>
        <v>-1.0000000000019327E-2</v>
      </c>
      <c r="Q1702" s="10">
        <v>0</v>
      </c>
      <c r="R1702" s="7" t="s">
        <v>27</v>
      </c>
    </row>
    <row r="1703" spans="1:19" hidden="1">
      <c r="A1703" s="7" t="s">
        <v>29</v>
      </c>
      <c r="B1703" s="8">
        <v>20477</v>
      </c>
      <c r="C1703" s="9">
        <v>45919.581643518519</v>
      </c>
      <c r="D1703" s="9">
        <v>45919</v>
      </c>
      <c r="E1703" s="9">
        <v>46006</v>
      </c>
      <c r="F1703" s="7" t="s">
        <v>5432</v>
      </c>
      <c r="G1703" s="7" t="s">
        <v>5433</v>
      </c>
      <c r="H1703" s="7" t="s">
        <v>1653</v>
      </c>
      <c r="I1703" s="7" t="s">
        <v>1654</v>
      </c>
      <c r="J1703" s="7" t="s">
        <v>34</v>
      </c>
      <c r="K1703" s="7" t="s">
        <v>990</v>
      </c>
      <c r="L1703" s="10">
        <v>14465.55</v>
      </c>
      <c r="M1703" s="10">
        <v>0</v>
      </c>
      <c r="N1703" s="10">
        <f>+L1703-M1703</f>
        <v>14465.55</v>
      </c>
      <c r="O1703" s="10">
        <v>14465.56</v>
      </c>
      <c r="P1703" s="10">
        <f>+L1703-O1703</f>
        <v>-1.0000000000218279E-2</v>
      </c>
      <c r="Q1703" s="10">
        <v>0</v>
      </c>
      <c r="R1703" s="7" t="s">
        <v>27</v>
      </c>
    </row>
    <row r="1704" spans="1:19" hidden="1">
      <c r="A1704" s="7" t="s">
        <v>29</v>
      </c>
      <c r="B1704" s="8">
        <v>4288</v>
      </c>
      <c r="C1704" s="9">
        <v>45966.436708530091</v>
      </c>
      <c r="D1704" s="9">
        <v>45933</v>
      </c>
      <c r="E1704" s="9">
        <v>45987</v>
      </c>
      <c r="F1704" s="7" t="s">
        <v>5434</v>
      </c>
      <c r="G1704" s="7" t="s">
        <v>3316</v>
      </c>
      <c r="H1704" s="7" t="s">
        <v>5435</v>
      </c>
      <c r="I1704" s="7" t="s">
        <v>5436</v>
      </c>
      <c r="J1704" s="7" t="s">
        <v>25</v>
      </c>
      <c r="K1704" s="7" t="s">
        <v>206</v>
      </c>
      <c r="L1704" s="10">
        <v>2803.99</v>
      </c>
      <c r="M1704" s="10">
        <v>0</v>
      </c>
      <c r="N1704" s="15">
        <f>+L1704-M1704</f>
        <v>2803.99</v>
      </c>
      <c r="O1704" s="15">
        <v>2804</v>
      </c>
      <c r="P1704" s="15">
        <f>+L1704-O1704</f>
        <v>-1.0000000000218279E-2</v>
      </c>
      <c r="Q1704" s="10">
        <v>0</v>
      </c>
      <c r="R1704" s="7" t="s">
        <v>87</v>
      </c>
      <c r="S1704" t="s">
        <v>851</v>
      </c>
    </row>
    <row r="1705" spans="1:19" hidden="1">
      <c r="A1705" s="7" t="s">
        <v>29</v>
      </c>
      <c r="B1705" s="8">
        <v>19338</v>
      </c>
      <c r="C1705" s="9">
        <v>45677.321597222217</v>
      </c>
      <c r="D1705" s="9">
        <v>44891</v>
      </c>
      <c r="E1705" s="9">
        <v>45603</v>
      </c>
      <c r="F1705" s="7" t="s">
        <v>5437</v>
      </c>
      <c r="G1705" s="7" t="s">
        <v>4221</v>
      </c>
      <c r="H1705" s="7" t="s">
        <v>5438</v>
      </c>
      <c r="I1705" s="7" t="s">
        <v>568</v>
      </c>
      <c r="J1705" s="7" t="s">
        <v>176</v>
      </c>
      <c r="K1705" s="7" t="s">
        <v>945</v>
      </c>
      <c r="L1705" s="10">
        <v>13325.35</v>
      </c>
      <c r="M1705" s="10">
        <v>12960.14</v>
      </c>
      <c r="N1705" s="10">
        <f>+L1705-M1705</f>
        <v>365.21000000000095</v>
      </c>
      <c r="O1705" s="10">
        <v>13325.36</v>
      </c>
      <c r="P1705" s="10">
        <f>+L1705-O1705</f>
        <v>-1.0000000000218279E-2</v>
      </c>
      <c r="Q1705" s="10">
        <v>0</v>
      </c>
      <c r="R1705" s="7" t="s">
        <v>27</v>
      </c>
    </row>
    <row r="1706" spans="1:19" hidden="1">
      <c r="A1706" s="7" t="s">
        <v>29</v>
      </c>
      <c r="B1706" s="8">
        <v>20302</v>
      </c>
      <c r="C1706" s="9">
        <v>45888.882708333331</v>
      </c>
      <c r="D1706" s="9">
        <v>45888</v>
      </c>
      <c r="E1706" s="9">
        <v>45744</v>
      </c>
      <c r="F1706" s="7" t="s">
        <v>5439</v>
      </c>
      <c r="G1706" s="7" t="s">
        <v>5440</v>
      </c>
      <c r="H1706" s="7" t="s">
        <v>4772</v>
      </c>
      <c r="I1706" s="7" t="s">
        <v>4773</v>
      </c>
      <c r="J1706" s="7" t="s">
        <v>34</v>
      </c>
      <c r="K1706" s="7" t="s">
        <v>35</v>
      </c>
      <c r="L1706" s="10">
        <v>11959.15</v>
      </c>
      <c r="M1706" s="10">
        <v>11959.16</v>
      </c>
      <c r="N1706" s="10">
        <f>+L1706-M1706</f>
        <v>-1.0000000000218279E-2</v>
      </c>
      <c r="O1706" s="10">
        <v>11959.16</v>
      </c>
      <c r="P1706" s="10">
        <f>+L1706-O1706</f>
        <v>-1.0000000000218279E-2</v>
      </c>
      <c r="Q1706" s="10">
        <v>0</v>
      </c>
      <c r="R1706" s="7" t="s">
        <v>27</v>
      </c>
    </row>
    <row r="1707" spans="1:19" hidden="1">
      <c r="A1707" s="7" t="s">
        <v>29</v>
      </c>
      <c r="B1707" s="8">
        <v>20067</v>
      </c>
      <c r="C1707" s="9">
        <v>45838.619212962964</v>
      </c>
      <c r="D1707" s="9">
        <v>45838</v>
      </c>
      <c r="E1707" s="9">
        <v>45869</v>
      </c>
      <c r="F1707" s="7" t="s">
        <v>5441</v>
      </c>
      <c r="G1707" s="7" t="s">
        <v>5442</v>
      </c>
      <c r="H1707" s="7" t="s">
        <v>3754</v>
      </c>
      <c r="I1707" s="7" t="s">
        <v>3755</v>
      </c>
      <c r="J1707" s="7" t="s">
        <v>34</v>
      </c>
      <c r="K1707" s="7" t="s">
        <v>990</v>
      </c>
      <c r="L1707" s="10">
        <v>9780.0300000000007</v>
      </c>
      <c r="M1707" s="10">
        <v>9780.0400000000009</v>
      </c>
      <c r="N1707" s="10">
        <f>+L1707-M1707</f>
        <v>-1.0000000000218279E-2</v>
      </c>
      <c r="O1707" s="10">
        <v>9780.0400000000009</v>
      </c>
      <c r="P1707" s="10">
        <f>+L1707-O1707</f>
        <v>-1.0000000000218279E-2</v>
      </c>
      <c r="Q1707" s="10">
        <v>0</v>
      </c>
      <c r="R1707" s="7" t="s">
        <v>27</v>
      </c>
    </row>
    <row r="1708" spans="1:19" hidden="1">
      <c r="A1708" s="7" t="s">
        <v>29</v>
      </c>
      <c r="B1708" s="8">
        <v>19986</v>
      </c>
      <c r="C1708" s="9">
        <v>45826.636435185181</v>
      </c>
      <c r="D1708" s="9">
        <v>45826</v>
      </c>
      <c r="E1708" s="9">
        <v>45860</v>
      </c>
      <c r="F1708" s="7" t="s">
        <v>5443</v>
      </c>
      <c r="G1708" s="7" t="s">
        <v>5444</v>
      </c>
      <c r="H1708" s="7" t="s">
        <v>1403</v>
      </c>
      <c r="I1708" s="7" t="s">
        <v>1404</v>
      </c>
      <c r="J1708" s="7" t="s">
        <v>34</v>
      </c>
      <c r="K1708" s="7" t="s">
        <v>990</v>
      </c>
      <c r="L1708" s="10">
        <v>5548.23</v>
      </c>
      <c r="M1708" s="10">
        <v>5548.24</v>
      </c>
      <c r="N1708" s="10">
        <f>+L1708-M1708</f>
        <v>-1.0000000000218279E-2</v>
      </c>
      <c r="O1708" s="10">
        <v>5548.24</v>
      </c>
      <c r="P1708" s="10">
        <f>+L1708-O1708</f>
        <v>-1.0000000000218279E-2</v>
      </c>
      <c r="Q1708" s="10">
        <v>0</v>
      </c>
      <c r="R1708" s="7" t="s">
        <v>27</v>
      </c>
    </row>
    <row r="1709" spans="1:19" hidden="1">
      <c r="A1709" s="7" t="s">
        <v>29</v>
      </c>
      <c r="B1709" s="8">
        <v>19972</v>
      </c>
      <c r="C1709" s="9">
        <v>45825.377581018518</v>
      </c>
      <c r="D1709" s="9">
        <v>45825</v>
      </c>
      <c r="E1709" s="9">
        <v>45825</v>
      </c>
      <c r="F1709" s="7" t="s">
        <v>5445</v>
      </c>
      <c r="G1709" s="7" t="s">
        <v>5446</v>
      </c>
      <c r="H1709" s="7" t="s">
        <v>5447</v>
      </c>
      <c r="I1709" s="7" t="s">
        <v>5448</v>
      </c>
      <c r="J1709" s="7" t="s">
        <v>34</v>
      </c>
      <c r="K1709" s="7" t="s">
        <v>902</v>
      </c>
      <c r="L1709" s="10">
        <v>3472</v>
      </c>
      <c r="M1709" s="10">
        <v>3472.01</v>
      </c>
      <c r="N1709" s="10">
        <f>+L1709-M1709</f>
        <v>-1.0000000000218279E-2</v>
      </c>
      <c r="O1709" s="10">
        <v>3472.01</v>
      </c>
      <c r="P1709" s="10">
        <f>+L1709-O1709</f>
        <v>-1.0000000000218279E-2</v>
      </c>
      <c r="Q1709" s="10">
        <v>0</v>
      </c>
      <c r="R1709" s="7" t="s">
        <v>27</v>
      </c>
    </row>
    <row r="1710" spans="1:19">
      <c r="A1710" s="7" t="s">
        <v>29</v>
      </c>
      <c r="B1710" s="8">
        <v>20244</v>
      </c>
      <c r="C1710" s="9">
        <v>45875.363958333328</v>
      </c>
      <c r="D1710" s="9">
        <v>45867</v>
      </c>
      <c r="E1710" s="9">
        <v>45895</v>
      </c>
      <c r="F1710" s="7" t="s">
        <v>5449</v>
      </c>
      <c r="G1710" s="7" t="s">
        <v>5450</v>
      </c>
      <c r="H1710" s="7" t="s">
        <v>5451</v>
      </c>
      <c r="I1710" s="7" t="s">
        <v>5452</v>
      </c>
      <c r="J1710" s="7" t="s">
        <v>25</v>
      </c>
      <c r="K1710" s="7" t="s">
        <v>5453</v>
      </c>
      <c r="L1710" s="10">
        <v>10234.36</v>
      </c>
      <c r="M1710" s="10">
        <v>10234.370000000001</v>
      </c>
      <c r="N1710" s="10">
        <f>+L1710-M1710</f>
        <v>-1.0000000000218279E-2</v>
      </c>
      <c r="O1710" s="10">
        <v>10234.370000000001</v>
      </c>
      <c r="P1710" s="10">
        <f>+L1710-O1710</f>
        <v>-1.0000000000218279E-2</v>
      </c>
      <c r="Q1710" s="10">
        <v>0</v>
      </c>
      <c r="R1710" s="7" t="s">
        <v>27</v>
      </c>
    </row>
    <row r="1711" spans="1:19">
      <c r="A1711" s="7" t="s">
        <v>29</v>
      </c>
      <c r="B1711" s="8">
        <v>19498</v>
      </c>
      <c r="C1711" s="9">
        <v>45723.400636574072</v>
      </c>
      <c r="D1711" s="9">
        <v>45777</v>
      </c>
      <c r="E1711" s="9">
        <v>45777</v>
      </c>
      <c r="F1711" s="7" t="s">
        <v>5454</v>
      </c>
      <c r="G1711" s="7" t="s">
        <v>5455</v>
      </c>
      <c r="H1711" s="7" t="s">
        <v>2591</v>
      </c>
      <c r="I1711" s="7" t="s">
        <v>536</v>
      </c>
      <c r="J1711" s="7" t="s">
        <v>25</v>
      </c>
      <c r="K1711" s="7" t="s">
        <v>537</v>
      </c>
      <c r="L1711" s="10">
        <v>9958.39</v>
      </c>
      <c r="M1711" s="10">
        <v>9958.4</v>
      </c>
      <c r="N1711" s="10">
        <f>+L1711-M1711</f>
        <v>-1.0000000000218279E-2</v>
      </c>
      <c r="O1711" s="10">
        <v>9958.4</v>
      </c>
      <c r="P1711" s="10">
        <f>+L1711-O1711</f>
        <v>-1.0000000000218279E-2</v>
      </c>
      <c r="Q1711" s="10">
        <v>0</v>
      </c>
      <c r="R1711" s="7" t="s">
        <v>27</v>
      </c>
    </row>
    <row r="1712" spans="1:19" hidden="1">
      <c r="A1712" s="7" t="s">
        <v>29</v>
      </c>
      <c r="B1712" s="8">
        <v>4177</v>
      </c>
      <c r="C1712" s="9">
        <v>45727.37563657407</v>
      </c>
      <c r="D1712" s="9">
        <v>45726</v>
      </c>
      <c r="E1712" s="9">
        <v>45726</v>
      </c>
      <c r="F1712" s="7" t="s">
        <v>5456</v>
      </c>
      <c r="G1712" s="7" t="s">
        <v>1097</v>
      </c>
      <c r="H1712" s="7" t="s">
        <v>5457</v>
      </c>
      <c r="I1712" s="7" t="s">
        <v>5458</v>
      </c>
      <c r="J1712" s="7" t="s">
        <v>25</v>
      </c>
      <c r="K1712" s="7" t="s">
        <v>125</v>
      </c>
      <c r="L1712" s="10">
        <v>2410.02</v>
      </c>
      <c r="M1712" s="10">
        <v>2410.0300000000002</v>
      </c>
      <c r="N1712" s="15">
        <f>+L1712-M1712</f>
        <v>-1.0000000000218279E-2</v>
      </c>
      <c r="O1712" s="15">
        <v>2410.0300000000002</v>
      </c>
      <c r="P1712" s="15">
        <f>+L1712-O1712</f>
        <v>-1.0000000000218279E-2</v>
      </c>
      <c r="Q1712" s="10">
        <v>0</v>
      </c>
      <c r="R1712" s="7" t="s">
        <v>87</v>
      </c>
    </row>
    <row r="1713" spans="1:19" hidden="1">
      <c r="A1713" s="7" t="s">
        <v>29</v>
      </c>
      <c r="B1713" s="8">
        <v>19888</v>
      </c>
      <c r="C1713" s="9">
        <v>45807.378865740742</v>
      </c>
      <c r="D1713" s="9">
        <v>45884</v>
      </c>
      <c r="E1713" s="9">
        <v>45838</v>
      </c>
      <c r="F1713" s="7" t="s">
        <v>5459</v>
      </c>
      <c r="G1713" s="7" t="s">
        <v>5460</v>
      </c>
      <c r="H1713" s="7" t="s">
        <v>5461</v>
      </c>
      <c r="I1713" s="7" t="s">
        <v>5462</v>
      </c>
      <c r="J1713" s="7" t="s">
        <v>40</v>
      </c>
      <c r="K1713" s="7" t="s">
        <v>113</v>
      </c>
      <c r="L1713" s="10">
        <v>8203.6299999999992</v>
      </c>
      <c r="M1713" s="10">
        <v>8203.64</v>
      </c>
      <c r="N1713" s="10">
        <f>+L1713-M1713</f>
        <v>-1.0000000000218279E-2</v>
      </c>
      <c r="O1713" s="10">
        <v>8203.64</v>
      </c>
      <c r="P1713" s="10">
        <f>+L1713-O1713</f>
        <v>-1.0000000000218279E-2</v>
      </c>
      <c r="Q1713" s="10">
        <v>0</v>
      </c>
      <c r="R1713" s="7" t="s">
        <v>27</v>
      </c>
    </row>
    <row r="1714" spans="1:19" hidden="1">
      <c r="A1714" s="7" t="s">
        <v>29</v>
      </c>
      <c r="B1714" s="8">
        <v>20697</v>
      </c>
      <c r="C1714" s="9">
        <v>45974.597696759258</v>
      </c>
      <c r="D1714" s="9">
        <v>45974</v>
      </c>
      <c r="E1714" s="9">
        <v>46003</v>
      </c>
      <c r="F1714" s="7" t="s">
        <v>5463</v>
      </c>
      <c r="G1714" s="7" t="s">
        <v>5464</v>
      </c>
      <c r="H1714" s="7" t="s">
        <v>999</v>
      </c>
      <c r="I1714" s="7" t="s">
        <v>1000</v>
      </c>
      <c r="J1714" s="7" t="s">
        <v>34</v>
      </c>
      <c r="K1714" s="7" t="s">
        <v>105</v>
      </c>
      <c r="L1714" s="10">
        <v>20339.62</v>
      </c>
      <c r="M1714" s="10">
        <v>20339.63</v>
      </c>
      <c r="N1714" s="10">
        <f>+L1714-M1714</f>
        <v>-1.0000000002037268E-2</v>
      </c>
      <c r="O1714" s="10">
        <v>20339.63</v>
      </c>
      <c r="P1714" s="10">
        <f>+L1714-O1714</f>
        <v>-1.0000000002037268E-2</v>
      </c>
      <c r="Q1714" s="10">
        <v>0</v>
      </c>
      <c r="R1714" s="7" t="s">
        <v>27</v>
      </c>
    </row>
    <row r="1715" spans="1:19" hidden="1">
      <c r="A1715" s="7" t="s">
        <v>29</v>
      </c>
      <c r="B1715" s="8">
        <v>20717</v>
      </c>
      <c r="C1715" s="9">
        <v>45982.702928240738</v>
      </c>
      <c r="D1715" s="9">
        <v>45982</v>
      </c>
      <c r="E1715" s="9">
        <v>45982</v>
      </c>
      <c r="F1715" s="7" t="s">
        <v>5465</v>
      </c>
      <c r="G1715" s="7" t="s">
        <v>5466</v>
      </c>
      <c r="H1715" s="7" t="s">
        <v>1138</v>
      </c>
      <c r="I1715" s="7" t="s">
        <v>1139</v>
      </c>
      <c r="J1715" s="7" t="s">
        <v>34</v>
      </c>
      <c r="K1715" s="7" t="s">
        <v>35</v>
      </c>
      <c r="L1715" s="10">
        <v>18911.07</v>
      </c>
      <c r="M1715" s="10">
        <v>18911.080000000002</v>
      </c>
      <c r="N1715" s="10">
        <f>+L1715-M1715</f>
        <v>-1.0000000002037268E-2</v>
      </c>
      <c r="O1715" s="10">
        <v>18911.080000000002</v>
      </c>
      <c r="P1715" s="10">
        <f>+L1715-O1715</f>
        <v>-1.0000000002037268E-2</v>
      </c>
      <c r="Q1715" s="10">
        <v>0</v>
      </c>
      <c r="R1715" s="7" t="s">
        <v>27</v>
      </c>
    </row>
    <row r="1716" spans="1:19" hidden="1">
      <c r="A1716" s="7" t="s">
        <v>29</v>
      </c>
      <c r="B1716" s="8">
        <v>4239</v>
      </c>
      <c r="C1716" s="9">
        <v>45835.491493055553</v>
      </c>
      <c r="D1716" s="9">
        <v>45817</v>
      </c>
      <c r="E1716" s="9">
        <v>45937</v>
      </c>
      <c r="F1716" s="7" t="s">
        <v>5467</v>
      </c>
      <c r="G1716" s="7" t="s">
        <v>2016</v>
      </c>
      <c r="H1716" s="7" t="s">
        <v>4416</v>
      </c>
      <c r="I1716" s="7" t="s">
        <v>1734</v>
      </c>
      <c r="J1716" s="7" t="s">
        <v>25</v>
      </c>
      <c r="K1716" s="7" t="s">
        <v>125</v>
      </c>
      <c r="L1716" s="10">
        <v>30710.55</v>
      </c>
      <c r="M1716" s="10">
        <v>30710.560000000001</v>
      </c>
      <c r="N1716" s="15">
        <f>+L1716-M1716</f>
        <v>-1.0000000002037268E-2</v>
      </c>
      <c r="O1716" s="15">
        <v>30710.560000000001</v>
      </c>
      <c r="P1716" s="15">
        <f>+L1716-O1716</f>
        <v>-1.0000000002037268E-2</v>
      </c>
      <c r="Q1716" s="10">
        <v>0</v>
      </c>
      <c r="R1716" s="7" t="s">
        <v>87</v>
      </c>
    </row>
    <row r="1717" spans="1:19" hidden="1">
      <c r="A1717" s="7" t="s">
        <v>29</v>
      </c>
      <c r="B1717" s="8">
        <v>19871</v>
      </c>
      <c r="C1717" s="9">
        <v>45805.515405092592</v>
      </c>
      <c r="D1717" s="9">
        <v>46081</v>
      </c>
      <c r="E1717" s="9">
        <v>45793</v>
      </c>
      <c r="F1717" s="7" t="s">
        <v>5468</v>
      </c>
      <c r="G1717" s="7" t="s">
        <v>5469</v>
      </c>
      <c r="H1717" s="7" t="s">
        <v>1262</v>
      </c>
      <c r="I1717" s="7" t="s">
        <v>100</v>
      </c>
      <c r="J1717" s="7" t="s">
        <v>40</v>
      </c>
      <c r="K1717" s="7" t="s">
        <v>41</v>
      </c>
      <c r="L1717" s="10">
        <v>2022374.46</v>
      </c>
      <c r="M1717" s="10">
        <v>1515780.78</v>
      </c>
      <c r="N1717" s="10">
        <f>+L1717-M1717</f>
        <v>506593.67999999993</v>
      </c>
      <c r="O1717" s="10">
        <v>2022374.47</v>
      </c>
      <c r="P1717" s="10">
        <f>+L1717-O1717</f>
        <v>-1.0000000009313226E-2</v>
      </c>
      <c r="Q1717" s="10">
        <v>0</v>
      </c>
      <c r="R1717" s="7" t="s">
        <v>27</v>
      </c>
    </row>
    <row r="1718" spans="1:19" hidden="1">
      <c r="A1718" s="7" t="s">
        <v>29</v>
      </c>
      <c r="B1718" s="8">
        <v>20273</v>
      </c>
      <c r="C1718" s="9">
        <v>45881.466006944444</v>
      </c>
      <c r="D1718" s="9">
        <v>45881</v>
      </c>
      <c r="E1718" s="9">
        <v>45881</v>
      </c>
      <c r="F1718" s="7" t="s">
        <v>5470</v>
      </c>
      <c r="G1718" s="7" t="s">
        <v>5471</v>
      </c>
      <c r="H1718" s="7" t="s">
        <v>1881</v>
      </c>
      <c r="I1718" s="7" t="s">
        <v>1882</v>
      </c>
      <c r="J1718" s="7" t="s">
        <v>34</v>
      </c>
      <c r="K1718" s="7" t="s">
        <v>35</v>
      </c>
      <c r="L1718" s="10">
        <v>155871.54999999999</v>
      </c>
      <c r="M1718" s="10">
        <v>155871.56</v>
      </c>
      <c r="N1718" s="10">
        <f>+L1718-M1718</f>
        <v>-1.0000000009313226E-2</v>
      </c>
      <c r="O1718" s="10">
        <v>155871.56</v>
      </c>
      <c r="P1718" s="10">
        <f>+L1718-O1718</f>
        <v>-1.0000000009313226E-2</v>
      </c>
      <c r="Q1718" s="10">
        <v>0</v>
      </c>
      <c r="R1718" s="7" t="s">
        <v>27</v>
      </c>
    </row>
    <row r="1719" spans="1:19" hidden="1">
      <c r="A1719" s="7" t="s">
        <v>29</v>
      </c>
      <c r="B1719" s="8">
        <v>20517</v>
      </c>
      <c r="C1719" s="9">
        <v>45926.664803240739</v>
      </c>
      <c r="D1719" s="9">
        <v>45926</v>
      </c>
      <c r="E1719" s="9">
        <v>45960</v>
      </c>
      <c r="F1719" s="7" t="s">
        <v>5472</v>
      </c>
      <c r="G1719" s="7" t="s">
        <v>5473</v>
      </c>
      <c r="H1719" s="7" t="s">
        <v>980</v>
      </c>
      <c r="I1719" s="7" t="s">
        <v>981</v>
      </c>
      <c r="J1719" s="7" t="s">
        <v>34</v>
      </c>
      <c r="K1719" s="7" t="s">
        <v>35</v>
      </c>
      <c r="L1719" s="10">
        <v>39546.9</v>
      </c>
      <c r="M1719" s="10">
        <v>39546.92</v>
      </c>
      <c r="N1719" s="10">
        <f>+L1719-M1719</f>
        <v>-1.9999999996798579E-2</v>
      </c>
      <c r="O1719" s="10">
        <v>39546.92</v>
      </c>
      <c r="P1719" s="10">
        <f>+L1719-O1719</f>
        <v>-1.9999999996798579E-2</v>
      </c>
      <c r="Q1719" s="10">
        <v>0</v>
      </c>
      <c r="R1719" s="7" t="s">
        <v>27</v>
      </c>
    </row>
    <row r="1720" spans="1:19" hidden="1">
      <c r="A1720" s="7" t="s">
        <v>29</v>
      </c>
      <c r="B1720" s="8">
        <v>20563</v>
      </c>
      <c r="C1720" s="9">
        <v>45939.646157407406</v>
      </c>
      <c r="D1720" s="9">
        <v>45939</v>
      </c>
      <c r="E1720" s="9">
        <v>45937</v>
      </c>
      <c r="F1720" s="7" t="s">
        <v>5474</v>
      </c>
      <c r="G1720" s="7" t="s">
        <v>5475</v>
      </c>
      <c r="H1720" s="7" t="s">
        <v>5476</v>
      </c>
      <c r="I1720" s="7" t="s">
        <v>5477</v>
      </c>
      <c r="J1720" s="7" t="s">
        <v>34</v>
      </c>
      <c r="K1720" s="7" t="s">
        <v>35</v>
      </c>
      <c r="L1720" s="10">
        <v>32779.300000000003</v>
      </c>
      <c r="M1720" s="10">
        <v>32779.32</v>
      </c>
      <c r="N1720" s="10">
        <f>+L1720-M1720</f>
        <v>-1.9999999996798579E-2</v>
      </c>
      <c r="O1720" s="10">
        <v>32779.32</v>
      </c>
      <c r="P1720" s="10">
        <f>+L1720-O1720</f>
        <v>-1.9999999996798579E-2</v>
      </c>
      <c r="Q1720" s="10">
        <v>0</v>
      </c>
      <c r="R1720" s="7" t="s">
        <v>27</v>
      </c>
    </row>
    <row r="1721" spans="1:19" hidden="1">
      <c r="A1721" s="7" t="s">
        <v>29</v>
      </c>
      <c r="B1721" s="8">
        <v>20575</v>
      </c>
      <c r="C1721" s="9">
        <v>45943.602372685185</v>
      </c>
      <c r="D1721" s="9">
        <v>45943</v>
      </c>
      <c r="E1721" s="9">
        <v>45989</v>
      </c>
      <c r="F1721" s="7" t="s">
        <v>5478</v>
      </c>
      <c r="G1721" s="7" t="s">
        <v>5479</v>
      </c>
      <c r="H1721" s="7" t="s">
        <v>2698</v>
      </c>
      <c r="I1721" s="7" t="s">
        <v>2699</v>
      </c>
      <c r="J1721" s="7" t="s">
        <v>34</v>
      </c>
      <c r="K1721" s="7" t="s">
        <v>35</v>
      </c>
      <c r="L1721" s="10">
        <v>13073.7</v>
      </c>
      <c r="M1721" s="10">
        <v>13073.72</v>
      </c>
      <c r="N1721" s="10">
        <f>+L1721-M1721</f>
        <v>-1.9999999998617568E-2</v>
      </c>
      <c r="O1721" s="10">
        <v>13073.72</v>
      </c>
      <c r="P1721" s="10">
        <f>+L1721-O1721</f>
        <v>-1.9999999998617568E-2</v>
      </c>
      <c r="Q1721" s="10">
        <v>0</v>
      </c>
      <c r="R1721" s="7" t="s">
        <v>27</v>
      </c>
    </row>
    <row r="1722" spans="1:19" hidden="1">
      <c r="A1722" s="7" t="s">
        <v>29</v>
      </c>
      <c r="B1722" s="8">
        <v>20231</v>
      </c>
      <c r="C1722" s="9">
        <v>45874.419398148144</v>
      </c>
      <c r="D1722" s="9">
        <v>45874</v>
      </c>
      <c r="E1722" s="9">
        <v>45870</v>
      </c>
      <c r="F1722" s="7" t="s">
        <v>5480</v>
      </c>
      <c r="G1722" s="7" t="s">
        <v>5481</v>
      </c>
      <c r="H1722" s="7" t="s">
        <v>5482</v>
      </c>
      <c r="I1722" s="7" t="s">
        <v>5483</v>
      </c>
      <c r="J1722" s="7" t="s">
        <v>34</v>
      </c>
      <c r="K1722" s="7" t="s">
        <v>412</v>
      </c>
      <c r="L1722" s="10">
        <v>1484.13</v>
      </c>
      <c r="M1722" s="10">
        <v>1484.15</v>
      </c>
      <c r="N1722" s="10">
        <f>+L1722-M1722</f>
        <v>-1.999999999998181E-2</v>
      </c>
      <c r="O1722" s="10">
        <v>1484.15</v>
      </c>
      <c r="P1722" s="10">
        <f>+L1722-O1722</f>
        <v>-1.999999999998181E-2</v>
      </c>
      <c r="Q1722" s="10">
        <v>0</v>
      </c>
      <c r="R1722" s="7" t="s">
        <v>27</v>
      </c>
    </row>
    <row r="1723" spans="1:19" hidden="1">
      <c r="A1723" s="7" t="s">
        <v>29</v>
      </c>
      <c r="B1723" s="8">
        <v>4326</v>
      </c>
      <c r="C1723" s="9">
        <v>46027.714803240742</v>
      </c>
      <c r="D1723" s="9">
        <v>46069</v>
      </c>
      <c r="E1723" s="9">
        <v>46010</v>
      </c>
      <c r="F1723" s="7" t="s">
        <v>5484</v>
      </c>
      <c r="G1723" s="7" t="s">
        <v>767</v>
      </c>
      <c r="H1723" s="7" t="s">
        <v>1121</v>
      </c>
      <c r="I1723" s="7" t="s">
        <v>615</v>
      </c>
      <c r="J1723" s="7" t="s">
        <v>25</v>
      </c>
      <c r="K1723" s="7" t="s">
        <v>86</v>
      </c>
      <c r="L1723" s="10">
        <v>3457.34</v>
      </c>
      <c r="M1723" s="10">
        <v>3457.36</v>
      </c>
      <c r="N1723" s="15">
        <f>+L1723-M1723</f>
        <v>-1.999999999998181E-2</v>
      </c>
      <c r="O1723" s="15">
        <v>3457.36</v>
      </c>
      <c r="P1723" s="15">
        <f>+L1723-O1723</f>
        <v>-1.999999999998181E-2</v>
      </c>
      <c r="Q1723" s="10">
        <v>0</v>
      </c>
      <c r="R1723" s="7" t="s">
        <v>87</v>
      </c>
    </row>
    <row r="1724" spans="1:19">
      <c r="A1724" s="7" t="s">
        <v>29</v>
      </c>
      <c r="B1724" s="8">
        <v>19487</v>
      </c>
      <c r="C1724" s="9">
        <v>45720.384247685186</v>
      </c>
      <c r="D1724" s="9">
        <v>45729</v>
      </c>
      <c r="E1724" s="9">
        <v>45719</v>
      </c>
      <c r="F1724" s="7" t="s">
        <v>5485</v>
      </c>
      <c r="G1724" s="7" t="s">
        <v>5486</v>
      </c>
      <c r="H1724" s="7" t="s">
        <v>5430</v>
      </c>
      <c r="I1724" s="7" t="s">
        <v>5431</v>
      </c>
      <c r="J1724" s="7" t="s">
        <v>25</v>
      </c>
      <c r="K1724" s="7" t="s">
        <v>26</v>
      </c>
      <c r="L1724" s="10">
        <v>3384.15</v>
      </c>
      <c r="M1724" s="10">
        <v>3384.17</v>
      </c>
      <c r="N1724" s="10">
        <f>+L1724-M1724</f>
        <v>-1.999999999998181E-2</v>
      </c>
      <c r="O1724" s="10">
        <v>3384.17</v>
      </c>
      <c r="P1724" s="10">
        <f>+L1724-O1724</f>
        <v>-1.999999999998181E-2</v>
      </c>
      <c r="Q1724" s="10">
        <v>0</v>
      </c>
      <c r="R1724" s="7" t="s">
        <v>27</v>
      </c>
    </row>
    <row r="1725" spans="1:19">
      <c r="A1725" s="7" t="s">
        <v>29</v>
      </c>
      <c r="B1725" s="8">
        <v>20506</v>
      </c>
      <c r="C1725" s="9">
        <v>45924.439306562497</v>
      </c>
      <c r="D1725" s="9">
        <v>45933</v>
      </c>
      <c r="E1725" s="9">
        <v>45933</v>
      </c>
      <c r="F1725" s="7" t="s">
        <v>5487</v>
      </c>
      <c r="G1725" s="7" t="s">
        <v>5488</v>
      </c>
      <c r="H1725" s="7" t="s">
        <v>5489</v>
      </c>
      <c r="I1725" s="7" t="s">
        <v>2362</v>
      </c>
      <c r="J1725" s="7" t="s">
        <v>25</v>
      </c>
      <c r="K1725" s="7" t="s">
        <v>407</v>
      </c>
      <c r="L1725" s="10">
        <v>889.7</v>
      </c>
      <c r="M1725" s="10">
        <v>889.72</v>
      </c>
      <c r="N1725" s="10">
        <f>+L1725-M1725</f>
        <v>-1.999999999998181E-2</v>
      </c>
      <c r="O1725" s="10">
        <v>889.72</v>
      </c>
      <c r="P1725" s="10">
        <f>+L1725-O1725</f>
        <v>-1.999999999998181E-2</v>
      </c>
      <c r="Q1725" s="10">
        <v>0</v>
      </c>
      <c r="R1725" s="7" t="s">
        <v>27</v>
      </c>
    </row>
    <row r="1726" spans="1:19">
      <c r="A1726" s="7" t="s">
        <v>29</v>
      </c>
      <c r="B1726" s="8">
        <v>20652</v>
      </c>
      <c r="C1726" s="9">
        <v>45964.598912037036</v>
      </c>
      <c r="D1726" s="9">
        <v>45985</v>
      </c>
      <c r="E1726" s="9">
        <v>45890</v>
      </c>
      <c r="F1726" s="7" t="s">
        <v>5490</v>
      </c>
      <c r="G1726" s="7" t="s">
        <v>5491</v>
      </c>
      <c r="H1726" s="7" t="s">
        <v>5492</v>
      </c>
      <c r="I1726" s="7" t="s">
        <v>5493</v>
      </c>
      <c r="J1726" s="7" t="s">
        <v>25</v>
      </c>
      <c r="K1726" s="11" t="s">
        <v>240</v>
      </c>
      <c r="L1726" s="10">
        <v>20329.18</v>
      </c>
      <c r="M1726" s="10">
        <v>12197.51</v>
      </c>
      <c r="N1726" s="10">
        <f>+L1726-M1726</f>
        <v>8131.67</v>
      </c>
      <c r="O1726" s="10">
        <v>20329.2</v>
      </c>
      <c r="P1726" s="10">
        <f>+L1726-O1726</f>
        <v>-2.0000000000436557E-2</v>
      </c>
      <c r="Q1726" s="10">
        <v>12197.51</v>
      </c>
      <c r="R1726" s="7" t="s">
        <v>27</v>
      </c>
      <c r="S1726" t="s">
        <v>1353</v>
      </c>
    </row>
    <row r="1727" spans="1:19" hidden="1">
      <c r="A1727" s="7" t="s">
        <v>29</v>
      </c>
      <c r="B1727" s="8">
        <v>19292</v>
      </c>
      <c r="C1727" s="9">
        <v>45658.887499999997</v>
      </c>
      <c r="D1727" s="9">
        <v>45658</v>
      </c>
      <c r="E1727" s="9">
        <v>45653</v>
      </c>
      <c r="F1727" s="7" t="s">
        <v>5494</v>
      </c>
      <c r="G1727" s="7" t="s">
        <v>3189</v>
      </c>
      <c r="H1727" s="7" t="s">
        <v>1335</v>
      </c>
      <c r="I1727" s="7" t="s">
        <v>1336</v>
      </c>
      <c r="J1727" s="7" t="s">
        <v>34</v>
      </c>
      <c r="K1727" s="7" t="s">
        <v>118</v>
      </c>
      <c r="L1727" s="10">
        <v>423624.32</v>
      </c>
      <c r="M1727" s="10">
        <v>423624.34</v>
      </c>
      <c r="N1727" s="10">
        <f>+L1727-M1727</f>
        <v>-2.0000000018626451E-2</v>
      </c>
      <c r="O1727" s="10">
        <v>423624.34</v>
      </c>
      <c r="P1727" s="10">
        <f>+L1727-O1727</f>
        <v>-2.0000000018626451E-2</v>
      </c>
      <c r="Q1727" s="10">
        <v>0</v>
      </c>
      <c r="R1727" s="7" t="s">
        <v>27</v>
      </c>
    </row>
    <row r="1728" spans="1:19" hidden="1">
      <c r="A1728" s="7" t="s">
        <v>29</v>
      </c>
      <c r="B1728" s="8">
        <v>19646</v>
      </c>
      <c r="C1728" s="9">
        <v>45757.524467592593</v>
      </c>
      <c r="D1728" s="9">
        <v>45757</v>
      </c>
      <c r="E1728" s="9">
        <v>45757</v>
      </c>
      <c r="F1728" s="7" t="s">
        <v>5495</v>
      </c>
      <c r="G1728" s="7" t="s">
        <v>5496</v>
      </c>
      <c r="H1728" s="7" t="s">
        <v>5497</v>
      </c>
      <c r="I1728" s="7" t="s">
        <v>5498</v>
      </c>
      <c r="J1728" s="7" t="s">
        <v>34</v>
      </c>
      <c r="K1728" s="7" t="s">
        <v>2262</v>
      </c>
      <c r="L1728" s="10">
        <v>260056.36</v>
      </c>
      <c r="M1728" s="10">
        <v>260056.38</v>
      </c>
      <c r="N1728" s="10">
        <f>+L1728-M1728</f>
        <v>-2.0000000018626451E-2</v>
      </c>
      <c r="O1728" s="10">
        <v>260056.38</v>
      </c>
      <c r="P1728" s="10">
        <f>+L1728-O1728</f>
        <v>-2.0000000018626451E-2</v>
      </c>
      <c r="Q1728" s="10">
        <v>0</v>
      </c>
      <c r="R1728" s="7" t="s">
        <v>27</v>
      </c>
    </row>
    <row r="1729" spans="1:18" hidden="1">
      <c r="A1729" s="7" t="s">
        <v>29</v>
      </c>
      <c r="B1729" s="8">
        <v>19854</v>
      </c>
      <c r="C1729" s="9">
        <v>45799.626261574071</v>
      </c>
      <c r="D1729" s="9">
        <v>45799</v>
      </c>
      <c r="E1729" s="9">
        <v>45833</v>
      </c>
      <c r="F1729" s="7" t="s">
        <v>5499</v>
      </c>
      <c r="G1729" s="7" t="s">
        <v>5500</v>
      </c>
      <c r="H1729" s="7" t="s">
        <v>1161</v>
      </c>
      <c r="I1729" s="7" t="s">
        <v>1162</v>
      </c>
      <c r="J1729" s="7" t="s">
        <v>34</v>
      </c>
      <c r="K1729" s="7" t="s">
        <v>902</v>
      </c>
      <c r="L1729" s="10">
        <v>1680.14</v>
      </c>
      <c r="M1729" s="10">
        <v>1680.17</v>
      </c>
      <c r="N1729" s="10">
        <f>+L1729-M1729</f>
        <v>-2.9999999999972715E-2</v>
      </c>
      <c r="O1729" s="10">
        <v>1680.17</v>
      </c>
      <c r="P1729" s="10">
        <f>+L1729-O1729</f>
        <v>-2.9999999999972715E-2</v>
      </c>
      <c r="Q1729" s="10">
        <v>0</v>
      </c>
      <c r="R1729" s="7" t="s">
        <v>27</v>
      </c>
    </row>
    <row r="1730" spans="1:18" hidden="1">
      <c r="A1730" s="7" t="s">
        <v>29</v>
      </c>
      <c r="B1730" s="8">
        <v>19889</v>
      </c>
      <c r="C1730" s="9">
        <v>45807.386990740742</v>
      </c>
      <c r="D1730" s="9">
        <v>45807</v>
      </c>
      <c r="E1730" s="9">
        <v>45826</v>
      </c>
      <c r="F1730" s="7" t="s">
        <v>5501</v>
      </c>
      <c r="G1730" s="7" t="s">
        <v>5502</v>
      </c>
      <c r="H1730" s="7" t="s">
        <v>4253</v>
      </c>
      <c r="I1730" s="7" t="s">
        <v>4254</v>
      </c>
      <c r="J1730" s="7" t="s">
        <v>34</v>
      </c>
      <c r="K1730" s="7" t="s">
        <v>902</v>
      </c>
      <c r="L1730" s="10">
        <v>1153.69</v>
      </c>
      <c r="M1730" s="10">
        <v>1153.72</v>
      </c>
      <c r="N1730" s="10">
        <f>+L1730-M1730</f>
        <v>-2.9999999999972715E-2</v>
      </c>
      <c r="O1730" s="10">
        <v>1153.72</v>
      </c>
      <c r="P1730" s="10">
        <f>+L1730-O1730</f>
        <v>-2.9999999999972715E-2</v>
      </c>
      <c r="Q1730" s="10">
        <v>0</v>
      </c>
      <c r="R1730" s="7" t="s">
        <v>27</v>
      </c>
    </row>
    <row r="1731" spans="1:18" hidden="1">
      <c r="A1731" s="7" t="s">
        <v>29</v>
      </c>
      <c r="B1731" s="8">
        <v>19305</v>
      </c>
      <c r="C1731" s="9">
        <v>45659.546782407408</v>
      </c>
      <c r="D1731" s="9">
        <v>45659</v>
      </c>
      <c r="E1731" s="9">
        <v>45690</v>
      </c>
      <c r="F1731" s="7" t="s">
        <v>5503</v>
      </c>
      <c r="G1731" s="7" t="s">
        <v>58</v>
      </c>
      <c r="H1731" s="7" t="s">
        <v>5504</v>
      </c>
      <c r="I1731" s="7" t="s">
        <v>5505</v>
      </c>
      <c r="J1731" s="7" t="s">
        <v>34</v>
      </c>
      <c r="K1731" s="7" t="s">
        <v>35</v>
      </c>
      <c r="L1731" s="10">
        <v>239.24</v>
      </c>
      <c r="M1731" s="10">
        <v>239.27</v>
      </c>
      <c r="N1731" s="10">
        <f>+L1731-M1731</f>
        <v>-3.0000000000001137E-2</v>
      </c>
      <c r="O1731" s="10">
        <v>239.27</v>
      </c>
      <c r="P1731" s="10">
        <f>+L1731-O1731</f>
        <v>-3.0000000000001137E-2</v>
      </c>
      <c r="Q1731" s="10">
        <v>0</v>
      </c>
      <c r="R1731" s="7" t="s">
        <v>27</v>
      </c>
    </row>
    <row r="1732" spans="1:18" hidden="1">
      <c r="A1732" s="7" t="s">
        <v>29</v>
      </c>
      <c r="B1732" s="8">
        <v>19738</v>
      </c>
      <c r="C1732" s="9">
        <v>45776.631053240737</v>
      </c>
      <c r="D1732" s="9">
        <v>45776</v>
      </c>
      <c r="E1732" s="9">
        <v>45772</v>
      </c>
      <c r="F1732" s="7" t="s">
        <v>5506</v>
      </c>
      <c r="G1732" s="7" t="s">
        <v>5507</v>
      </c>
      <c r="H1732" s="7" t="s">
        <v>3333</v>
      </c>
      <c r="I1732" s="7" t="s">
        <v>3334</v>
      </c>
      <c r="J1732" s="7" t="s">
        <v>34</v>
      </c>
      <c r="K1732" s="7" t="s">
        <v>35</v>
      </c>
      <c r="L1732" s="10">
        <v>495.13</v>
      </c>
      <c r="M1732" s="10">
        <v>495.17</v>
      </c>
      <c r="N1732" s="10">
        <f>+L1732-M1732</f>
        <v>-4.0000000000020464E-2</v>
      </c>
      <c r="O1732" s="10">
        <v>495.17</v>
      </c>
      <c r="P1732" s="10">
        <f>+L1732-O1732</f>
        <v>-4.0000000000020464E-2</v>
      </c>
      <c r="Q1732" s="10">
        <v>0</v>
      </c>
      <c r="R1732" s="7" t="s">
        <v>27</v>
      </c>
    </row>
    <row r="1733" spans="1:18" hidden="1">
      <c r="A1733" s="7" t="s">
        <v>29</v>
      </c>
      <c r="B1733" s="8">
        <v>20776</v>
      </c>
      <c r="C1733" s="9">
        <v>46002.39907407407</v>
      </c>
      <c r="D1733" s="9">
        <v>46002</v>
      </c>
      <c r="E1733" s="9">
        <v>46002</v>
      </c>
      <c r="F1733" s="7" t="s">
        <v>5508</v>
      </c>
      <c r="G1733" s="7" t="s">
        <v>5509</v>
      </c>
      <c r="H1733" s="7" t="s">
        <v>5510</v>
      </c>
      <c r="I1733" s="7" t="s">
        <v>5511</v>
      </c>
      <c r="J1733" s="7" t="s">
        <v>34</v>
      </c>
      <c r="K1733" s="7" t="s">
        <v>105</v>
      </c>
      <c r="L1733" s="10">
        <v>14674.25</v>
      </c>
      <c r="M1733" s="10">
        <v>7702.21</v>
      </c>
      <c r="N1733" s="10">
        <f>+L1733-M1733</f>
        <v>6972.04</v>
      </c>
      <c r="O1733" s="10">
        <v>14674.29</v>
      </c>
      <c r="P1733" s="10">
        <f>+L1733-O1733</f>
        <v>-4.0000000000873115E-2</v>
      </c>
      <c r="Q1733" s="10">
        <v>0</v>
      </c>
      <c r="R1733" s="7" t="s">
        <v>27</v>
      </c>
    </row>
    <row r="1734" spans="1:18" hidden="1">
      <c r="A1734" s="7" t="s">
        <v>29</v>
      </c>
      <c r="B1734" s="8">
        <v>20287</v>
      </c>
      <c r="C1734" s="9">
        <v>45883.622129629628</v>
      </c>
      <c r="D1734" s="9">
        <v>45883</v>
      </c>
      <c r="E1734" s="9">
        <v>45883</v>
      </c>
      <c r="F1734" s="7" t="s">
        <v>5512</v>
      </c>
      <c r="G1734" s="7" t="s">
        <v>5513</v>
      </c>
      <c r="H1734" s="7" t="s">
        <v>449</v>
      </c>
      <c r="I1734" s="7" t="s">
        <v>450</v>
      </c>
      <c r="J1734" s="7" t="s">
        <v>34</v>
      </c>
      <c r="K1734" s="7" t="s">
        <v>451</v>
      </c>
      <c r="L1734" s="10">
        <v>2725.61</v>
      </c>
      <c r="M1734" s="10">
        <v>2725.66</v>
      </c>
      <c r="N1734" s="10">
        <f>+L1734-M1734</f>
        <v>-4.9999999999727152E-2</v>
      </c>
      <c r="O1734" s="10">
        <v>2725.66</v>
      </c>
      <c r="P1734" s="10">
        <f>+L1734-O1734</f>
        <v>-4.9999999999727152E-2</v>
      </c>
      <c r="Q1734" s="10">
        <v>0</v>
      </c>
      <c r="R1734" s="7" t="s">
        <v>27</v>
      </c>
    </row>
    <row r="1735" spans="1:18" hidden="1">
      <c r="A1735" s="7" t="s">
        <v>29</v>
      </c>
      <c r="B1735" s="8">
        <v>4158</v>
      </c>
      <c r="C1735" s="9">
        <v>45688.662824074076</v>
      </c>
      <c r="D1735" s="9">
        <v>45664</v>
      </c>
      <c r="E1735" s="9">
        <v>45664</v>
      </c>
      <c r="F1735" s="7" t="s">
        <v>5514</v>
      </c>
      <c r="G1735" s="7" t="s">
        <v>3313</v>
      </c>
      <c r="H1735" s="7" t="s">
        <v>1798</v>
      </c>
      <c r="I1735" s="7" t="s">
        <v>1799</v>
      </c>
      <c r="J1735" s="7" t="s">
        <v>25</v>
      </c>
      <c r="K1735" s="7" t="s">
        <v>125</v>
      </c>
      <c r="L1735" s="10">
        <v>226</v>
      </c>
      <c r="M1735" s="10">
        <v>226.05</v>
      </c>
      <c r="N1735" s="15">
        <f>+L1735-M1735</f>
        <v>-5.0000000000011369E-2</v>
      </c>
      <c r="O1735" s="15">
        <v>226.05</v>
      </c>
      <c r="P1735" s="15">
        <f>+L1735-O1735</f>
        <v>-5.0000000000011369E-2</v>
      </c>
      <c r="Q1735" s="10">
        <v>0</v>
      </c>
      <c r="R1735" s="7" t="s">
        <v>87</v>
      </c>
    </row>
    <row r="1736" spans="1:18" hidden="1">
      <c r="A1736" s="7" t="s">
        <v>29</v>
      </c>
      <c r="B1736" s="8">
        <v>19802</v>
      </c>
      <c r="C1736" s="9">
        <v>45790.501493055555</v>
      </c>
      <c r="D1736" s="9">
        <v>45747</v>
      </c>
      <c r="E1736" s="9">
        <v>45793</v>
      </c>
      <c r="F1736" s="7" t="s">
        <v>5515</v>
      </c>
      <c r="G1736" s="7" t="s">
        <v>5516</v>
      </c>
      <c r="H1736" s="7" t="s">
        <v>1262</v>
      </c>
      <c r="I1736" s="7" t="s">
        <v>100</v>
      </c>
      <c r="J1736" s="7" t="s">
        <v>40</v>
      </c>
      <c r="K1736" s="7" t="s">
        <v>41</v>
      </c>
      <c r="L1736" s="10">
        <v>1318564.3</v>
      </c>
      <c r="M1736" s="10">
        <v>988922.57</v>
      </c>
      <c r="N1736" s="10">
        <f>+L1736-M1736</f>
        <v>329641.7300000001</v>
      </c>
      <c r="O1736" s="10">
        <v>1318564.3600000001</v>
      </c>
      <c r="P1736" s="10">
        <f>+L1736-O1736</f>
        <v>-6.0000000055879354E-2</v>
      </c>
      <c r="Q1736" s="10">
        <v>0</v>
      </c>
      <c r="R1736" s="7" t="s">
        <v>27</v>
      </c>
    </row>
    <row r="1737" spans="1:18" hidden="1">
      <c r="A1737" s="7" t="s">
        <v>29</v>
      </c>
      <c r="B1737" s="8">
        <v>20545</v>
      </c>
      <c r="C1737" s="9">
        <v>45933.432662037034</v>
      </c>
      <c r="D1737" s="9">
        <v>45912</v>
      </c>
      <c r="E1737" s="9">
        <v>45912</v>
      </c>
      <c r="F1737" s="7" t="s">
        <v>5517</v>
      </c>
      <c r="G1737" s="7" t="s">
        <v>5518</v>
      </c>
      <c r="H1737" s="7" t="s">
        <v>1254</v>
      </c>
      <c r="I1737" s="7" t="s">
        <v>1255</v>
      </c>
      <c r="J1737" s="7" t="s">
        <v>40</v>
      </c>
      <c r="K1737" s="7" t="s">
        <v>41</v>
      </c>
      <c r="L1737" s="10">
        <v>550032.93000000005</v>
      </c>
      <c r="M1737" s="10">
        <v>405649.63</v>
      </c>
      <c r="N1737" s="10">
        <f>+L1737-M1737</f>
        <v>144383.30000000005</v>
      </c>
      <c r="O1737" s="10">
        <v>550033</v>
      </c>
      <c r="P1737" s="10">
        <f>+L1737-O1737</f>
        <v>-6.9999999948777258E-2</v>
      </c>
      <c r="Q1737" s="10">
        <v>0</v>
      </c>
      <c r="R1737" s="7" t="s">
        <v>27</v>
      </c>
    </row>
    <row r="1738" spans="1:18" hidden="1">
      <c r="A1738" s="7" t="s">
        <v>29</v>
      </c>
      <c r="B1738" s="8">
        <v>20222</v>
      </c>
      <c r="C1738" s="9">
        <v>45870.502905092588</v>
      </c>
      <c r="D1738" s="9">
        <v>45870</v>
      </c>
      <c r="E1738" s="9">
        <v>45870</v>
      </c>
      <c r="F1738" s="7" t="s">
        <v>5519</v>
      </c>
      <c r="G1738" s="7" t="s">
        <v>5520</v>
      </c>
      <c r="H1738" s="7" t="s">
        <v>5521</v>
      </c>
      <c r="I1738" s="7" t="s">
        <v>5522</v>
      </c>
      <c r="J1738" s="7" t="s">
        <v>34</v>
      </c>
      <c r="K1738" s="7" t="s">
        <v>902</v>
      </c>
      <c r="L1738" s="10">
        <v>1130.02</v>
      </c>
      <c r="M1738" s="10">
        <v>1130.0899999999999</v>
      </c>
      <c r="N1738" s="10">
        <f>+L1738-M1738</f>
        <v>-6.9999999999936335E-2</v>
      </c>
      <c r="O1738" s="10">
        <v>1130.0899999999999</v>
      </c>
      <c r="P1738" s="10">
        <f>+L1738-O1738</f>
        <v>-6.9999999999936335E-2</v>
      </c>
      <c r="Q1738" s="10">
        <v>0</v>
      </c>
      <c r="R1738" s="7" t="s">
        <v>27</v>
      </c>
    </row>
    <row r="1739" spans="1:18" hidden="1">
      <c r="A1739" s="7" t="s">
        <v>29</v>
      </c>
      <c r="B1739" s="8">
        <v>19574</v>
      </c>
      <c r="C1739" s="9">
        <v>45743.345208333332</v>
      </c>
      <c r="D1739" s="9">
        <v>45743</v>
      </c>
      <c r="E1739" s="9">
        <v>45740</v>
      </c>
      <c r="F1739" s="7" t="s">
        <v>5523</v>
      </c>
      <c r="G1739" s="7" t="s">
        <v>5524</v>
      </c>
      <c r="H1739" s="7" t="s">
        <v>5525</v>
      </c>
      <c r="I1739" s="7" t="s">
        <v>5526</v>
      </c>
      <c r="J1739" s="7" t="s">
        <v>34</v>
      </c>
      <c r="K1739" s="7" t="s">
        <v>269</v>
      </c>
      <c r="L1739" s="10">
        <v>1946.46</v>
      </c>
      <c r="M1739" s="10">
        <v>1946.54</v>
      </c>
      <c r="N1739" s="10">
        <f>+L1739-M1739</f>
        <v>-7.999999999992724E-2</v>
      </c>
      <c r="O1739" s="10">
        <v>1946.54</v>
      </c>
      <c r="P1739" s="10">
        <f>+L1739-O1739</f>
        <v>-7.999999999992724E-2</v>
      </c>
      <c r="Q1739" s="10">
        <v>0</v>
      </c>
      <c r="R1739" s="7" t="s">
        <v>27</v>
      </c>
    </row>
    <row r="1740" spans="1:18" hidden="1">
      <c r="A1740" s="7" t="s">
        <v>29</v>
      </c>
      <c r="B1740" s="8">
        <v>19610</v>
      </c>
      <c r="C1740" s="9">
        <v>45751.443599537037</v>
      </c>
      <c r="D1740" s="9">
        <v>45751</v>
      </c>
      <c r="E1740" s="9">
        <v>45751</v>
      </c>
      <c r="F1740" s="7" t="s">
        <v>5527</v>
      </c>
      <c r="G1740" s="7" t="s">
        <v>5528</v>
      </c>
      <c r="H1740" s="7" t="s">
        <v>5529</v>
      </c>
      <c r="I1740" s="7" t="s">
        <v>5530</v>
      </c>
      <c r="J1740" s="7" t="s">
        <v>34</v>
      </c>
      <c r="K1740" s="7" t="s">
        <v>269</v>
      </c>
      <c r="L1740" s="10">
        <v>2063.02</v>
      </c>
      <c r="M1740" s="10">
        <v>2063.11</v>
      </c>
      <c r="N1740" s="10">
        <f>+L1740-M1740</f>
        <v>-9.0000000000145519E-2</v>
      </c>
      <c r="O1740" s="10">
        <v>2063.11</v>
      </c>
      <c r="P1740" s="10">
        <f>+L1740-O1740</f>
        <v>-9.0000000000145519E-2</v>
      </c>
      <c r="Q1740" s="10">
        <v>0</v>
      </c>
      <c r="R1740" s="7" t="s">
        <v>27</v>
      </c>
    </row>
    <row r="1741" spans="1:18">
      <c r="A1741" s="7" t="s">
        <v>29</v>
      </c>
      <c r="B1741" s="8">
        <v>19979</v>
      </c>
      <c r="C1741" s="9">
        <v>45825.573084340278</v>
      </c>
      <c r="D1741" s="9">
        <v>45596</v>
      </c>
      <c r="E1741" s="9">
        <v>45632</v>
      </c>
      <c r="F1741" s="7" t="s">
        <v>5531</v>
      </c>
      <c r="G1741" s="7" t="s">
        <v>5532</v>
      </c>
      <c r="H1741" s="7" t="s">
        <v>5533</v>
      </c>
      <c r="I1741" s="7" t="s">
        <v>5534</v>
      </c>
      <c r="J1741" s="7" t="s">
        <v>25</v>
      </c>
      <c r="K1741" s="7" t="s">
        <v>26</v>
      </c>
      <c r="L1741" s="10">
        <v>36759.360000000001</v>
      </c>
      <c r="M1741" s="10">
        <v>36759.46</v>
      </c>
      <c r="N1741" s="10">
        <f>+L1741-M1741</f>
        <v>-9.9999999998544808E-2</v>
      </c>
      <c r="O1741" s="10">
        <v>36759.46</v>
      </c>
      <c r="P1741" s="10">
        <f>+L1741-O1741</f>
        <v>-9.9999999998544808E-2</v>
      </c>
      <c r="Q1741" s="10">
        <v>0</v>
      </c>
      <c r="R1741" s="7" t="s">
        <v>27</v>
      </c>
    </row>
    <row r="1742" spans="1:18" hidden="1">
      <c r="A1742" s="7" t="s">
        <v>29</v>
      </c>
      <c r="B1742" s="8">
        <v>19828</v>
      </c>
      <c r="C1742" s="9">
        <v>45796.332233796296</v>
      </c>
      <c r="D1742" s="9">
        <v>45796</v>
      </c>
      <c r="E1742" s="9">
        <v>45800</v>
      </c>
      <c r="F1742" s="7" t="s">
        <v>5535</v>
      </c>
      <c r="G1742" s="7" t="s">
        <v>5536</v>
      </c>
      <c r="H1742" s="7" t="s">
        <v>5537</v>
      </c>
      <c r="I1742" s="7" t="s">
        <v>5538</v>
      </c>
      <c r="J1742" s="7" t="s">
        <v>34</v>
      </c>
      <c r="K1742" s="7" t="s">
        <v>369</v>
      </c>
      <c r="L1742" s="10">
        <v>1469.06</v>
      </c>
      <c r="M1742" s="10">
        <v>1469.17</v>
      </c>
      <c r="N1742" s="10">
        <f>+L1742-M1742</f>
        <v>-0.11000000000012733</v>
      </c>
      <c r="O1742" s="10">
        <v>1469.17</v>
      </c>
      <c r="P1742" s="10">
        <f>+L1742-O1742</f>
        <v>-0.11000000000012733</v>
      </c>
      <c r="Q1742" s="10">
        <v>0</v>
      </c>
      <c r="R1742" s="7" t="s">
        <v>27</v>
      </c>
    </row>
    <row r="1743" spans="1:18" hidden="1">
      <c r="A1743" s="7" t="s">
        <v>29</v>
      </c>
      <c r="B1743" s="8">
        <v>20022</v>
      </c>
      <c r="C1743" s="9">
        <v>45833.641168981478</v>
      </c>
      <c r="D1743" s="9">
        <v>45833</v>
      </c>
      <c r="E1743" s="9">
        <v>45863</v>
      </c>
      <c r="F1743" s="7" t="s">
        <v>5539</v>
      </c>
      <c r="G1743" s="7" t="s">
        <v>5540</v>
      </c>
      <c r="H1743" s="7" t="s">
        <v>2905</v>
      </c>
      <c r="I1743" s="7" t="s">
        <v>2906</v>
      </c>
      <c r="J1743" s="7" t="s">
        <v>34</v>
      </c>
      <c r="K1743" s="7" t="s">
        <v>269</v>
      </c>
      <c r="L1743" s="10">
        <v>4048.33</v>
      </c>
      <c r="M1743" s="10">
        <v>4048.46</v>
      </c>
      <c r="N1743" s="10">
        <f>+L1743-M1743</f>
        <v>-0.13000000000010914</v>
      </c>
      <c r="O1743" s="10">
        <v>4048.46</v>
      </c>
      <c r="P1743" s="10">
        <f>+L1743-O1743</f>
        <v>-0.13000000000010914</v>
      </c>
      <c r="Q1743" s="10">
        <v>0</v>
      </c>
      <c r="R1743" s="7" t="s">
        <v>27</v>
      </c>
    </row>
    <row r="1744" spans="1:18" hidden="1">
      <c r="A1744" s="7" t="s">
        <v>29</v>
      </c>
      <c r="B1744" s="8">
        <v>20172</v>
      </c>
      <c r="C1744" s="9">
        <v>45860.403738425921</v>
      </c>
      <c r="D1744" s="9">
        <v>45860</v>
      </c>
      <c r="E1744" s="9">
        <v>45859</v>
      </c>
      <c r="F1744" s="7" t="s">
        <v>5541</v>
      </c>
      <c r="G1744" s="7" t="s">
        <v>5542</v>
      </c>
      <c r="H1744" s="7" t="s">
        <v>3650</v>
      </c>
      <c r="I1744" s="7" t="s">
        <v>3651</v>
      </c>
      <c r="J1744" s="7" t="s">
        <v>34</v>
      </c>
      <c r="K1744" s="7" t="s">
        <v>35</v>
      </c>
      <c r="L1744" s="10">
        <v>2744.34</v>
      </c>
      <c r="M1744" s="10">
        <v>2744.48</v>
      </c>
      <c r="N1744" s="10">
        <f>+L1744-M1744</f>
        <v>-0.13999999999987267</v>
      </c>
      <c r="O1744" s="10">
        <v>2744.48</v>
      </c>
      <c r="P1744" s="10">
        <f>+L1744-O1744</f>
        <v>-0.13999999999987267</v>
      </c>
      <c r="Q1744" s="10">
        <v>0</v>
      </c>
      <c r="R1744" s="7" t="s">
        <v>27</v>
      </c>
    </row>
    <row r="1745" spans="1:18" hidden="1">
      <c r="A1745" s="7" t="s">
        <v>29</v>
      </c>
      <c r="B1745" s="8">
        <v>20140</v>
      </c>
      <c r="C1745" s="9">
        <v>45852.477175925924</v>
      </c>
      <c r="D1745" s="9">
        <v>45852</v>
      </c>
      <c r="E1745" s="9">
        <v>45876</v>
      </c>
      <c r="F1745" s="7" t="s">
        <v>5543</v>
      </c>
      <c r="G1745" s="7" t="s">
        <v>5544</v>
      </c>
      <c r="H1745" s="7" t="s">
        <v>5545</v>
      </c>
      <c r="I1745" s="7" t="s">
        <v>5546</v>
      </c>
      <c r="J1745" s="7" t="s">
        <v>34</v>
      </c>
      <c r="K1745" s="7" t="s">
        <v>269</v>
      </c>
      <c r="L1745" s="10">
        <v>14850.21</v>
      </c>
      <c r="M1745" s="10">
        <v>14850.35</v>
      </c>
      <c r="N1745" s="10">
        <f>+L1745-M1745</f>
        <v>-0.14000000000123691</v>
      </c>
      <c r="O1745" s="10">
        <v>14850.35</v>
      </c>
      <c r="P1745" s="10">
        <f>+L1745-O1745</f>
        <v>-0.14000000000123691</v>
      </c>
      <c r="Q1745" s="10">
        <v>0</v>
      </c>
      <c r="R1745" s="7" t="s">
        <v>27</v>
      </c>
    </row>
    <row r="1746" spans="1:18" hidden="1">
      <c r="A1746" s="7" t="s">
        <v>29</v>
      </c>
      <c r="B1746" s="8">
        <v>20112</v>
      </c>
      <c r="C1746" s="9">
        <v>45846.380243055552</v>
      </c>
      <c r="D1746" s="9">
        <v>45846</v>
      </c>
      <c r="E1746" s="9">
        <v>45846</v>
      </c>
      <c r="F1746" s="7" t="s">
        <v>5547</v>
      </c>
      <c r="G1746" s="7" t="s">
        <v>5548</v>
      </c>
      <c r="H1746" s="7" t="s">
        <v>3367</v>
      </c>
      <c r="I1746" s="7" t="s">
        <v>3368</v>
      </c>
      <c r="J1746" s="7" t="s">
        <v>34</v>
      </c>
      <c r="K1746" s="7" t="s">
        <v>369</v>
      </c>
      <c r="L1746" s="10">
        <v>2528.35</v>
      </c>
      <c r="M1746" s="10">
        <v>2528.5</v>
      </c>
      <c r="N1746" s="10">
        <f>+L1746-M1746</f>
        <v>-0.15000000000009095</v>
      </c>
      <c r="O1746" s="10">
        <v>2528.5</v>
      </c>
      <c r="P1746" s="10">
        <f>+L1746-O1746</f>
        <v>-0.15000000000009095</v>
      </c>
      <c r="Q1746" s="10">
        <v>0</v>
      </c>
      <c r="R1746" s="7" t="s">
        <v>27</v>
      </c>
    </row>
    <row r="1747" spans="1:18" hidden="1">
      <c r="A1747" s="7" t="s">
        <v>29</v>
      </c>
      <c r="B1747" s="8">
        <v>19642</v>
      </c>
      <c r="C1747" s="9">
        <v>45756.597453703704</v>
      </c>
      <c r="D1747" s="9">
        <v>45534</v>
      </c>
      <c r="E1747" s="9">
        <v>45534</v>
      </c>
      <c r="F1747" s="7" t="s">
        <v>5549</v>
      </c>
      <c r="G1747" s="7" t="s">
        <v>5550</v>
      </c>
      <c r="H1747" s="7" t="s">
        <v>5551</v>
      </c>
      <c r="I1747" s="7" t="s">
        <v>5552</v>
      </c>
      <c r="J1747" s="7" t="s">
        <v>40</v>
      </c>
      <c r="K1747" s="7" t="s">
        <v>1326</v>
      </c>
      <c r="L1747" s="10">
        <v>172733.03</v>
      </c>
      <c r="M1747" s="10">
        <v>172733.19</v>
      </c>
      <c r="N1747" s="10">
        <f>+L1747-M1747</f>
        <v>-0.16000000000349246</v>
      </c>
      <c r="O1747" s="10">
        <v>172733.19</v>
      </c>
      <c r="P1747" s="10">
        <f>+L1747-O1747</f>
        <v>-0.16000000000349246</v>
      </c>
      <c r="Q1747" s="10">
        <v>0</v>
      </c>
      <c r="R1747" s="7" t="s">
        <v>27</v>
      </c>
    </row>
    <row r="1748" spans="1:18" hidden="1">
      <c r="A1748" s="7" t="s">
        <v>29</v>
      </c>
      <c r="B1748" s="8">
        <v>19483</v>
      </c>
      <c r="C1748" s="9">
        <v>45719.407372685186</v>
      </c>
      <c r="D1748" s="9">
        <v>45719</v>
      </c>
      <c r="E1748" s="9">
        <v>45748</v>
      </c>
      <c r="F1748" s="7" t="s">
        <v>5553</v>
      </c>
      <c r="G1748" s="7" t="s">
        <v>5554</v>
      </c>
      <c r="H1748" s="7" t="s">
        <v>2746</v>
      </c>
      <c r="I1748" s="7" t="s">
        <v>2747</v>
      </c>
      <c r="J1748" s="7" t="s">
        <v>34</v>
      </c>
      <c r="K1748" s="7" t="s">
        <v>269</v>
      </c>
      <c r="L1748" s="10">
        <v>5840.43</v>
      </c>
      <c r="M1748" s="10">
        <v>5840.6</v>
      </c>
      <c r="N1748" s="10">
        <f>+L1748-M1748</f>
        <v>-0.17000000000007276</v>
      </c>
      <c r="O1748" s="10">
        <v>5840.6</v>
      </c>
      <c r="P1748" s="10">
        <f>+L1748-O1748</f>
        <v>-0.17000000000007276</v>
      </c>
      <c r="Q1748" s="10">
        <v>0</v>
      </c>
      <c r="R1748" s="7" t="s">
        <v>27</v>
      </c>
    </row>
    <row r="1749" spans="1:18" hidden="1">
      <c r="A1749" s="7" t="s">
        <v>29</v>
      </c>
      <c r="B1749" s="8">
        <v>19774</v>
      </c>
      <c r="C1749" s="9">
        <v>45784.412615740737</v>
      </c>
      <c r="D1749" s="9">
        <v>45817</v>
      </c>
      <c r="E1749" s="9">
        <v>45783</v>
      </c>
      <c r="F1749" s="7" t="s">
        <v>5555</v>
      </c>
      <c r="G1749" s="7" t="s">
        <v>5556</v>
      </c>
      <c r="H1749" s="7" t="s">
        <v>4626</v>
      </c>
      <c r="I1749" s="7" t="s">
        <v>4627</v>
      </c>
      <c r="J1749" s="7" t="s">
        <v>176</v>
      </c>
      <c r="K1749" s="7" t="s">
        <v>494</v>
      </c>
      <c r="L1749" s="10">
        <v>2475.44</v>
      </c>
      <c r="M1749" s="10">
        <v>2475.62</v>
      </c>
      <c r="N1749" s="10">
        <f>+L1749-M1749</f>
        <v>-0.17999999999983629</v>
      </c>
      <c r="O1749" s="10">
        <v>2475.62</v>
      </c>
      <c r="P1749" s="10">
        <f>+L1749-O1749</f>
        <v>-0.17999999999983629</v>
      </c>
      <c r="Q1749" s="10">
        <v>0</v>
      </c>
      <c r="R1749" s="7" t="s">
        <v>27</v>
      </c>
    </row>
    <row r="1750" spans="1:18" hidden="1">
      <c r="A1750" s="7" t="s">
        <v>29</v>
      </c>
      <c r="B1750" s="8">
        <v>4237</v>
      </c>
      <c r="C1750" s="9">
        <v>45835.490578703699</v>
      </c>
      <c r="D1750" s="9">
        <v>45834</v>
      </c>
      <c r="E1750" s="9">
        <v>45905</v>
      </c>
      <c r="F1750" s="7" t="s">
        <v>5557</v>
      </c>
      <c r="G1750" s="7" t="s">
        <v>5558</v>
      </c>
      <c r="H1750" s="7" t="s">
        <v>1133</v>
      </c>
      <c r="I1750" s="7" t="s">
        <v>1030</v>
      </c>
      <c r="J1750" s="7" t="s">
        <v>25</v>
      </c>
      <c r="K1750" s="7" t="s">
        <v>86</v>
      </c>
      <c r="L1750" s="10">
        <v>6712</v>
      </c>
      <c r="M1750" s="10">
        <v>6712.2</v>
      </c>
      <c r="N1750" s="15">
        <f>+L1750-M1750</f>
        <v>-0.1999999999998181</v>
      </c>
      <c r="O1750" s="15">
        <v>6712.2</v>
      </c>
      <c r="P1750" s="15">
        <f>+L1750-O1750</f>
        <v>-0.1999999999998181</v>
      </c>
      <c r="Q1750" s="10">
        <v>0</v>
      </c>
      <c r="R1750" s="7" t="s">
        <v>87</v>
      </c>
    </row>
    <row r="1751" spans="1:18" hidden="1">
      <c r="A1751" s="7" t="s">
        <v>29</v>
      </c>
      <c r="B1751" s="8">
        <v>19894</v>
      </c>
      <c r="C1751" s="9">
        <v>45809.862291666665</v>
      </c>
      <c r="D1751" s="9">
        <v>45809</v>
      </c>
      <c r="E1751" s="9">
        <v>45860</v>
      </c>
      <c r="F1751" s="7" t="s">
        <v>5559</v>
      </c>
      <c r="G1751" s="7" t="s">
        <v>5560</v>
      </c>
      <c r="H1751" s="7" t="s">
        <v>226</v>
      </c>
      <c r="I1751" s="7" t="s">
        <v>227</v>
      </c>
      <c r="J1751" s="7" t="s">
        <v>34</v>
      </c>
      <c r="K1751" s="7" t="s">
        <v>118</v>
      </c>
      <c r="L1751" s="10">
        <v>9603.02</v>
      </c>
      <c r="M1751" s="10">
        <v>9603.27</v>
      </c>
      <c r="N1751" s="10">
        <f>+L1751-M1751</f>
        <v>-0.25</v>
      </c>
      <c r="O1751" s="10">
        <v>9603.27</v>
      </c>
      <c r="P1751" s="10">
        <f>+L1751-O1751</f>
        <v>-0.25</v>
      </c>
      <c r="Q1751" s="10">
        <v>0</v>
      </c>
      <c r="R1751" s="7" t="s">
        <v>27</v>
      </c>
    </row>
    <row r="1752" spans="1:18" hidden="1">
      <c r="A1752" s="7" t="s">
        <v>29</v>
      </c>
      <c r="B1752" s="8">
        <v>20187</v>
      </c>
      <c r="C1752" s="9">
        <v>45866.446840277778</v>
      </c>
      <c r="D1752" s="9">
        <v>45866</v>
      </c>
      <c r="E1752" s="9">
        <v>45866</v>
      </c>
      <c r="F1752" s="7" t="s">
        <v>5561</v>
      </c>
      <c r="G1752" s="7" t="s">
        <v>5562</v>
      </c>
      <c r="H1752" s="7" t="s">
        <v>1084</v>
      </c>
      <c r="I1752" s="7" t="s">
        <v>1085</v>
      </c>
      <c r="J1752" s="7" t="s">
        <v>34</v>
      </c>
      <c r="K1752" s="7" t="s">
        <v>990</v>
      </c>
      <c r="L1752" s="10">
        <v>6426.94</v>
      </c>
      <c r="M1752" s="10">
        <v>6427.2</v>
      </c>
      <c r="N1752" s="10">
        <f>+L1752-M1752</f>
        <v>-0.26000000000021828</v>
      </c>
      <c r="O1752" s="10">
        <v>6427.2</v>
      </c>
      <c r="P1752" s="10">
        <f>+L1752-O1752</f>
        <v>-0.26000000000021828</v>
      </c>
      <c r="Q1752" s="10">
        <v>0</v>
      </c>
      <c r="R1752" s="7" t="s">
        <v>27</v>
      </c>
    </row>
    <row r="1753" spans="1:18" hidden="1">
      <c r="A1753" s="7" t="s">
        <v>29</v>
      </c>
      <c r="B1753" s="8">
        <v>19988</v>
      </c>
      <c r="C1753" s="9">
        <v>45826.736851851849</v>
      </c>
      <c r="D1753" s="9">
        <v>45826</v>
      </c>
      <c r="E1753" s="9">
        <v>45824</v>
      </c>
      <c r="F1753" s="7" t="s">
        <v>5563</v>
      </c>
      <c r="G1753" s="7" t="s">
        <v>5564</v>
      </c>
      <c r="H1753" s="7" t="s">
        <v>5565</v>
      </c>
      <c r="I1753" s="7" t="s">
        <v>5566</v>
      </c>
      <c r="J1753" s="7" t="s">
        <v>34</v>
      </c>
      <c r="K1753" s="7" t="s">
        <v>412</v>
      </c>
      <c r="L1753" s="10">
        <v>2058.2199999999998</v>
      </c>
      <c r="M1753" s="10">
        <v>2058.4899999999998</v>
      </c>
      <c r="N1753" s="10">
        <f>+L1753-M1753</f>
        <v>-0.26999999999998181</v>
      </c>
      <c r="O1753" s="10">
        <v>2058.4899999999998</v>
      </c>
      <c r="P1753" s="10">
        <f>+L1753-O1753</f>
        <v>-0.26999999999998181</v>
      </c>
      <c r="Q1753" s="10">
        <v>0</v>
      </c>
      <c r="R1753" s="7" t="s">
        <v>27</v>
      </c>
    </row>
    <row r="1754" spans="1:18" hidden="1">
      <c r="A1754" s="7" t="s">
        <v>29</v>
      </c>
      <c r="B1754" s="8">
        <v>20948</v>
      </c>
      <c r="C1754" s="9">
        <v>46063.375034722223</v>
      </c>
      <c r="D1754" s="9">
        <v>46063</v>
      </c>
      <c r="E1754" s="9">
        <v>46062</v>
      </c>
      <c r="F1754" s="7" t="s">
        <v>5567</v>
      </c>
      <c r="G1754" s="7" t="s">
        <v>5568</v>
      </c>
      <c r="H1754" s="7" t="s">
        <v>5569</v>
      </c>
      <c r="I1754" s="7" t="s">
        <v>5570</v>
      </c>
      <c r="J1754" s="7" t="s">
        <v>34</v>
      </c>
      <c r="K1754" s="7" t="s">
        <v>1471</v>
      </c>
      <c r="L1754" s="10">
        <v>1316.18</v>
      </c>
      <c r="M1754" s="10">
        <v>790</v>
      </c>
      <c r="N1754" s="10">
        <f>+L1754-M1754</f>
        <v>526.18000000000006</v>
      </c>
      <c r="O1754" s="10">
        <v>1316.48</v>
      </c>
      <c r="P1754" s="10">
        <f>+L1754-O1754</f>
        <v>-0.29999999999995453</v>
      </c>
      <c r="Q1754" s="10">
        <v>0</v>
      </c>
      <c r="R1754" s="7" t="s">
        <v>27</v>
      </c>
    </row>
    <row r="1755" spans="1:18" hidden="1">
      <c r="A1755" s="7" t="s">
        <v>29</v>
      </c>
      <c r="B1755" s="8">
        <v>20145</v>
      </c>
      <c r="C1755" s="9">
        <v>45852.700844907406</v>
      </c>
      <c r="D1755" s="9">
        <v>45852</v>
      </c>
      <c r="E1755" s="9">
        <v>45852</v>
      </c>
      <c r="F1755" s="7" t="s">
        <v>5571</v>
      </c>
      <c r="G1755" s="7" t="s">
        <v>5572</v>
      </c>
      <c r="H1755" s="7" t="s">
        <v>5573</v>
      </c>
      <c r="I1755" s="7" t="s">
        <v>5574</v>
      </c>
      <c r="J1755" s="7" t="s">
        <v>34</v>
      </c>
      <c r="K1755" s="7" t="s">
        <v>412</v>
      </c>
      <c r="L1755" s="10">
        <v>3240.83</v>
      </c>
      <c r="M1755" s="10">
        <v>3241.19</v>
      </c>
      <c r="N1755" s="10">
        <f>+L1755-M1755</f>
        <v>-0.36000000000012733</v>
      </c>
      <c r="O1755" s="10">
        <v>3241.19</v>
      </c>
      <c r="P1755" s="10">
        <f>+L1755-O1755</f>
        <v>-0.36000000000012733</v>
      </c>
      <c r="Q1755" s="10">
        <v>0</v>
      </c>
      <c r="R1755" s="7" t="s">
        <v>27</v>
      </c>
    </row>
    <row r="1756" spans="1:18" hidden="1">
      <c r="A1756" s="7" t="s">
        <v>29</v>
      </c>
      <c r="B1756" s="8">
        <v>20479</v>
      </c>
      <c r="C1756" s="9">
        <v>45919.676956018513</v>
      </c>
      <c r="D1756" s="9">
        <v>45919</v>
      </c>
      <c r="E1756" s="9">
        <v>45945</v>
      </c>
      <c r="F1756" s="7" t="s">
        <v>5575</v>
      </c>
      <c r="G1756" s="7" t="s">
        <v>5576</v>
      </c>
      <c r="H1756" s="7" t="s">
        <v>5577</v>
      </c>
      <c r="I1756" s="7" t="s">
        <v>5578</v>
      </c>
      <c r="J1756" s="7" t="s">
        <v>34</v>
      </c>
      <c r="K1756" s="7" t="s">
        <v>35</v>
      </c>
      <c r="L1756" s="10">
        <v>7320.59</v>
      </c>
      <c r="M1756" s="10">
        <v>7320.99</v>
      </c>
      <c r="N1756" s="10">
        <f>+L1756-M1756</f>
        <v>-0.3999999999996362</v>
      </c>
      <c r="O1756" s="10">
        <v>7320.99</v>
      </c>
      <c r="P1756" s="10">
        <f>+L1756-O1756</f>
        <v>-0.3999999999996362</v>
      </c>
      <c r="Q1756" s="10">
        <v>0</v>
      </c>
      <c r="R1756" s="7" t="s">
        <v>27</v>
      </c>
    </row>
    <row r="1757" spans="1:18">
      <c r="A1757" s="7" t="s">
        <v>29</v>
      </c>
      <c r="B1757" s="8">
        <v>19475</v>
      </c>
      <c r="C1757" s="9">
        <v>45716.486192129625</v>
      </c>
      <c r="D1757" s="9">
        <v>45719</v>
      </c>
      <c r="E1757" s="9">
        <v>45716</v>
      </c>
      <c r="F1757" s="7" t="s">
        <v>5579</v>
      </c>
      <c r="G1757" s="7" t="s">
        <v>209</v>
      </c>
      <c r="H1757" s="7" t="s">
        <v>434</v>
      </c>
      <c r="I1757" s="7" t="s">
        <v>435</v>
      </c>
      <c r="J1757" s="7" t="s">
        <v>25</v>
      </c>
      <c r="K1757" s="7" t="s">
        <v>26</v>
      </c>
      <c r="L1757" s="10">
        <v>7657.41</v>
      </c>
      <c r="M1757" s="10">
        <v>7657.87</v>
      </c>
      <c r="N1757" s="10">
        <f>+L1757-M1757</f>
        <v>-0.46000000000003638</v>
      </c>
      <c r="O1757" s="10">
        <v>7657.87</v>
      </c>
      <c r="P1757" s="10">
        <f>+L1757-O1757</f>
        <v>-0.46000000000003638</v>
      </c>
      <c r="Q1757" s="10">
        <v>0</v>
      </c>
      <c r="R1757" s="7" t="s">
        <v>27</v>
      </c>
    </row>
    <row r="1758" spans="1:18" hidden="1">
      <c r="A1758" s="7" t="s">
        <v>29</v>
      </c>
      <c r="B1758" s="8">
        <v>20277</v>
      </c>
      <c r="C1758" s="9">
        <v>45881.705231481479</v>
      </c>
      <c r="D1758" s="9">
        <v>45881</v>
      </c>
      <c r="E1758" s="9">
        <v>45881</v>
      </c>
      <c r="F1758" s="7" t="s">
        <v>5580</v>
      </c>
      <c r="G1758" s="7" t="s">
        <v>5581</v>
      </c>
      <c r="H1758" s="7" t="s">
        <v>5582</v>
      </c>
      <c r="I1758" s="7" t="s">
        <v>685</v>
      </c>
      <c r="J1758" s="7" t="s">
        <v>34</v>
      </c>
      <c r="K1758" s="7" t="s">
        <v>35</v>
      </c>
      <c r="L1758" s="10">
        <v>4277.3</v>
      </c>
      <c r="M1758" s="10">
        <v>4277.82</v>
      </c>
      <c r="N1758" s="10">
        <f>+L1758-M1758</f>
        <v>-0.51999999999952706</v>
      </c>
      <c r="O1758" s="10">
        <v>4277.82</v>
      </c>
      <c r="P1758" s="10">
        <f>+L1758-O1758</f>
        <v>-0.51999999999952706</v>
      </c>
      <c r="Q1758" s="10">
        <v>0</v>
      </c>
      <c r="R1758" s="7" t="s">
        <v>27</v>
      </c>
    </row>
    <row r="1759" spans="1:18" hidden="1">
      <c r="A1759" s="7" t="s">
        <v>29</v>
      </c>
      <c r="B1759" s="8">
        <v>20106</v>
      </c>
      <c r="C1759" s="9">
        <v>45845.492754629631</v>
      </c>
      <c r="D1759" s="9">
        <v>45845</v>
      </c>
      <c r="E1759" s="9">
        <v>45845</v>
      </c>
      <c r="F1759" s="7" t="s">
        <v>5583</v>
      </c>
      <c r="G1759" s="7" t="s">
        <v>5584</v>
      </c>
      <c r="H1759" s="7" t="s">
        <v>5585</v>
      </c>
      <c r="I1759" s="7" t="s">
        <v>5586</v>
      </c>
      <c r="J1759" s="7" t="s">
        <v>34</v>
      </c>
      <c r="K1759" s="7" t="s">
        <v>966</v>
      </c>
      <c r="L1759" s="10">
        <v>5017.6899999999996</v>
      </c>
      <c r="M1759" s="10">
        <v>5018.2299999999996</v>
      </c>
      <c r="N1759" s="10">
        <f>+L1759-M1759</f>
        <v>-0.53999999999996362</v>
      </c>
      <c r="O1759" s="10">
        <v>5018.2299999999996</v>
      </c>
      <c r="P1759" s="10">
        <f>+L1759-O1759</f>
        <v>-0.53999999999996362</v>
      </c>
      <c r="Q1759" s="10">
        <v>0</v>
      </c>
      <c r="R1759" s="7" t="s">
        <v>27</v>
      </c>
    </row>
    <row r="1760" spans="1:18" hidden="1">
      <c r="A1760" s="7" t="s">
        <v>29</v>
      </c>
      <c r="B1760" s="8">
        <v>19718</v>
      </c>
      <c r="C1760" s="9">
        <v>45772.368738425925</v>
      </c>
      <c r="D1760" s="9">
        <v>45741</v>
      </c>
      <c r="E1760" s="9">
        <v>45772</v>
      </c>
      <c r="F1760" s="7" t="s">
        <v>5587</v>
      </c>
      <c r="G1760" s="7" t="s">
        <v>5588</v>
      </c>
      <c r="H1760" s="7" t="s">
        <v>5589</v>
      </c>
      <c r="I1760" s="7" t="s">
        <v>5590</v>
      </c>
      <c r="J1760" s="7" t="s">
        <v>176</v>
      </c>
      <c r="K1760" s="7" t="s">
        <v>494</v>
      </c>
      <c r="L1760" s="10">
        <v>235</v>
      </c>
      <c r="M1760" s="10">
        <v>235.6</v>
      </c>
      <c r="N1760" s="10">
        <f>+L1760-M1760</f>
        <v>-0.59999999999999432</v>
      </c>
      <c r="O1760" s="10">
        <v>235.6</v>
      </c>
      <c r="P1760" s="10">
        <f>+L1760-O1760</f>
        <v>-0.59999999999999432</v>
      </c>
      <c r="Q1760" s="10">
        <v>0</v>
      </c>
      <c r="R1760" s="7" t="s">
        <v>27</v>
      </c>
    </row>
    <row r="1761" spans="1:18" hidden="1">
      <c r="A1761" s="7" t="s">
        <v>29</v>
      </c>
      <c r="B1761" s="8">
        <v>19540</v>
      </c>
      <c r="C1761" s="9">
        <v>45735.62872685185</v>
      </c>
      <c r="D1761" s="9">
        <v>45724</v>
      </c>
      <c r="E1761" s="9">
        <v>45703</v>
      </c>
      <c r="F1761" s="7" t="s">
        <v>5591</v>
      </c>
      <c r="G1761" s="7" t="s">
        <v>5592</v>
      </c>
      <c r="H1761" s="7" t="s">
        <v>5593</v>
      </c>
      <c r="I1761" s="7" t="s">
        <v>5594</v>
      </c>
      <c r="J1761" s="7" t="s">
        <v>176</v>
      </c>
      <c r="K1761" s="7" t="s">
        <v>550</v>
      </c>
      <c r="L1761" s="10">
        <v>5474</v>
      </c>
      <c r="M1761" s="10">
        <v>5474.64</v>
      </c>
      <c r="N1761" s="10">
        <f>+L1761-M1761</f>
        <v>-0.64000000000032742</v>
      </c>
      <c r="O1761" s="10">
        <v>5474.64</v>
      </c>
      <c r="P1761" s="10">
        <f>+L1761-O1761</f>
        <v>-0.64000000000032742</v>
      </c>
      <c r="Q1761" s="10">
        <v>0</v>
      </c>
      <c r="R1761" s="7" t="s">
        <v>27</v>
      </c>
    </row>
    <row r="1762" spans="1:18" hidden="1">
      <c r="A1762" s="7" t="s">
        <v>29</v>
      </c>
      <c r="B1762" s="8">
        <v>19698</v>
      </c>
      <c r="C1762" s="9">
        <v>45769.700011574074</v>
      </c>
      <c r="D1762" s="9">
        <v>45819</v>
      </c>
      <c r="E1762" s="9">
        <v>45769</v>
      </c>
      <c r="F1762" s="7" t="s">
        <v>5595</v>
      </c>
      <c r="G1762" s="7" t="s">
        <v>5596</v>
      </c>
      <c r="H1762" s="7" t="s">
        <v>5597</v>
      </c>
      <c r="I1762" s="7" t="s">
        <v>5598</v>
      </c>
      <c r="J1762" s="7" t="s">
        <v>34</v>
      </c>
      <c r="K1762" s="7" t="s">
        <v>35</v>
      </c>
      <c r="L1762" s="10">
        <v>10139.77</v>
      </c>
      <c r="M1762" s="10">
        <v>10140.540000000001</v>
      </c>
      <c r="N1762" s="10">
        <f>+L1762-M1762</f>
        <v>-0.77000000000043656</v>
      </c>
      <c r="O1762" s="10">
        <v>10140.540000000001</v>
      </c>
      <c r="P1762" s="10">
        <f>+L1762-O1762</f>
        <v>-0.77000000000043656</v>
      </c>
      <c r="Q1762" s="10">
        <v>0</v>
      </c>
      <c r="R1762" s="7" t="s">
        <v>27</v>
      </c>
    </row>
    <row r="1763" spans="1:18" hidden="1">
      <c r="A1763" s="7" t="s">
        <v>29</v>
      </c>
      <c r="B1763" s="8">
        <v>19565</v>
      </c>
      <c r="C1763" s="9">
        <v>45742.519594907404</v>
      </c>
      <c r="D1763" s="9">
        <v>45629</v>
      </c>
      <c r="E1763" s="9">
        <v>45629</v>
      </c>
      <c r="F1763" s="7" t="s">
        <v>5599</v>
      </c>
      <c r="G1763" s="7" t="s">
        <v>5600</v>
      </c>
      <c r="H1763" s="7" t="s">
        <v>929</v>
      </c>
      <c r="I1763" s="7" t="s">
        <v>930</v>
      </c>
      <c r="J1763" s="7" t="s">
        <v>176</v>
      </c>
      <c r="K1763" s="7" t="s">
        <v>494</v>
      </c>
      <c r="L1763" s="10">
        <v>163</v>
      </c>
      <c r="M1763" s="10">
        <v>163.80000000000001</v>
      </c>
      <c r="N1763" s="10">
        <f>+L1763-M1763</f>
        <v>-0.80000000000001137</v>
      </c>
      <c r="O1763" s="10">
        <v>163.80000000000001</v>
      </c>
      <c r="P1763" s="10">
        <f>+L1763-O1763</f>
        <v>-0.80000000000001137</v>
      </c>
      <c r="Q1763" s="10">
        <v>0</v>
      </c>
      <c r="R1763" s="7" t="s">
        <v>27</v>
      </c>
    </row>
    <row r="1764" spans="1:18">
      <c r="A1764" s="7" t="s">
        <v>29</v>
      </c>
      <c r="B1764" s="8">
        <v>19360</v>
      </c>
      <c r="C1764" s="9">
        <v>45686.481805555552</v>
      </c>
      <c r="D1764" s="9">
        <v>45687</v>
      </c>
      <c r="E1764" s="9">
        <v>45687</v>
      </c>
      <c r="F1764" s="7" t="s">
        <v>5601</v>
      </c>
      <c r="G1764" s="7" t="s">
        <v>5177</v>
      </c>
      <c r="H1764" s="7" t="s">
        <v>4016</v>
      </c>
      <c r="I1764" s="7" t="s">
        <v>4017</v>
      </c>
      <c r="J1764" s="7" t="s">
        <v>25</v>
      </c>
      <c r="K1764" s="7" t="s">
        <v>3018</v>
      </c>
      <c r="L1764" s="10">
        <v>1206</v>
      </c>
      <c r="M1764" s="10">
        <v>1206.8399999999999</v>
      </c>
      <c r="N1764" s="10">
        <f>+L1764-M1764</f>
        <v>-0.83999999999991815</v>
      </c>
      <c r="O1764" s="10">
        <v>1206.8399999999999</v>
      </c>
      <c r="P1764" s="10">
        <f>+L1764-O1764</f>
        <v>-0.83999999999991815</v>
      </c>
      <c r="Q1764" s="10">
        <v>0</v>
      </c>
      <c r="R1764" s="7" t="s">
        <v>27</v>
      </c>
    </row>
    <row r="1765" spans="1:18" hidden="1">
      <c r="A1765" s="7" t="s">
        <v>29</v>
      </c>
      <c r="B1765" s="8">
        <v>19709</v>
      </c>
      <c r="C1765" s="9">
        <v>45771.481238425928</v>
      </c>
      <c r="D1765" s="9">
        <v>45720</v>
      </c>
      <c r="E1765" s="9">
        <v>45720</v>
      </c>
      <c r="F1765" s="7" t="s">
        <v>5602</v>
      </c>
      <c r="G1765" s="7" t="s">
        <v>5603</v>
      </c>
      <c r="H1765" s="7" t="s">
        <v>5604</v>
      </c>
      <c r="I1765" s="7" t="s">
        <v>5605</v>
      </c>
      <c r="J1765" s="7" t="s">
        <v>176</v>
      </c>
      <c r="K1765" s="7" t="s">
        <v>494</v>
      </c>
      <c r="L1765" s="10">
        <v>699</v>
      </c>
      <c r="M1765" s="10">
        <v>699.93</v>
      </c>
      <c r="N1765" s="10">
        <f>+L1765-M1765</f>
        <v>-0.92999999999994998</v>
      </c>
      <c r="O1765" s="10">
        <v>699.93</v>
      </c>
      <c r="P1765" s="10">
        <f>+L1765-O1765</f>
        <v>-0.92999999999994998</v>
      </c>
      <c r="Q1765" s="10">
        <v>0</v>
      </c>
      <c r="R1765" s="7" t="s">
        <v>27</v>
      </c>
    </row>
    <row r="1766" spans="1:18">
      <c r="A1766" s="7" t="s">
        <v>29</v>
      </c>
      <c r="B1766" s="8">
        <v>20843</v>
      </c>
      <c r="C1766" s="9">
        <v>46030.673379629625</v>
      </c>
      <c r="D1766" s="9">
        <v>46034</v>
      </c>
      <c r="E1766" s="9">
        <v>46029</v>
      </c>
      <c r="F1766" s="7" t="s">
        <v>5606</v>
      </c>
      <c r="G1766" s="7" t="s">
        <v>1828</v>
      </c>
      <c r="H1766" s="7" t="s">
        <v>5607</v>
      </c>
      <c r="I1766" s="7" t="s">
        <v>5240</v>
      </c>
      <c r="J1766" s="7" t="s">
        <v>25</v>
      </c>
      <c r="K1766" s="7" t="s">
        <v>170</v>
      </c>
      <c r="L1766" s="10">
        <v>1626.2</v>
      </c>
      <c r="M1766" s="10">
        <v>1626.2</v>
      </c>
      <c r="N1766" s="10">
        <f>+L1766-M1766</f>
        <v>0</v>
      </c>
      <c r="O1766" s="10">
        <v>1627.2</v>
      </c>
      <c r="P1766" s="10">
        <f>+L1766-O1766</f>
        <v>-1</v>
      </c>
      <c r="Q1766" s="10">
        <v>0</v>
      </c>
      <c r="R1766" s="7" t="s">
        <v>27</v>
      </c>
    </row>
    <row r="1767" spans="1:18">
      <c r="A1767" s="4"/>
      <c r="B1767" s="5"/>
      <c r="C1767" s="6"/>
      <c r="D1767" s="6"/>
      <c r="E1767" s="6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</row>
  </sheetData>
  <autoFilter ref="A1:T1766" xr:uid="{00000000-0001-0000-0000-000000000000}">
    <filterColumn colId="9">
      <filters>
        <filter val="Oficinas"/>
      </filters>
    </filterColumn>
    <filterColumn colId="17">
      <filters>
        <filter val="Euromobilia"/>
      </filters>
    </filterColumn>
    <sortState xmlns:xlrd2="http://schemas.microsoft.com/office/spreadsheetml/2017/richdata2" ref="A2:T1766">
      <sortCondition descending="1" ref="P1:P1766"/>
    </sortState>
  </autoFilter>
  <pageMargins left="0.7" right="0.7" top="0.75" bottom="0.75" header="0.3" footer="0.3"/>
  <ignoredErrors>
    <ignoredError sqref="A1:M1 Q1 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Money</dc:creator>
  <cp:keywords/>
  <dc:description/>
  <cp:lastModifiedBy>Tamar Rodriguez Cedeño</cp:lastModifiedBy>
  <cp:revision/>
  <dcterms:created xsi:type="dcterms:W3CDTF">2026-02-13T20:29:39Z</dcterms:created>
  <dcterms:modified xsi:type="dcterms:W3CDTF">2026-02-25T14:46:58Z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16.2.11.0</vt:lpwstr>
  </property>
</Properties>
</file>