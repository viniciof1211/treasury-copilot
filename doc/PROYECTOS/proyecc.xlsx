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uromobilia-my.sharepoint.com/personal/luis_barrantes_euromobilia_com/Documents/Escritorio/"/>
    </mc:Choice>
  </mc:AlternateContent>
  <xr:revisionPtr revIDLastSave="7599" documentId="8_{AAD219E2-C752-46B6-8759-9DD98DAEF997}" xr6:coauthVersionLast="47" xr6:coauthVersionMax="47" xr10:uidLastSave="{85FE15BA-3C03-47A5-8D66-166C6DC26DF3}"/>
  <bookViews>
    <workbookView xWindow="-108" yWindow="-108" windowWidth="23256" windowHeight="13896" xr2:uid="{B240E949-44A7-43DA-A2DB-F79AAE196F15}"/>
  </bookViews>
  <sheets>
    <sheet name="Resumen" sheetId="2" r:id="rId1"/>
    <sheet name="Detalle" sheetId="1" r:id="rId2"/>
  </sheets>
  <definedNames>
    <definedName name="_xlnm._FilterDatabase" localSheetId="1" hidden="1">Detalle!$A$1:$F$1</definedName>
    <definedName name="SegmentaciónDeDatos_Area_comercial">#N/A</definedName>
    <definedName name="SegmentaciónDeDatos_Area_comercial1">#N/A</definedName>
    <definedName name="SegmentaciónDeDatos_Mes">#N/A</definedName>
  </definedNames>
  <calcPr calcId="191028"/>
  <pivotCaches>
    <pivotCache cacheId="1281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<sst xmlns="http://schemas.openxmlformats.org/spreadsheetml/2006/main" count="335" uniqueCount="73">
  <si>
    <t>$Monto</t>
  </si>
  <si>
    <t>-</t>
  </si>
  <si>
    <t>Meses</t>
  </si>
  <si>
    <t>Semana 01</t>
  </si>
  <si>
    <t>Semana 02</t>
  </si>
  <si>
    <t>Semana 03</t>
  </si>
  <si>
    <t>Semana 04</t>
  </si>
  <si>
    <t>Total general</t>
  </si>
  <si>
    <t>Adelanto</t>
  </si>
  <si>
    <t>Cartera Morosa</t>
  </si>
  <si>
    <t>Cobro Normal</t>
  </si>
  <si>
    <t>Total mar-26</t>
  </si>
  <si>
    <t>Cliente</t>
  </si>
  <si>
    <t>Monto</t>
  </si>
  <si>
    <t>Tipo</t>
  </si>
  <si>
    <t>Area comercial</t>
  </si>
  <si>
    <t>Status</t>
  </si>
  <si>
    <t xml:space="preserve">Semana </t>
  </si>
  <si>
    <t>Mes</t>
  </si>
  <si>
    <t>Columna1</t>
  </si>
  <si>
    <t>EDICA - SKY GARDEN LLEGADA MATERIAL</t>
  </si>
  <si>
    <t>Proyectos Integrales</t>
  </si>
  <si>
    <t>Pendiente</t>
  </si>
  <si>
    <t>BRIDGESTONE DE COSTA RICA - 27 FEBRERO CONFIRMADO</t>
  </si>
  <si>
    <t>Logística Espacial</t>
  </si>
  <si>
    <t>Confirmado</t>
  </si>
  <si>
    <t>PAGO INICIO DE INSTALACIONES HOGAR</t>
  </si>
  <si>
    <t>Hogares Funcionales</t>
  </si>
  <si>
    <t>CIELO NUNCIATURA - ELECTROS 2DO PAQUETE</t>
  </si>
  <si>
    <t>ALMACENES EL REY LIMITADA</t>
  </si>
  <si>
    <t>RAE INGENIERIA</t>
  </si>
  <si>
    <t>Productividad Humana</t>
  </si>
  <si>
    <t>SERIGRAFICOS SURETKA - 23 FEBRERO CONFIRMADO</t>
  </si>
  <si>
    <t>RC INMOBILIARIA - SKY HOUSE - 27 FEBRERO CONFRIMADO</t>
  </si>
  <si>
    <t>CIELO NUNCIATURA - ELECTROS 1ER PAQUETE</t>
  </si>
  <si>
    <t>PAGO INICIO DE INSTALACIONES MULTICLAMP</t>
  </si>
  <si>
    <t>PRODEYCO - TORRE MAR A MAR</t>
  </si>
  <si>
    <t>PAGO EXPRESS</t>
  </si>
  <si>
    <t>AQUA POOL BLUE CR SOCIEDAD ANONIMA</t>
  </si>
  <si>
    <t>COMERCIALIZADORA Y PRODUCTORA DE BEBIDAS LOS VOLCANES S.A.</t>
  </si>
  <si>
    <t>CONCENTRIX COSTA RICA SOCIEDAD ANONIMA</t>
  </si>
  <si>
    <t>CONSULTORIA INTEGRAL DE LA CONSTRUCCION</t>
  </si>
  <si>
    <t>CORPORACION MALMO SOCIEDAD DE RESPONSABILIDAD LIMITADA</t>
  </si>
  <si>
    <t>EVOLUTION FREE ZONE SOCIEDAD ANONIMA</t>
  </si>
  <si>
    <t>IMPROSA SERVICIOS INTERNACIONALES SOCIEDAD ANONIMA</t>
  </si>
  <si>
    <t>INARI MEDICAL COSTA RICA SOCIEDAD DE RESPONSABILIDAD LIMITADA</t>
  </si>
  <si>
    <t>ASOCIACION CENTRO DE INVESTIGACION Y ADIESTRAMIENTO POLITICO ADMINISTRATIVO</t>
  </si>
  <si>
    <t>BENEMERITO CUERPO DE BOMBEROS DE COSTA RICA</t>
  </si>
  <si>
    <t>ACCIONA AGUA SOCIEDAD ANONIMA</t>
  </si>
  <si>
    <t>CENTRO INTERNACIONAL DE INVERSIONES CII SOCIEDAD ANONIMA</t>
  </si>
  <si>
    <t>LABORATORIOS QUIMICOS ARVI SOCIEDAD ANONIMA</t>
  </si>
  <si>
    <t>MERCORICA S.A.</t>
  </si>
  <si>
    <t>PriceSmart, Inc.</t>
  </si>
  <si>
    <t>PROQUINAL COSTA RICA SOCIEDAD ANONIMA</t>
  </si>
  <si>
    <t>SECANT GROUP SOCIEDAD DE RESPONSABILIDAD LIMITADA</t>
  </si>
  <si>
    <t>CAJA COSTARRICENSE DE SEGURO SOCIAL</t>
  </si>
  <si>
    <t>BAYER SOCIEDAD ANONIMA</t>
  </si>
  <si>
    <t>CORPORACION DE SUPERMERCADOS UNIDOS SOCIEDAD DE RESPONSABILIDAD LIMITADA</t>
  </si>
  <si>
    <t>EMBOTELLADORA CENTRAL S.A.</t>
  </si>
  <si>
    <t>IMPORTACIONES RE RE SOCIEDAD ANONIMA</t>
  </si>
  <si>
    <t>INTACO COSTA RICA SOCIEDAD ANONIMA</t>
  </si>
  <si>
    <t>TRI DM SOCIEDAD ANONIMA</t>
  </si>
  <si>
    <t>ELECTRO PLAS SOCIEDAD ANONIMA</t>
  </si>
  <si>
    <t>BIMBO DE COSTA RICA SOCIEDAD ANONIMA</t>
  </si>
  <si>
    <t>BOSTON SCIENTIFIC DE COSTA RICA S.R.L</t>
  </si>
  <si>
    <t>CONNECT ASSISTANCE CR SOCIEDAD ANONIMA</t>
  </si>
  <si>
    <t>MUNICIPALIDAD DE ALAJUELA</t>
  </si>
  <si>
    <t>MUNICIPALIDAD DE PALMARES</t>
  </si>
  <si>
    <t>FDO INV. DESARROLLO PROYECTOS MULTIFONDOS SECRT ESCALANTE</t>
  </si>
  <si>
    <t>ABBOTT MEDICAL</t>
  </si>
  <si>
    <t>BLOCK CONSTRUCTORA</t>
  </si>
  <si>
    <t>EDIFISA</t>
  </si>
  <si>
    <t>CR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</si>
</sst>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540A]#,##0.00_ ;[Red]\-[$$-540A]#,##0.00\ "/>
    <numFmt numFmtId="165" formatCode="_-* #,##0_-;\-* #,##0_-;_-* &quot;-&quot;??_-;_-@_-"/>
    <numFmt numFmtId="166" formatCode="[$$-540A]#,##0_ ;[Red]\-[$$-540A]#,##0\ 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pivotButton="1"/>
    <xf numFmtId="17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7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6">
    <dxf>
      <numFmt numFmtId="167" formatCode="mmm/yy"/>
    </dxf>
    <dxf>
      <numFmt numFmtId="167" formatCode="mmm/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$-540A]#,##0.00_ ;[Red]\-[$$-540A]#,##0.00\ "/>
      <alignment horizontal="center" vertical="bottom" textRotation="0" wrapText="0" indent="0" justifyLastLine="0" shrinkToFit="0" readingOrder="0"/>
    </dxf>
    <dxf>
      <numFmt numFmtId="164" formatCode="[$$-540A]#,##0.00_ ;[Red]\-[$$-540A]#,##0.00\ "/>
      <alignment horizontal="center" vertical="bottom" textRotation="0" wrapText="0" indent="0" justifyLastLine="0" shrinkToFit="0" readingOrder="0"/>
    </dxf>
    <dxf>
      <numFmt numFmtId="166" formatCode="[$$-540A]#,##0_ ;[Red]\-[$$-540A]#,##0\ "/>
      <alignment horizontal="center" vertical="bottom" textRotation="0" wrapText="0" indent="0" justifyLastLine="0" shrinkToFit="0" readingOrder="0"/>
    </dxf>
    <dxf>
      <numFmt numFmtId="166" formatCode="[$$-540A]#,##0_ ;[Red]\-[$$-540A]#,##0\ "/>
      <alignment horizontal="center" vertical="bottom" textRotation="0" wrapText="0" indent="0" justifyLastLine="0" shrinkToFit="0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right"/>
    </dxf>
    <dxf>
      <alignment horizontal="right"/>
    </dxf>
    <dxf>
      <alignment horizontal="right"/>
    </dxf>
  </dxfs>
  <tableStyles count="1" defaultTableStyle="TableStyleMedium2" defaultPivotStyle="PivotStyleLight16">
    <tableStyle name="Invisible" pivot="0" table="0" count="0" xr9:uid="{533C3AE9-9155-4CD1-87D9-1DABD68F18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0</xdr:row>
      <xdr:rowOff>47625</xdr:rowOff>
    </xdr:from>
    <xdr:to>
      <xdr:col>10</xdr:col>
      <xdr:colOff>99060</xdr:colOff>
      <xdr:row>5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rea comercial">
              <a:extLst>
                <a:ext uri="{FF2B5EF4-FFF2-40B4-BE49-F238E27FC236}">
                  <a16:creationId xmlns:a16="http://schemas.microsoft.com/office/drawing/2014/main" id="{E94F85EE-ADCB-B456-25D8-5B22BCA853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3680" y="47625"/>
              <a:ext cx="2880360" cy="1011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194310</xdr:colOff>
      <xdr:row>0</xdr:row>
      <xdr:rowOff>45720</xdr:rowOff>
    </xdr:from>
    <xdr:to>
      <xdr:col>12</xdr:col>
      <xdr:colOff>521970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2A2B07A0-AFA8-2439-EC70-FB6A7D390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9290" y="45720"/>
              <a:ext cx="189738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321497</xdr:colOff>
      <xdr:row>0</xdr:row>
      <xdr:rowOff>25101</xdr:rowOff>
    </xdr:from>
    <xdr:to>
      <xdr:col>10</xdr:col>
      <xdr:colOff>610161</xdr:colOff>
      <xdr:row>75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Area comercial 1">
              <a:extLst>
                <a:ext uri="{FF2B5EF4-FFF2-40B4-BE49-F238E27FC236}">
                  <a16:creationId xmlns:a16="http://schemas.microsoft.com/office/drawing/2014/main" id="{416E5FE9-FC95-7670-FF49-9D3A7BAF64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 comerci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23937" y="25101"/>
              <a:ext cx="1858384" cy="4396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686672337964" createdVersion="8" refreshedVersion="8" minRefreshableVersion="3" recordCount="63" xr:uid="{92F7F28B-A1A1-43CB-9624-A7AB130436B1}">
  <cacheSource type="worksheet">
    <worksheetSource name="Tabla1"/>
  </cacheSource>
  <cacheFields count="10">
    <cacheField name="Cliente" numFmtId="0">
      <sharedItems/>
    </cacheField>
    <cacheField name="Monto" numFmtId="166">
      <sharedItems containsSemiMixedTypes="0" containsString="0" containsNumber="1" minValue="231.61" maxValue="216500"/>
    </cacheField>
    <cacheField name="Tipo" numFmtId="164">
      <sharedItems count="3">
        <s v="Cobro Normal"/>
        <s v="Cartera Morosa"/>
        <s v="Adelanto"/>
      </sharedItems>
    </cacheField>
    <cacheField name="Area comercial" numFmtId="0">
      <sharedItems count="8">
        <s v="Proyectos Integrales"/>
        <s v="Logística Espacial"/>
        <s v="Hogares Funcionales"/>
        <s v="Productividad Humana"/>
        <s v="PH" u="1"/>
        <s v="LE" u="1"/>
        <s v="PI" u="1"/>
        <s v="HF" u="1"/>
      </sharedItems>
    </cacheField>
    <cacheField name="Status" numFmtId="0">
      <sharedItems/>
    </cacheField>
    <cacheField name="Semana " numFmtId="0">
      <sharedItems containsMixedTypes="1" containsNumber="1" containsInteger="1" minValue="1" maxValue="5" count="9">
        <s v="Semana 04"/>
        <s v="Semana 01"/>
        <s v="Semana 02"/>
        <s v="Semana 03"/>
        <n v="1" u="1"/>
        <n v="3" u="1"/>
        <n v="2" u="1"/>
        <n v="4" u="1"/>
        <n v="5" u="1"/>
      </sharedItems>
    </cacheField>
    <cacheField name="Mes" numFmtId="17">
      <sharedItems containsSemiMixedTypes="0" containsNonDate="0" containsDate="1" containsString="0" minDate="2025-01-01T00:00:00" maxDate="2026-12-02T00:00:00" count="13">
        <d v="2026-02-01T00:00:00"/>
        <d v="2026-03-01T00:00:00"/>
        <d v="2026-01-01T00:00:00" u="1"/>
        <d v="2025-12-01T00:00:00" u="1"/>
        <d v="2025-01-01T00:00:00" u="1"/>
        <d v="2026-12-01T00:00:00" u="1"/>
        <d v="2025-11-01T00:00:00" u="1"/>
        <d v="2025-10-01T00:00:00" u="1"/>
        <d v="2025-09-01T00:00:00" u="1"/>
        <d v="2025-08-01T00:00:00" u="1"/>
        <d v="2025-07-01T00:00:00" u="1"/>
        <d v="2025-06-01T00:00:00" u="1"/>
        <d v="2025-05-01T00:00:00" u="1"/>
      </sharedItems>
      <fieldGroup par="9"/>
    </cacheField>
    <cacheField name="Columna1" numFmtId="0">
      <sharedItems containsNonDate="0" containsString="0" containsBlank="1"/>
    </cacheField>
    <cacheField name="Días (Mes)" numFmtId="0" databaseField="0">
      <fieldGroup base="6">
        <rangePr groupBy="days" startDate="2026-02-01T00:00:00" endDate="2026-03-02T00:00:00"/>
        <groupItems count="368">
          <s v="&lt;01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03/2026"/>
        </groupItems>
      </fieldGroup>
    </cacheField>
    <cacheField name="Meses (Mes)" numFmtId="0" databaseField="0">
      <fieldGroup base="6">
        <rangePr groupBy="months" startDate="2026-02-01T00:00:00" endDate="2026-03-02T00:00:00"/>
        <groupItems count="14">
          <s v="&lt;01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3/2026"/>
        </groupItems>
      </fieldGroup>
    </cacheField>
  </cacheFields>
  <extLst>
    <ext xmlns:x14="http://schemas.microsoft.com/office/spreadsheetml/2009/9/main" uri="{725AE2AE-9491-48be-B2B4-4EB974FC3084}">
      <x14:pivotCacheDefinition pivotCacheId="15142824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EDICA - SKY GARDEN LLEGADA MATERIAL"/>
    <n v="200000"/>
    <x v="0"/>
    <x v="0"/>
    <s v="Pendiente"/>
    <x v="0"/>
    <x v="0"/>
    <m/>
  </r>
  <r>
    <s v="BRIDGESTONE DE COSTA RICA - 27 FEBRERO CONFIRMADO"/>
    <n v="97321"/>
    <x v="0"/>
    <x v="1"/>
    <s v="Confirmado"/>
    <x v="0"/>
    <x v="0"/>
    <m/>
  </r>
  <r>
    <s v="PAGO INICIO DE INSTALACIONES HOGAR"/>
    <n v="60000"/>
    <x v="0"/>
    <x v="2"/>
    <s v="Pendiente"/>
    <x v="0"/>
    <x v="0"/>
    <m/>
  </r>
  <r>
    <s v="CIELO NUNCIATURA - ELECTROS 2DO PAQUETE"/>
    <n v="56683"/>
    <x v="1"/>
    <x v="0"/>
    <s v="Pendiente"/>
    <x v="0"/>
    <x v="0"/>
    <m/>
  </r>
  <r>
    <s v="ALMACENES EL REY LIMITADA"/>
    <n v="50923"/>
    <x v="0"/>
    <x v="1"/>
    <s v="Pendiente"/>
    <x v="1"/>
    <x v="1"/>
    <m/>
  </r>
  <r>
    <s v="RAE INGENIERIA"/>
    <n v="40315"/>
    <x v="1"/>
    <x v="3"/>
    <s v="Pendiente"/>
    <x v="0"/>
    <x v="0"/>
    <m/>
  </r>
  <r>
    <s v="SERIGRAFICOS SURETKA - 23 FEBRERO CONFIRMADO"/>
    <n v="50544"/>
    <x v="0"/>
    <x v="1"/>
    <s v="Confirmado"/>
    <x v="0"/>
    <x v="0"/>
    <m/>
  </r>
  <r>
    <s v="RC INMOBILIARIA - SKY HOUSE - 27 FEBRERO CONFRIMADO"/>
    <n v="45900"/>
    <x v="0"/>
    <x v="0"/>
    <s v="Confirmado"/>
    <x v="0"/>
    <x v="0"/>
    <m/>
  </r>
  <r>
    <s v="CIELO NUNCIATURA - ELECTROS 1ER PAQUETE"/>
    <n v="41900"/>
    <x v="1"/>
    <x v="0"/>
    <s v="Pendiente"/>
    <x v="0"/>
    <x v="0"/>
    <m/>
  </r>
  <r>
    <s v="PAGO INICIO DE INSTALACIONES MULTICLAMP"/>
    <n v="25000"/>
    <x v="0"/>
    <x v="2"/>
    <s v="Pendiente"/>
    <x v="0"/>
    <x v="0"/>
    <m/>
  </r>
  <r>
    <s v="PRODEYCO - TORRE MAR A MAR"/>
    <n v="23144"/>
    <x v="1"/>
    <x v="0"/>
    <s v="Pendiente"/>
    <x v="0"/>
    <x v="0"/>
    <m/>
  </r>
  <r>
    <s v="PAGO EXPRESS"/>
    <n v="10000"/>
    <x v="0"/>
    <x v="3"/>
    <s v="Pendiente"/>
    <x v="0"/>
    <x v="0"/>
    <m/>
  </r>
  <r>
    <s v="AQUA POOL BLUE CR SOCIEDAD ANONIMA"/>
    <n v="2149.66"/>
    <x v="0"/>
    <x v="1"/>
    <s v="Pendiente"/>
    <x v="1"/>
    <x v="1"/>
    <m/>
  </r>
  <r>
    <s v="COMERCIALIZADORA Y PRODUCTORA DE BEBIDAS LOS VOLCANES S.A."/>
    <n v="38697"/>
    <x v="1"/>
    <x v="1"/>
    <s v="Pendiente"/>
    <x v="1"/>
    <x v="1"/>
    <m/>
  </r>
  <r>
    <s v="CONCENTRIX COSTA RICA SOCIEDAD ANONIMA"/>
    <n v="54548.5"/>
    <x v="0"/>
    <x v="3"/>
    <s v="Pendiente"/>
    <x v="1"/>
    <x v="1"/>
    <m/>
  </r>
  <r>
    <s v="CONSULTORIA INTEGRAL DE LA CONSTRUCCION"/>
    <n v="10420.83"/>
    <x v="0"/>
    <x v="1"/>
    <s v="Pendiente"/>
    <x v="1"/>
    <x v="1"/>
    <m/>
  </r>
  <r>
    <s v="CORPORACION MALMO SOCIEDAD DE RESPONSABILIDAD LIMITADA"/>
    <n v="873.03"/>
    <x v="0"/>
    <x v="1"/>
    <s v="Pendiente"/>
    <x v="1"/>
    <x v="1"/>
    <m/>
  </r>
  <r>
    <s v="EVOLUTION FREE ZONE SOCIEDAD ANONIMA"/>
    <n v="8689.84"/>
    <x v="1"/>
    <x v="1"/>
    <s v="Pendiente"/>
    <x v="1"/>
    <x v="1"/>
    <m/>
  </r>
  <r>
    <s v="IMPROSA SERVICIOS INTERNACIONALES SOCIEDAD ANONIMA"/>
    <n v="68239.289999999994"/>
    <x v="0"/>
    <x v="1"/>
    <s v="Pendiente"/>
    <x v="1"/>
    <x v="1"/>
    <m/>
  </r>
  <r>
    <s v="INARI MEDICAL COSTA RICA SOCIEDAD DE RESPONSABILIDAD LIMITADA"/>
    <n v="21801.200000000001"/>
    <x v="0"/>
    <x v="1"/>
    <s v="Pendiente"/>
    <x v="1"/>
    <x v="1"/>
    <m/>
  </r>
  <r>
    <s v="PAGO EXPRESS"/>
    <n v="20000"/>
    <x v="0"/>
    <x v="3"/>
    <s v="Pendiente"/>
    <x v="1"/>
    <x v="1"/>
    <m/>
  </r>
  <r>
    <s v="PAGO INICIO DE INSTALACIONES HOGAR"/>
    <n v="60000"/>
    <x v="0"/>
    <x v="2"/>
    <s v="Pendiente"/>
    <x v="1"/>
    <x v="1"/>
    <m/>
  </r>
  <r>
    <s v="PAGO INICIO DE INSTALACIONES MULTICLAMP"/>
    <n v="25000"/>
    <x v="0"/>
    <x v="2"/>
    <s v="Pendiente"/>
    <x v="1"/>
    <x v="1"/>
    <m/>
  </r>
  <r>
    <s v="ASOCIACION CENTRO DE INVESTIGACION Y ADIESTRAMIENTO POLITICO ADMINISTRATIVO"/>
    <n v="4320.2"/>
    <x v="0"/>
    <x v="3"/>
    <s v="Pendiente"/>
    <x v="1"/>
    <x v="1"/>
    <m/>
  </r>
  <r>
    <s v="BENEMERITO CUERPO DE BOMBEROS DE COSTA RICA"/>
    <n v="3353.7"/>
    <x v="0"/>
    <x v="3"/>
    <s v="Pendiente"/>
    <x v="1"/>
    <x v="1"/>
    <m/>
  </r>
  <r>
    <s v="ACCIONA AGUA SOCIEDAD ANONIMA"/>
    <n v="6972.08"/>
    <x v="0"/>
    <x v="1"/>
    <s v="Pendiente"/>
    <x v="2"/>
    <x v="1"/>
    <m/>
  </r>
  <r>
    <s v="CENTRO INTERNACIONAL DE INVERSIONES CII SOCIEDAD ANONIMA"/>
    <n v="9196.36"/>
    <x v="0"/>
    <x v="1"/>
    <s v="Pendiente"/>
    <x v="2"/>
    <x v="1"/>
    <m/>
  </r>
  <r>
    <s v="LABORATORIOS QUIMICOS ARVI SOCIEDAD ANONIMA"/>
    <n v="526.48"/>
    <x v="0"/>
    <x v="1"/>
    <s v="Pendiente"/>
    <x v="2"/>
    <x v="1"/>
    <m/>
  </r>
  <r>
    <s v="MERCORICA S.A."/>
    <n v="5242"/>
    <x v="0"/>
    <x v="1"/>
    <s v="Pendiente"/>
    <x v="2"/>
    <x v="1"/>
    <m/>
  </r>
  <r>
    <s v="PAGO EXPRESS"/>
    <n v="20000"/>
    <x v="0"/>
    <x v="3"/>
    <s v="Pendiente"/>
    <x v="2"/>
    <x v="1"/>
    <m/>
  </r>
  <r>
    <s v="PAGO INICIO DE INSTALACIONES HOGAR"/>
    <n v="60000"/>
    <x v="0"/>
    <x v="2"/>
    <s v="Pendiente"/>
    <x v="2"/>
    <x v="1"/>
    <m/>
  </r>
  <r>
    <s v="PAGO INICIO DE INSTALACIONES MULTICLAMP"/>
    <n v="25000"/>
    <x v="0"/>
    <x v="2"/>
    <s v="Pendiente"/>
    <x v="2"/>
    <x v="1"/>
    <m/>
  </r>
  <r>
    <s v="PriceSmart, Inc."/>
    <n v="24586.95"/>
    <x v="0"/>
    <x v="1"/>
    <s v="Pendiente"/>
    <x v="2"/>
    <x v="1"/>
    <m/>
  </r>
  <r>
    <s v="PROQUINAL COSTA RICA SOCIEDAD ANONIMA"/>
    <n v="17533.650000000001"/>
    <x v="0"/>
    <x v="1"/>
    <s v="Pendiente"/>
    <x v="2"/>
    <x v="1"/>
    <m/>
  </r>
  <r>
    <s v="SECANT GROUP SOCIEDAD DE RESPONSABILIDAD LIMITADA"/>
    <n v="7834"/>
    <x v="1"/>
    <x v="1"/>
    <s v="Pendiente"/>
    <x v="2"/>
    <x v="1"/>
    <m/>
  </r>
  <r>
    <s v="CAJA COSTARRICENSE DE SEGURO SOCIAL"/>
    <n v="231.61"/>
    <x v="0"/>
    <x v="3"/>
    <s v="Pendiente"/>
    <x v="2"/>
    <x v="1"/>
    <m/>
  </r>
  <r>
    <s v="CAJA COSTARRICENSE DE SEGURO SOCIAL"/>
    <n v="16497.86"/>
    <x v="1"/>
    <x v="3"/>
    <s v="Pendiente"/>
    <x v="2"/>
    <x v="1"/>
    <m/>
  </r>
  <r>
    <s v="BAYER SOCIEDAD ANONIMA"/>
    <n v="10428.540000000001"/>
    <x v="0"/>
    <x v="1"/>
    <s v="Pendiente"/>
    <x v="3"/>
    <x v="1"/>
    <m/>
  </r>
  <r>
    <s v="CORPORACION DE SUPERMERCADOS UNIDOS SOCIEDAD DE RESPONSABILIDAD LIMITADA"/>
    <n v="74047.354665999999"/>
    <x v="0"/>
    <x v="1"/>
    <s v="Pendiente"/>
    <x v="3"/>
    <x v="1"/>
    <m/>
  </r>
  <r>
    <s v="EMBOTELLADORA CENTRAL S.A."/>
    <n v="1555.43"/>
    <x v="0"/>
    <x v="1"/>
    <s v="Pendiente"/>
    <x v="3"/>
    <x v="1"/>
    <m/>
  </r>
  <r>
    <s v="IMPORTACIONES RE RE SOCIEDAD ANONIMA"/>
    <n v="70171.710000000006"/>
    <x v="0"/>
    <x v="1"/>
    <s v="Pendiente"/>
    <x v="3"/>
    <x v="1"/>
    <m/>
  </r>
  <r>
    <s v="INTACO COSTA RICA SOCIEDAD ANONIMA"/>
    <n v="25743.53"/>
    <x v="0"/>
    <x v="1"/>
    <s v="Pendiente"/>
    <x v="3"/>
    <x v="1"/>
    <m/>
  </r>
  <r>
    <s v="PAGO EXPRESS"/>
    <n v="20000"/>
    <x v="0"/>
    <x v="3"/>
    <s v="Pendiente"/>
    <x v="3"/>
    <x v="1"/>
    <m/>
  </r>
  <r>
    <s v="PAGO INICIO DE INSTALACIONES HOGAR"/>
    <n v="60000"/>
    <x v="0"/>
    <x v="2"/>
    <s v="Pendiente"/>
    <x v="3"/>
    <x v="1"/>
    <m/>
  </r>
  <r>
    <s v="PAGO INICIO DE INSTALACIONES MULTICLAMP"/>
    <n v="25000"/>
    <x v="0"/>
    <x v="2"/>
    <s v="Pendiente"/>
    <x v="3"/>
    <x v="1"/>
    <m/>
  </r>
  <r>
    <s v="TRI DM SOCIEDAD ANONIMA"/>
    <n v="25096.11"/>
    <x v="0"/>
    <x v="1"/>
    <s v="Pendiente"/>
    <x v="3"/>
    <x v="1"/>
    <m/>
  </r>
  <r>
    <s v="ELECTRO PLAS SOCIEDAD ANONIMA"/>
    <n v="18672"/>
    <x v="0"/>
    <x v="3"/>
    <s v="Pendiente"/>
    <x v="3"/>
    <x v="1"/>
    <m/>
  </r>
  <r>
    <s v="CONCENTRIX COSTA RICA SOCIEDAD ANONIMA"/>
    <n v="20000"/>
    <x v="0"/>
    <x v="3"/>
    <s v="Pendiente"/>
    <x v="3"/>
    <x v="1"/>
    <m/>
  </r>
  <r>
    <s v="CONCENTRIX COSTA RICA SOCIEDAD ANONIMA"/>
    <n v="20873.650000000001"/>
    <x v="0"/>
    <x v="3"/>
    <s v="Pendiente"/>
    <x v="3"/>
    <x v="1"/>
    <m/>
  </r>
  <r>
    <s v="BIMBO DE COSTA RICA SOCIEDAD ANONIMA"/>
    <n v="508.5"/>
    <x v="0"/>
    <x v="1"/>
    <s v="Pendiente"/>
    <x v="0"/>
    <x v="1"/>
    <m/>
  </r>
  <r>
    <s v="BOSTON SCIENTIFIC DE COSTA RICA S.R.L"/>
    <n v="1869.61"/>
    <x v="0"/>
    <x v="1"/>
    <s v="Pendiente"/>
    <x v="0"/>
    <x v="1"/>
    <m/>
  </r>
  <r>
    <s v="PAGO EXPRESS"/>
    <n v="20000"/>
    <x v="0"/>
    <x v="3"/>
    <s v="Pendiente"/>
    <x v="0"/>
    <x v="1"/>
    <m/>
  </r>
  <r>
    <s v="PAGO INICIO DE INSTALACIONES HOGAR"/>
    <n v="60000"/>
    <x v="0"/>
    <x v="2"/>
    <s v="Pendiente"/>
    <x v="0"/>
    <x v="1"/>
    <m/>
  </r>
  <r>
    <s v="PAGO INICIO DE INSTALACIONES MULTICLAMP"/>
    <n v="25000"/>
    <x v="0"/>
    <x v="2"/>
    <s v="Pendiente"/>
    <x v="0"/>
    <x v="1"/>
    <m/>
  </r>
  <r>
    <s v="EVOLUTION FREE ZONE SOCIEDAD ANONIMA"/>
    <n v="3189.2"/>
    <x v="0"/>
    <x v="3"/>
    <s v="Pendiente"/>
    <x v="0"/>
    <x v="1"/>
    <m/>
  </r>
  <r>
    <s v="CONNECT ASSISTANCE CR SOCIEDAD ANONIMA"/>
    <n v="8130"/>
    <x v="0"/>
    <x v="3"/>
    <s v="Pendiente"/>
    <x v="2"/>
    <x v="1"/>
    <m/>
  </r>
  <r>
    <s v="MUNICIPALIDAD DE ALAJUELA"/>
    <n v="8321"/>
    <x v="1"/>
    <x v="3"/>
    <s v="Pendiente"/>
    <x v="0"/>
    <x v="1"/>
    <m/>
  </r>
  <r>
    <s v="MUNICIPALIDAD DE PALMARES"/>
    <n v="13496"/>
    <x v="1"/>
    <x v="3"/>
    <s v="Pendiente"/>
    <x v="0"/>
    <x v="1"/>
    <m/>
  </r>
  <r>
    <s v="FDO INV. DESARROLLO PROYECTOS MULTIFONDOS SECRT ESCALANTE"/>
    <n v="150451"/>
    <x v="0"/>
    <x v="0"/>
    <s v="Pendiente"/>
    <x v="3"/>
    <x v="1"/>
    <m/>
  </r>
  <r>
    <s v="ABBOTT MEDICAL"/>
    <n v="216500"/>
    <x v="2"/>
    <x v="3"/>
    <s v="Pendiente"/>
    <x v="1"/>
    <x v="1"/>
    <m/>
  </r>
  <r>
    <s v="BLOCK CONSTRUCTORA"/>
    <n v="53574"/>
    <x v="0"/>
    <x v="3"/>
    <s v="Pendiente"/>
    <x v="2"/>
    <x v="1"/>
    <m/>
  </r>
  <r>
    <s v="EDIFISA"/>
    <n v="54011"/>
    <x v="0"/>
    <x v="3"/>
    <s v="Pendiente"/>
    <x v="2"/>
    <x v="1"/>
    <m/>
  </r>
  <r>
    <s v="CR HOY"/>
    <n v="51303"/>
    <x v="1"/>
    <x v="3"/>
    <s v="Pendiente"/>
    <x v="2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E1950-AA0C-4E42-9FC3-934CE2F9257F}" name="TablaDinámica1" cacheId="12813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rowHeaderCaption="Meses" colHeaderCaption="-">
  <location ref="A2:F8" firstHeaderRow="1" firstDataRow="2" firstDataCol="1"/>
  <pivotFields count="10">
    <pivotField subtotalTop="0" showAll="0"/>
    <pivotField dataField="1" numFmtId="164" subtotalTop="0" showAll="0"/>
    <pivotField axis="axisRow" subtotalTop="0" showAll="0">
      <items count="4">
        <item x="2"/>
        <item x="1"/>
        <item x="0"/>
        <item t="default"/>
      </items>
    </pivotField>
    <pivotField subtotalTop="0" showAll="0">
      <items count="9">
        <item m="1" x="7"/>
        <item x="2"/>
        <item m="1" x="5"/>
        <item x="1"/>
        <item m="1" x="4"/>
        <item m="1" x="6"/>
        <item x="3"/>
        <item x="0"/>
        <item t="default"/>
      </items>
    </pivotField>
    <pivotField subtotalTop="0" showAll="0"/>
    <pivotField axis="axisCol" subtotalTop="0" showAll="0" sortType="ascending">
      <items count="10">
        <item n="1Semana" m="1" x="4"/>
        <item n="2Semana" m="1" x="6"/>
        <item n="3Semana" m="1" x="5"/>
        <item n="4Semana" m="1" x="7"/>
        <item n="5Semana" m="1" x="8"/>
        <item x="1"/>
        <item x="2"/>
        <item x="3"/>
        <item x="0"/>
        <item t="default"/>
      </items>
    </pivotField>
    <pivotField axis="axisRow" numFmtId="17" subtotalTop="0" showAll="0">
      <items count="14">
        <item h="1" m="1" x="12"/>
        <item h="1" m="1" x="11"/>
        <item h="1" m="1" x="10"/>
        <item h="1" m="1" x="9"/>
        <item h="1" m="1" x="8"/>
        <item h="1" m="1" x="7"/>
        <item h="1" m="1" x="6"/>
        <item h="1" m="1" x="3"/>
        <item h="1" m="1" x="2"/>
        <item h="1" x="0"/>
        <item h="1" m="1" x="5"/>
        <item h="1" m="1" x="4"/>
        <item x="1"/>
        <item t="default"/>
      </items>
    </pivotField>
    <pivotField subtotalTop="0" showAll="0"/>
    <pivotField subtotalTop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67"/>
        <item t="default"/>
      </items>
    </pivotField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2"/>
  </rowFields>
  <rowItems count="5">
    <i>
      <x v="12"/>
    </i>
    <i r="1">
      <x/>
    </i>
    <i r="1">
      <x v="1"/>
    </i>
    <i r="1">
      <x v="2"/>
    </i>
    <i t="default">
      <x v="12"/>
    </i>
  </rowItems>
  <colFields count="1">
    <field x="5"/>
  </colFields>
  <colItems count="5">
    <i>
      <x v="5"/>
    </i>
    <i>
      <x v="6"/>
    </i>
    <i>
      <x v="7"/>
    </i>
    <i>
      <x v="8"/>
    </i>
    <i t="grand">
      <x/>
    </i>
  </colItems>
  <dataFields count="1">
    <dataField name="$Monto" fld="1" baseField="0" baseItem="0" numFmtId="165"/>
  </dataFields>
  <formats count="6">
    <format dxfId="10">
      <pivotArea outline="0" collapsedLevelsAreSubtotals="1" fieldPosition="0"/>
    </format>
    <format dxfId="11">
      <pivotArea dataOnly="0" labelOnly="1" fieldPosition="0">
        <references count="1">
          <reference field="5" count="0"/>
        </references>
      </pivotArea>
    </format>
    <format dxfId="12">
      <pivotArea dataOnly="0" labelOnly="1" grandCol="1" outline="0" fieldPosition="0"/>
    </format>
    <format dxfId="13">
      <pivotArea outline="0" collapsedLevelsAreSubtotals="1" fieldPosition="0"/>
    </format>
    <format dxfId="14">
      <pivotArea dataOnly="0" labelOnly="1" fieldPosition="0">
        <references count="1">
          <reference field="5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_comercial" xr10:uid="{7CD7B0E8-107D-4094-BF11-D0C05AA847C0}" sourceName="Area comercial">
  <pivotTables>
    <pivotTable tabId="2" name="TablaDinámica1"/>
  </pivotTables>
  <data>
    <tabular pivotCacheId="1514282429">
      <items count="8">
        <i x="2" s="1"/>
        <i x="1" s="1"/>
        <i x="3" s="1"/>
        <i x="0" s="1"/>
        <i x="7" s="1" nd="1"/>
        <i x="5" s="1" nd="1"/>
        <i x="4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A9242FA4-E947-4AD5-AC94-E8CBF5FC735A}" sourceName="Mes">
  <pivotTables>
    <pivotTable tabId="2" name="TablaDinámica1"/>
  </pivotTables>
  <data>
    <tabular pivotCacheId="1514282429">
      <items count="13">
        <i x="0"/>
        <i x="1" s="1"/>
        <i x="4" nd="1"/>
        <i x="12" nd="1"/>
        <i x="11" nd="1"/>
        <i x="10" nd="1"/>
        <i x="9" nd="1"/>
        <i x="8" nd="1"/>
        <i x="7" nd="1"/>
        <i x="6" nd="1"/>
        <i x="3" nd="1"/>
        <i x="2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_comercial1" xr10:uid="{AD9E6BD7-C9BA-4B3F-9ACF-4E3E792CC667}" sourceName="Area comercial">
  <extLst>
    <x:ext xmlns:x15="http://schemas.microsoft.com/office/spreadsheetml/2010/11/main" uri="{2F2917AC-EB37-4324-AD4E-5DD8C200BD13}">
      <x15:tableSlicerCache tableId="1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 comercial" xr10:uid="{F6F4DFCA-D7BC-4431-9ED7-8C3E111A67BF}" cache="SegmentaciónDeDatos_Area_comercial" caption="Area comercial" columnCount="2" rowHeight="257175"/>
  <slicer name="Mes" xr10:uid="{8601B70C-D413-43CB-AE15-9369B6E73C99}" cache="SegmentaciónDeDatos_Mes" caption="Mes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 comercial 1" xr10:uid="{383E46E3-EC03-4436-A4A4-AB8AF46449CD}" cache="SegmentaciónDeDatos_Area_comercial1" caption="Area comercial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57301-7819-4F21-9179-FD105FC5CA09}" name="Tabla1" displayName="Tabla1" ref="A1:H64" totalsRowShown="0">
  <autoFilter ref="A1:H64" xr:uid="{6FA57301-7819-4F21-9179-FD105FC5CA09}">
    <filterColumn colId="6">
      <filters>
        <dateGroupItem year="2026" month="2" dateTimeGrouping="month"/>
      </filters>
    </filterColumn>
  </autoFilter>
  <sortState xmlns:xlrd2="http://schemas.microsoft.com/office/spreadsheetml/2017/richdata2" ref="A6:H56">
    <sortCondition ref="F1:F56"/>
  </sortState>
  <tableColumns count="8">
    <tableColumn id="1" xr3:uid="{D78BF58B-9F43-4281-9349-BFA9A1808A8C}" name="Cliente"/>
    <tableColumn id="2" xr3:uid="{E652007A-E448-43F9-A5AB-3181ACFF115F}" name="Monto" dataDxfId="8" totalsRowDxfId="9"/>
    <tableColumn id="6" xr3:uid="{DB967625-3A19-4E09-ABBB-D799035C2D63}" name="Tipo" dataDxfId="6" totalsRowDxfId="7"/>
    <tableColumn id="3" xr3:uid="{644AB14B-C389-4233-A89D-E6371B75233B}" name="Area comercial" dataDxfId="4" totalsRowDxfId="5"/>
    <tableColumn id="7" xr3:uid="{2299D577-5DAF-4236-B359-EF8F8820D041}" name="Status" dataDxfId="2" totalsRowDxfId="3"/>
    <tableColumn id="4" xr3:uid="{A918288A-1F3B-4E20-81DA-0789B345F58E}" name="Semana "/>
    <tableColumn id="5" xr3:uid="{91C64773-7EDD-4128-86DF-240A4CFCEE3D}" name="Mes" dataDxfId="0" totalsRowDxfId="1"/>
    <tableColumn id="8" xr3:uid="{FDC9F2FA-2309-4AB9-B890-545C530FDEAC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3FD1-249B-4D49-8039-579F3373B974}">
  <dimension ref="A2:F8"/>
  <sheetViews>
    <sheetView showGridLines="0" tabSelected="1" workbookViewId="0">
      <selection activeCell="C8" sqref="C8"/>
    </sheetView>
  </sheetViews>
  <sheetFormatPr defaultColWidth="11.42578125" defaultRowHeight="14.45"/>
  <cols>
    <col min="1" max="1" width="18.28515625" bestFit="1" customWidth="1"/>
    <col min="2" max="2" width="13.85546875" customWidth="1"/>
    <col min="3" max="7" width="14" bestFit="1" customWidth="1"/>
  </cols>
  <sheetData>
    <row r="2" spans="1:6">
      <c r="A2" s="5" t="s">
        <v>0</v>
      </c>
      <c r="B2" s="5" t="s">
        <v>1</v>
      </c>
    </row>
    <row r="3" spans="1:6">
      <c r="A3" s="5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>
      <c r="A4" s="11">
        <v>46082</v>
      </c>
      <c r="B4" s="8"/>
      <c r="C4" s="8"/>
      <c r="D4" s="8"/>
      <c r="E4" s="8"/>
      <c r="F4" s="8"/>
    </row>
    <row r="5" spans="1:6">
      <c r="A5" s="7" t="s">
        <v>8</v>
      </c>
      <c r="B5" s="8">
        <v>216500</v>
      </c>
      <c r="C5" s="8"/>
      <c r="D5" s="8"/>
      <c r="E5" s="8"/>
      <c r="F5" s="8">
        <v>216500</v>
      </c>
    </row>
    <row r="6" spans="1:6" ht="13.5" customHeight="1">
      <c r="A6" s="7" t="s">
        <v>9</v>
      </c>
      <c r="B6" s="8">
        <v>47386.84</v>
      </c>
      <c r="C6" s="8">
        <v>75634.86</v>
      </c>
      <c r="D6" s="8"/>
      <c r="E6" s="8">
        <v>21817</v>
      </c>
      <c r="F6" s="8">
        <v>144838.70000000001</v>
      </c>
    </row>
    <row r="7" spans="1:6">
      <c r="A7" s="7" t="s">
        <v>10</v>
      </c>
      <c r="B7" s="8">
        <v>321629.41000000003</v>
      </c>
      <c r="C7" s="8">
        <v>285004.13</v>
      </c>
      <c r="D7" s="8">
        <v>522039.32466599997</v>
      </c>
      <c r="E7" s="8">
        <v>110567.31</v>
      </c>
      <c r="F7" s="8">
        <v>1239240.1746660001</v>
      </c>
    </row>
    <row r="8" spans="1:6">
      <c r="A8" s="11" t="s">
        <v>11</v>
      </c>
      <c r="B8" s="8">
        <v>585516.25</v>
      </c>
      <c r="C8" s="8">
        <v>360638.99</v>
      </c>
      <c r="D8" s="8">
        <v>522039.32466599997</v>
      </c>
      <c r="E8" s="8">
        <v>132384.31</v>
      </c>
      <c r="F8" s="8">
        <v>1600578.874666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8162-9535-48F6-9E98-B3A82983B6D7}">
  <dimension ref="A1:H64"/>
  <sheetViews>
    <sheetView showGridLines="0" zoomScaleNormal="100" workbookViewId="0">
      <selection activeCell="A8" sqref="A8"/>
    </sheetView>
  </sheetViews>
  <sheetFormatPr defaultColWidth="11.42578125" defaultRowHeight="15" customHeight="1"/>
  <cols>
    <col min="1" max="1" width="74.5703125" customWidth="1"/>
    <col min="2" max="2" width="13.140625" bestFit="1" customWidth="1"/>
    <col min="3" max="3" width="14.5703125" bestFit="1" customWidth="1"/>
    <col min="4" max="4" width="20.28515625" customWidth="1"/>
    <col min="5" max="5" width="16.42578125" customWidth="1"/>
    <col min="6" max="7" width="11.5703125" customWidth="1"/>
  </cols>
  <sheetData>
    <row r="1" spans="1:8" ht="14.45">
      <c r="A1" s="3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4" t="s">
        <v>17</v>
      </c>
      <c r="G1" t="s">
        <v>18</v>
      </c>
      <c r="H1" t="s">
        <v>19</v>
      </c>
    </row>
    <row r="2" spans="1:8" ht="14.45">
      <c r="A2" s="10" t="s">
        <v>20</v>
      </c>
      <c r="B2" s="9">
        <v>200000</v>
      </c>
      <c r="C2" s="2" t="s">
        <v>10</v>
      </c>
      <c r="D2" s="1" t="s">
        <v>21</v>
      </c>
      <c r="E2" s="1" t="s">
        <v>22</v>
      </c>
      <c r="F2" t="s">
        <v>6</v>
      </c>
      <c r="G2" s="6">
        <v>46054</v>
      </c>
    </row>
    <row r="3" spans="1:8" ht="14.45">
      <c r="A3" s="13" t="s">
        <v>23</v>
      </c>
      <c r="B3" s="9">
        <v>97321</v>
      </c>
      <c r="C3" s="2" t="s">
        <v>10</v>
      </c>
      <c r="D3" s="1" t="s">
        <v>24</v>
      </c>
      <c r="E3" s="1" t="s">
        <v>25</v>
      </c>
      <c r="F3" t="s">
        <v>6</v>
      </c>
      <c r="G3" s="6">
        <v>46054</v>
      </c>
    </row>
    <row r="4" spans="1:8" ht="14.45">
      <c r="A4" s="10" t="s">
        <v>26</v>
      </c>
      <c r="B4" s="9">
        <v>60000</v>
      </c>
      <c r="C4" s="2" t="s">
        <v>10</v>
      </c>
      <c r="D4" s="1" t="s">
        <v>27</v>
      </c>
      <c r="E4" s="1" t="s">
        <v>22</v>
      </c>
      <c r="F4" t="s">
        <v>6</v>
      </c>
      <c r="G4" s="6">
        <v>46054</v>
      </c>
    </row>
    <row r="5" spans="1:8" ht="15" customHeight="1">
      <c r="A5" s="14" t="s">
        <v>28</v>
      </c>
      <c r="B5" s="9">
        <v>56683</v>
      </c>
      <c r="C5" s="2" t="s">
        <v>9</v>
      </c>
      <c r="D5" s="1" t="s">
        <v>21</v>
      </c>
      <c r="E5" s="1" t="s">
        <v>22</v>
      </c>
      <c r="F5" t="s">
        <v>6</v>
      </c>
      <c r="G5" s="6">
        <v>46054</v>
      </c>
    </row>
    <row r="6" spans="1:8" ht="15" hidden="1" customHeight="1">
      <c r="A6" s="10" t="s">
        <v>29</v>
      </c>
      <c r="B6" s="9">
        <v>50923</v>
      </c>
      <c r="C6" s="2" t="s">
        <v>10</v>
      </c>
      <c r="D6" s="1" t="s">
        <v>24</v>
      </c>
      <c r="E6" s="1" t="s">
        <v>22</v>
      </c>
      <c r="F6" t="s">
        <v>3</v>
      </c>
      <c r="G6" s="6">
        <v>46082</v>
      </c>
    </row>
    <row r="7" spans="1:8" ht="15" customHeight="1">
      <c r="A7" s="14" t="s">
        <v>30</v>
      </c>
      <c r="B7" s="9">
        <v>40315</v>
      </c>
      <c r="C7" s="2" t="s">
        <v>9</v>
      </c>
      <c r="D7" s="1" t="s">
        <v>31</v>
      </c>
      <c r="E7" s="1" t="s">
        <v>22</v>
      </c>
      <c r="F7" t="s">
        <v>6</v>
      </c>
      <c r="G7" s="6">
        <v>46054</v>
      </c>
    </row>
    <row r="8" spans="1:8" ht="15" customHeight="1">
      <c r="A8" s="13" t="s">
        <v>32</v>
      </c>
      <c r="B8" s="9">
        <v>50544</v>
      </c>
      <c r="C8" s="2" t="s">
        <v>10</v>
      </c>
      <c r="D8" s="1" t="s">
        <v>24</v>
      </c>
      <c r="E8" s="1" t="s">
        <v>25</v>
      </c>
      <c r="F8" t="s">
        <v>6</v>
      </c>
      <c r="G8" s="6">
        <v>46054</v>
      </c>
    </row>
    <row r="9" spans="1:8" ht="15" customHeight="1">
      <c r="A9" s="13" t="s">
        <v>33</v>
      </c>
      <c r="B9" s="9">
        <v>45900</v>
      </c>
      <c r="C9" s="2" t="s">
        <v>10</v>
      </c>
      <c r="D9" s="1" t="s">
        <v>21</v>
      </c>
      <c r="E9" s="1" t="s">
        <v>25</v>
      </c>
      <c r="F9" t="s">
        <v>6</v>
      </c>
      <c r="G9" s="6">
        <v>46054</v>
      </c>
    </row>
    <row r="10" spans="1:8" ht="15" customHeight="1">
      <c r="A10" s="14" t="s">
        <v>34</v>
      </c>
      <c r="B10" s="9">
        <v>41900</v>
      </c>
      <c r="C10" s="2" t="s">
        <v>9</v>
      </c>
      <c r="D10" s="1" t="s">
        <v>21</v>
      </c>
      <c r="E10" s="1" t="s">
        <v>22</v>
      </c>
      <c r="F10" t="s">
        <v>6</v>
      </c>
      <c r="G10" s="6">
        <v>46054</v>
      </c>
    </row>
    <row r="11" spans="1:8" ht="15" customHeight="1">
      <c r="A11" s="10" t="s">
        <v>35</v>
      </c>
      <c r="B11" s="9">
        <v>25000</v>
      </c>
      <c r="C11" s="2" t="s">
        <v>10</v>
      </c>
      <c r="D11" s="1" t="s">
        <v>27</v>
      </c>
      <c r="E11" s="1" t="s">
        <v>22</v>
      </c>
      <c r="F11" t="s">
        <v>6</v>
      </c>
      <c r="G11" s="6">
        <v>46054</v>
      </c>
    </row>
    <row r="12" spans="1:8" ht="15" customHeight="1">
      <c r="A12" s="12" t="s">
        <v>36</v>
      </c>
      <c r="B12" s="9">
        <v>23144</v>
      </c>
      <c r="C12" s="2" t="s">
        <v>9</v>
      </c>
      <c r="D12" s="1" t="s">
        <v>21</v>
      </c>
      <c r="E12" s="1" t="s">
        <v>22</v>
      </c>
      <c r="F12" t="s">
        <v>6</v>
      </c>
      <c r="G12" s="6">
        <v>46054</v>
      </c>
    </row>
    <row r="13" spans="1:8" ht="15" customHeight="1">
      <c r="A13" s="10" t="s">
        <v>37</v>
      </c>
      <c r="B13" s="9">
        <v>10000</v>
      </c>
      <c r="C13" s="2" t="s">
        <v>10</v>
      </c>
      <c r="D13" s="1" t="s">
        <v>31</v>
      </c>
      <c r="E13" s="1" t="s">
        <v>22</v>
      </c>
      <c r="F13" t="s">
        <v>6</v>
      </c>
      <c r="G13" s="6">
        <v>46054</v>
      </c>
    </row>
    <row r="14" spans="1:8" ht="15" hidden="1" customHeight="1">
      <c r="A14" s="10" t="s">
        <v>38</v>
      </c>
      <c r="B14" s="9">
        <v>2149.66</v>
      </c>
      <c r="C14" s="2" t="s">
        <v>10</v>
      </c>
      <c r="D14" s="1" t="s">
        <v>24</v>
      </c>
      <c r="E14" s="1" t="s">
        <v>22</v>
      </c>
      <c r="F14" t="s">
        <v>3</v>
      </c>
      <c r="G14" s="6">
        <v>46082</v>
      </c>
    </row>
    <row r="15" spans="1:8" ht="15" hidden="1" customHeight="1">
      <c r="A15" s="10" t="s">
        <v>39</v>
      </c>
      <c r="B15" s="9">
        <v>38697</v>
      </c>
      <c r="C15" s="2" t="s">
        <v>9</v>
      </c>
      <c r="D15" s="1" t="s">
        <v>24</v>
      </c>
      <c r="E15" s="1" t="s">
        <v>22</v>
      </c>
      <c r="F15" t="s">
        <v>3</v>
      </c>
      <c r="G15" s="6">
        <v>46082</v>
      </c>
    </row>
    <row r="16" spans="1:8" ht="15" hidden="1" customHeight="1">
      <c r="A16" s="10" t="s">
        <v>40</v>
      </c>
      <c r="B16" s="9">
        <v>54548.5</v>
      </c>
      <c r="C16" s="2" t="s">
        <v>10</v>
      </c>
      <c r="D16" s="1" t="s">
        <v>31</v>
      </c>
      <c r="E16" s="1" t="s">
        <v>22</v>
      </c>
      <c r="F16" t="s">
        <v>3</v>
      </c>
      <c r="G16" s="6">
        <v>46082</v>
      </c>
    </row>
    <row r="17" spans="1:7" ht="15" hidden="1" customHeight="1">
      <c r="A17" s="10" t="s">
        <v>41</v>
      </c>
      <c r="B17" s="9">
        <v>10420.83</v>
      </c>
      <c r="C17" s="2" t="s">
        <v>10</v>
      </c>
      <c r="D17" s="1" t="s">
        <v>24</v>
      </c>
      <c r="E17" s="1" t="s">
        <v>22</v>
      </c>
      <c r="F17" t="s">
        <v>3</v>
      </c>
      <c r="G17" s="6">
        <v>46082</v>
      </c>
    </row>
    <row r="18" spans="1:7" ht="15" hidden="1" customHeight="1">
      <c r="A18" s="10" t="s">
        <v>42</v>
      </c>
      <c r="B18" s="9">
        <v>873.03</v>
      </c>
      <c r="C18" s="2" t="s">
        <v>10</v>
      </c>
      <c r="D18" s="1" t="s">
        <v>24</v>
      </c>
      <c r="E18" s="1" t="s">
        <v>22</v>
      </c>
      <c r="F18" t="s">
        <v>3</v>
      </c>
      <c r="G18" s="6">
        <v>46082</v>
      </c>
    </row>
    <row r="19" spans="1:7" ht="15" hidden="1" customHeight="1">
      <c r="A19" s="10" t="s">
        <v>43</v>
      </c>
      <c r="B19" s="9">
        <v>8689.84</v>
      </c>
      <c r="C19" s="2" t="s">
        <v>9</v>
      </c>
      <c r="D19" s="1" t="s">
        <v>24</v>
      </c>
      <c r="E19" s="1" t="s">
        <v>22</v>
      </c>
      <c r="F19" t="s">
        <v>3</v>
      </c>
      <c r="G19" s="6">
        <v>46082</v>
      </c>
    </row>
    <row r="20" spans="1:7" ht="15" hidden="1" customHeight="1">
      <c r="A20" s="10" t="s">
        <v>44</v>
      </c>
      <c r="B20" s="9">
        <v>68239.289999999994</v>
      </c>
      <c r="C20" s="2" t="s">
        <v>10</v>
      </c>
      <c r="D20" s="1" t="s">
        <v>24</v>
      </c>
      <c r="E20" s="1" t="s">
        <v>22</v>
      </c>
      <c r="F20" t="s">
        <v>3</v>
      </c>
      <c r="G20" s="6">
        <v>46082</v>
      </c>
    </row>
    <row r="21" spans="1:7" ht="15" hidden="1" customHeight="1">
      <c r="A21" s="10" t="s">
        <v>45</v>
      </c>
      <c r="B21" s="9">
        <v>21801.200000000001</v>
      </c>
      <c r="C21" s="2" t="s">
        <v>10</v>
      </c>
      <c r="D21" s="1" t="s">
        <v>24</v>
      </c>
      <c r="E21" s="1" t="s">
        <v>22</v>
      </c>
      <c r="F21" t="s">
        <v>3</v>
      </c>
      <c r="G21" s="6">
        <v>46082</v>
      </c>
    </row>
    <row r="22" spans="1:7" ht="15" hidden="1" customHeight="1">
      <c r="A22" s="10" t="s">
        <v>37</v>
      </c>
      <c r="B22" s="9">
        <v>20000</v>
      </c>
      <c r="C22" s="2" t="s">
        <v>10</v>
      </c>
      <c r="D22" s="1" t="s">
        <v>31</v>
      </c>
      <c r="E22" s="1" t="s">
        <v>22</v>
      </c>
      <c r="F22" t="s">
        <v>3</v>
      </c>
      <c r="G22" s="6">
        <v>46082</v>
      </c>
    </row>
    <row r="23" spans="1:7" ht="15" hidden="1" customHeight="1">
      <c r="A23" s="10" t="s">
        <v>26</v>
      </c>
      <c r="B23" s="9">
        <v>60000</v>
      </c>
      <c r="C23" s="2" t="s">
        <v>10</v>
      </c>
      <c r="D23" s="1" t="s">
        <v>27</v>
      </c>
      <c r="E23" s="1" t="s">
        <v>22</v>
      </c>
      <c r="F23" t="s">
        <v>3</v>
      </c>
      <c r="G23" s="6">
        <v>46082</v>
      </c>
    </row>
    <row r="24" spans="1:7" ht="15" hidden="1" customHeight="1">
      <c r="A24" s="10" t="s">
        <v>35</v>
      </c>
      <c r="B24" s="9">
        <v>25000</v>
      </c>
      <c r="C24" s="2" t="s">
        <v>10</v>
      </c>
      <c r="D24" s="1" t="s">
        <v>27</v>
      </c>
      <c r="E24" s="1" t="s">
        <v>22</v>
      </c>
      <c r="F24" t="s">
        <v>3</v>
      </c>
      <c r="G24" s="6">
        <v>46082</v>
      </c>
    </row>
    <row r="25" spans="1:7" ht="15" hidden="1" customHeight="1">
      <c r="A25" s="10" t="s">
        <v>46</v>
      </c>
      <c r="B25" s="9">
        <v>4320.2</v>
      </c>
      <c r="C25" s="2" t="s">
        <v>10</v>
      </c>
      <c r="D25" s="1" t="s">
        <v>31</v>
      </c>
      <c r="E25" s="1" t="s">
        <v>22</v>
      </c>
      <c r="F25" t="s">
        <v>3</v>
      </c>
      <c r="G25" s="6">
        <v>46082</v>
      </c>
    </row>
    <row r="26" spans="1:7" ht="15" hidden="1" customHeight="1">
      <c r="A26" s="10" t="s">
        <v>47</v>
      </c>
      <c r="B26" s="9">
        <v>3353.7</v>
      </c>
      <c r="C26" s="2" t="s">
        <v>10</v>
      </c>
      <c r="D26" s="1" t="s">
        <v>31</v>
      </c>
      <c r="E26" s="1" t="s">
        <v>22</v>
      </c>
      <c r="F26" t="s">
        <v>3</v>
      </c>
      <c r="G26" s="6">
        <v>46082</v>
      </c>
    </row>
    <row r="27" spans="1:7" ht="15" hidden="1" customHeight="1">
      <c r="A27" s="10" t="s">
        <v>48</v>
      </c>
      <c r="B27" s="9">
        <v>6972.08</v>
      </c>
      <c r="C27" s="2" t="s">
        <v>10</v>
      </c>
      <c r="D27" s="1" t="s">
        <v>24</v>
      </c>
      <c r="E27" s="1" t="s">
        <v>22</v>
      </c>
      <c r="F27" t="s">
        <v>4</v>
      </c>
      <c r="G27" s="6">
        <v>46082</v>
      </c>
    </row>
    <row r="28" spans="1:7" ht="15" hidden="1" customHeight="1">
      <c r="A28" s="10" t="s">
        <v>49</v>
      </c>
      <c r="B28" s="9">
        <v>9196.36</v>
      </c>
      <c r="C28" s="2" t="s">
        <v>10</v>
      </c>
      <c r="D28" s="1" t="s">
        <v>24</v>
      </c>
      <c r="E28" s="1" t="s">
        <v>22</v>
      </c>
      <c r="F28" t="s">
        <v>4</v>
      </c>
      <c r="G28" s="6">
        <v>46082</v>
      </c>
    </row>
    <row r="29" spans="1:7" ht="15" hidden="1" customHeight="1">
      <c r="A29" s="10" t="s">
        <v>50</v>
      </c>
      <c r="B29" s="9">
        <v>526.48</v>
      </c>
      <c r="C29" s="2" t="s">
        <v>10</v>
      </c>
      <c r="D29" s="1" t="s">
        <v>24</v>
      </c>
      <c r="E29" s="1" t="s">
        <v>22</v>
      </c>
      <c r="F29" t="s">
        <v>4</v>
      </c>
      <c r="G29" s="6">
        <v>46082</v>
      </c>
    </row>
    <row r="30" spans="1:7" ht="15" hidden="1" customHeight="1">
      <c r="A30" s="10" t="s">
        <v>51</v>
      </c>
      <c r="B30" s="9">
        <v>5242</v>
      </c>
      <c r="C30" s="2" t="s">
        <v>10</v>
      </c>
      <c r="D30" s="1" t="s">
        <v>24</v>
      </c>
      <c r="E30" s="1" t="s">
        <v>22</v>
      </c>
      <c r="F30" t="s">
        <v>4</v>
      </c>
      <c r="G30" s="6">
        <v>46082</v>
      </c>
    </row>
    <row r="31" spans="1:7" ht="15" hidden="1" customHeight="1">
      <c r="A31" s="10" t="s">
        <v>37</v>
      </c>
      <c r="B31" s="9">
        <v>20000</v>
      </c>
      <c r="C31" s="2" t="s">
        <v>10</v>
      </c>
      <c r="D31" s="1" t="s">
        <v>31</v>
      </c>
      <c r="E31" s="1" t="s">
        <v>22</v>
      </c>
      <c r="F31" t="s">
        <v>4</v>
      </c>
      <c r="G31" s="6">
        <v>46082</v>
      </c>
    </row>
    <row r="32" spans="1:7" ht="15" hidden="1" customHeight="1">
      <c r="A32" s="10" t="s">
        <v>26</v>
      </c>
      <c r="B32" s="9">
        <v>60000</v>
      </c>
      <c r="C32" s="2" t="s">
        <v>10</v>
      </c>
      <c r="D32" s="1" t="s">
        <v>27</v>
      </c>
      <c r="E32" s="1" t="s">
        <v>22</v>
      </c>
      <c r="F32" t="s">
        <v>4</v>
      </c>
      <c r="G32" s="6">
        <v>46082</v>
      </c>
    </row>
    <row r="33" spans="1:7" ht="15" hidden="1" customHeight="1">
      <c r="A33" s="10" t="s">
        <v>35</v>
      </c>
      <c r="B33" s="9">
        <v>25000</v>
      </c>
      <c r="C33" s="2" t="s">
        <v>10</v>
      </c>
      <c r="D33" s="1" t="s">
        <v>27</v>
      </c>
      <c r="E33" s="1" t="s">
        <v>22</v>
      </c>
      <c r="F33" t="s">
        <v>4</v>
      </c>
      <c r="G33" s="6">
        <v>46082</v>
      </c>
    </row>
    <row r="34" spans="1:7" ht="15" hidden="1" customHeight="1">
      <c r="A34" s="10" t="s">
        <v>52</v>
      </c>
      <c r="B34" s="9">
        <v>24586.95</v>
      </c>
      <c r="C34" s="2" t="s">
        <v>10</v>
      </c>
      <c r="D34" s="1" t="s">
        <v>24</v>
      </c>
      <c r="E34" s="1" t="s">
        <v>22</v>
      </c>
      <c r="F34" t="s">
        <v>4</v>
      </c>
      <c r="G34" s="6">
        <v>46082</v>
      </c>
    </row>
    <row r="35" spans="1:7" ht="15" hidden="1" customHeight="1">
      <c r="A35" s="10" t="s">
        <v>53</v>
      </c>
      <c r="B35" s="9">
        <v>17533.650000000001</v>
      </c>
      <c r="C35" s="2" t="s">
        <v>10</v>
      </c>
      <c r="D35" s="1" t="s">
        <v>24</v>
      </c>
      <c r="E35" s="1" t="s">
        <v>22</v>
      </c>
      <c r="F35" t="s">
        <v>4</v>
      </c>
      <c r="G35" s="6">
        <v>46082</v>
      </c>
    </row>
    <row r="36" spans="1:7" ht="15" hidden="1" customHeight="1">
      <c r="A36" s="10" t="s">
        <v>54</v>
      </c>
      <c r="B36" s="9">
        <v>7834</v>
      </c>
      <c r="C36" s="2" t="s">
        <v>9</v>
      </c>
      <c r="D36" s="1" t="s">
        <v>24</v>
      </c>
      <c r="E36" s="1" t="s">
        <v>22</v>
      </c>
      <c r="F36" t="s">
        <v>4</v>
      </c>
      <c r="G36" s="6">
        <v>46082</v>
      </c>
    </row>
    <row r="37" spans="1:7" ht="15" hidden="1" customHeight="1">
      <c r="A37" s="10" t="s">
        <v>55</v>
      </c>
      <c r="B37" s="9">
        <v>231.61</v>
      </c>
      <c r="C37" s="2" t="s">
        <v>10</v>
      </c>
      <c r="D37" s="1" t="s">
        <v>31</v>
      </c>
      <c r="E37" s="1" t="s">
        <v>22</v>
      </c>
      <c r="F37" t="s">
        <v>4</v>
      </c>
      <c r="G37" s="6">
        <v>46082</v>
      </c>
    </row>
    <row r="38" spans="1:7" ht="15" hidden="1" customHeight="1">
      <c r="A38" s="10" t="s">
        <v>55</v>
      </c>
      <c r="B38" s="9">
        <v>16497.86</v>
      </c>
      <c r="C38" s="2" t="s">
        <v>9</v>
      </c>
      <c r="D38" s="1" t="s">
        <v>31</v>
      </c>
      <c r="E38" s="1" t="s">
        <v>22</v>
      </c>
      <c r="F38" t="s">
        <v>4</v>
      </c>
      <c r="G38" s="6">
        <v>46082</v>
      </c>
    </row>
    <row r="39" spans="1:7" ht="15" hidden="1" customHeight="1">
      <c r="A39" s="10" t="s">
        <v>56</v>
      </c>
      <c r="B39" s="9">
        <v>10428.540000000001</v>
      </c>
      <c r="C39" s="2" t="s">
        <v>10</v>
      </c>
      <c r="D39" s="1" t="s">
        <v>24</v>
      </c>
      <c r="E39" s="1" t="s">
        <v>22</v>
      </c>
      <c r="F39" t="s">
        <v>5</v>
      </c>
      <c r="G39" s="6">
        <v>46082</v>
      </c>
    </row>
    <row r="40" spans="1:7" ht="15" hidden="1" customHeight="1">
      <c r="A40" s="10" t="s">
        <v>57</v>
      </c>
      <c r="B40" s="9">
        <v>74047.354665999999</v>
      </c>
      <c r="C40" s="2" t="s">
        <v>10</v>
      </c>
      <c r="D40" s="1" t="s">
        <v>24</v>
      </c>
      <c r="E40" s="1" t="s">
        <v>22</v>
      </c>
      <c r="F40" t="s">
        <v>5</v>
      </c>
      <c r="G40" s="6">
        <v>46082</v>
      </c>
    </row>
    <row r="41" spans="1:7" ht="15" hidden="1" customHeight="1">
      <c r="A41" s="10" t="s">
        <v>58</v>
      </c>
      <c r="B41" s="9">
        <v>1555.43</v>
      </c>
      <c r="C41" s="2" t="s">
        <v>10</v>
      </c>
      <c r="D41" s="1" t="s">
        <v>24</v>
      </c>
      <c r="E41" s="1" t="s">
        <v>22</v>
      </c>
      <c r="F41" t="s">
        <v>5</v>
      </c>
      <c r="G41" s="6">
        <v>46082</v>
      </c>
    </row>
    <row r="42" spans="1:7" ht="15" hidden="1" customHeight="1">
      <c r="A42" s="10" t="s">
        <v>59</v>
      </c>
      <c r="B42" s="9">
        <v>70171.710000000006</v>
      </c>
      <c r="C42" s="2" t="s">
        <v>10</v>
      </c>
      <c r="D42" s="1" t="s">
        <v>24</v>
      </c>
      <c r="E42" s="1" t="s">
        <v>22</v>
      </c>
      <c r="F42" t="s">
        <v>5</v>
      </c>
      <c r="G42" s="6">
        <v>46082</v>
      </c>
    </row>
    <row r="43" spans="1:7" ht="15" hidden="1" customHeight="1">
      <c r="A43" s="10" t="s">
        <v>60</v>
      </c>
      <c r="B43" s="9">
        <v>25743.53</v>
      </c>
      <c r="C43" s="2" t="s">
        <v>10</v>
      </c>
      <c r="D43" s="1" t="s">
        <v>24</v>
      </c>
      <c r="E43" s="1" t="s">
        <v>22</v>
      </c>
      <c r="F43" t="s">
        <v>5</v>
      </c>
      <c r="G43" s="6">
        <v>46082</v>
      </c>
    </row>
    <row r="44" spans="1:7" ht="15" hidden="1" customHeight="1">
      <c r="A44" s="10" t="s">
        <v>37</v>
      </c>
      <c r="B44" s="9">
        <v>20000</v>
      </c>
      <c r="C44" s="2" t="s">
        <v>10</v>
      </c>
      <c r="D44" s="1" t="s">
        <v>31</v>
      </c>
      <c r="E44" s="1" t="s">
        <v>22</v>
      </c>
      <c r="F44" t="s">
        <v>5</v>
      </c>
      <c r="G44" s="6">
        <v>46082</v>
      </c>
    </row>
    <row r="45" spans="1:7" ht="15" hidden="1" customHeight="1">
      <c r="A45" s="10" t="s">
        <v>26</v>
      </c>
      <c r="B45" s="9">
        <v>60000</v>
      </c>
      <c r="C45" s="2" t="s">
        <v>10</v>
      </c>
      <c r="D45" s="1" t="s">
        <v>27</v>
      </c>
      <c r="E45" s="1" t="s">
        <v>22</v>
      </c>
      <c r="F45" t="s">
        <v>5</v>
      </c>
      <c r="G45" s="6">
        <v>46082</v>
      </c>
    </row>
    <row r="46" spans="1:7" ht="15" hidden="1" customHeight="1">
      <c r="A46" s="10" t="s">
        <v>35</v>
      </c>
      <c r="B46" s="9">
        <v>25000</v>
      </c>
      <c r="C46" s="2" t="s">
        <v>10</v>
      </c>
      <c r="D46" s="1" t="s">
        <v>27</v>
      </c>
      <c r="E46" s="1" t="s">
        <v>22</v>
      </c>
      <c r="F46" t="s">
        <v>5</v>
      </c>
      <c r="G46" s="6">
        <v>46082</v>
      </c>
    </row>
    <row r="47" spans="1:7" ht="15" hidden="1" customHeight="1">
      <c r="A47" s="10" t="s">
        <v>61</v>
      </c>
      <c r="B47" s="9">
        <v>25096.11</v>
      </c>
      <c r="C47" s="2" t="s">
        <v>10</v>
      </c>
      <c r="D47" s="1" t="s">
        <v>24</v>
      </c>
      <c r="E47" s="1" t="s">
        <v>22</v>
      </c>
      <c r="F47" t="s">
        <v>5</v>
      </c>
      <c r="G47" s="6">
        <v>46082</v>
      </c>
    </row>
    <row r="48" spans="1:7" ht="15" hidden="1" customHeight="1">
      <c r="A48" s="10" t="s">
        <v>62</v>
      </c>
      <c r="B48" s="9">
        <v>18672</v>
      </c>
      <c r="C48" s="2" t="s">
        <v>10</v>
      </c>
      <c r="D48" s="1" t="s">
        <v>31</v>
      </c>
      <c r="E48" s="1" t="s">
        <v>22</v>
      </c>
      <c r="F48" t="s">
        <v>5</v>
      </c>
      <c r="G48" s="6">
        <v>46082</v>
      </c>
    </row>
    <row r="49" spans="1:7" ht="15" hidden="1" customHeight="1">
      <c r="A49" s="10" t="s">
        <v>40</v>
      </c>
      <c r="B49" s="9">
        <v>20000</v>
      </c>
      <c r="C49" s="2" t="s">
        <v>10</v>
      </c>
      <c r="D49" s="1" t="s">
        <v>31</v>
      </c>
      <c r="E49" s="1" t="s">
        <v>22</v>
      </c>
      <c r="F49" t="s">
        <v>5</v>
      </c>
      <c r="G49" s="6">
        <v>46082</v>
      </c>
    </row>
    <row r="50" spans="1:7" ht="15" hidden="1" customHeight="1">
      <c r="A50" s="10" t="s">
        <v>40</v>
      </c>
      <c r="B50" s="9">
        <v>20873.650000000001</v>
      </c>
      <c r="C50" s="2" t="s">
        <v>10</v>
      </c>
      <c r="D50" s="1" t="s">
        <v>31</v>
      </c>
      <c r="E50" s="1" t="s">
        <v>22</v>
      </c>
      <c r="F50" t="s">
        <v>5</v>
      </c>
      <c r="G50" s="6">
        <v>46082</v>
      </c>
    </row>
    <row r="51" spans="1:7" ht="15" hidden="1" customHeight="1">
      <c r="A51" s="10" t="s">
        <v>63</v>
      </c>
      <c r="B51" s="9">
        <v>508.5</v>
      </c>
      <c r="C51" s="2" t="s">
        <v>10</v>
      </c>
      <c r="D51" s="1" t="s">
        <v>24</v>
      </c>
      <c r="E51" s="1" t="s">
        <v>22</v>
      </c>
      <c r="F51" t="s">
        <v>6</v>
      </c>
      <c r="G51" s="6">
        <v>46082</v>
      </c>
    </row>
    <row r="52" spans="1:7" ht="15" hidden="1" customHeight="1">
      <c r="A52" s="10" t="s">
        <v>64</v>
      </c>
      <c r="B52" s="9">
        <v>1869.61</v>
      </c>
      <c r="C52" s="2" t="s">
        <v>10</v>
      </c>
      <c r="D52" s="1" t="s">
        <v>24</v>
      </c>
      <c r="E52" s="1" t="s">
        <v>22</v>
      </c>
      <c r="F52" t="s">
        <v>6</v>
      </c>
      <c r="G52" s="6">
        <v>46082</v>
      </c>
    </row>
    <row r="53" spans="1:7" ht="15" hidden="1" customHeight="1">
      <c r="A53" s="10" t="s">
        <v>37</v>
      </c>
      <c r="B53" s="9">
        <v>20000</v>
      </c>
      <c r="C53" s="2" t="s">
        <v>10</v>
      </c>
      <c r="D53" s="1" t="s">
        <v>31</v>
      </c>
      <c r="E53" s="1" t="s">
        <v>22</v>
      </c>
      <c r="F53" t="s">
        <v>6</v>
      </c>
      <c r="G53" s="6">
        <v>46082</v>
      </c>
    </row>
    <row r="54" spans="1:7" ht="15" hidden="1" customHeight="1">
      <c r="A54" s="10" t="s">
        <v>26</v>
      </c>
      <c r="B54" s="9">
        <v>60000</v>
      </c>
      <c r="C54" s="2" t="s">
        <v>10</v>
      </c>
      <c r="D54" s="1" t="s">
        <v>27</v>
      </c>
      <c r="E54" s="1" t="s">
        <v>22</v>
      </c>
      <c r="F54" t="s">
        <v>6</v>
      </c>
      <c r="G54" s="6">
        <v>46082</v>
      </c>
    </row>
    <row r="55" spans="1:7" ht="15" hidden="1" customHeight="1">
      <c r="A55" s="10" t="s">
        <v>35</v>
      </c>
      <c r="B55" s="9">
        <v>25000</v>
      </c>
      <c r="C55" s="2" t="s">
        <v>10</v>
      </c>
      <c r="D55" s="1" t="s">
        <v>27</v>
      </c>
      <c r="E55" s="1" t="s">
        <v>22</v>
      </c>
      <c r="F55" t="s">
        <v>6</v>
      </c>
      <c r="G55" s="6">
        <v>46082</v>
      </c>
    </row>
    <row r="56" spans="1:7" ht="15" hidden="1" customHeight="1">
      <c r="A56" s="10" t="s">
        <v>43</v>
      </c>
      <c r="B56" s="9">
        <v>3189.2</v>
      </c>
      <c r="C56" s="2" t="s">
        <v>10</v>
      </c>
      <c r="D56" s="1" t="s">
        <v>31</v>
      </c>
      <c r="E56" s="1" t="s">
        <v>22</v>
      </c>
      <c r="F56" t="s">
        <v>6</v>
      </c>
      <c r="G56" s="6">
        <v>46082</v>
      </c>
    </row>
    <row r="57" spans="1:7" ht="15" hidden="1" customHeight="1">
      <c r="A57" s="10" t="s">
        <v>65</v>
      </c>
      <c r="B57" s="9">
        <v>8130</v>
      </c>
      <c r="C57" s="2" t="s">
        <v>10</v>
      </c>
      <c r="D57" s="1" t="s">
        <v>31</v>
      </c>
      <c r="E57" s="1" t="s">
        <v>22</v>
      </c>
      <c r="F57" t="s">
        <v>4</v>
      </c>
      <c r="G57" s="6">
        <v>46082</v>
      </c>
    </row>
    <row r="58" spans="1:7" ht="15" hidden="1" customHeight="1">
      <c r="A58" s="10" t="s">
        <v>66</v>
      </c>
      <c r="B58" s="9">
        <v>8321</v>
      </c>
      <c r="C58" s="2" t="s">
        <v>9</v>
      </c>
      <c r="D58" s="1" t="s">
        <v>31</v>
      </c>
      <c r="E58" s="1" t="s">
        <v>22</v>
      </c>
      <c r="F58" t="s">
        <v>6</v>
      </c>
      <c r="G58" s="6">
        <v>46082</v>
      </c>
    </row>
    <row r="59" spans="1:7" ht="15" hidden="1" customHeight="1">
      <c r="A59" s="10" t="s">
        <v>67</v>
      </c>
      <c r="B59" s="9">
        <v>13496</v>
      </c>
      <c r="C59" s="2" t="s">
        <v>9</v>
      </c>
      <c r="D59" s="1" t="s">
        <v>31</v>
      </c>
      <c r="E59" s="1" t="s">
        <v>22</v>
      </c>
      <c r="F59" t="s">
        <v>6</v>
      </c>
      <c r="G59" s="6">
        <v>46082</v>
      </c>
    </row>
    <row r="60" spans="1:7" ht="15" hidden="1" customHeight="1">
      <c r="A60" s="10" t="s">
        <v>68</v>
      </c>
      <c r="B60" s="9">
        <v>150451</v>
      </c>
      <c r="C60" s="2" t="s">
        <v>10</v>
      </c>
      <c r="D60" s="1" t="s">
        <v>21</v>
      </c>
      <c r="E60" s="1" t="s">
        <v>22</v>
      </c>
      <c r="F60" t="s">
        <v>5</v>
      </c>
      <c r="G60" s="6">
        <v>46082</v>
      </c>
    </row>
    <row r="61" spans="1:7" ht="15" hidden="1" customHeight="1">
      <c r="A61" s="10" t="s">
        <v>69</v>
      </c>
      <c r="B61" s="9">
        <v>216500</v>
      </c>
      <c r="C61" s="2" t="s">
        <v>8</v>
      </c>
      <c r="D61" s="1" t="s">
        <v>31</v>
      </c>
      <c r="E61" s="1" t="s">
        <v>22</v>
      </c>
      <c r="F61" t="s">
        <v>3</v>
      </c>
      <c r="G61" s="6">
        <v>46082</v>
      </c>
    </row>
    <row r="62" spans="1:7" ht="15" hidden="1" customHeight="1">
      <c r="A62" s="10" t="s">
        <v>70</v>
      </c>
      <c r="B62" s="9">
        <v>53574</v>
      </c>
      <c r="C62" s="2" t="s">
        <v>10</v>
      </c>
      <c r="D62" s="1" t="s">
        <v>31</v>
      </c>
      <c r="E62" s="1" t="s">
        <v>22</v>
      </c>
      <c r="F62" t="s">
        <v>4</v>
      </c>
      <c r="G62" s="6">
        <v>46082</v>
      </c>
    </row>
    <row r="63" spans="1:7" ht="15" hidden="1" customHeight="1">
      <c r="A63" s="10" t="s">
        <v>71</v>
      </c>
      <c r="B63" s="9">
        <v>54011</v>
      </c>
      <c r="C63" s="2" t="s">
        <v>10</v>
      </c>
      <c r="D63" s="1" t="s">
        <v>31</v>
      </c>
      <c r="E63" s="1" t="s">
        <v>22</v>
      </c>
      <c r="F63" t="s">
        <v>4</v>
      </c>
      <c r="G63" s="6">
        <v>46082</v>
      </c>
    </row>
    <row r="64" spans="1:7" ht="15" hidden="1" customHeight="1">
      <c r="A64" s="10" t="s">
        <v>72</v>
      </c>
      <c r="B64" s="9">
        <v>51303</v>
      </c>
      <c r="C64" s="2" t="s">
        <v>9</v>
      </c>
      <c r="D64" s="1" t="s">
        <v>31</v>
      </c>
      <c r="E64" s="1" t="s">
        <v>22</v>
      </c>
      <c r="F64" t="s">
        <v>4</v>
      </c>
      <c r="G64" s="6">
        <v>46082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Monney</dc:creator>
  <cp:keywords/>
  <dc:description/>
  <cp:lastModifiedBy>Monica Diaz Camacho</cp:lastModifiedBy>
  <cp:revision/>
  <dcterms:created xsi:type="dcterms:W3CDTF">2025-05-22T22:46:08Z</dcterms:created>
  <dcterms:modified xsi:type="dcterms:W3CDTF">2026-02-24T16:06:28Z</dcterms:modified>
  <cp:category/>
  <cp:contentStatus/>
</cp:coreProperties>
</file>