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euromobilia-my.sharepoint.com/personal/luis_barrantes_euromobilia_com/Documents/Escritorio/Analisis de cartera/"/>
    </mc:Choice>
  </mc:AlternateContent>
  <xr:revisionPtr revIDLastSave="38" documentId="8_{A56E0CF7-33F9-44D5-AF36-F4FCB38DAC07}" xr6:coauthVersionLast="47" xr6:coauthVersionMax="47" xr10:uidLastSave="{A1EECFA7-9E92-4E36-A89D-6C3E37BFC516}"/>
  <bookViews>
    <workbookView xWindow="-108" yWindow="-108" windowWidth="23256" windowHeight="13896" firstSheet="1" activeTab="1" xr2:uid="{39F93554-4ABA-4449-A551-8C017F884BB1}"/>
  </bookViews>
  <sheets>
    <sheet name="Detalle" sheetId="2" r:id="rId1"/>
    <sheet name="BD" sheetId="1" r:id="rId2"/>
    <sheet name="Resumen junio" sheetId="11" state="hidden" r:id="rId3"/>
    <sheet name="Hoja2" sheetId="10" state="hidden" r:id="rId4"/>
    <sheet name="Resumen agosto" sheetId="13" state="hidden" r:id="rId5"/>
    <sheet name="Resumen julio" sheetId="12" state="hidden" r:id="rId6"/>
    <sheet name="Resumen setiembre" sheetId="14" state="hidden" r:id="rId7"/>
    <sheet name="Resumen noviembre" sheetId="16" state="hidden" r:id="rId8"/>
    <sheet name="Resumen octubre" sheetId="15" state="hidden" r:id="rId9"/>
  </sheets>
  <definedNames>
    <definedName name="_xlnm._FilterDatabase" localSheetId="1" hidden="1">BD!$A$1:$J$3307</definedName>
    <definedName name="Cobros" localSheetId="4">Tabla1[]</definedName>
    <definedName name="Cobros" localSheetId="5">Tabla1[]</definedName>
    <definedName name="Cobros" localSheetId="7">Tabla1[]</definedName>
    <definedName name="Cobros" localSheetId="8">Tabla1[]</definedName>
    <definedName name="Cobros" localSheetId="6">Tabla1[]</definedName>
    <definedName name="Cobros">Tabla1[]</definedName>
    <definedName name="SegmentaciónDeDatos_Empresa">#N/A</definedName>
    <definedName name="SegmentaciónDeDatos_Mes">#N/A</definedName>
    <definedName name="SegmentaciónDeDatos_Tipo">#N/A</definedName>
    <definedName name="SegmentaciónDeDatos_Unidad_de_Negocio">#N/A</definedName>
  </definedNames>
  <calcPr calcId="191028"/>
  <pivotCaches>
    <pivotCache cacheId="2246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61" i="1" l="1"/>
  <c r="I2878" i="1"/>
  <c r="I2927" i="1"/>
  <c r="I1212" i="1"/>
  <c r="I720" i="1"/>
  <c r="I322" i="1"/>
  <c r="I2019" i="1"/>
  <c r="H20" i="2"/>
  <c r="H18" i="2"/>
  <c r="H17" i="2"/>
  <c r="H19" i="2"/>
  <c r="I20" i="1"/>
  <c r="I1467" i="1"/>
  <c r="I3238" i="1"/>
  <c r="I1712" i="1"/>
  <c r="I1381" i="1"/>
  <c r="I506" i="1"/>
  <c r="I3040" i="1"/>
  <c r="I2277" i="1"/>
  <c r="I2889" i="1"/>
  <c r="I2276" i="1"/>
  <c r="I2968" i="1"/>
  <c r="I489" i="1"/>
  <c r="I60" i="1"/>
  <c r="I3071" i="1" l="1"/>
  <c r="I1758" i="1"/>
  <c r="I2967" i="1"/>
  <c r="I2969" i="1"/>
  <c r="I2945" i="1"/>
  <c r="I169" i="1"/>
  <c r="I98" i="1"/>
  <c r="I824" i="1"/>
  <c r="I1583" i="1"/>
  <c r="I941" i="1"/>
  <c r="I713" i="1"/>
  <c r="I1118" i="1"/>
  <c r="I426" i="1"/>
  <c r="I3170" i="1"/>
  <c r="B23" i="2"/>
  <c r="B26" i="2" l="1"/>
  <c r="B25" i="2"/>
  <c r="I2307" i="1"/>
  <c r="I512" i="1"/>
  <c r="I394" i="1"/>
  <c r="I1415" i="1"/>
  <c r="I2341" i="1"/>
  <c r="I1376" i="1"/>
  <c r="I2851" i="1"/>
  <c r="I828" i="1"/>
  <c r="I813" i="1"/>
  <c r="I1716" i="1"/>
  <c r="I1343" i="1"/>
  <c r="I2953" i="1"/>
  <c r="I2004" i="1"/>
  <c r="I565" i="1"/>
  <c r="I1985" i="1"/>
  <c r="I2260" i="1"/>
  <c r="I2963" i="1" l="1"/>
  <c r="I2233" i="1"/>
  <c r="I2776" i="1"/>
  <c r="I2717" i="1"/>
  <c r="I2342" i="1"/>
  <c r="I2719" i="1"/>
  <c r="I2200" i="1"/>
  <c r="I2950" i="1"/>
  <c r="I1949" i="1"/>
  <c r="I1541" i="1"/>
  <c r="I3033" i="1"/>
  <c r="I48" i="1"/>
  <c r="I1715" i="1"/>
  <c r="I1342" i="1"/>
  <c r="I1944" i="1"/>
  <c r="I2151" i="1"/>
  <c r="I2275" i="1"/>
  <c r="I2097" i="1"/>
  <c r="I2920" i="1"/>
  <c r="I443" i="1"/>
  <c r="I2247" i="1"/>
  <c r="I2251" i="1"/>
  <c r="I2246" i="1"/>
  <c r="I1876" i="1"/>
  <c r="I949" i="1"/>
  <c r="I1910" i="1"/>
  <c r="I2988" i="1"/>
  <c r="I2883" i="1"/>
  <c r="I332" i="1" l="1"/>
  <c r="I2166" i="1"/>
  <c r="I2003" i="1"/>
  <c r="I2006" i="1"/>
  <c r="I2005" i="1"/>
  <c r="I1852" i="1"/>
  <c r="I1886" i="1"/>
  <c r="I510" i="1"/>
  <c r="I2744" i="1"/>
  <c r="I2979" i="1"/>
  <c r="I1370" i="1"/>
  <c r="I2739" i="1"/>
  <c r="I1662" i="1"/>
  <c r="I2909" i="1"/>
  <c r="I3199" i="1"/>
  <c r="I2094" i="1"/>
  <c r="I3140" i="1"/>
  <c r="I2174" i="1"/>
  <c r="I1875" i="1"/>
  <c r="I1179" i="1"/>
  <c r="F6" i="16"/>
  <c r="C6" i="16"/>
  <c r="B6" i="16"/>
  <c r="B8" i="16" s="1"/>
  <c r="H5" i="16"/>
  <c r="G5" i="16"/>
  <c r="E5" i="16"/>
  <c r="D5" i="16"/>
  <c r="H4" i="16"/>
  <c r="G4" i="16"/>
  <c r="E4" i="16"/>
  <c r="D4" i="16"/>
  <c r="H3" i="16"/>
  <c r="G3" i="16"/>
  <c r="E3" i="16"/>
  <c r="D3" i="16"/>
  <c r="H2" i="16"/>
  <c r="G2" i="16"/>
  <c r="E2" i="16"/>
  <c r="D2" i="16"/>
  <c r="G6" i="16" l="1"/>
  <c r="E6" i="16"/>
  <c r="H6" i="16"/>
  <c r="D6" i="16"/>
  <c r="B9" i="16"/>
  <c r="B10" i="16" s="1"/>
  <c r="B11" i="16"/>
  <c r="I1510" i="1"/>
  <c r="I1239" i="1"/>
  <c r="I405" i="1"/>
  <c r="I881" i="1"/>
  <c r="I1745" i="1"/>
  <c r="I1571" i="1"/>
  <c r="I1747" i="1"/>
  <c r="I2952" i="1"/>
  <c r="I1574" i="1"/>
  <c r="I1550" i="1"/>
  <c r="I490" i="1"/>
  <c r="I410" i="1"/>
  <c r="I214" i="1"/>
  <c r="I1682" i="1"/>
  <c r="F6" i="15"/>
  <c r="C6" i="15"/>
  <c r="B9" i="15" s="1"/>
  <c r="B6" i="15"/>
  <c r="B8" i="15" s="1"/>
  <c r="H5" i="15"/>
  <c r="G5" i="15"/>
  <c r="E5" i="15"/>
  <c r="D5" i="15"/>
  <c r="H4" i="15"/>
  <c r="G4" i="15"/>
  <c r="E4" i="15"/>
  <c r="D4" i="15"/>
  <c r="H3" i="15"/>
  <c r="G3" i="15"/>
  <c r="E3" i="15"/>
  <c r="D3" i="15"/>
  <c r="H2" i="15"/>
  <c r="G2" i="15"/>
  <c r="E2" i="15"/>
  <c r="D2" i="15"/>
  <c r="I1460" i="1"/>
  <c r="I1419" i="1"/>
  <c r="I3036" i="1"/>
  <c r="I3035" i="1"/>
  <c r="I274" i="1"/>
  <c r="I2180" i="1"/>
  <c r="I2866" i="1"/>
  <c r="I2098" i="1"/>
  <c r="I2977" i="1"/>
  <c r="E6" i="15" l="1"/>
  <c r="D6" i="15"/>
  <c r="G6" i="15"/>
  <c r="B11" i="15"/>
  <c r="B10" i="15"/>
  <c r="H6" i="15"/>
  <c r="G2" i="14"/>
  <c r="I795" i="1"/>
  <c r="I3169" i="1"/>
  <c r="I2286" i="1"/>
  <c r="I1451" i="1"/>
  <c r="I3015" i="1"/>
  <c r="I1255" i="1"/>
  <c r="F6" i="14"/>
  <c r="C6" i="14"/>
  <c r="B6" i="14"/>
  <c r="H6" i="14" s="1"/>
  <c r="H5" i="14"/>
  <c r="G5" i="14"/>
  <c r="E5" i="14"/>
  <c r="D5" i="14"/>
  <c r="H4" i="14"/>
  <c r="G4" i="14"/>
  <c r="E4" i="14"/>
  <c r="D4" i="14"/>
  <c r="H3" i="14"/>
  <c r="G3" i="14"/>
  <c r="E3" i="14"/>
  <c r="D3" i="14"/>
  <c r="H2" i="14"/>
  <c r="E2" i="14"/>
  <c r="D2" i="14"/>
  <c r="I268" i="1"/>
  <c r="I1930" i="1"/>
  <c r="I2213" i="1"/>
  <c r="I1936" i="1"/>
  <c r="I2884" i="1"/>
  <c r="I2942" i="1"/>
  <c r="I279" i="1"/>
  <c r="I685" i="1"/>
  <c r="I1215" i="1"/>
  <c r="I1219" i="1"/>
  <c r="I1105" i="1"/>
  <c r="I1031" i="1"/>
  <c r="I1418" i="1"/>
  <c r="I1835" i="1"/>
  <c r="I1934" i="1"/>
  <c r="I1933" i="1"/>
  <c r="I3003" i="1"/>
  <c r="I3274" i="1"/>
  <c r="I3200" i="1"/>
  <c r="I1866" i="1"/>
  <c r="I2099" i="1"/>
  <c r="F6" i="13"/>
  <c r="C6" i="13"/>
  <c r="B6" i="13"/>
  <c r="H5" i="13"/>
  <c r="G5" i="13"/>
  <c r="E5" i="13"/>
  <c r="D5" i="13"/>
  <c r="H4" i="13"/>
  <c r="G4" i="13"/>
  <c r="E4" i="13"/>
  <c r="D4" i="13"/>
  <c r="H3" i="13"/>
  <c r="G3" i="13"/>
  <c r="E3" i="13"/>
  <c r="D3" i="13"/>
  <c r="H2" i="13"/>
  <c r="G2" i="13"/>
  <c r="E2" i="13"/>
  <c r="D2" i="13"/>
  <c r="I2158" i="1"/>
  <c r="E6" i="14" l="1"/>
  <c r="G6" i="14"/>
  <c r="B8" i="14"/>
  <c r="B11" i="14" s="1"/>
  <c r="D6" i="14"/>
  <c r="D6" i="13"/>
  <c r="G6" i="13"/>
  <c r="B8" i="13"/>
  <c r="B11" i="13" s="1"/>
  <c r="H6" i="13"/>
  <c r="E6" i="13"/>
  <c r="I2020" i="1"/>
  <c r="I1331" i="1"/>
  <c r="I2304" i="1"/>
  <c r="I2194" i="1"/>
  <c r="I1223" i="1"/>
  <c r="I3034" i="1"/>
  <c r="I811" i="1"/>
  <c r="I99" i="1"/>
  <c r="I976" i="1"/>
  <c r="I744" i="1"/>
  <c r="I774" i="1"/>
  <c r="I763" i="1"/>
  <c r="I686" i="1"/>
  <c r="I1527" i="1"/>
  <c r="I3028" i="1"/>
  <c r="I1454" i="1"/>
  <c r="I736" i="1"/>
  <c r="I1829" i="1"/>
  <c r="H2" i="11"/>
  <c r="B10" i="14" l="1"/>
  <c r="B10" i="13"/>
  <c r="F6" i="12"/>
  <c r="C6" i="12"/>
  <c r="B9" i="12" s="1"/>
  <c r="B6" i="12"/>
  <c r="E6" i="12" s="1"/>
  <c r="H5" i="12"/>
  <c r="G5" i="12"/>
  <c r="E5" i="12"/>
  <c r="D5" i="12"/>
  <c r="H4" i="12"/>
  <c r="G4" i="12"/>
  <c r="E4" i="12"/>
  <c r="D4" i="12"/>
  <c r="H3" i="12"/>
  <c r="G3" i="12"/>
  <c r="E3" i="12"/>
  <c r="D3" i="12"/>
  <c r="H2" i="12"/>
  <c r="G2" i="12"/>
  <c r="E2" i="12"/>
  <c r="D2" i="12"/>
  <c r="I1271" i="1"/>
  <c r="H6" i="12" l="1"/>
  <c r="D6" i="12"/>
  <c r="G6" i="12"/>
  <c r="B8" i="12"/>
  <c r="B11" i="12" s="1"/>
  <c r="I1270" i="1"/>
  <c r="I3029" i="1"/>
  <c r="I2271" i="1"/>
  <c r="I1783" i="1"/>
  <c r="I622" i="1"/>
  <c r="I716" i="1"/>
  <c r="B10" i="12" l="1"/>
  <c r="I1549" i="1"/>
  <c r="I436" i="1" l="1"/>
  <c r="I1469" i="1"/>
  <c r="I541" i="1"/>
  <c r="G2" i="11"/>
  <c r="I714" i="1"/>
  <c r="I559" i="1"/>
  <c r="I645" i="1"/>
  <c r="I2000" i="1"/>
  <c r="I472" i="1"/>
  <c r="I1661" i="1"/>
  <c r="F6" i="11"/>
  <c r="B6" i="11"/>
  <c r="C6" i="11"/>
  <c r="B9" i="11" s="1"/>
  <c r="H3" i="11"/>
  <c r="H4" i="11"/>
  <c r="H5" i="11"/>
  <c r="G3" i="11"/>
  <c r="G4" i="11"/>
  <c r="G5" i="11"/>
  <c r="H6" i="11" l="1"/>
  <c r="B8" i="11"/>
  <c r="B11" i="11" s="1"/>
  <c r="G6" i="11"/>
  <c r="E6" i="11"/>
  <c r="E3" i="11"/>
  <c r="E4" i="11"/>
  <c r="E5" i="11"/>
  <c r="E2" i="11"/>
  <c r="D3" i="11"/>
  <c r="D4" i="11"/>
  <c r="D5" i="11"/>
  <c r="D2" i="11"/>
  <c r="B10" i="11" l="1"/>
  <c r="D6" i="11"/>
  <c r="I2765" i="1"/>
  <c r="I2720" i="1"/>
  <c r="I1988" i="1"/>
  <c r="I2773" i="1"/>
  <c r="I449" i="1"/>
  <c r="I1935" i="1"/>
  <c r="I2014" i="1"/>
  <c r="I331" i="1"/>
  <c r="G21" i="2" l="1"/>
  <c r="I2266" i="1" l="1"/>
  <c r="I1946" i="1" l="1"/>
  <c r="I2787" i="1"/>
  <c r="I3165" i="1" l="1"/>
  <c r="I1263" i="1"/>
  <c r="I433" i="1"/>
  <c r="I300" i="1"/>
  <c r="I221" i="1"/>
  <c r="I59" i="1"/>
  <c r="I1787" i="1"/>
  <c r="I2023" i="1"/>
  <c r="I3121" i="1"/>
  <c r="I2013" i="1"/>
  <c r="I1881" i="1"/>
</calcChain>
</file>

<file path=xl/sharedStrings.xml><?xml version="1.0" encoding="utf-8"?>
<sst xmlns="http://schemas.openxmlformats.org/spreadsheetml/2006/main" count="23504" uniqueCount="1845">
  <si>
    <t>Monto dolares $</t>
  </si>
  <si>
    <t/>
  </si>
  <si>
    <t>Semana 01</t>
  </si>
  <si>
    <t>Semana 02</t>
  </si>
  <si>
    <t>Semana 03</t>
  </si>
  <si>
    <t>Semana 04</t>
  </si>
  <si>
    <t>Semana 05</t>
  </si>
  <si>
    <t>Status</t>
  </si>
  <si>
    <t>Proyeccion</t>
  </si>
  <si>
    <t>Cobrado</t>
  </si>
  <si>
    <t>Alcance %</t>
  </si>
  <si>
    <t>Alcance $</t>
  </si>
  <si>
    <t>Adelanto</t>
  </si>
  <si>
    <t>Cartera Morosa</t>
  </si>
  <si>
    <t>Cobro Normal</t>
  </si>
  <si>
    <t>Total general</t>
  </si>
  <si>
    <t>Monto $</t>
  </si>
  <si>
    <t>Area Comercial</t>
  </si>
  <si>
    <t>Monto cartera</t>
  </si>
  <si>
    <t>Proy. / Cartera</t>
  </si>
  <si>
    <t>Cartera HF</t>
  </si>
  <si>
    <t>Proy. sensibilizada</t>
  </si>
  <si>
    <t>Cartera PH</t>
  </si>
  <si>
    <t>Cartera LE</t>
  </si>
  <si>
    <t>Cartera PI</t>
  </si>
  <si>
    <t>Total carteras</t>
  </si>
  <si>
    <t>PPTO 2026</t>
  </si>
  <si>
    <t>Empresa</t>
  </si>
  <si>
    <t>Unidad de Negocio</t>
  </si>
  <si>
    <t>Tipo</t>
  </si>
  <si>
    <t># Recibo PC Graf</t>
  </si>
  <si>
    <t>Estado</t>
  </si>
  <si>
    <t xml:space="preserve">Semana </t>
  </si>
  <si>
    <t>Fecha de Flujo</t>
  </si>
  <si>
    <t>Moneda</t>
  </si>
  <si>
    <t>Monto</t>
  </si>
  <si>
    <t>Cliente</t>
  </si>
  <si>
    <t>Mes</t>
  </si>
  <si>
    <t>Comentarios</t>
  </si>
  <si>
    <t>Euromobilia</t>
  </si>
  <si>
    <t>Hogares Funcionales</t>
  </si>
  <si>
    <t>Dólares</t>
  </si>
  <si>
    <t>MARICELA MORA MORA</t>
  </si>
  <si>
    <t>SI</t>
  </si>
  <si>
    <t>ROGER GUADAMUZ RIVERA</t>
  </si>
  <si>
    <t>Proyectos Integrales</t>
  </si>
  <si>
    <t>CIELO NUNCIATURA</t>
  </si>
  <si>
    <t>Logística Espacial</t>
  </si>
  <si>
    <t xml:space="preserve">NUEVOS ALMACENES </t>
  </si>
  <si>
    <t>ALEJANDRO ESTEBAN TREJOS GOMEZ</t>
  </si>
  <si>
    <t>BAUNZEN SOCIEDAD DE RESPONSABILIDAD LIMITADA</t>
  </si>
  <si>
    <t>CONSTRUCTORA VANDER LAAT - TORRE DON BOSCO</t>
  </si>
  <si>
    <t>NUEVOS ALMACENES</t>
  </si>
  <si>
    <t>Eron Sabre Internacional S.A</t>
  </si>
  <si>
    <t>BOSTON CIENTIFIC</t>
  </si>
  <si>
    <t xml:space="preserve">DAVIVIENDA LEASING S,A </t>
  </si>
  <si>
    <t>Multiclamp</t>
  </si>
  <si>
    <t>ECODESARROLLO PAPAGAYO - DP11</t>
  </si>
  <si>
    <t>CIELO NUNCIATURA SOCIEDAD ANONIMA</t>
  </si>
  <si>
    <t xml:space="preserve">ALMACENES EL REY </t>
  </si>
  <si>
    <t xml:space="preserve">GRUPO LOGISTICO JMA SOCIEDAD ANONIMA </t>
  </si>
  <si>
    <t>LANCO PAINTS GUATEMALA,  S.A.</t>
  </si>
  <si>
    <t>PriceSmart Guatemala</t>
  </si>
  <si>
    <t>Productividad Humana</t>
  </si>
  <si>
    <t>Colones</t>
  </si>
  <si>
    <t>UNIVERSIDAD DE COSTA RICA</t>
  </si>
  <si>
    <t>AGUNSA GUATEMALA</t>
  </si>
  <si>
    <t>G Q ARQUITECTURA SOCIEDAD ANONIMA</t>
  </si>
  <si>
    <t>FONDO DE MERCADO DE VALORES</t>
  </si>
  <si>
    <t>DESARROLLOS Y CONSTRUCCION ALFACO LIMITADA</t>
  </si>
  <si>
    <t>CONSTRUCTORA PROYCON</t>
  </si>
  <si>
    <t>BAC SAN JOSE LEASING S.A. - SISLOCAR</t>
  </si>
  <si>
    <t>EURO NASARA</t>
  </si>
  <si>
    <t>YOBEL - ADELANTO</t>
  </si>
  <si>
    <t>MAQUINARIA y TRACTORES LIMITADA</t>
  </si>
  <si>
    <t>ANDRES DIAZ ARAYA</t>
  </si>
  <si>
    <t>LUCIA MOLINA FALLAS</t>
  </si>
  <si>
    <t>YARKONI ORLANDO ROJAS ALVARADO</t>
  </si>
  <si>
    <t>SILVIA ELENA ZUÑIGA JIMENEZ</t>
  </si>
  <si>
    <t>SERVICIOS GERENCIALES TEMPORALES SRL</t>
  </si>
  <si>
    <t>3101802628 S.A</t>
  </si>
  <si>
    <t>EURO BLUE FA S.A</t>
  </si>
  <si>
    <t>BHORA FA SOCIEDAD ANONIMA</t>
  </si>
  <si>
    <t>3-101-802628 S.A.</t>
  </si>
  <si>
    <t>NO</t>
  </si>
  <si>
    <t>Duplicado</t>
  </si>
  <si>
    <t>T.R. Constructores y Consultores</t>
  </si>
  <si>
    <t>3-101-747864 S.A.</t>
  </si>
  <si>
    <t>PRODEYCO</t>
  </si>
  <si>
    <t>EMILIA PAULA RUGGERI</t>
  </si>
  <si>
    <t>CONCENTRIX</t>
  </si>
  <si>
    <t>CIELO DE BABILONIA</t>
  </si>
  <si>
    <t>CORPORACION DE SUPERMERCADOS UNIDOS</t>
  </si>
  <si>
    <t>MELISSA VARGAS CARVAJAL</t>
  </si>
  <si>
    <t>ERNESTO JOSE GOCHEZ MONGE</t>
  </si>
  <si>
    <t>María Fernanda Madrigal Carvajal</t>
  </si>
  <si>
    <t>KATALINA ELENA VELARDE BARQUERO</t>
  </si>
  <si>
    <t>REINER STEVEN SANCHEZ CARBALLO</t>
  </si>
  <si>
    <t>Clientes Nuevos</t>
  </si>
  <si>
    <t>Express</t>
  </si>
  <si>
    <t>Outlet semana 1</t>
  </si>
  <si>
    <t>WALMART - VERTICE</t>
  </si>
  <si>
    <t>MORAVIA ESTE</t>
  </si>
  <si>
    <t>UNIKO SAN FRANCISCO - ADELANTO</t>
  </si>
  <si>
    <t>FONDO DE INVERSION LOS CRESTONES</t>
  </si>
  <si>
    <t>SERVICIOS LOGISTICOS Y CORPORATIVOS FAVALQUE</t>
  </si>
  <si>
    <t>Arrendadora Sarita SEM 3 ( MY)'INVERSIONES 9.9013 S.A.</t>
  </si>
  <si>
    <t>ANA PAOLA ALVARADO MENDEZ</t>
  </si>
  <si>
    <t>MILTON BALTODANO BALTODANO</t>
  </si>
  <si>
    <t>ADA ESTHER FIGUEROA CRESPO</t>
  </si>
  <si>
    <t>SOLESIS SOCIEDAD ANONIMA</t>
  </si>
  <si>
    <t>EDICA - SKYGARDEN</t>
  </si>
  <si>
    <t xml:space="preserve">INDUSTRIAS GAREND </t>
  </si>
  <si>
    <t>PALERMO HOME</t>
  </si>
  <si>
    <t>Paneltech</t>
  </si>
  <si>
    <t>ZSCALER COSTA RICA SOCIEDAD ANONIMA</t>
  </si>
  <si>
    <t>EURO - LINDORA</t>
  </si>
  <si>
    <t>MARIA NINFA TERESA DE JESUS CORDERO TORRES</t>
  </si>
  <si>
    <t>AGUNSA GUATEMALA S.A.</t>
  </si>
  <si>
    <t>SERVICA</t>
  </si>
  <si>
    <t>YESSICA MARIA MOLINA RODRIGUEZ</t>
  </si>
  <si>
    <t>MAYCA DISTRIBUIDORES, S.A</t>
  </si>
  <si>
    <t>Euro Lindora</t>
  </si>
  <si>
    <t>nuevo horizonte pye s.a</t>
  </si>
  <si>
    <t>Cobro normal</t>
  </si>
  <si>
    <t>AVENIDA 10 REPUESTOS - GUACAMAYA</t>
  </si>
  <si>
    <t>PRICESMART T&amp;T</t>
  </si>
  <si>
    <t>LUX SOLUTIONS LIMITADA - VALURA</t>
  </si>
  <si>
    <t>EDICA - SKY GARDEN MUEBLES</t>
  </si>
  <si>
    <t>DAVIVIENDA LEASING - NUTRICARE</t>
  </si>
  <si>
    <t>PRIME LOGISTCS GAG SOCIEDAD ANONIMA</t>
  </si>
  <si>
    <t>CONSTRUCTORA GONZALO DELGADO SOCIEDAD ANONIMA</t>
  </si>
  <si>
    <t>ESENCIA - NOVOGAR</t>
  </si>
  <si>
    <t>DISTRIBUIDORA LA FLORIDA S.A.</t>
  </si>
  <si>
    <t>SUMINISTROS SOTO ESPINOZA</t>
  </si>
  <si>
    <t>Cooperativa de Productores de leche Dos PinosR L</t>
  </si>
  <si>
    <t>CAFÉ BRITT</t>
  </si>
  <si>
    <t>CAFE BRITT COSTA RICA SOCIEDAD ANONIMA</t>
  </si>
  <si>
    <t xml:space="preserve">COVESA COMERCIALIZADORA </t>
  </si>
  <si>
    <t>P Y P CONSTRUCCIONES SOCIEDAD ANONIMA (AS CARIARI)</t>
  </si>
  <si>
    <t>ECODESARROLLO PAPAGAYO - DP10</t>
  </si>
  <si>
    <t>LOS ARALLANES - COHESITY</t>
  </si>
  <si>
    <t>MTWO SOCIEDAD DE RESPONSABILIDAD LIMITADA</t>
  </si>
  <si>
    <t>GONZALO DELGADO - PUESTOS FRONTERIZOS</t>
  </si>
  <si>
    <t>Intercompany</t>
  </si>
  <si>
    <t>VERTICE INTERCOMPANY</t>
  </si>
  <si>
    <t>GRUPO BM</t>
  </si>
  <si>
    <t>RYHTMLINK</t>
  </si>
  <si>
    <t>IMC INTERAMERICANA</t>
  </si>
  <si>
    <t>NUCLEO BUSINESS CENTER SOCIEDAD ANONIMA</t>
  </si>
  <si>
    <t>FORESTALES PUNTA ISLITA SOCIEDAD ANONIMA</t>
  </si>
  <si>
    <t>MICROVENTION COSTA RICA SRL</t>
  </si>
  <si>
    <t>VOLIO Y TREJOS ASOCIADOS S.A.</t>
  </si>
  <si>
    <t>CONSULTORA TTRES</t>
  </si>
  <si>
    <t>ARBORA</t>
  </si>
  <si>
    <t>Yigal Benzaquen Grynspan</t>
  </si>
  <si>
    <t>CONICO, CONSULTORIA INTEGRAL DE LA CONSTRUCCION, SOCIEDAD ANONIMA</t>
  </si>
  <si>
    <t>JONES LANG LASALLE LIMITADA</t>
  </si>
  <si>
    <t>FONDO DE INVERSION INMOB LOS CRESTONES</t>
  </si>
  <si>
    <t>TEGRA MEDICAL</t>
  </si>
  <si>
    <t>EDWIN LUILLY MADRIGAL HERNANDEZ</t>
  </si>
  <si>
    <t>FONDO DE INVERSION INMOB GIBRALTAR</t>
  </si>
  <si>
    <t>HERAEUS MEDICAL COMPONENTS SOCIEDAD DE RESPONSABILIDAD LIMITADA</t>
  </si>
  <si>
    <t>DESARROLLO VIVE TIBAS DVT S.A</t>
  </si>
  <si>
    <t>EDICA - SKY GARDEN</t>
  </si>
  <si>
    <t xml:space="preserve">SIN IDENTIFICAR </t>
  </si>
  <si>
    <t xml:space="preserve">CORPORACION DE SUMINISTROS Y MATERIALES  </t>
  </si>
  <si>
    <t xml:space="preserve">CENTROAMERICANA DE COMERCIO CENCO </t>
  </si>
  <si>
    <t>CORPORACION DE COMPAÑIAS AGROINDUSTRIALES CCA SRL</t>
  </si>
  <si>
    <t>Corporacion Frionet S.A</t>
  </si>
  <si>
    <t xml:space="preserve">CORPORACION PIPASA SRL </t>
  </si>
  <si>
    <t>GRUPO SOLUCRET BPR S,A</t>
  </si>
  <si>
    <t>PRAXAIR COSTA RICA SOCIEDAD ANONIMA</t>
  </si>
  <si>
    <t>Outlet semana 2</t>
  </si>
  <si>
    <t>IVAN ROBERTO ARROYO VINDAS</t>
  </si>
  <si>
    <t>SKY HOUSE ADELANTO</t>
  </si>
  <si>
    <t>EDICA LIMITADA - TORRE VELO</t>
  </si>
  <si>
    <t>ANGELICA CASTRO CASTRO</t>
  </si>
  <si>
    <t>COMPAÑIA UNITOOL COSTA RICA SRL</t>
  </si>
  <si>
    <t>BELINA NUTRICIONAL</t>
  </si>
  <si>
    <t>PRIME LOGISTICS GAG SOCIEDAD ANONIMA</t>
  </si>
  <si>
    <t xml:space="preserve">AGUILA LOGISTICA </t>
  </si>
  <si>
    <t>CENTRO COMERCIAL MULTIPLAZA SOCIEDAD ANONIMA</t>
  </si>
  <si>
    <t>PRICESMART GUATEMALA</t>
  </si>
  <si>
    <t>BIOCIENTIFICA INTERNACIONAL S D R L LIMITADA</t>
  </si>
  <si>
    <t>INARI MEDICAL COSTA RICA SOCIEDAD ANONIMA</t>
  </si>
  <si>
    <t>CONSTRUCTORA TOTEM</t>
  </si>
  <si>
    <t xml:space="preserve">PLAZA RIVIERA - EDICA COCA COLA </t>
  </si>
  <si>
    <t>CORPORACION DE SUPERMERCADOS UNIDOS SOCIEDAD DE RESPONSABILIDAD LIMITADA</t>
  </si>
  <si>
    <t>EURO LINDORA FA S.A</t>
  </si>
  <si>
    <t>Universidad de Costa Rica</t>
  </si>
  <si>
    <t>ULTRAPARK DOS SOCIEDAD ANONIMA</t>
  </si>
  <si>
    <t>BRANDON BARRANTES ALVARADO</t>
  </si>
  <si>
    <t>ZONA FRANCA PARQUE CENTRAL</t>
  </si>
  <si>
    <t>ZONA FRANCA PARQUE COYOL TRES SOCIEDAD DE RESPONSABILIDAD LIMITADA</t>
  </si>
  <si>
    <t xml:space="preserve">INDUSTRIAL LUGUME SOCIEDAD  ANONIMA </t>
  </si>
  <si>
    <t>GUACHIPELIN</t>
  </si>
  <si>
    <t>Guachipelin Estate Trescientos Diez  SA</t>
  </si>
  <si>
    <t>3-101-795629 SOCIEDAD ANONIMA</t>
  </si>
  <si>
    <t>ALMACENES EL REY</t>
  </si>
  <si>
    <t>CONTRACT WORKPLACES - KRAFT HEINZ</t>
  </si>
  <si>
    <t>P Y P CONSTRUCCIONES SOCIEDAD ANONIMA</t>
  </si>
  <si>
    <t>ALEJANDRO GERARDO VALVERDE MOLINA</t>
  </si>
  <si>
    <t>ALTEA G Y E SOCIEDAD ANONIMA.</t>
  </si>
  <si>
    <t>EATON ELECTRICAL SRL</t>
  </si>
  <si>
    <t>LUTRON CR SOCIEDAD DE RESPONSABILIDAD LIMITADA</t>
  </si>
  <si>
    <t>Fisher Scientific Costa Rica SRL</t>
  </si>
  <si>
    <t>MARIA ALEJANDRA GAMBOA ALVARADO</t>
  </si>
  <si>
    <t>CONSTRUCCION Y REDES COSTA RICA SOCIEDAD DE RESPONSABILIDAD</t>
  </si>
  <si>
    <t>Randy Varela Cordero</t>
  </si>
  <si>
    <t>PURA VIDA ESPAIS</t>
  </si>
  <si>
    <t>ECODESARROLLO PAPAGAYO LIMITADA</t>
  </si>
  <si>
    <t>ILSE GRACIELA KOGEL GONZALEZ</t>
  </si>
  <si>
    <t>CONOBRA</t>
  </si>
  <si>
    <t>BILCO</t>
  </si>
  <si>
    <t>ZONA FRANCA COYOL SOCIEDAD ANONIMA</t>
  </si>
  <si>
    <t>FLORIDA BEBIDAS</t>
  </si>
  <si>
    <t>VOLIO Y TREJOS ASOCIADOS S.A</t>
  </si>
  <si>
    <t>PANORAMA 270 - PUERTAS</t>
  </si>
  <si>
    <t>Edgardo Morales</t>
  </si>
  <si>
    <t>FREUDEMBERG MEDICAL</t>
  </si>
  <si>
    <t>FREUDENBERG MEDICAL SOCIEDAD DE RESPONSABILIDAD LIMITADA</t>
  </si>
  <si>
    <t>JORGE BARRANTES OROZCO</t>
  </si>
  <si>
    <t>HORACIO JUAN DE LA TRINIDAD CAMPOS VARGAS</t>
  </si>
  <si>
    <t>VOLIO Y TREJOS - AEROPUERTO</t>
  </si>
  <si>
    <t>AUTO REPUESTOS AVENIDA DIEZ S.A.</t>
  </si>
  <si>
    <t>Diana Isabel Borge Mora</t>
  </si>
  <si>
    <t>ELECTRO PLAST</t>
  </si>
  <si>
    <t>EVOLUTION FREE ZONE - EDIFICADORA</t>
  </si>
  <si>
    <t>TELEDOLAR</t>
  </si>
  <si>
    <t xml:space="preserve">COOPENAE </t>
  </si>
  <si>
    <t>SAGA INGENIERIA SOCIEDAD ANONIMA</t>
  </si>
  <si>
    <t>CONTRACT WORK PLACES</t>
  </si>
  <si>
    <t>VIANT COSTA RICA</t>
  </si>
  <si>
    <t>DESARROLLO Y CONSTRUCCIONES</t>
  </si>
  <si>
    <t>PROPIEDADES DEL RINCON</t>
  </si>
  <si>
    <t>Outlet semana 3</t>
  </si>
  <si>
    <t>CONSTRUCTORA NAVARRO Y AVILES SOCIEDAD ANONIMA</t>
  </si>
  <si>
    <t>Corporacion de Supermercados Unidos SRL</t>
  </si>
  <si>
    <t>CR HOY - ADELANTO</t>
  </si>
  <si>
    <t>Residencias Vista  la Vita</t>
  </si>
  <si>
    <t>BILCO COSTA RICA S.A.</t>
  </si>
  <si>
    <t>CONICO CONSTRUCTORA - CCPP CORREDORES</t>
  </si>
  <si>
    <t>VOLIO Y TREJOS ASOCIADOS</t>
  </si>
  <si>
    <t>SIN IDENTIFICAR - ALTEA</t>
  </si>
  <si>
    <t>TORRE PARQUE DEL PERU SOCIEDAD ANONIMA</t>
  </si>
  <si>
    <t>EDICA - COCA COLA</t>
  </si>
  <si>
    <t>PROPIEDADES EL RINCÓN DE LOS SUEÑOS S.A</t>
  </si>
  <si>
    <t>ERP CONSULTING GRUOP S.A</t>
  </si>
  <si>
    <t>BAC SAN JOSE</t>
  </si>
  <si>
    <t>PRIME LOGISTICS  SEM - 2 ( MY)</t>
  </si>
  <si>
    <t>VERTICE ALQUILERES</t>
  </si>
  <si>
    <t>COMPAÑIA NACIONAL DE FUERZA Y LUZ</t>
  </si>
  <si>
    <t>ROCHE SERVICES AMERICAS SOCIEDAD DE RESPONSABILIDAD LIMITADA</t>
  </si>
  <si>
    <t>CONTRACT WORKPLACES COSTA RICA SOCIEDAD ANONIMA</t>
  </si>
  <si>
    <t>3-101-820946</t>
  </si>
  <si>
    <t>STEPHANIE KENNEDY</t>
  </si>
  <si>
    <t>BRIDGESTONE DE COSTA RICA SOCIEDAD ANONIMA</t>
  </si>
  <si>
    <t>SEMANA 04 NOVIEMBRE EXPRESS</t>
  </si>
  <si>
    <t>Euro Nasara</t>
  </si>
  <si>
    <t>OSWALDO JOSE ALVAREZ VELASQUEZ</t>
  </si>
  <si>
    <t>L L BEAN INC</t>
  </si>
  <si>
    <t xml:space="preserve">MEGALINEAS SOCIEDAD ANONIMA </t>
  </si>
  <si>
    <t>Euro Nassara</t>
  </si>
  <si>
    <t>EMP INTEL DE COSTA RICA SRL</t>
  </si>
  <si>
    <t>PROYECTO MORAVIA ESTE</t>
  </si>
  <si>
    <t>ABBOTT  31891 SEM 4  ( 31891)</t>
  </si>
  <si>
    <t>VALENCIANO MERCAR</t>
  </si>
  <si>
    <t>CURTISSWRIGHT CONTROLS COSTA RICA SOCIEDAD ANONIMA</t>
  </si>
  <si>
    <t>PARQUE CENTRAL SOCIEDAD ANONIMA</t>
  </si>
  <si>
    <t>DAVIVIENDA LEASING S.A. - COSMAQ</t>
  </si>
  <si>
    <t>COMERCIAL BANTE SOCIEDAD ANONIMA</t>
  </si>
  <si>
    <t>HOSPEDAJE AEROPUERTO</t>
  </si>
  <si>
    <t>JACOB JOSEPH STRIKOWSKI</t>
  </si>
  <si>
    <t>UNED - ATENAS</t>
  </si>
  <si>
    <t>LILLIAM ESCALANTE ARAUZ</t>
  </si>
  <si>
    <t>CONSTRUCTORA GONZALO DELGADO SOCIEDAD ANONIMA (CCSS NARANJO)</t>
  </si>
  <si>
    <t>CONTRACT WORKPLACES COSTA RICA SOCIEDAD ANONIMA - ULATINA</t>
  </si>
  <si>
    <t>CONTRACT WORKPLACES COSTA RICA SOCIEDAD ANONIMA - EPIC HERBALIFE</t>
  </si>
  <si>
    <t>EDICA - TORRE VELO</t>
  </si>
  <si>
    <t>ELKE MARIA STEINVORTH - JENIZARO CRIOLLO</t>
  </si>
  <si>
    <t>LUXE GREEN PARADISE INC SOCIEDAD DE RESPONSABILIDAD LIMITADA</t>
  </si>
  <si>
    <t>3-101-820946 S.A.</t>
  </si>
  <si>
    <t>SIN IDENTIFICAR</t>
  </si>
  <si>
    <t>MARIA GOMEZ MONTALVAN</t>
  </si>
  <si>
    <t>GUACAMAYA</t>
  </si>
  <si>
    <t>CONSTRUCTORA VAN DER LAAT Y JIMENEZ - INACON</t>
  </si>
  <si>
    <t>CONSTRUCTORA GONZALO DELGADO SOCIEDAD ANONIMA (PJ SR)</t>
  </si>
  <si>
    <t>AUTO REPUESTOS AVENIDA DIEZ S.A. (GUACAMAYA)</t>
  </si>
  <si>
    <t>ANDRES GARCIA CANO</t>
  </si>
  <si>
    <t>ULTRAPARK</t>
  </si>
  <si>
    <t>FONDO DE INVERSION INMOBILIARIA</t>
  </si>
  <si>
    <t>CONSTRUCTORA GONZALO DELGADO SOCIEDAD ANONIMA - PEÑAS BLANCAS</t>
  </si>
  <si>
    <t>MCV TRANSPORTE</t>
  </si>
  <si>
    <t>CORTE SUPREMA DE JUSTICIA PODER JUDICIAL</t>
  </si>
  <si>
    <t>JASEC</t>
  </si>
  <si>
    <t>CONSTRUCTORA ENRIQUE MUÑOZ S.A.</t>
  </si>
  <si>
    <t>BILCO INARI MEDICAL</t>
  </si>
  <si>
    <t xml:space="preserve">INACON - VANDER LAAT </t>
  </si>
  <si>
    <t>MAQUINARIA WOODPECKER</t>
  </si>
  <si>
    <t>Edica</t>
  </si>
  <si>
    <t>PAGO SEMANA 03 OUTLET MAYO</t>
  </si>
  <si>
    <t xml:space="preserve">UNIVERSIDAD NACIONAL DE COSTA RICA </t>
  </si>
  <si>
    <t>JENIZARO CRIOLLO LIMITADA</t>
  </si>
  <si>
    <t>UNIVERSIDAD ESTATAL A DISTANCIA</t>
  </si>
  <si>
    <t>CONSTRUCTORA ELISEO VARGAS &amp; ASOCIADOS S.A.</t>
  </si>
  <si>
    <t>FEDERACION COSTARRICENSE DE FUTBOL</t>
  </si>
  <si>
    <t>COMPANIA CONSTRUCTORA VAN DER LAAT Y JIMENEZ S.A.</t>
  </si>
  <si>
    <t>BILCO EPSILON</t>
  </si>
  <si>
    <t>SPC TELECENTINEL SOCIEDAD ANONIMA</t>
  </si>
  <si>
    <t>ELECTROMECANICA PABLO MURILLO SOCIEDAD ANONIMA</t>
  </si>
  <si>
    <t>SAMUEL RABINOVICH DYNER</t>
  </si>
  <si>
    <t>Sense</t>
  </si>
  <si>
    <t xml:space="preserve">PROYECTO RESIDENCIAL VIVA JACO </t>
  </si>
  <si>
    <t>SEMANA 01 AGOSTO EXPRESS</t>
  </si>
  <si>
    <t xml:space="preserve">GUACAMAYA </t>
  </si>
  <si>
    <t>BEATRIZ ELENA ARLEY</t>
  </si>
  <si>
    <t>XINIA PATRICIA DEL S VEGA GUZMAN</t>
  </si>
  <si>
    <t>P270 MUEBLES</t>
  </si>
  <si>
    <t>semana 02</t>
  </si>
  <si>
    <t>MARIO ADOLFO VARGAS VALVERDE</t>
  </si>
  <si>
    <t>Outlet semana 4</t>
  </si>
  <si>
    <t>BOSTON SCIENTIFIC DE COSTA RICA    31299 SEM 4 (MY)</t>
  </si>
  <si>
    <t>FARMANOVA  31692  SEM 4 (MY)</t>
  </si>
  <si>
    <t>GRUPO AGROINDUSTRIAL NUMAR S.A.</t>
  </si>
  <si>
    <t>INDUSTRIAS GAREND SOCIEDAD ANONIMA  31639  SEM 4 (AB)</t>
  </si>
  <si>
    <t>JAVIER ANTONIO RIVAS</t>
  </si>
  <si>
    <t>MEGA LINEAS MODULA   30890  SEM-4 (MY)</t>
  </si>
  <si>
    <t>NESTLE EL SALVADOR, S.A. DE C.V.</t>
  </si>
  <si>
    <t>SWAV CR SOCIEDAD DE RESPONSABILIDAD LIMITADA</t>
  </si>
  <si>
    <t>MCV TRANSPORT OF COSTA RICA S.A</t>
  </si>
  <si>
    <t>EDICA LIMITADA</t>
  </si>
  <si>
    <t>PROYECTO RESERVA MORAVIA</t>
  </si>
  <si>
    <t>PRICESMART</t>
  </si>
  <si>
    <t>COMPAÑÍA NACIONAL DE FUERZA Y LUZ</t>
  </si>
  <si>
    <t>CARTON WLLIAMS PHILLIPS</t>
  </si>
  <si>
    <t>BILCO - EPSILON</t>
  </si>
  <si>
    <t>RETENCIONES EUCALIPTO</t>
  </si>
  <si>
    <t>GQ ARQUITECTOS</t>
  </si>
  <si>
    <t>CAFETOS EUROMOBILIA</t>
  </si>
  <si>
    <t>ALTEA INTERCOMPANY</t>
  </si>
  <si>
    <t>3-101-820946 - UNIKO ESTAPA 3</t>
  </si>
  <si>
    <t>EDIFICADORA CENTROAMERICANA RAPIPAREDES S.A.</t>
  </si>
  <si>
    <t>DISTRIBUIDORA LA FLORIDA</t>
  </si>
  <si>
    <t>TELEDOLAR SOCIEDAD ANONIMA</t>
  </si>
  <si>
    <t>ALQUILER VERTICE</t>
  </si>
  <si>
    <t>CORPORACION PIPASA</t>
  </si>
  <si>
    <t>DESARROLLOS ECOLOGICOS EL CANAL</t>
  </si>
  <si>
    <t>STUDIO TINGO LIMITADA</t>
  </si>
  <si>
    <t>PAGO SEMANA 05 OUTLET MAYO</t>
  </si>
  <si>
    <t>3-102-896838 SOCIEDAD DE RESPONSABILIDAD LIMITADA *VENTA EN SALA*</t>
  </si>
  <si>
    <t>PRIME LOGISTCS GAG SOCIEDAD ANONIMA - ABBOTT</t>
  </si>
  <si>
    <t xml:space="preserve">I E SOCIEDAD ANONIMA </t>
  </si>
  <si>
    <t>CAFETOS</t>
  </si>
  <si>
    <t>CONICO CONSTRUCTORA</t>
  </si>
  <si>
    <t>Daniela Zúñiga Zamora</t>
  </si>
  <si>
    <t>SAMTEC INTERCONNECT ASSEMBLY SIA COSTA RICA S.R.L</t>
  </si>
  <si>
    <t>Ayurveda Centroamericana</t>
  </si>
  <si>
    <t>FONDO DE INVERSION INMOBILIARIA LOS CRESTONES - STEWART</t>
  </si>
  <si>
    <t>LA NAPOLI BAJUREÑA, S.A</t>
  </si>
  <si>
    <t>Rosenstock</t>
  </si>
  <si>
    <t>3-101-721431 S.A.</t>
  </si>
  <si>
    <t>SEMANA 04 AGOSTO EXPRESS</t>
  </si>
  <si>
    <t>ACUÑA Y HANSON</t>
  </si>
  <si>
    <t>Cinthya Cascante Bagnarello</t>
  </si>
  <si>
    <t>GUACHIPELIN REAL STATE</t>
  </si>
  <si>
    <t>BRYAN GERARDO RODRIGUEZ ARAYA</t>
  </si>
  <si>
    <t>GREENWAY COCINA</t>
  </si>
  <si>
    <t>ENRIQUE JOSE ACEVEDO SANDINO</t>
  </si>
  <si>
    <t>ACEVEDO SANDINO</t>
  </si>
  <si>
    <t>MARIA ANDREA MOLIGNANO</t>
  </si>
  <si>
    <t>BOSTON SCIENTIFIC DE COSTA RICA S.R.L</t>
  </si>
  <si>
    <t>CARLOS LUIS SANCHEZ</t>
  </si>
  <si>
    <t>JOHN HENRY RONALD</t>
  </si>
  <si>
    <t>R M INDUSTRIAL SOLIN SOCIEDAD ANONIMA</t>
  </si>
  <si>
    <t>MARMARALYSA SOCIEDAD ANONIMA</t>
  </si>
  <si>
    <t>GREGORIO SEGURA COTO</t>
  </si>
  <si>
    <t>AQUA POOL</t>
  </si>
  <si>
    <t>BILCO COSTA RICA SA</t>
  </si>
  <si>
    <t>CONSULTORA T TRES LIMITADA</t>
  </si>
  <si>
    <t>Yaleni Picado Corea</t>
  </si>
  <si>
    <t>GUIDO UMAÑA VINDAS</t>
  </si>
  <si>
    <t xml:space="preserve">KARINAMAYPA SOCIEDAD DE RESPONSABILIDAD LIMITADA </t>
  </si>
  <si>
    <t xml:space="preserve">San José Indoor Club </t>
  </si>
  <si>
    <t>BIOCIENTIFICA</t>
  </si>
  <si>
    <t>CONSTRUCTOTA TOTEM</t>
  </si>
  <si>
    <t>ADELANTO COCINA - RIVIERA DEL MAR</t>
  </si>
  <si>
    <t>AUTO REPUESTOS AVENIDA 10</t>
  </si>
  <si>
    <t>BLOCK CONSTRUCTORA</t>
  </si>
  <si>
    <t>JOSUE ANTONIO OTAROLA MENDEZ</t>
  </si>
  <si>
    <t>Francisco Cocozza</t>
  </si>
  <si>
    <t>R RUBINSTEIN Y COMPAÑIA SOCIEDAD ANONIMA</t>
  </si>
  <si>
    <t>VML CONTRACT</t>
  </si>
  <si>
    <t>VIRGINIA ULLOA VARGAS</t>
  </si>
  <si>
    <t>SEMANA 02 SETIEMBRE EXPRESS</t>
  </si>
  <si>
    <t>SEMANA 04 JULIO EXPRESS</t>
  </si>
  <si>
    <t xml:space="preserve">MARCO WILLIAM CERDAS </t>
  </si>
  <si>
    <t>ADELANTO - PROMERICA NOVACENTRO</t>
  </si>
  <si>
    <t>CORICAR S.A</t>
  </si>
  <si>
    <t>SALUD LATINA</t>
  </si>
  <si>
    <t xml:space="preserve">INVERSIONES DOJA </t>
  </si>
  <si>
    <t>KPO ALPHA INC SOCIEDAD ANONIMA</t>
  </si>
  <si>
    <t>BANCO PROMERICA - ADELANTO LIBERIA</t>
  </si>
  <si>
    <t>BANCO PROMERICA DE COSTA RICA SOCIEDAD ANONIMA</t>
  </si>
  <si>
    <t>Iris Morre</t>
  </si>
  <si>
    <t>CONSTRUCTORA YERIL</t>
  </si>
  <si>
    <t>Venta BC</t>
  </si>
  <si>
    <t>CONSTRUCCIONES YERIL</t>
  </si>
  <si>
    <t>ADELANTO COCINA - GENESIS CORDERO</t>
  </si>
  <si>
    <t>HANNIA CRISTINA ESPINOZA MARIN</t>
  </si>
  <si>
    <t>ELIZABETH JIMENEZ JIMENEZ</t>
  </si>
  <si>
    <t>EMBOTELLADORA CENTRAL S.A.</t>
  </si>
  <si>
    <t>3-101-747864 S.A. - RESERVA MORAVIA</t>
  </si>
  <si>
    <t>EVOLUTION FREE ZONE</t>
  </si>
  <si>
    <t>REPAGRO</t>
  </si>
  <si>
    <t>REPAGRO ADELANTO</t>
  </si>
  <si>
    <t>GUANACASTE CARGA JEJ SOCIEDAD ANONIMA</t>
  </si>
  <si>
    <t>ELIZABETH WEBSTER</t>
  </si>
  <si>
    <t>SEMANA 02 JULIO EXPRESS</t>
  </si>
  <si>
    <t>Nova del Este Fa S.A</t>
  </si>
  <si>
    <t>INDUSTRIAS GAREND SOCIEDAD ANONIMA</t>
  </si>
  <si>
    <t>Micaela Ferreira Rebelo</t>
  </si>
  <si>
    <t>PURDY MOTOR SOCIEDAD ANONIMA</t>
  </si>
  <si>
    <t>GISELLE AGUILAR ARCE</t>
  </si>
  <si>
    <t>GREGORIO SEGURA</t>
  </si>
  <si>
    <t>CAJA COSTARRICENSE DE SEGURO SOCIAL</t>
  </si>
  <si>
    <t>CARLOS EDUARDO LEANDRO SOLANO</t>
  </si>
  <si>
    <t xml:space="preserve">COMERCIALIZADORA Y PRODUCTORA LOS VOLCANES </t>
  </si>
  <si>
    <t>MORAVIA ESTE - NOVOGAR</t>
  </si>
  <si>
    <t>ADRIANA DEL PILAR VARGAS SANABRIA</t>
  </si>
  <si>
    <t>FONDO DE INVERSION INMOBILIARIO GIBRALTAR</t>
  </si>
  <si>
    <t>PAGO SEMANA 02 OUTLET JUNIO</t>
  </si>
  <si>
    <t>CORPORACIÓN COSTARRICENSE DE MERCADEO INTERNACIONAL ENSON S.A.</t>
  </si>
  <si>
    <t>Megan Shetler</t>
  </si>
  <si>
    <t>ALEXANDRA CAMPOS LARA</t>
  </si>
  <si>
    <t>Ana Victoria Garro Vargas</t>
  </si>
  <si>
    <t>MARSH ASPROSE CORREDORA DE SEGUROS</t>
  </si>
  <si>
    <t>Isabella Karczynka</t>
  </si>
  <si>
    <t>TORRE VELO - EDICA</t>
  </si>
  <si>
    <t>GRUPO EDUCATIVO GEUSJTCR SOCIEDAD ANONIMA</t>
  </si>
  <si>
    <t>INVERSIONES TURISTICAS ARENAL SOCIEDAD ANONIMA</t>
  </si>
  <si>
    <t>Jesse Shetler</t>
  </si>
  <si>
    <t>KINSEI LIMITADA</t>
  </si>
  <si>
    <t>MUNICIPALIDAD DE PARRITA</t>
  </si>
  <si>
    <t>MUSHROOM FACTORY SOCIEDAD ANONIMA</t>
  </si>
  <si>
    <t xml:space="preserve">ROGER ALVAREZ MOYA </t>
  </si>
  <si>
    <t>AUTOSEGUROS</t>
  </si>
  <si>
    <t>CR,NASARA EUROMOBILIA 78522</t>
  </si>
  <si>
    <t>PAGO SEMANA 04 OUTLET MAYO</t>
  </si>
  <si>
    <t>BICSA LEASING</t>
  </si>
  <si>
    <t>MARION PAMELA ROJAS HERRERA</t>
  </si>
  <si>
    <t>EDUARDO MORA AGUILAR</t>
  </si>
  <si>
    <t>LITTLE 3</t>
  </si>
  <si>
    <t>JESSICA VANESSA JENKINS ARROYO</t>
  </si>
  <si>
    <t>Maciej Gustab</t>
  </si>
  <si>
    <t>MARIANELLA SANCHEZ CAMPOS</t>
  </si>
  <si>
    <t>JOHEL ADONAY MUÑOZ CALDERON</t>
  </si>
  <si>
    <t>VML COSTA RICA SOCIEDAD DE RESPONSABILIDAD LIMITADA</t>
  </si>
  <si>
    <t>KAREN FIGUERES OLSEN</t>
  </si>
  <si>
    <t>SEMANA 05 JULIO EXPRESS</t>
  </si>
  <si>
    <t>EDUARDO GAZEL</t>
  </si>
  <si>
    <t>FDO INV. DESARROLLO PROYECTOS MULTIFONDOS SECRT ESCALANTE</t>
  </si>
  <si>
    <t>SIGMA ALIMENTOS COSTA RICA SOCIEDAD ANONIMA</t>
  </si>
  <si>
    <t>CARLOS ANDRES VILLALOBOS ARAYA</t>
  </si>
  <si>
    <t>GUISELLE MARIA DE LA TRINIDAD UMAÑA UREÑA</t>
  </si>
  <si>
    <t xml:space="preserve">CONTRACT WORKPLACES COSTA RICA SOCIEDAD ANONIMA </t>
  </si>
  <si>
    <t>Julio Lizano Rodr[iguez</t>
  </si>
  <si>
    <t>ROMAN MYJAILOVSKY MYJAILOVSKA</t>
  </si>
  <si>
    <t>SEMANA 04 OCTUBRE EXPRESS</t>
  </si>
  <si>
    <t>TEGRA MEDICAL COSTA RICA SOCIEDAD ANONIMA</t>
  </si>
  <si>
    <t>SEMANA 02 AGOSTO EXPRESS</t>
  </si>
  <si>
    <t>GRUPO ROBLE - CENTRO COMERCIAL MULTIPLAZA</t>
  </si>
  <si>
    <t>CORPORACION GRUPO Q COSTA RICA SOCIEDAD ANONIMA</t>
  </si>
  <si>
    <t>SALUD NEONATAL SOCIEDAD ANONIMA</t>
  </si>
  <si>
    <t>EURO RAMSTACK</t>
  </si>
  <si>
    <t>SEMANA 04 SETIEMBRE EXPRESS</t>
  </si>
  <si>
    <t>MORPHO TRAVEL EXPERIENCE</t>
  </si>
  <si>
    <t>MARIA EMILIA FERNANDEZ MORA</t>
  </si>
  <si>
    <t>OKAY INDUSTRIES COSTA RICA SRL</t>
  </si>
  <si>
    <t>MARIN GARDEN ADELANTO - EDICA</t>
  </si>
  <si>
    <t>PAGO SEMANA 04 OUTLET JUNIO</t>
  </si>
  <si>
    <t>CASA DE CAMBIO TELEDOLAR</t>
  </si>
  <si>
    <t>PLAZA RIVIERA SOCIEDAD ANONIMA</t>
  </si>
  <si>
    <t>PAGO SEMANA 01 OUTLET JUNIO</t>
  </si>
  <si>
    <t>SERIGRAFICA SURETKA</t>
  </si>
  <si>
    <t>SEMANA 01 NOVIEMBRE EXPRESS</t>
  </si>
  <si>
    <t>HARLAND MEDICAL SYSTEMS COSTA RICA SOCIEDAD DE RESPONSABILIDAD LIMITADA</t>
  </si>
  <si>
    <t>SMC COSTA RICA</t>
  </si>
  <si>
    <t>SORAYA SOLANO</t>
  </si>
  <si>
    <t>JOSE FRANCISCO CERVANTES</t>
  </si>
  <si>
    <t>VOLIO &amp; TREJOS ASOCIADOS SOCIEDAD ANONIMA</t>
  </si>
  <si>
    <t>ELKIN ANDRES SUAREZ DURALL</t>
  </si>
  <si>
    <t>DESARROLLOS TECNICOS S.A</t>
  </si>
  <si>
    <t>POLYCENTER SOCIEDAD ANONIMA</t>
  </si>
  <si>
    <t>MICHAEL H, PANAH</t>
  </si>
  <si>
    <t>SEMANA 04 EXPRESS</t>
  </si>
  <si>
    <t>RUBINSTEIN</t>
  </si>
  <si>
    <t>CONSTRUCTORA BRK S.A.</t>
  </si>
  <si>
    <t>SAN JOSE INDOOR CLUB SOCIEDAD ANONIMA</t>
  </si>
  <si>
    <t>SEMANA 02 EXPRESS</t>
  </si>
  <si>
    <t>COVESA COMERCIALIZADORA VELA SOCIEDAD ANONIMA</t>
  </si>
  <si>
    <t>RAUL ALFREDO VARGAS CAMPOS</t>
  </si>
  <si>
    <t>MARIA EMILIA FERNANDEZ</t>
  </si>
  <si>
    <t>IRIS MOORE CARBALLO</t>
  </si>
  <si>
    <t>NOVA DEL ESTE FA</t>
  </si>
  <si>
    <t>PAMELA SANDOVAL SALAZAR</t>
  </si>
  <si>
    <t>ZETA GBS SOLUTIONS</t>
  </si>
  <si>
    <t>CSI LEASING</t>
  </si>
  <si>
    <t>GOSOCKET</t>
  </si>
  <si>
    <t>CONSTRUCTORA PROYCON SOCIEDAD ANONIMA</t>
  </si>
  <si>
    <t>AVENIDA 10 - LA GUACAMAYA</t>
  </si>
  <si>
    <t>MARIA LAURA MORA RAMIREZ</t>
  </si>
  <si>
    <t>JESSE SHETLER (CLIENTE ES STEPHEN WILLIAMS)</t>
  </si>
  <si>
    <t>3-102-672850 SOCIEDAD DE RESPONSABILIDAD LIMITADA</t>
  </si>
  <si>
    <t>SANDRA MILAGROS GAMIO ROSELLO</t>
  </si>
  <si>
    <t xml:space="preserve">BICSA LEASING SOCIEDAD ANONIMA ( REX CARGO ) </t>
  </si>
  <si>
    <t>Constructora La Itaba</t>
  </si>
  <si>
    <t>CONTRACT WORKPLACES</t>
  </si>
  <si>
    <t>ELECTROPLAST</t>
  </si>
  <si>
    <t>GÉNESIS CORDERO BRENES</t>
  </si>
  <si>
    <t>HEIZEL VIVIANNA HERNANDEZ MURILLO</t>
  </si>
  <si>
    <t>JESSE SHETLER</t>
  </si>
  <si>
    <t>HILIX Y COMPAÑÍA</t>
  </si>
  <si>
    <t>CARIARI PREMIUM OUTLET</t>
  </si>
  <si>
    <t>MERCADO DE VALORES</t>
  </si>
  <si>
    <t>ASOCIACIÓN DE SERVICIOS MEDICOS COSTARRICENSES</t>
  </si>
  <si>
    <t>SEMANA 02 OCTUBRE EXPRESS</t>
  </si>
  <si>
    <t>ADELANTO TERRAMIX</t>
  </si>
  <si>
    <t>SPORT RETAIL CR SOCIEDAD ANONIMA</t>
  </si>
  <si>
    <t>CASA DOBLE PLAYA TAMARINDO SOCIEDAD ANONIMA</t>
  </si>
  <si>
    <t>RAFAEL CASTILLO</t>
  </si>
  <si>
    <t xml:space="preserve">Diseño Ingenieria Arquitectura Metropolitana </t>
  </si>
  <si>
    <t>PAGO SEMANA 03 OUTLET JUNIO</t>
  </si>
  <si>
    <t>FONDO DE DESARROLLO SECRET ESCALANTE</t>
  </si>
  <si>
    <t>FINANCIERA CAFSA SOCIEDAD ANONIMA</t>
  </si>
  <si>
    <t>Ximena Miranda</t>
  </si>
  <si>
    <t>Trent Justin Reifert</t>
  </si>
  <si>
    <t>CONSTRIAL SOCIEDAD ANONIMA</t>
  </si>
  <si>
    <t>EVERTEC</t>
  </si>
  <si>
    <t>VEINSA MOTORS, SOCIEDAD ANONIMA</t>
  </si>
  <si>
    <t>INSTITUTO NACIONAL DE SEGUROS - SIN IDENTIFICAR</t>
  </si>
  <si>
    <t>COMPAÑIA NACIONAL DE FUERZA Y LUZ SOCIEDAD ANONIMA</t>
  </si>
  <si>
    <t>AVICOLA</t>
  </si>
  <si>
    <t>EDICA - PLAZA RIVIERA</t>
  </si>
  <si>
    <t>ROY ALFARO BARRANTES</t>
  </si>
  <si>
    <t>WILLIAM ALBERTO FERNANDEZ PLANAS</t>
  </si>
  <si>
    <t>NICOLE ABARCA JIMENEZ</t>
  </si>
  <si>
    <t>Antonio Calvo Carballo</t>
  </si>
  <si>
    <t>IRIS VERONICA MOORE CARBALLO</t>
  </si>
  <si>
    <t>PALM REAL STATE</t>
  </si>
  <si>
    <t>RENE CARDONA GARCIA</t>
  </si>
  <si>
    <t>CONSTRUCTORA LA ITABA</t>
  </si>
  <si>
    <t>SUMINISTROS INDUSTRIALES SOTO ESPINOZA</t>
  </si>
  <si>
    <t>Johnny Huertas Segura</t>
  </si>
  <si>
    <t>WIELHELM DIERMI</t>
  </si>
  <si>
    <t>Federico Castillo</t>
  </si>
  <si>
    <t>AKV PROJECTS SRL</t>
  </si>
  <si>
    <t>ADELANTO RYTHMLINK</t>
  </si>
  <si>
    <t>SOWEST</t>
  </si>
  <si>
    <t>CONSTRUPLAZA S.A.</t>
  </si>
  <si>
    <t>MCM MIDLAND</t>
  </si>
  <si>
    <t>TECNOMED</t>
  </si>
  <si>
    <t>VILMA EMILIA SANCHEZ DEL CASTILLO</t>
  </si>
  <si>
    <t xml:space="preserve">RESIDENCIAS VISTAS LA VITA </t>
  </si>
  <si>
    <t>FRANCESCA MAZZARA</t>
  </si>
  <si>
    <t>DESARROLLOS HOTELEROS GUANACASTE SOCIEDAD ANONIMA</t>
  </si>
  <si>
    <t>GLORIANA DE LOS ANGELES GUEVARA SABORIO</t>
  </si>
  <si>
    <t>Stephen Williams</t>
  </si>
  <si>
    <t>GREIVIN VILLALOBOS MENDEZ</t>
  </si>
  <si>
    <t>SEMANA 05 OCTUBRE EXPRESS</t>
  </si>
  <si>
    <t>JULY GABRIELA SHELEBY SANCHEZ</t>
  </si>
  <si>
    <t>Marco Rodriguez</t>
  </si>
  <si>
    <t>ELEMENTS DECO SOCIEDAD ANONIMA</t>
  </si>
  <si>
    <t>SEMANA 01 JULIO EXPRESS</t>
  </si>
  <si>
    <t xml:space="preserve">BETHEL MEDICAL </t>
  </si>
  <si>
    <t>ELKAWI SOCIEDAD ANONIMA</t>
  </si>
  <si>
    <t>TERADYNE DECOSTA RICA SOCIEDAD DE RESPONSABILIDAD LIMITADA</t>
  </si>
  <si>
    <t>DENNIS JOSE RODRIGUEZ ARCE</t>
  </si>
  <si>
    <t>BAC SAN JOSE LEASING S.A</t>
  </si>
  <si>
    <t>ARLENE MARIA ROBERT BONILLA</t>
  </si>
  <si>
    <t>ALVARO FIGUEROA</t>
  </si>
  <si>
    <t>KAREN TATIANA DONDI VINDAS</t>
  </si>
  <si>
    <t>FEATHER STARFISH B FOUR SOCIEDAD ANONIMA</t>
  </si>
  <si>
    <t>KAREN VIVIANA HERNANDEZ PEREZ</t>
  </si>
  <si>
    <t>STEVE  MICHAEL CAPOCCIA</t>
  </si>
  <si>
    <t>EXPOTEAK S.A</t>
  </si>
  <si>
    <t>PHILLIPE GARNIER</t>
  </si>
  <si>
    <t>Pablo Murillo</t>
  </si>
  <si>
    <t>BANCO CENTROAMERICANO DE INTEGRACION ECONOMICA</t>
  </si>
  <si>
    <t>3101820946 S.A</t>
  </si>
  <si>
    <t>FRANCISCO JAVIER PEREZ SALGADO</t>
  </si>
  <si>
    <t>CEDI ALAJUELA</t>
  </si>
  <si>
    <t xml:space="preserve">ROCHE </t>
  </si>
  <si>
    <t>SUR QUIMICA SOCIEDAD ANONIMA</t>
  </si>
  <si>
    <t>KEVIN RODRIGUEZ ARIAS</t>
  </si>
  <si>
    <t>EVOLUTION FREE ZONE SOCIEDAD ANONIMA</t>
  </si>
  <si>
    <t>INTACO COSTA RICA SOCIEDAD ANONIMA</t>
  </si>
  <si>
    <t>RRHH Metamorfosis SRL</t>
  </si>
  <si>
    <t>FT TECHNOLOGIES</t>
  </si>
  <si>
    <t>RAFAEL GABRIEL CASRILLO BLANCO</t>
  </si>
  <si>
    <t>ÁLVARO CASTRO QUESADA</t>
  </si>
  <si>
    <t>ASOCIACION SOLIDARISTA DE EMPLEADOS DE LA CCSS</t>
  </si>
  <si>
    <t>INDUSTRIAS GAREND</t>
  </si>
  <si>
    <t>MARIO VISONA STORTI</t>
  </si>
  <si>
    <t>ASOCIACION CAMARA GANADEROS DEL SUR</t>
  </si>
  <si>
    <t>GRUPO NUMAR INDUSTRIAL</t>
  </si>
  <si>
    <t>PAGO MAQUINARIA</t>
  </si>
  <si>
    <t>Stewart Title Guaranty Company</t>
  </si>
  <si>
    <t>EL CORTEZ NEGRO SOCIEDAD ANONIMA</t>
  </si>
  <si>
    <t>C TRES CORPORATE CENTER II SOCIEDAD ANONIMA</t>
  </si>
  <si>
    <t>JOSE CHAVES ZARATE</t>
  </si>
  <si>
    <t>XIMENA MIRANDA</t>
  </si>
  <si>
    <t>BIENES Y SERVICIOS MACRUZCO LIMITADA</t>
  </si>
  <si>
    <t>GRUPO COSTAVERDE AC SOCIEDAD ANONIMA</t>
  </si>
  <si>
    <t>TRENT J REIFERT</t>
  </si>
  <si>
    <t>MARGARITA URDANETA BENAVIDEZ</t>
  </si>
  <si>
    <t>RUBINSTEIN Y COMPAÑÍA</t>
  </si>
  <si>
    <t>VERTICE_DISEÑO_S.A.</t>
  </si>
  <si>
    <t>GFI PHARMA LOGISTIC S.A</t>
  </si>
  <si>
    <t>HOTELERA PLAYA SOMBRERO</t>
  </si>
  <si>
    <t>MARIA JOSE RIVERA CESPEDES</t>
  </si>
  <si>
    <t>MARIA GABRIELA ESQUIVEL CALVO</t>
  </si>
  <si>
    <t>BELGICA AIDA HERNANDEZ VIVAS</t>
  </si>
  <si>
    <t>DESARROLLOS TECNICOS</t>
  </si>
  <si>
    <t>WILLIAM FERNANDEZ - COCINA</t>
  </si>
  <si>
    <t xml:space="preserve">LILLIAM ESCALANTE ARAUZ </t>
  </si>
  <si>
    <t>ALVARO ANTONIO SUAREZ ARIAS</t>
  </si>
  <si>
    <t xml:space="preserve">DAVIVIENDA LEASING ( COSMAC ) </t>
  </si>
  <si>
    <t>CARSO CONSTRUCCION</t>
  </si>
  <si>
    <t>Euro Lindora Fa S.A</t>
  </si>
  <si>
    <t>MARIA NINFA TERESA DE JESUS CORDERO TORRES - COCINA DE GAS KUTH</t>
  </si>
  <si>
    <t>NEWMARK REAL DEL ESTE</t>
  </si>
  <si>
    <t>CIELO DE BABILONIA SOCIEDAD ANONIMA</t>
  </si>
  <si>
    <t>ANA ELISA SAENZ NARANJO</t>
  </si>
  <si>
    <t>ROMAN ADOLFO RODRIGUEZ</t>
  </si>
  <si>
    <t>UNION COMERCIAL DE COSTA RICA, UNICOMER SOCIEDAD ANONIMA</t>
  </si>
  <si>
    <t>PROYECTOS TAUCA</t>
  </si>
  <si>
    <t>SEMANA 01 EXPRESS</t>
  </si>
  <si>
    <t>FDO INV. DESARROLLO PROYECTOS MULTIFONDOS SECRET ESCALANTE</t>
  </si>
  <si>
    <t>SIN IDENTIFICAR - ALTEA PAGO</t>
  </si>
  <si>
    <t>Sandra Alfaro Solís</t>
  </si>
  <si>
    <t>Jose Pablo Vega ulate</t>
  </si>
  <si>
    <t>AMERICAN CHAMBERS COMMERCE</t>
  </si>
  <si>
    <t>ICEM S. A</t>
  </si>
  <si>
    <t>Donald Carl Giffels</t>
  </si>
  <si>
    <t>GAREND</t>
  </si>
  <si>
    <t>SEMANA 02 NOVIEMBRE EXPRESS</t>
  </si>
  <si>
    <t>VOLIO Y TREJOS</t>
  </si>
  <si>
    <t>JOHANA JOSE GABOUREL RODAS</t>
  </si>
  <si>
    <t>Vanessa Palacios Gomez</t>
  </si>
  <si>
    <t>COOPERATIVA NACIONAL DE EDUCADORES R L</t>
  </si>
  <si>
    <t>PRISCILLA BENAVIDES AMORES</t>
  </si>
  <si>
    <t>Johnny Vargas Garita</t>
  </si>
  <si>
    <t>LINDORA EUROMOBILIA 76870</t>
  </si>
  <si>
    <t>DESARROLLO VIVE TIBAS</t>
  </si>
  <si>
    <t>INNOVACION SOLUTIONS TECHNOLOGY</t>
  </si>
  <si>
    <t xml:space="preserve">DISTRIBUIDORA MEYA  </t>
  </si>
  <si>
    <t>ELKIN SUAREZ</t>
  </si>
  <si>
    <t>LINDORA VILLAGE - ETAPA 3</t>
  </si>
  <si>
    <t>LILIAM ESCALANTE ARAUZ</t>
  </si>
  <si>
    <t>INVERSORA LEGA SOCIEDAD ANONIMA</t>
  </si>
  <si>
    <t>JOSE MIGUEL DIAZ MIRANDA</t>
  </si>
  <si>
    <t>ATRES ARQUITECTOS SOCIEDAD DE RESPONSABILIDAD LIMI</t>
  </si>
  <si>
    <t>MIKE LUKOWIECKY GRUNHAUS</t>
  </si>
  <si>
    <t>MEGALINEAS</t>
  </si>
  <si>
    <t>MANUEL ARIAS RUIZ</t>
  </si>
  <si>
    <t>EDIFITEC CONSTRUCCIONES TECNICAS SOCIEDAD ANONIMA</t>
  </si>
  <si>
    <t>GRETEL MASIS</t>
  </si>
  <si>
    <t>HILIX Y COMPA IA SOCIEDAD ANONIMA</t>
  </si>
  <si>
    <t>ELECTROLUX HOME APPLIANCES INC</t>
  </si>
  <si>
    <t>PROPIEDADES EL RINCON DE LOS SUEÑOS</t>
  </si>
  <si>
    <t>MEDITEST</t>
  </si>
  <si>
    <t>BANCO PROMERICA</t>
  </si>
  <si>
    <t>LAURA BONILLA HERRERO</t>
  </si>
  <si>
    <t>RETENCIONES UNED PURISCAL</t>
  </si>
  <si>
    <t>SHIRLENE HERNANDEZ ARCE</t>
  </si>
  <si>
    <t>NURIA PATRICIA DE LO HERRERA AGUERO</t>
  </si>
  <si>
    <t>BAMBU EN NACASCOLO SOCIEDAD ANONIMA</t>
  </si>
  <si>
    <t>ALIMENTOS Y BEBIDAS ATLANTIDA S,A</t>
  </si>
  <si>
    <t>LOS ARALLANES</t>
  </si>
  <si>
    <t>PAGO SEMANA 02 OUTLET MAYO</t>
  </si>
  <si>
    <t>AVICOLA GAP</t>
  </si>
  <si>
    <t>INGENIUM LATIN AMERICA SOCIEDAD DE RESPONSABILIDAD LIMITADA</t>
  </si>
  <si>
    <t>RESORT LIVING INTERNATIONAL SOCIEDAD ANONIMA</t>
  </si>
  <si>
    <t>P270 CONTRATO</t>
  </si>
  <si>
    <t>STIA COMERCIALIZADORA ANONIMA</t>
  </si>
  <si>
    <t>SEMANA 01 SETIEMBRE EXPRESS</t>
  </si>
  <si>
    <t>SEMANA 05 SETIEMBRE EXPRESS</t>
  </si>
  <si>
    <t>ANDRES RAMOS GUTIERREZ</t>
  </si>
  <si>
    <t>MCM Midland Management Costa Rica S.R.L</t>
  </si>
  <si>
    <t>VETIM</t>
  </si>
  <si>
    <t xml:space="preserve">JOSE PABLO VEGA ULATE </t>
  </si>
  <si>
    <t>PAOLA ALVARADO LEIVA</t>
  </si>
  <si>
    <t>BRIAN ENRIQUE DIAZ GIOVANETTI</t>
  </si>
  <si>
    <t>CENTRO DE CIENCIA Y TECNOLOGÍA</t>
  </si>
  <si>
    <t>JORGE REINALD MORA HERNANDEZ</t>
  </si>
  <si>
    <t>INNOVA INGENIERIA</t>
  </si>
  <si>
    <t xml:space="preserve">COSTACON DE COSTA RICA </t>
  </si>
  <si>
    <t>Servicios médicos y de gestión KSJ.SRL</t>
  </si>
  <si>
    <t>RETENCIONES GONZALO DELGADO</t>
  </si>
  <si>
    <t>STEWART TITLE GUARANTY COMPANY</t>
  </si>
  <si>
    <t>CONSTRUCTORA BRK S.A</t>
  </si>
  <si>
    <t>MARIA ALEJANDRA MORA SEGURA</t>
  </si>
  <si>
    <t>GRUPO DEDAL SOCIEDAD ANONIMA</t>
  </si>
  <si>
    <t>RAFAEL GABRIEL CASTILLO BLANCO</t>
  </si>
  <si>
    <t>JUNTA ADMINISTRATIVA</t>
  </si>
  <si>
    <t>ALIMENTOS PROSALUD</t>
  </si>
  <si>
    <t>JOHN STEPHEN PETER ROFFEY</t>
  </si>
  <si>
    <t>Consultora T Tres</t>
  </si>
  <si>
    <t>Carlos Madrigal Villalobos</t>
  </si>
  <si>
    <t>Maria Vanessa Segura</t>
  </si>
  <si>
    <t>AGROINNOVA</t>
  </si>
  <si>
    <t>ALIMENTOS Y BEBIDAS ATLANTIDA S.A.</t>
  </si>
  <si>
    <t>DAVID MORA</t>
  </si>
  <si>
    <t>GRUPO LUTESMA</t>
  </si>
  <si>
    <t>Desarrollos Ecologicos El Canal</t>
  </si>
  <si>
    <t>GRUPO LOGISTICO SEA INTERNATIONAL</t>
  </si>
  <si>
    <t>COCINA CINTRON MACHON GUSTAVO</t>
  </si>
  <si>
    <t>TORRE DM PARQUE DEL PERÚ</t>
  </si>
  <si>
    <t>ELAM JAVIER FERNANDEZ MUÑOZ</t>
  </si>
  <si>
    <t>FERRETERIA EPA</t>
  </si>
  <si>
    <t>CARLOS LUIS GERARDO RODRIGUEZ</t>
  </si>
  <si>
    <t>ARRENDADORA COMERCIAL R &amp; H SOCIEDAD ANONIMA</t>
  </si>
  <si>
    <t>PRISCILA BENAVIDES</t>
  </si>
  <si>
    <t>LEDA DEL CARMEN MORA NAVARRO</t>
  </si>
  <si>
    <t>ROMA PRINCE SOCIEDAD ANONIMA</t>
  </si>
  <si>
    <t>SEMANA 03 JULIO EXPRESS</t>
  </si>
  <si>
    <t>Steven M Capoccia</t>
  </si>
  <si>
    <t>BRAULIO JESUS PEREZ ZELEDON</t>
  </si>
  <si>
    <t>NASARA - ETAPA 2</t>
  </si>
  <si>
    <t>DESARROLLOS BAHÍA PAPAGAYO, S.A.</t>
  </si>
  <si>
    <t>CSI LEASING DE CENTROAMERICA SOCIEDAD DE RESPONSAB</t>
  </si>
  <si>
    <t>CAFE BRITT</t>
  </si>
  <si>
    <t>PROYECCION SEMANA 01 OUTLET AGOSTO</t>
  </si>
  <si>
    <t xml:space="preserve">LA GUACAMAYA </t>
  </si>
  <si>
    <t>MANUEL STEVEN ARAYA GARRO</t>
  </si>
  <si>
    <t>Marvin Peraza Morales</t>
  </si>
  <si>
    <t>SYLVIA ZAMORA CHAVES</t>
  </si>
  <si>
    <t> </t>
  </si>
  <si>
    <t>MARJORIE DE LOS ANGELES ROMERO ODIO</t>
  </si>
  <si>
    <t>JOSE MARTI FIGUERES ALVAREZ</t>
  </si>
  <si>
    <t>MARIEL CLAVO</t>
  </si>
  <si>
    <t>SEBASTIAN QUESADA</t>
  </si>
  <si>
    <t>JORGE ALBERTO ZAMORA CADET</t>
  </si>
  <si>
    <t>ILEANA ROJAS SABORIO</t>
  </si>
  <si>
    <t>SEMANA 01 OCTUBRE EXPRESS</t>
  </si>
  <si>
    <t>JESSICA LECHTER</t>
  </si>
  <si>
    <t>GUSTAVO GERARDO CINTRON MACHON</t>
  </si>
  <si>
    <t>REAL STONE DEPOT DEKOSTONE SOCIEDAD ANONIMA</t>
  </si>
  <si>
    <t>BILCO COSTA RICA S.A - INARI MEDICAL</t>
  </si>
  <si>
    <t>COMPAÑÍA VETERINARIA VETIM</t>
  </si>
  <si>
    <t>EXPOCERAMICA</t>
  </si>
  <si>
    <t>ALPEMUSA - PEQUEÑO MUNDO</t>
  </si>
  <si>
    <t>ACIDES GRANADOS ORTIZ</t>
  </si>
  <si>
    <t>Mark Smoljanovic</t>
  </si>
  <si>
    <t>EUROCENTER INMOBILIARIA DE COSTA RICA ECR SOCIEDAD</t>
  </si>
  <si>
    <t xml:space="preserve">COMERCIAL ALEMORA </t>
  </si>
  <si>
    <t>CTC INVESTGROUP</t>
  </si>
  <si>
    <t>ESTEBAN ARAYA</t>
  </si>
  <si>
    <t>SOWEST SOCIEDAD DE RESPONSABILIDAD LIMITADA</t>
  </si>
  <si>
    <t>JUAN JOSE ALTMANN GARNIER</t>
  </si>
  <si>
    <t>CONICO, CONSULTORIA INTEGRAL DE LA CONSTRUCCION, SOCIEDAD ANONIMA (CULTIVARTE)</t>
  </si>
  <si>
    <t>HUGO ANDRES MORA CHAVES</t>
  </si>
  <si>
    <t>CEMACO GUATEMALA</t>
  </si>
  <si>
    <t>PriceSmart, Inc. - T&amp;T</t>
  </si>
  <si>
    <t>PriceSmart, Inc. - Guatemala</t>
  </si>
  <si>
    <t>CAPRIS SERVICES AND ENGINEERING CO SOCIEDAD ANONIMA</t>
  </si>
  <si>
    <t>COMERCIAL ALEMORA SOCIEDAD ANONIMA</t>
  </si>
  <si>
    <t>PROYECCION SEMANA 02 OUTLET AGOSTO</t>
  </si>
  <si>
    <t xml:space="preserve">SOWEST SOCIEDAD DE RESPONSABILIDAD LIMITADA </t>
  </si>
  <si>
    <t>ALIMENTOS Y BEBIDAS ATLANTIDA S.A</t>
  </si>
  <si>
    <t>ELKIN ANDRES SUAREZ</t>
  </si>
  <si>
    <t>ARRENDADORA CAFSA SOCIEDAD ANONIMA</t>
  </si>
  <si>
    <t>JERRY STEVENSON SANCHEZ MURILLO</t>
  </si>
  <si>
    <t>CESAR GIOVANNY CRUZ SALAMANCA</t>
  </si>
  <si>
    <t>SOCIEDAD CACERES MILLER COSTA RICA LIMITADA</t>
  </si>
  <si>
    <t>PAUL PLEBER</t>
  </si>
  <si>
    <t>HUGO MORA</t>
  </si>
  <si>
    <t>Max Gustab</t>
  </si>
  <si>
    <t>WIELHELM DIERMISSEN ORTIZ</t>
  </si>
  <si>
    <t>RAUL ALFREDO VARGAS</t>
  </si>
  <si>
    <t>VIRGINIA STEINVORTH KOBERG</t>
  </si>
  <si>
    <t>JUAN IGNACIO JIMENEZ REY</t>
  </si>
  <si>
    <t>GINES HOGAR SOCIEDAD ANONIMA</t>
  </si>
  <si>
    <t>ELIZABETH MELENDEZ</t>
  </si>
  <si>
    <t>MARÍA MARGARITA URDANETA</t>
  </si>
  <si>
    <t>ERICK FABIAN CAMPOS CHAVES</t>
  </si>
  <si>
    <t>ACUÑA Y HANSON INCA</t>
  </si>
  <si>
    <t>ALIMENTOS Y BEBIDAS REGIONALES S,A</t>
  </si>
  <si>
    <t>Joseline Solano Morales</t>
  </si>
  <si>
    <t>SMC COSTA RICA DIVISION S.R.L</t>
  </si>
  <si>
    <t>IMS CONSTRUCCIONES</t>
  </si>
  <si>
    <t>COLD AND HOT SOPORTE TECNICO SRL</t>
  </si>
  <si>
    <t>DORAL OVERSEAS</t>
  </si>
  <si>
    <t>PARTES ELECTROMECANICAS</t>
  </si>
  <si>
    <t>CLEANCO - ADELANTO</t>
  </si>
  <si>
    <t>RHYTMLINK</t>
  </si>
  <si>
    <t>ELISEO VARGAS</t>
  </si>
  <si>
    <t>SOLORZANO Y ZUMBADO ASOCIADOS C C I SOCIEDAD ANONIMA</t>
  </si>
  <si>
    <t>DISTRIBUIDORES E IMPORTADORES TEK SOLUCIONES DE COSTA RICA SOCIEDAD ANONIMA</t>
  </si>
  <si>
    <t>RRHH METAMORFOSIS SRL</t>
  </si>
  <si>
    <t>MARIA FERNANDA TELLO DELGADO</t>
  </si>
  <si>
    <t>PORTAFOLIO AM SIETE SOCIEDAD ANONIMA</t>
  </si>
  <si>
    <t>VERITAS BUREAU</t>
  </si>
  <si>
    <t>BD Consultores SA</t>
  </si>
  <si>
    <t>Residencias de Santa Ana</t>
  </si>
  <si>
    <t>JOSE DIAZ MIRANDA</t>
  </si>
  <si>
    <t>VERTICAL SOLUCIONES INDUSTRIALES SOCIEDAD ANONIMA</t>
  </si>
  <si>
    <t>MARIA FERNANDA SANCHEZ HIDALGO</t>
  </si>
  <si>
    <t>NATASHA ESCALANTE AGUILAR</t>
  </si>
  <si>
    <t>NOVA DEL ESTE FA S.A</t>
  </si>
  <si>
    <t>FABIO CASALVOLONE</t>
  </si>
  <si>
    <t>ANDREA DE LOS ANGELES CARBALLO VINDAS</t>
  </si>
  <si>
    <t>SANDRA LIZETT PERLA CAMPOS DE MELARA DEL CID</t>
  </si>
  <si>
    <t>Jerry Sanchez</t>
  </si>
  <si>
    <t>MULTICLIMA S,A</t>
  </si>
  <si>
    <t>ILG SUPPLY CHAIN SERVICES, SOCIEDAD ANONIMA</t>
  </si>
  <si>
    <t>GRUPO SERVICA COSTA RICA SOCIEDAD ANONIMA</t>
  </si>
  <si>
    <t>SELECT SOLUTIONS LTDA DE C.V.</t>
  </si>
  <si>
    <t>PROYECCION SEMANA 03 OUTLET AGOSTO</t>
  </si>
  <si>
    <t>BILCO COSTA RICA S.A. - EPSILON</t>
  </si>
  <si>
    <t>TRIBUNAL SUPREMO DE ELECCIONES</t>
  </si>
  <si>
    <t>GOSOCKET SHARED SERVICES S.A</t>
  </si>
  <si>
    <t>ACCUDYN - CODE</t>
  </si>
  <si>
    <t>MOISHELE</t>
  </si>
  <si>
    <t>INVERSIONES FUTURA ANDINO S.A</t>
  </si>
  <si>
    <t>RHYTMLINK - GRUPO DESARROLLADOR DE PARQUES INDUSTRIALES SOCIED</t>
  </si>
  <si>
    <t>JERRY SANCHEZ</t>
  </si>
  <si>
    <t>REPUBLIC WORKSPACE</t>
  </si>
  <si>
    <t>JUAN RAVEN WITHFORD</t>
  </si>
  <si>
    <t>Stephanie Kennedy</t>
  </si>
  <si>
    <t>SORAYA SOLANO ACUÑA</t>
  </si>
  <si>
    <t>UNIVERSIDAD COSTA RICA</t>
  </si>
  <si>
    <t>DERSU DIAZ VALVERDE</t>
  </si>
  <si>
    <t>COSTACON</t>
  </si>
  <si>
    <t>DHL CUSTOMS (COSTA RICA) SOCIEDAD ANONIMA</t>
  </si>
  <si>
    <t>MICROVENTION</t>
  </si>
  <si>
    <t>JOHNNY VEGA BRENES</t>
  </si>
  <si>
    <t>DESARROLLO ECOLOGICO EL CANAL</t>
  </si>
  <si>
    <t>SANDRA LIZETT PERLA CAMPOS DE MELARA</t>
  </si>
  <si>
    <t xml:space="preserve">NUTRICARE S,A </t>
  </si>
  <si>
    <t>ELIZABETH ADAM</t>
  </si>
  <si>
    <t>CONSTRUCTORA GONZALO DELGADO</t>
  </si>
  <si>
    <t>GRUPO TLA</t>
  </si>
  <si>
    <t>BM CEDI</t>
  </si>
  <si>
    <t>NANCY CAMPOS NAVARRO</t>
  </si>
  <si>
    <t>EMMANUEL CHAVARRIA ALFARO</t>
  </si>
  <si>
    <t>SPORT RETAIL COSTA RICA</t>
  </si>
  <si>
    <t>3-101-843088</t>
  </si>
  <si>
    <t>DIEGO VALERIO</t>
  </si>
  <si>
    <t>JOSE LEON FROIMZON ROCHWERGER</t>
  </si>
  <si>
    <t>SYLVIA MARTINEZ MONTOYA</t>
  </si>
  <si>
    <t>EDUARDO ANDRES JILIBERTO FRITIS</t>
  </si>
  <si>
    <t>NILSON SOLIS GODINEZ</t>
  </si>
  <si>
    <t>VWR INTERNATIONAL LIMITADA</t>
  </si>
  <si>
    <t>RAU PRECISION METALS S.A.</t>
  </si>
  <si>
    <t>JEFFERSON STIVEN CAMACHO</t>
  </si>
  <si>
    <t>JONATHAN STEVEN SANCHEZ</t>
  </si>
  <si>
    <t>Paola Cuero</t>
  </si>
  <si>
    <t>VILMA PATRICIA OCONITRILLO ORTIZ</t>
  </si>
  <si>
    <t>MONICA PEREZ MARTINEZ</t>
  </si>
  <si>
    <t>EUROCENTER INMOBILIARIA</t>
  </si>
  <si>
    <t>CORPORACION DE SUMINISTROS Y MATERIALES DE CONSTRUCCION SOCIEDAD ANONIMA</t>
  </si>
  <si>
    <t>PROYECCION SEMANA 04 OUTLET AGOSTO</t>
  </si>
  <si>
    <t>CAROLINA MADRIGAL OROZCO</t>
  </si>
  <si>
    <t>WISOL AMERICANA</t>
  </si>
  <si>
    <t>3-102-742005 SOCIEDAD DE RESPONSABILIDAD LIMITADA</t>
  </si>
  <si>
    <t>IMPESA - SIN IDENTIFICAR</t>
  </si>
  <si>
    <t>RUTH MARIA MORA RUIZ</t>
  </si>
  <si>
    <t>ADELANTO COCINA - CARLOS GERARDO CARVAJAL</t>
  </si>
  <si>
    <t>CENTRO DE ESTACIONAMIENTO SAN PEDRO M O SOCIEDAD ANONIMA</t>
  </si>
  <si>
    <t>INVERSIONES EL ZARPE LIMITADA</t>
  </si>
  <si>
    <t>MELANIA CASTRO ANDERSON</t>
  </si>
  <si>
    <t>EULLEN GIMENA CHAVARRIA ELIZONDO</t>
  </si>
  <si>
    <t>COINCA COMUNICACIONES</t>
  </si>
  <si>
    <t>Carlos Madrigal</t>
  </si>
  <si>
    <t xml:space="preserve">INVERSIONES QT </t>
  </si>
  <si>
    <t>SABO INTERNACIONAL SOCIEDAD ANONIMA</t>
  </si>
  <si>
    <t>NORD NORTE SRL</t>
  </si>
  <si>
    <t>JUAN PABLO FERNANDEZ DE LA HERRAN</t>
  </si>
  <si>
    <t>COMERCIAL INDUSTRIAL Y DE SERVICIOS COSTA RICA ,CISCOSA SOCIEDAD</t>
  </si>
  <si>
    <t>BEACH HOUSE PINILLA - LOS ALMENDROS</t>
  </si>
  <si>
    <t>Corporación Malmo</t>
  </si>
  <si>
    <t>CORPORACION MALMO SOCIEDAD DE RESPONSABILIDAD LIMITADA</t>
  </si>
  <si>
    <t>PURDY MOTOR</t>
  </si>
  <si>
    <t>JULIO RICARDO LIZANO RODRIGUEZ</t>
  </si>
  <si>
    <t>CORE DESARROLLADORA</t>
  </si>
  <si>
    <t>GRUPO CORPORATIVO SM</t>
  </si>
  <si>
    <t>Liz Doris MORERA  Lopez</t>
  </si>
  <si>
    <t>DESA SENI LIMITADA</t>
  </si>
  <si>
    <t>BOSTON</t>
  </si>
  <si>
    <t>OSCAR SAENZ</t>
  </si>
  <si>
    <t>3-102-781565 SOCIEDAD DE RESPONSABILIDAD LIMITADA</t>
  </si>
  <si>
    <t>ADRIAN LEITON ZUÑIGA</t>
  </si>
  <si>
    <t>ALFONSO MAIRENA</t>
  </si>
  <si>
    <t>Hugo Brenes Chacon</t>
  </si>
  <si>
    <t>ELECTRIC VEHICLES EV COSTA RICA SOCIEDAD DE RESPONSABILIDAD LIMITADA</t>
  </si>
  <si>
    <t xml:space="preserve">EXPOCERAMICA </t>
  </si>
  <si>
    <t>IVON DELGADO</t>
  </si>
  <si>
    <t>BERNARDITA DEL ROSARIO SANDI RETANA</t>
  </si>
  <si>
    <t>PAOLA ANDREA CUERO  ANGULO</t>
  </si>
  <si>
    <t>UNION INTERNACIONAL</t>
  </si>
  <si>
    <t>STEFANNIE DEL OSANG</t>
  </si>
  <si>
    <t>ACCUDYN - PNT</t>
  </si>
  <si>
    <t>Tropical Jocko CR Limitado</t>
  </si>
  <si>
    <t>LA CUISIENE INTERNACIONAL</t>
  </si>
  <si>
    <t>3-101-781386 </t>
  </si>
  <si>
    <t>SERVICIOS DE CONSULTORÍA RPM</t>
  </si>
  <si>
    <t>EMBAJADA DE LOS ESTADOS UNIDOS DE AMERICA</t>
  </si>
  <si>
    <t xml:space="preserve">CESAR GIOVANNY CRUZ SALAMANCA </t>
  </si>
  <si>
    <t>Alejandro Villanueva Ramírez</t>
  </si>
  <si>
    <t>ELECTROS PAGO</t>
  </si>
  <si>
    <t>EVOLUTION FREE ZONE SOCIEDAD ANONIMA - ACCUDYN</t>
  </si>
  <si>
    <t>FERRETERIA EPA, SOCIEDAD ANONIMA</t>
  </si>
  <si>
    <t>Cesar Cruz Salamanca</t>
  </si>
  <si>
    <t>Camila Jurado</t>
  </si>
  <si>
    <t>H Y M FUSION CONSULTORIA</t>
  </si>
  <si>
    <t>FERNANDEZ FERNANDEZ - SILLA</t>
  </si>
  <si>
    <t>INVERSIONES DE CINEMA</t>
  </si>
  <si>
    <t>Ernesto Ortega Hegg</t>
  </si>
  <si>
    <t>JORGE SOTO PEREZ</t>
  </si>
  <si>
    <t>REPUBLIC OFFICE S.A</t>
  </si>
  <si>
    <t>MARIANNE JOLIE</t>
  </si>
  <si>
    <t>AMPHORA WINES E SPIRITS S.A</t>
  </si>
  <si>
    <t>DIEGO MEJIA</t>
  </si>
  <si>
    <t>CAROLINA MARIA GARCIA ROJAS</t>
  </si>
  <si>
    <t>SEMANA 03 AGOSTO EXPRESS</t>
  </si>
  <si>
    <t>DESARROLLO CIELO INFINITO ESCAZU S.A</t>
  </si>
  <si>
    <t xml:space="preserve">TTA PROJECT </t>
  </si>
  <si>
    <t>LABORATORIOS QUIMICOS</t>
  </si>
  <si>
    <t>Sin información</t>
  </si>
  <si>
    <t>VERTICAL SOLUTIONS</t>
  </si>
  <si>
    <t>SUSAN ISASKU DURAN PRADO</t>
  </si>
  <si>
    <t>CARFUL, S.A</t>
  </si>
  <si>
    <t>JUDIANA PAMELA ALVARADO CANTILLANO</t>
  </si>
  <si>
    <t>BENEMERITO CUERPO DE BOMBEROS</t>
  </si>
  <si>
    <t>MARJORIE ROMERO ODIO</t>
  </si>
  <si>
    <t>ADUANA KATTY</t>
  </si>
  <si>
    <t xml:space="preserve">COMERCIAL INDUSTRIAL Y DE SERVICIOS  </t>
  </si>
  <si>
    <t>MARIA JULIA VALVERDE SUAREZ</t>
  </si>
  <si>
    <t>KRYSTEL HOROWITZ MORERA</t>
  </si>
  <si>
    <t>FAVE MANTENIMIENTOS SOCIEDAD ANONIMA</t>
  </si>
  <si>
    <t>Hanjoo Hwang</t>
  </si>
  <si>
    <t>PURA VIDA ESPAIS PVE SRL</t>
  </si>
  <si>
    <t>Casa Linda Vista de Flamingo LLC Sociedad de Responsabilidad Limitada</t>
  </si>
  <si>
    <t>MANUEL ERIC BICQUELLE</t>
  </si>
  <si>
    <t>WALLACE GERARDO COVER SERRANO</t>
  </si>
  <si>
    <t>Camarco Heat Group S.R.L</t>
  </si>
  <si>
    <t>ROBERTO JESUS GAMBOA AREND</t>
  </si>
  <si>
    <t>MELANIA CASTRO</t>
  </si>
  <si>
    <t>ADRIAN LEITON</t>
  </si>
  <si>
    <t>ROSA EUGENIA PICADO SOLIS</t>
  </si>
  <si>
    <t>MARCO GONZALEZ GUTIERREZ</t>
  </si>
  <si>
    <t>PIERRE ALEXIS DEPESTRE GRATEROL</t>
  </si>
  <si>
    <t>DUWEST CAFESA SOCIEDAD ANONIMA</t>
  </si>
  <si>
    <t>YIGAL ABRAHAM BENZAQUEN</t>
  </si>
  <si>
    <t>LISA ROSE FARREL</t>
  </si>
  <si>
    <t>VALLE DORADO</t>
  </si>
  <si>
    <t>Johnny Vega Brenes</t>
  </si>
  <si>
    <t>ITEK SOLUCIONES INTEGRALES S.A.</t>
  </si>
  <si>
    <t>BLOQUES PEDREGAL SOCIEDAD ANONIMA</t>
  </si>
  <si>
    <t>COLOPLAST</t>
  </si>
  <si>
    <t>JOHNNY FRANCISCO GERARDO CAMPOS MURILLO</t>
  </si>
  <si>
    <t>JAIME ANDRES ESCALONA RODRIGUEZ</t>
  </si>
  <si>
    <t>Anaïs Muller</t>
  </si>
  <si>
    <t>IVAN CASTRO MUÑOZ</t>
  </si>
  <si>
    <t>ARTHROCARE COSTA RICA, S.R.L</t>
  </si>
  <si>
    <t>ADRIANA MARIA CAMPOS FUMERO</t>
  </si>
  <si>
    <t>MARIANNE LA JOLIE</t>
  </si>
  <si>
    <t>REALTY MANAGEMENT PACIFIC S.A</t>
  </si>
  <si>
    <t>Ezequías Rodríguez Jirón</t>
  </si>
  <si>
    <t>VILLA MONTE LLC LIMITADA</t>
  </si>
  <si>
    <t>DORA EMILIA BENAVIDES MURILLO</t>
  </si>
  <si>
    <t>PABLO LUIS PERNAS</t>
  </si>
  <si>
    <t>KAREN CHRISTIANA FIGUERES OLSEN</t>
  </si>
  <si>
    <t>MEGA LINEAS SOCIEDAD ANONIMA</t>
  </si>
  <si>
    <t>SAMTEC</t>
  </si>
  <si>
    <t>REFINADORA COSTARRICENSE DE PETROLEO</t>
  </si>
  <si>
    <t>HAILYN ESQUIVEL PEREZ</t>
  </si>
  <si>
    <t>ALFONSO ENRIQUE MAIRENA ESPINOZA</t>
  </si>
  <si>
    <t xml:space="preserve">OSWALDO JOSE ALVAREZ VELASQUEZ </t>
  </si>
  <si>
    <t>GABRIEL QUESADA</t>
  </si>
  <si>
    <t>MARCELA MARIA CARBALLO CRUZ</t>
  </si>
  <si>
    <t>TAUCA</t>
  </si>
  <si>
    <t xml:space="preserve">G Q ARQUITECTURA SOCIEDAD ANONIMA </t>
  </si>
  <si>
    <t>Annia Soto Torres</t>
  </si>
  <si>
    <t>INVERSIONES 9.9013 S.A.</t>
  </si>
  <si>
    <t>WISOL AMERICANA SOCIEDAD ANONIMA</t>
  </si>
  <si>
    <t>MARIA DE MONSERRAT GUITART PIGUILLEM</t>
  </si>
  <si>
    <t>MOBILE PRO</t>
  </si>
  <si>
    <t>GRUPO CORPORATIVO SMCR NORTE SOCIEDAD ANONIMA</t>
  </si>
  <si>
    <t>IVANNIA HASBUM FERNANDEZ</t>
  </si>
  <si>
    <t>THE FLOWZONE SOCIEDAD DE RESPONSABILIDAD LIMITADA</t>
  </si>
  <si>
    <t>SEMANA 05 EXPRESS</t>
  </si>
  <si>
    <t>Liberaterra Inmobiliaria SRL</t>
  </si>
  <si>
    <t xml:space="preserve">FARMA VALUE </t>
  </si>
  <si>
    <t>REAL DAY</t>
  </si>
  <si>
    <t>MILTON BALTODANO</t>
  </si>
  <si>
    <t>MAURICIO MENA GUTIERREZ</t>
  </si>
  <si>
    <t>CASA MENA PRIVATE COLLECTION SOCIEDAD DE RESPONSABILIDAD LIMITADA</t>
  </si>
  <si>
    <t>TERMINALES SANTA MARÍA</t>
  </si>
  <si>
    <t>Constructora BRK</t>
  </si>
  <si>
    <t>ELKE MARIA STEIVORTH</t>
  </si>
  <si>
    <t>SILVIA ARIAS ESPINOZA</t>
  </si>
  <si>
    <t>PAGO SEMANA 01 OUTLET MAYO</t>
  </si>
  <si>
    <t xml:space="preserve">DHL </t>
  </si>
  <si>
    <t>ivon Delgado Bringa</t>
  </si>
  <si>
    <t>JOHN CAMPOS MURILLO</t>
  </si>
  <si>
    <t>GREIF COSTA RICA</t>
  </si>
  <si>
    <t>EMPRESAS CLEVELAND</t>
  </si>
  <si>
    <t>jeffrey G salamone</t>
  </si>
  <si>
    <t>DORIS MORERA LOPEZ</t>
  </si>
  <si>
    <t>GUSTAVO CEDEÑO ELIZONDO</t>
  </si>
  <si>
    <t>ZENIT SPORTS AND WELLNESS SOCIEDAD ANONIMA</t>
  </si>
  <si>
    <t xml:space="preserve">ADRIANA MARIA CAMPOS FUMERO </t>
  </si>
  <si>
    <t>LUIS FDO HERNANDEZ RODRIGUEZ</t>
  </si>
  <si>
    <t>JUAN RAFAEL RAVEN WITHFORD</t>
  </si>
  <si>
    <t>SEMANA 03 SETIEMBRE EXPRESS</t>
  </si>
  <si>
    <t>JOSE ANTONIO ORTEGA ORLICH</t>
  </si>
  <si>
    <t>ANA ELISA SAENZ</t>
  </si>
  <si>
    <t>3 101 861274 SOCIEDAD ANONIMA</t>
  </si>
  <si>
    <t>WORKINGS ESCAZU LIMITADA</t>
  </si>
  <si>
    <t>Isabel Fornaguera</t>
  </si>
  <si>
    <t>ERIC RAUL MURILLO</t>
  </si>
  <si>
    <t>JERLANY VANNESA RAMIREZ</t>
  </si>
  <si>
    <t>PROPIEDADES EL RINCON DE LOS SUEÑOS S.A</t>
  </si>
  <si>
    <t>Juan Pablo Munoz</t>
  </si>
  <si>
    <t>Douglas Román Díaz</t>
  </si>
  <si>
    <t>VICTOR ALBERTO DE LA TRINIDAD JIMENEZ NAVARRO</t>
  </si>
  <si>
    <t>Eyra Medina alvarez</t>
  </si>
  <si>
    <t>SWAV MEDICAL</t>
  </si>
  <si>
    <t>ESTADO-MINISTERIO DE OBRAS PUBLICAS Y TRANSPORTE</t>
  </si>
  <si>
    <t>MARIA JOSE ABREGO MACHADO</t>
  </si>
  <si>
    <t>AE LOGISTICS SEL SOCIEDAD ANONIMA</t>
  </si>
  <si>
    <t>Wendy Zumbado</t>
  </si>
  <si>
    <t>MARIA VICTORIA LOPEZ ROBLES</t>
  </si>
  <si>
    <t>Carlos Villalobos</t>
  </si>
  <si>
    <t>CONOBRA LIMITADA</t>
  </si>
  <si>
    <t>CAJA COSTARRICENSE DE SEGURO SOCIAL - CALDERON GUARDIA</t>
  </si>
  <si>
    <t>NUEVOS ALMACENES S.A.</t>
  </si>
  <si>
    <t>EUROHOGAR</t>
  </si>
  <si>
    <t>NURIA HERRERA AGÜERO</t>
  </si>
  <si>
    <t>DESARROLLOS TEHELEN SOCIEDAD ANONIMA</t>
  </si>
  <si>
    <t>GN TWCR</t>
  </si>
  <si>
    <t>ILEANA MARIA ALVAREZ PEREZ</t>
  </si>
  <si>
    <t>SEAR</t>
  </si>
  <si>
    <t>SIN IDENTIFICAR  -LOCAL</t>
  </si>
  <si>
    <t>NIDAROS HOLDINGS</t>
  </si>
  <si>
    <t>INVERSIONES 9.9013 - SARITA</t>
  </si>
  <si>
    <t>RAE INGENIEROS SOCIEDAD ANONIMA</t>
  </si>
  <si>
    <t>GRETHEL MAGALY DE LO MASIS GUTIERREZ</t>
  </si>
  <si>
    <t>DAVIVIENDA LEASING S.A.</t>
  </si>
  <si>
    <t>CENTRO DE CIENCIA Y TECNOLOGIA ULTRAPARK SOCIEDAD ANONIMA</t>
  </si>
  <si>
    <t>IMS CONTRUCCIONES</t>
  </si>
  <si>
    <t xml:space="preserve">PATRICIA VILLALOBOS </t>
  </si>
  <si>
    <t>DUNIA AGUILAR</t>
  </si>
  <si>
    <t>IRENE CORDERO SANCHO</t>
  </si>
  <si>
    <t>JOSE PABLO VEGA ULATE</t>
  </si>
  <si>
    <t>JUAN JOSE ALTAMANN GARNIER</t>
  </si>
  <si>
    <t>Lydia Chacón Susan</t>
  </si>
  <si>
    <t>ESTEBAN MANUEL MORA ACUÑA</t>
  </si>
  <si>
    <t>ADRIANA MORALES</t>
  </si>
  <si>
    <t>FAUSTO CASTILLO AMADOR</t>
  </si>
  <si>
    <t>JOSE ADRIAN LEITON ZUÑIGA</t>
  </si>
  <si>
    <t>JOHNNY FERNANDO HUERTAS SEGURA</t>
  </si>
  <si>
    <t>INGENIERIA CONTE</t>
  </si>
  <si>
    <t>CARLOS ALFREDO MADRIGAL VILLALOBOS</t>
  </si>
  <si>
    <t>MARYELLEN DE GONZALEZ</t>
  </si>
  <si>
    <t>PROQUINAL COSTA RICA</t>
  </si>
  <si>
    <t>EVERTEC COSTA RICA SOCIEDAD ANONIMA</t>
  </si>
  <si>
    <t>AJIP INGENIERIA LIMITADA</t>
  </si>
  <si>
    <t>ANTONIO ROLDAN RAMIREZ</t>
  </si>
  <si>
    <t>EDUARDO JOSE GAZEL LOPEZ</t>
  </si>
  <si>
    <t xml:space="preserve">ULTRAPARK </t>
  </si>
  <si>
    <t>KORBAN INTERNACIONAL</t>
  </si>
  <si>
    <t>DISTRIBUIDORA PLASTIMEX DE COSTA RICA</t>
  </si>
  <si>
    <t>AUTOSEGURO DE COSTA RICA</t>
  </si>
  <si>
    <t>DAGOBERTO GONZALEZ</t>
  </si>
  <si>
    <t>ABRAHAM BENZAQUEN</t>
  </si>
  <si>
    <t>ANDREA DE LOS ANGELES ALVARADO MONDOL</t>
  </si>
  <si>
    <t>ADRIANA AUXILIADORA MORALES MARTINEZ</t>
  </si>
  <si>
    <t>MARICRUZ SANCHO MONGE</t>
  </si>
  <si>
    <t>MANUFACTURA ENSAMBLE - INTEL</t>
  </si>
  <si>
    <t>BRIDGESTONE</t>
  </si>
  <si>
    <t>RONALD GUTIERREZ - COCINA</t>
  </si>
  <si>
    <t>TERRAMIX</t>
  </si>
  <si>
    <t>Christine Raine Rodriguez</t>
  </si>
  <si>
    <t>LINDORA EUROMOBILIA 76588</t>
  </si>
  <si>
    <t>MAFRA SOLUCIONES SA</t>
  </si>
  <si>
    <t>TROPPER MOGUILLAN</t>
  </si>
  <si>
    <t>SOCIEDAD DE RESPONSABILIDAD LIMITADA</t>
  </si>
  <si>
    <t>ALBERTO LAINEZ VENTOSILLA</t>
  </si>
  <si>
    <t>UNIVERSIDAD DE LAS CIENCIAS Y EL ARTE</t>
  </si>
  <si>
    <t>Marvin Peraza</t>
  </si>
  <si>
    <t>GRUPO ISTMO PAPAGAYO</t>
  </si>
  <si>
    <t>CAJA COSTARRICENSE DE SEGURO SOCIAL (CENARE)</t>
  </si>
  <si>
    <t>Marco Carvajal Odio</t>
  </si>
  <si>
    <t>NITINOL</t>
  </si>
  <si>
    <t>SEMANA 03 OCTUBRE EXPRESS</t>
  </si>
  <si>
    <t>Constrctora La Itaba</t>
  </si>
  <si>
    <t>INGENIERIA CONTEMPORANEA SOCIEDAD ANONIMA</t>
  </si>
  <si>
    <t>Tecnibandas S.A</t>
  </si>
  <si>
    <t>PAOLA  ANDREA CUERO  ANGULO</t>
  </si>
  <si>
    <t>TERMINTEU CRISTINA ROPER WILLIAMS</t>
  </si>
  <si>
    <t>DHL CUSTOMER SUPPORT</t>
  </si>
  <si>
    <t>DUNIA ZAMORA</t>
  </si>
  <si>
    <t>Daniel Arguedas</t>
  </si>
  <si>
    <t>EDIFISA CONSTRUCTORA, S.A.</t>
  </si>
  <si>
    <t>Diana Zamora</t>
  </si>
  <si>
    <t xml:space="preserve">ALBERTO LAINEZ VENTOSILLA </t>
  </si>
  <si>
    <t>SIN IDENTIFICAR - MEDITEST</t>
  </si>
  <si>
    <t>AGUILA LOGISTICS SOLUTIONS</t>
  </si>
  <si>
    <t>ACABADOS AUTOMOTRICES</t>
  </si>
  <si>
    <t xml:space="preserve">VOLIO Y TREJOS ASOCI </t>
  </si>
  <si>
    <t>BIOCIENTIFICA INTERNACIONAL</t>
  </si>
  <si>
    <t>ELEC NOVA CANCELA FACTURA</t>
  </si>
  <si>
    <t>ELECTROS NOVA</t>
  </si>
  <si>
    <t xml:space="preserve">SHOCKWAVE </t>
  </si>
  <si>
    <t>BASF</t>
  </si>
  <si>
    <t>SIN IDENTIFICAR - LOCAL</t>
  </si>
  <si>
    <t xml:space="preserve">UNIVERSIDAD DE COSTA RICA </t>
  </si>
  <si>
    <t xml:space="preserve">FONDO DE INVERSION DE DESARROLLO DE PROYECTOS MULTIFONDOS SECRT ESCALANTE </t>
  </si>
  <si>
    <t>ERICK NAVARRO VARGAS</t>
  </si>
  <si>
    <t>EMILIO GUILLERMO ARANA PUENTE</t>
  </si>
  <si>
    <t>MANUFACTURA EMSAMBLE</t>
  </si>
  <si>
    <t>BUJAN ARQUITECTOS SRL</t>
  </si>
  <si>
    <t>JOHANNA DEL SOCORRO SANCHEZ GUTIERREZ</t>
  </si>
  <si>
    <t>DANAN R. D. S. SOCIEDAD ANONIMA</t>
  </si>
  <si>
    <t>CONDOMINIO INMOBILIARIO JEROY SOCIEDAD ANONIMA</t>
  </si>
  <si>
    <t xml:space="preserve">INDUSTRIAL SOLUTIONS </t>
  </si>
  <si>
    <t>54298 /  10028240</t>
  </si>
  <si>
    <t>LITOGRAFÍA SAN RAFAEL S.A.</t>
  </si>
  <si>
    <t>TORRE PARQUE DEL CAFE SOCIEDAD ANONIMA</t>
  </si>
  <si>
    <t>INVERSIONES EL AGUALOTE</t>
  </si>
  <si>
    <t>FUNDACION PARA ADMINISTRAR LOS MUSEOS DEL BANCO CE</t>
  </si>
  <si>
    <t>SUR QUIMICA</t>
  </si>
  <si>
    <t>YOJHANNA ALEXANDRA UGARTE VICTOR</t>
  </si>
  <si>
    <t>ALIMENTOS JACKS DE CENTROAMERICA SOCIEDAD ANONIMA</t>
  </si>
  <si>
    <t>VALENTINA STARICCO SIBILS</t>
  </si>
  <si>
    <t>BABILON 1505 MUEBLE COCINA</t>
  </si>
  <si>
    <t>AGROCLINICA</t>
  </si>
  <si>
    <t xml:space="preserve">IDANIA ROJAS AMADOR </t>
  </si>
  <si>
    <t>EDISOLUCIONES INTEGRALES EDISOL SOCIEDAD DE RESPONSABILIDAD LIMITADA</t>
  </si>
  <si>
    <t>TABOR CONSTRUCTORA</t>
  </si>
  <si>
    <t>Discovery Zapotal Builders</t>
  </si>
  <si>
    <t>MARIO ROJAS MURILLO</t>
  </si>
  <si>
    <t>MICHAEL BLANCO</t>
  </si>
  <si>
    <t>EDIFICAR</t>
  </si>
  <si>
    <t>Forrest Geiger</t>
  </si>
  <si>
    <t>Sergio Villarroel Rojas</t>
  </si>
  <si>
    <t>RICARDO ALBERTO GRANERA</t>
  </si>
  <si>
    <t>ARIEL VINDAS ALFARO</t>
  </si>
  <si>
    <t>ANTONIO SANDOVAL</t>
  </si>
  <si>
    <t>3-102-854315 SRL</t>
  </si>
  <si>
    <t>Nahuel Tobías Baldo Calderón</t>
  </si>
  <si>
    <t>COSTACON DE COSTA RICA SOCIEDAD ANONIMA</t>
  </si>
  <si>
    <t>COMTEL INGENIERIA SOCIEDAD ANONIMA</t>
  </si>
  <si>
    <t>AUTO SEGURO DE COSTA RICA</t>
  </si>
  <si>
    <t>RHYTHMLINK</t>
  </si>
  <si>
    <t>GOLDEN HARVEST DE COSTA RICA SOCIEDAD ANONIMA</t>
  </si>
  <si>
    <t>DIDEMA SRL</t>
  </si>
  <si>
    <t>MARCIA AGUIRRE JIMENEZ</t>
  </si>
  <si>
    <t>Andreas Duin</t>
  </si>
  <si>
    <t>ANDREAS DUIN</t>
  </si>
  <si>
    <t>CIUDAD DE LOS NIÑOS</t>
  </si>
  <si>
    <t>ASECCSS</t>
  </si>
  <si>
    <t>Proyectos Ecológicos Proeco S.A</t>
  </si>
  <si>
    <t>Allan Omar Canales Hernández</t>
  </si>
  <si>
    <t>TICA KLEEN</t>
  </si>
  <si>
    <t>SANCHEZ MATOS</t>
  </si>
  <si>
    <t>Roberto Madrigal Serrano</t>
  </si>
  <si>
    <t>GUILLERMO DURAN</t>
  </si>
  <si>
    <t>ALIMENTOS Y BEBIDAS REGIONALES SOCIEDAD ANONIMA</t>
  </si>
  <si>
    <t>ALIMENTOS Y BEBIDAS REGIONALES</t>
  </si>
  <si>
    <t>FABIO CHENG</t>
  </si>
  <si>
    <t>CLEAR LEAF SRL</t>
  </si>
  <si>
    <t>MEGAN LOPEZ</t>
  </si>
  <si>
    <t>Esteban Vallejo</t>
  </si>
  <si>
    <t>Esteban Vallejo Ramírez</t>
  </si>
  <si>
    <t>ABRAHAM GOLDIK</t>
  </si>
  <si>
    <t>DERMAPRIME SOCIEDAD</t>
  </si>
  <si>
    <t>ARTHOCARE</t>
  </si>
  <si>
    <t>RONALD IGNACIO SOLANO GRANADOS</t>
  </si>
  <si>
    <t>SPORT RETAIL</t>
  </si>
  <si>
    <t>DANIEL GUTIERREZ CASTILLO</t>
  </si>
  <si>
    <t>DEANA MORLEY</t>
  </si>
  <si>
    <t>INSTITUTO NACIONAL DE SEGUROS</t>
  </si>
  <si>
    <t>54273 / 10027241</t>
  </si>
  <si>
    <t>LOCAL PLAZA AMERICA</t>
  </si>
  <si>
    <t>FARMAVALUE</t>
  </si>
  <si>
    <t>FARMAVALUE COSTA RICA SOCIEDAD ANON</t>
  </si>
  <si>
    <t>AGROINDUSTRIAL ZELEDON MAFFIO SOCIEDAD ANONIMA</t>
  </si>
  <si>
    <t>AGRO INDUSTRIAL</t>
  </si>
  <si>
    <t>PAYPAL</t>
  </si>
  <si>
    <t>SERVICIOS NUTRESA</t>
  </si>
  <si>
    <t>Orlando Montes de Oca</t>
  </si>
  <si>
    <t>GIOVANNI PAPILI AMADOR</t>
  </si>
  <si>
    <t>ALIMENTOS Y BEBIDAS ATLANTIDA</t>
  </si>
  <si>
    <t>Roberto Gamboa</t>
  </si>
  <si>
    <t>MARK SMOLJANOVIC</t>
  </si>
  <si>
    <t>MINISTERIO DE EDUCACION PUBLICA</t>
  </si>
  <si>
    <t>ELENA ARROYO</t>
  </si>
  <si>
    <t>EVENTOS ARTESANOS SOCIENDAD ANONIMA</t>
  </si>
  <si>
    <t>VOLIO &amp; TREJOS ASOCIADOS S.A.</t>
  </si>
  <si>
    <t>MAILYN MARIA AJUN LOAIZA</t>
  </si>
  <si>
    <t>LUIS MURILLO</t>
  </si>
  <si>
    <t>CARLOS MANUEL BURGOS</t>
  </si>
  <si>
    <t xml:space="preserve">FABRICA CENTROAMERICANA DE NIPLES S,A </t>
  </si>
  <si>
    <t>Bosques Instantáneos de Costa Rica S.A</t>
  </si>
  <si>
    <t>María del Carmen Ramírez Delgado</t>
  </si>
  <si>
    <t>Reiner Sanchez</t>
  </si>
  <si>
    <t>BAHIA PAPAGAYO</t>
  </si>
  <si>
    <t>3-102-534069</t>
  </si>
  <si>
    <t>INVERSIONES HERREMORA SOCIEDAD ANONIMA</t>
  </si>
  <si>
    <t>SANTIAGO ALFONSO ARAYA GUTIERREZ</t>
  </si>
  <si>
    <t>JOSE CABRERA BADILLA</t>
  </si>
  <si>
    <t>ASOCIACION GREEN WOLF</t>
  </si>
  <si>
    <t>COSTA CRUZ INC</t>
  </si>
  <si>
    <t>RODOLFO CORDERO SANCHO</t>
  </si>
  <si>
    <t>HERNANDEZ CORDOBA</t>
  </si>
  <si>
    <t>GABRIELA AGUILAR CHAVES</t>
  </si>
  <si>
    <t>MARIO ADOLFO GERARDO VARGAS VALVERDE</t>
  </si>
  <si>
    <t>ALEJANDRO HERRERA ZAMORA</t>
  </si>
  <si>
    <t>GRUPO TLA S.A</t>
  </si>
  <si>
    <t>Javes Designs SA</t>
  </si>
  <si>
    <t>Christopher Eifert</t>
  </si>
  <si>
    <t>TREE OF LIFE LEARNING CENTER  SOCIEDAD ANONIMA</t>
  </si>
  <si>
    <t>INDUSTRIAS QUIMICAS</t>
  </si>
  <si>
    <t>CAFE BRITT COSTA RICA SOCIEDAD ANONIMA ( COLONES )</t>
  </si>
  <si>
    <t>TOMAS SOLANO PRIET</t>
  </si>
  <si>
    <t>Giovanni Calvo</t>
  </si>
  <si>
    <t>TERMIUTICE CRISTINA ROPER WILLIAMS</t>
  </si>
  <si>
    <t>Edgardo Ruiz Gomez</t>
  </si>
  <si>
    <t>SOLUCIONES MECANO</t>
  </si>
  <si>
    <t>ALLERGAN COSTA RICA SOCIENDAD RESPONSABILIDAD LIMITADA</t>
  </si>
  <si>
    <t>Diego Conejo</t>
  </si>
  <si>
    <t>Salvador Martin Yusso</t>
  </si>
  <si>
    <t>Paulo Heredia</t>
  </si>
  <si>
    <t>Kehily Curalli</t>
  </si>
  <si>
    <t>PARQUE DE PERU - TORRE DM</t>
  </si>
  <si>
    <t>REBECA PATRICIA MORA SABORIO - RONALD SANDI</t>
  </si>
  <si>
    <t>GV HEALTH SUPPLEMENT - RICARDO CASASOLA</t>
  </si>
  <si>
    <t>AYURVEDA CENTROAMERICANA SOCIEDAD ANONIMA</t>
  </si>
  <si>
    <t>PRODEYCO S.A.</t>
  </si>
  <si>
    <t>BRIAN HIDALGO</t>
  </si>
  <si>
    <t>Nova del Este</t>
  </si>
  <si>
    <t>NOVA EUROMOBILIA 77681</t>
  </si>
  <si>
    <t>INSTITUTO COSTARRICENSE DE ACUEDUCTOS Y ALCANTARILLADOS</t>
  </si>
  <si>
    <t>BAYER MEDICAL S.R.L.</t>
  </si>
  <si>
    <t xml:space="preserve">RRHH Metamorfosis SRL </t>
  </si>
  <si>
    <t>HCM EXECUTION</t>
  </si>
  <si>
    <t>COMPLEJO RECREATIVO</t>
  </si>
  <si>
    <t>GOURMET IMPORTS</t>
  </si>
  <si>
    <t>YEISON GONZALEZ</t>
  </si>
  <si>
    <t>ALLAN OMAR CANALES</t>
  </si>
  <si>
    <t>CONSTRUCTORA NAVARRO Y AVILES</t>
  </si>
  <si>
    <t>Eddier Alberto Soto Vargas</t>
  </si>
  <si>
    <t>SOWEST SOCIEDAD ANONIMA</t>
  </si>
  <si>
    <t>BIMBO DE COSTA RICA SOCIEDAD ANONIMA</t>
  </si>
  <si>
    <t>MUSEO NACIONAL DE COSTA RICA</t>
  </si>
  <si>
    <t>ASOCIACION CENTRO ISRAELITA</t>
  </si>
  <si>
    <t>OXISUR</t>
  </si>
  <si>
    <t>Sofía Rojas Rodríguez</t>
  </si>
  <si>
    <t>Felix Fuentes Núñez</t>
  </si>
  <si>
    <t>CAFETALERA SAN GABRIEL S.A.</t>
  </si>
  <si>
    <t>Maria Luisa Loria Quiros</t>
  </si>
  <si>
    <t>LUZ ELENA ARREOLA RAMOS</t>
  </si>
  <si>
    <t>MICHAEL DAVID BLANCO RAMOS</t>
  </si>
  <si>
    <t>SUMMATEL</t>
  </si>
  <si>
    <t>Inversiones family</t>
  </si>
  <si>
    <t>ANA LORENA DE JESUS SOTO PACHECO</t>
  </si>
  <si>
    <t>CHRISTIAN GERARDO VALERIO VARELA</t>
  </si>
  <si>
    <t>GREGORY GERARDO EDMOND HENRY</t>
  </si>
  <si>
    <t>MARVIN GERARDO PERAZA MORALES</t>
  </si>
  <si>
    <t>LUIS CHAVARRIA</t>
  </si>
  <si>
    <t>KORBAN DAL SOCIEDAD ANONIMA</t>
  </si>
  <si>
    <t>MONSERRAT QUIROS</t>
  </si>
  <si>
    <t>JUNTA ADMINISTRATIVA DEL SERVICIO ELECTRICO MUNICIPAL DE CARTAGO</t>
  </si>
  <si>
    <t>SEMANA 03 NOVIEMBRE EXPRESS</t>
  </si>
  <si>
    <t>LOS ARALLANES SOCIEDAD ANONIMA</t>
  </si>
  <si>
    <t>EDIFISA CONSTRUCTORA</t>
  </si>
  <si>
    <t>MELISSA MARIA SOLIS CESPEDES</t>
  </si>
  <si>
    <t>WENDY MARIA ZUMBADO</t>
  </si>
  <si>
    <t>3-101-652189 SOCIEDAD ANONIMA</t>
  </si>
  <si>
    <t>DUNIA MALLENI AGUILAR MORALES</t>
  </si>
  <si>
    <t>Luis Diego Salas</t>
  </si>
  <si>
    <t>MARIA VANESSA SEGURA PICADO</t>
  </si>
  <si>
    <t>JOANNE YAEL PICCIOTTO MENDEZ</t>
  </si>
  <si>
    <t>MANFRED PETERS</t>
  </si>
  <si>
    <t>RESERVA MORAVIA</t>
  </si>
  <si>
    <t>VIRGINIA STEINVORTH</t>
  </si>
  <si>
    <t>JOSE CORRALES</t>
  </si>
  <si>
    <t>Jennifer Charpentier</t>
  </si>
  <si>
    <t>hogares Funcionales</t>
  </si>
  <si>
    <t>ANDRES ALBERTO MADRIGAL RETANA</t>
  </si>
  <si>
    <t>Michel Huppé</t>
  </si>
  <si>
    <t>PABLO PERNAS</t>
  </si>
  <si>
    <t>SEmana 02</t>
  </si>
  <si>
    <t>REBECA LEE CHINCHILLA</t>
  </si>
  <si>
    <t>Jineth Salazar Rojas</t>
  </si>
  <si>
    <t>CARLO MANUEL JIMENEZ HERNANDEZ</t>
  </si>
  <si>
    <t>MARIO ALEXANDER VEGA VALDERRAMA</t>
  </si>
  <si>
    <t xml:space="preserve">MARIA JOSE BRENES QUESADA </t>
  </si>
  <si>
    <t>GRETTEL LORENA OBREGON DUARTE</t>
  </si>
  <si>
    <t>AGUILA LOGISTIC SOLUCIONES SOCIEDAD ANONIMA</t>
  </si>
  <si>
    <t>CONSTRUCTORA PRODEYCO</t>
  </si>
  <si>
    <t>BTSU SOCIEDAD ANONIMA</t>
  </si>
  <si>
    <t>KARINA ALVAREZ</t>
  </si>
  <si>
    <t>COOPEMAPRO</t>
  </si>
  <si>
    <t xml:space="preserve">MULTICLIMA </t>
  </si>
  <si>
    <t>MARIA LUISA LORIA QUIROS</t>
  </si>
  <si>
    <t>CONSTRUCTORA VANDER LAAT - AS OROTINA</t>
  </si>
  <si>
    <t>SILI JUANY</t>
  </si>
  <si>
    <t>ROCHE</t>
  </si>
  <si>
    <t>RESIDENCIAS LORA PICO</t>
  </si>
  <si>
    <t>Michael Mora Agüero</t>
  </si>
  <si>
    <t>JEANNETTE CASTILLO</t>
  </si>
  <si>
    <t>TECNIBANDAS</t>
  </si>
  <si>
    <t>SERACSA</t>
  </si>
  <si>
    <t>INSTITUTO TECNICO VM</t>
  </si>
  <si>
    <t>AMERICA DEVELOPMENT</t>
  </si>
  <si>
    <t>Rafael Castillo</t>
  </si>
  <si>
    <t>SPG HOLDING CORPORATION</t>
  </si>
  <si>
    <t>DAYAN GONZALEZ</t>
  </si>
  <si>
    <t>CARFUL</t>
  </si>
  <si>
    <t>FRIONET</t>
  </si>
  <si>
    <t>EXPRESO DENTAL</t>
  </si>
  <si>
    <t>BOSQUES DE ALTAMIRA</t>
  </si>
  <si>
    <t>BEESUITE</t>
  </si>
  <si>
    <t>FSA INGENIERIA Y ARQUITECTURA</t>
  </si>
  <si>
    <t>AMALIA GUARDIA</t>
  </si>
  <si>
    <t>INTERNATIONAL FOOD TO GO SOCIEDAD ANONIMA</t>
  </si>
  <si>
    <t>LUMEN ILUMINACION</t>
  </si>
  <si>
    <t>MUNICIPALIDAD DE ALAJUELA</t>
  </si>
  <si>
    <t>JUNTA ADMINISTRATIVA DEL ARCHIVO NACIONAL</t>
  </si>
  <si>
    <t>SUSANNE DRUCK</t>
  </si>
  <si>
    <t>FELIPE SABORIO CARRILLO</t>
  </si>
  <si>
    <t>VIANT</t>
  </si>
  <si>
    <t>JEFFRY THOMASSEN BURR</t>
  </si>
  <si>
    <t>YEISY MELISSA MELENDEZ</t>
  </si>
  <si>
    <t>Carful Sociedad</t>
  </si>
  <si>
    <t>AMAZON</t>
  </si>
  <si>
    <t>54272 / 10027207</t>
  </si>
  <si>
    <t>RONNY SALAZAR MORALES</t>
  </si>
  <si>
    <t>GUALAPACK  COSTA RICA SOCIEDAD ANONIMA</t>
  </si>
  <si>
    <t>euromobilia</t>
  </si>
  <si>
    <t>Tecnomed quinientos seis s.a.</t>
  </si>
  <si>
    <t>JOSE GABRIEL BONILLA HERNANDEZ</t>
  </si>
  <si>
    <t>JILLIAN URRUTIA</t>
  </si>
  <si>
    <t>ASESORIAS ASMP DE COSTA RICA SOCIEDAD ANONIMA</t>
  </si>
  <si>
    <t>Natalia Arias Sanguillén</t>
  </si>
  <si>
    <t>Priscilla Rojas Muñoz</t>
  </si>
  <si>
    <t>ZUMBADO CONSTRUCCION</t>
  </si>
  <si>
    <t>Ramirez Monge</t>
  </si>
  <si>
    <t>JOSE JULIAN SALAS CAMACHO</t>
  </si>
  <si>
    <t>CARLOS CHAVARRIA CERVANTES</t>
  </si>
  <si>
    <t>MUNICIPALIDAD DEL GUARCO</t>
  </si>
  <si>
    <t>ACCIONA AGUA</t>
  </si>
  <si>
    <t>LUCAF</t>
  </si>
  <si>
    <t>Silvia E. Vargas</t>
  </si>
  <si>
    <t>IMPORTACIONES SIDOFA J&amp;M SOCIEDAD ANONIMA</t>
  </si>
  <si>
    <t>ALLEN MAURILIO ARGUELLO COTO</t>
  </si>
  <si>
    <t>OKAY INDUSTRIES COSTA RICA SOCIEDAD DE RESPONSABILIDAD LIMITADA</t>
  </si>
  <si>
    <t>JAVIER GUTIERREZ BONILLA</t>
  </si>
  <si>
    <t>ISABEL FORNAGUERA STEINER</t>
  </si>
  <si>
    <t>LAW TAX &amp; INSURANCE</t>
  </si>
  <si>
    <t>FUNERALES VIDA</t>
  </si>
  <si>
    <t>AMANDA TORRES</t>
  </si>
  <si>
    <t>Dewaynne Amanda Torres Venegas</t>
  </si>
  <si>
    <t>NUEVO HORIZONTE PYE S.A</t>
  </si>
  <si>
    <t>CHIQUITA BRANDS COSTA RICA SRL</t>
  </si>
  <si>
    <t>Vivianne Yankelewitz</t>
  </si>
  <si>
    <t>Joffry Gonzalez Mora</t>
  </si>
  <si>
    <t>Controles Electricos PYM SA</t>
  </si>
  <si>
    <t>UNO PETROL</t>
  </si>
  <si>
    <t>LEDA RODRIGUEZ SMITH</t>
  </si>
  <si>
    <t>OSCAR EDUARDO GOMEZ SANABRIA</t>
  </si>
  <si>
    <t>Victor Contreras Leiva</t>
  </si>
  <si>
    <t>CONSTRUPLAZA</t>
  </si>
  <si>
    <t>VWR LIMITADA</t>
  </si>
  <si>
    <t>Gabriel Navarro Cedeño</t>
  </si>
  <si>
    <t>Juan Carlos R Morun</t>
  </si>
  <si>
    <t>VINDAS LEITON KIBSAI</t>
  </si>
  <si>
    <t>KEN FROOT</t>
  </si>
  <si>
    <t>YANIFF CAMACHO</t>
  </si>
  <si>
    <t>OLIVER PEREZ ANGULO</t>
  </si>
  <si>
    <t>STEPHANY MARY PICADO</t>
  </si>
  <si>
    <t>P270 CONTRATO - PUERTAS</t>
  </si>
  <si>
    <t xml:space="preserve">ASOCIACION CAMARA COSTARRICENSE NORTEAMERICANA DE </t>
  </si>
  <si>
    <t>KENNETH COCINA KUPPER</t>
  </si>
  <si>
    <t>DIANA ZAMORA</t>
  </si>
  <si>
    <t>Michael kleiman wien</t>
  </si>
  <si>
    <t>RICCARDO MICALI</t>
  </si>
  <si>
    <t>Nicolas Pierre Dienot</t>
  </si>
  <si>
    <t>DANIEL GARCIA</t>
  </si>
  <si>
    <t>ELECTROMECANICA PABLO MURILLO</t>
  </si>
  <si>
    <t>JULIAN URRUTIA</t>
  </si>
  <si>
    <t>INVERSIONES CARFUL SOCIEDAD ANONIMA</t>
  </si>
  <si>
    <t>CRISTAL JANE</t>
  </si>
  <si>
    <t>DESARROLLOS TERRAVIS</t>
  </si>
  <si>
    <t xml:space="preserve">TORCASA TORNILLOS </t>
  </si>
  <si>
    <t>AUTO SEGUROS</t>
  </si>
  <si>
    <t>Raul Vargas Campos</t>
  </si>
  <si>
    <t>CIAPA</t>
  </si>
  <si>
    <t>DAISY CALDERON</t>
  </si>
  <si>
    <t>NCH HEALTHCARE</t>
  </si>
  <si>
    <t>AZ RESIDENTIAL AND COMMERCIAL GROUP SOCIEDAD DE RESPONSABILIDAD LIMITADA</t>
  </si>
  <si>
    <t>SEAR INGENIERIA</t>
  </si>
  <si>
    <t>P270 CONTRATO - RODAPIE</t>
  </si>
  <si>
    <t>MARCOS CASTRO</t>
  </si>
  <si>
    <t>JULY SHELEBY</t>
  </si>
  <si>
    <t>Alvaro Pantoja</t>
  </si>
  <si>
    <t>SUYENS BRAVO</t>
  </si>
  <si>
    <t>LEONARDO PANIGUA GAMBOA</t>
  </si>
  <si>
    <t>PLAYA SOMBRERO</t>
  </si>
  <si>
    <t>Kevin Molina Carballo</t>
  </si>
  <si>
    <t>TTA PROJECT MANAGEMENT</t>
  </si>
  <si>
    <t>INTERIORISMO Y MUEBLES</t>
  </si>
  <si>
    <t>Fabián Jiménez Herra</t>
  </si>
  <si>
    <t>SAGA INGENIERIA</t>
  </si>
  <si>
    <t>PURPLE DAY S.A</t>
  </si>
  <si>
    <t>ESTEBAN VALLEJO RAMIREZ</t>
  </si>
  <si>
    <t>TORRE DOS CENTRAL PARK SRL</t>
  </si>
  <si>
    <t xml:space="preserve">VICTOR JULIO QUIROS CHINCHILLA </t>
  </si>
  <si>
    <t>Jeffrey Mcinnes</t>
  </si>
  <si>
    <t>CARLOS MANUEL BURGOS SALAS</t>
  </si>
  <si>
    <t>FRANCISCO MORA</t>
  </si>
  <si>
    <t>HUGO MORA DELGADILLO</t>
  </si>
  <si>
    <t>Coloplast Volume Manufacturing C.R SA</t>
  </si>
  <si>
    <t>Jimmy Viales chaves</t>
  </si>
  <si>
    <t>Guanacaste Soluciones</t>
  </si>
  <si>
    <t>CORPORACION DE SERVICIOS MULTIPLES DEL MAGISTERIO NACIONAL</t>
  </si>
  <si>
    <t>WAGNER CHACON VILLALOBOS</t>
  </si>
  <si>
    <t>ASOCIACION CENTRO</t>
  </si>
  <si>
    <t>BLUE ZONE</t>
  </si>
  <si>
    <t>BYRON ARIAS BONILLA</t>
  </si>
  <si>
    <t>LAURA ELENA GUERRERO RODRIGUEZ</t>
  </si>
  <si>
    <t>MARITZA BARBOZA</t>
  </si>
  <si>
    <t>Danis Damian</t>
  </si>
  <si>
    <t>Danis Damian Matiaz Jimenez</t>
  </si>
  <si>
    <t>PICADO SANCHEZ</t>
  </si>
  <si>
    <t>Eckart Holst</t>
  </si>
  <si>
    <t>PROYECTO VERDE MAR MANTAS</t>
  </si>
  <si>
    <t>Juan Reyes Fonseca gonzalez</t>
  </si>
  <si>
    <t>CARLOS MANUEL ROJAS</t>
  </si>
  <si>
    <t>semana 03</t>
  </si>
  <si>
    <t>BD CONSULTORES</t>
  </si>
  <si>
    <t>ELECTROS CAFETOS</t>
  </si>
  <si>
    <t>CAFETAL DOS DE BELEN S.A</t>
  </si>
  <si>
    <t>MARIBELL DEL CARMEN BARRANTES VILLEGAS</t>
  </si>
  <si>
    <t xml:space="preserve">Catalina Rojas Piza </t>
  </si>
  <si>
    <t>MONSERRAT SOLANO</t>
  </si>
  <si>
    <t>Miguel Céspedes Araya</t>
  </si>
  <si>
    <t>Eduardo Ramirez Fallas</t>
  </si>
  <si>
    <t>Manfred Peters Batalla</t>
  </si>
  <si>
    <t>GRUPO SEAR</t>
  </si>
  <si>
    <t>BIMBO COSTA RICA</t>
  </si>
  <si>
    <t>Dennis Rodríguez</t>
  </si>
  <si>
    <t>ROLAND AYER</t>
  </si>
  <si>
    <t>FARMACIA LA PLAZA FLAMINGO SOCIEDAD ANONIMA</t>
  </si>
  <si>
    <t>Alfons Ciolek</t>
  </si>
  <si>
    <t>Thelma Isabel Matheson</t>
  </si>
  <si>
    <t>Silina Debes</t>
  </si>
  <si>
    <t>JOSE ANTONIO AMADOR</t>
  </si>
  <si>
    <t>VICTOR MANUEL ZAMORA</t>
  </si>
  <si>
    <t>Eddy Ramos</t>
  </si>
  <si>
    <t>MALUQUER</t>
  </si>
  <si>
    <t>Freddy Montero</t>
  </si>
  <si>
    <t>FONDO DE INVERSION SECRET ESCALANTE</t>
  </si>
  <si>
    <t>ADRIANA PATRICIA VIQUEZ UMAÑA</t>
  </si>
  <si>
    <t>FINANCIERA CAFSA</t>
  </si>
  <si>
    <t>Joel Elías Fonseca</t>
  </si>
  <si>
    <t>Héctor Raúl Gutierrez</t>
  </si>
  <si>
    <t>Gerik Alvarado</t>
  </si>
  <si>
    <t>Jairo Madrigal Montes</t>
  </si>
  <si>
    <t>ESTELA DE LOS ANGELES CORDERO LAURENT</t>
  </si>
  <si>
    <t>Daniel Rodriguez Leal</t>
  </si>
  <si>
    <t>CASAGRI</t>
  </si>
  <si>
    <t>CTP</t>
  </si>
  <si>
    <t>PROYECCION SEMANA 01 OUTLET JUNIO</t>
  </si>
  <si>
    <t>MediPlus</t>
  </si>
  <si>
    <t>Eco Desarrollos Papagayo</t>
  </si>
  <si>
    <t>PROYECCION SEMANA 01 OUTLET JULIO</t>
  </si>
  <si>
    <t>ASOCIACION SOLIDARISTA EMPLEADOS CAJA COSTARRICENSE SEGURO SOCIAL</t>
  </si>
  <si>
    <t>PROYECCION SEMANA 01 OUTLET SETIEMBRE</t>
  </si>
  <si>
    <t>LANCO PAINTS</t>
  </si>
  <si>
    <t>EDICA SKY GARDEN</t>
  </si>
  <si>
    <t>EURO LINDORA</t>
  </si>
  <si>
    <t>PAGO INICIO DE INSTALACIONES HOGAR</t>
  </si>
  <si>
    <t>CLIENTE NUEVOS MULTICLAMP</t>
  </si>
  <si>
    <t>PAGO EXPRESS</t>
  </si>
  <si>
    <t>PROYCON - MAR AZUL</t>
  </si>
  <si>
    <t>PROYECCION SEMANA 02 OUTLET JUNIO</t>
  </si>
  <si>
    <t>INDUSTRIAL LUGUME SOCIEDAD ANONIMA</t>
  </si>
  <si>
    <t>PROYECCION SEMANA 02 OUTLET JULIO</t>
  </si>
  <si>
    <t>CR HOY</t>
  </si>
  <si>
    <t>PROYECCION SEMANA 02 OUTLET SETIEMBRE</t>
  </si>
  <si>
    <t>BAC SAN JOSE LEASING S.A.</t>
  </si>
  <si>
    <t>PROYECCION SEMANA 03 OUTLET JUNIO</t>
  </si>
  <si>
    <t xml:space="preserve"> SUR QUIMICA SOCIEDAD ANONIMA</t>
  </si>
  <si>
    <t>COMERCIALIZADORA Y PRODUCTORA DE BEBIDAS LOS VOLCANES S.A.</t>
  </si>
  <si>
    <t>Fondo de Inversion Secrt Escalante</t>
  </si>
  <si>
    <t xml:space="preserve">CSI LEASING DE CENTROAMERICA </t>
  </si>
  <si>
    <t>PROYECCION SEMANA 03 OUTLET JULIO</t>
  </si>
  <si>
    <t>PROYECCION SEMANA 03 OUTLET SETIEMBRE</t>
  </si>
  <si>
    <t>PROYECTOS DE ACCESO PROA S.A</t>
  </si>
  <si>
    <t>PROYECCION SEMANA 04 OUTLET JUNIO</t>
  </si>
  <si>
    <t xml:space="preserve">CORPORACION  FRIONET </t>
  </si>
  <si>
    <t>ANC CAR SOCIEDAD ANONIMA</t>
  </si>
  <si>
    <t>INTERACTIVE LIGHTNING SOCIEDAD ANONIMA</t>
  </si>
  <si>
    <t>SERVICIOS COMPUTACIONALES NOVA COMP SOCIEDAD ANONIMA</t>
  </si>
  <si>
    <t>cartera Morosa</t>
  </si>
  <si>
    <t>NOVASHORE OUTSOURCING SOLUTIONS SOCIEDAD ANONIMA</t>
  </si>
  <si>
    <t>EDIFICAR S.A</t>
  </si>
  <si>
    <t>RUA BRASIL SOCIEDAD ANONIMA</t>
  </si>
  <si>
    <t>Coca Cola Guatemala</t>
  </si>
  <si>
    <t>PROYECCION SEMANA 04 OUTLET JULIO</t>
  </si>
  <si>
    <t>I M C INTERAMERICANA MEDIOS DE COMUNICACION SOCIEDAD ANONIMA</t>
  </si>
  <si>
    <t>CONTRACT WORKPLACES COSTA RICA SOCIEDAD ANONIMA - KRAFT HEINZ</t>
  </si>
  <si>
    <t>CONTRACT WORKPLACES COSTA RICA SOCIEDAD ANONIMA / EMBAJADA</t>
  </si>
  <si>
    <t xml:space="preserve">BAC SAN JOSÉ </t>
  </si>
  <si>
    <t>IMPROSA STEWART</t>
  </si>
  <si>
    <t>PROYECCION SEMANA 04 OUTLET SETIEMBRE</t>
  </si>
  <si>
    <t>DISENO INGENIERIA ARQUITECTURA METROPOLITANA S.A.</t>
  </si>
  <si>
    <t>Constructora La Itaba - Casa Max</t>
  </si>
  <si>
    <t>Residencias de Santa Ana - Casa Max</t>
  </si>
  <si>
    <t xml:space="preserve">3-101-873996 S.A - ECOMORAVIA </t>
  </si>
  <si>
    <t>EVOLUTION FREE ZONE SOCIEDAD ANONIMA - EPSILON</t>
  </si>
  <si>
    <t>3-101-873996 S.A - NOVOGAR ECOMORAVIA</t>
  </si>
  <si>
    <t>CONSEJO DE TRANSPORTE PUBLICO</t>
  </si>
  <si>
    <t>ALMACENADORA HEREDIA S.A</t>
  </si>
  <si>
    <t>PROYECCION SEMANA 05 OUTLET JULIO</t>
  </si>
  <si>
    <t>Maersk Costa Rica S.A</t>
  </si>
  <si>
    <t>PROYECCION SEMANA 05 OUTLET SETIEMBRE</t>
  </si>
  <si>
    <t>GRUPO ROBLE</t>
  </si>
  <si>
    <t>Sabrina Alavarez</t>
  </si>
  <si>
    <t>WENDY ZUMBADO</t>
  </si>
  <si>
    <t>ERIC EDUARDO DE JESUS ALVAREZ PEREZ</t>
  </si>
  <si>
    <t>SILVIA ELENA ZUÑIGA</t>
  </si>
  <si>
    <t>STEPHANY MELISSA BARBOZA CALLEJAS</t>
  </si>
  <si>
    <t>STIA COMERCIALIZADORA</t>
  </si>
  <si>
    <t>MIGUEL GOMEZ CESAR</t>
  </si>
  <si>
    <t>INVERSIONES FUTURA ANDINO</t>
  </si>
  <si>
    <t>JOHNNY SEGURA MONGE</t>
  </si>
  <si>
    <t>Fabian Sanchez Molina</t>
  </si>
  <si>
    <t>BHORA SOCIEDAD ANONIMA</t>
  </si>
  <si>
    <t>HENRY NANNE</t>
  </si>
  <si>
    <t>VIDENDUM PRODUCTION SOLUTIONS LTDA</t>
  </si>
  <si>
    <t>ALMACEN Y DEPOSITO FYA S.A</t>
  </si>
  <si>
    <t xml:space="preserve">FEDERICO RUIZ UGALDE </t>
  </si>
  <si>
    <t>CONTRACT WORKPLACES - ULATINA</t>
  </si>
  <si>
    <t>ANNELIE HOEPKER BAUDRIT</t>
  </si>
  <si>
    <t>EMBOTELLADORA CENTRAL</t>
  </si>
  <si>
    <t>Juliana Maria Yglesias Luconi</t>
  </si>
  <si>
    <t>Josue Gonzalez R</t>
  </si>
  <si>
    <t>LAMINAS MELAMINA</t>
  </si>
  <si>
    <t>COMECA</t>
  </si>
  <si>
    <t>FRANK WOODBRIDGE</t>
  </si>
  <si>
    <t>Elam Javier Fernández Muñoz</t>
  </si>
  <si>
    <t>ALMECCH DEL OESTE SRL</t>
  </si>
  <si>
    <t>ALLERGAN</t>
  </si>
  <si>
    <t>Tetyana Klinkov</t>
  </si>
  <si>
    <t>Zolliane Hidalgo</t>
  </si>
  <si>
    <t>LUX SOLUTIONS</t>
  </si>
  <si>
    <t>IGZ DENTAL SOCIEDAD ANONIMA</t>
  </si>
  <si>
    <t>CULULU Y CAFLIN SOCIEDAD ANONIMA</t>
  </si>
  <si>
    <t>DESARROLLOS INMOBILIARIOS</t>
  </si>
  <si>
    <t>Carlos Calderón Sequeira</t>
  </si>
  <si>
    <t>MARIA GABRIELA VILLALOBOS ZUÑIGA</t>
  </si>
  <si>
    <t>ROXANA FIATT CALVO</t>
  </si>
  <si>
    <t>TOMAS CARVAJAL</t>
  </si>
  <si>
    <t xml:space="preserve">IMPORTACIONES BALTIC </t>
  </si>
  <si>
    <t>IMPORTACIONES BALTICA</t>
  </si>
  <si>
    <t>Sergio Leiva Gallardo</t>
  </si>
  <si>
    <t>LORNA CASTRO ARAYA</t>
  </si>
  <si>
    <t xml:space="preserve">DISTRIBUIDRA LA FLORIDA </t>
  </si>
  <si>
    <t>SEBASTIAN AGUILAR MUÑOZ</t>
  </si>
  <si>
    <t>BRANDON BARRANTES</t>
  </si>
  <si>
    <t>A3 ARQUITECTOS</t>
  </si>
  <si>
    <t>CCP COMBO - PANELTECH</t>
  </si>
  <si>
    <t>CCSS - PANELTECH</t>
  </si>
  <si>
    <t>CONTRACT - PANELTECH</t>
  </si>
  <si>
    <t>CONTRACT - SQUAREFORCE - PANELTECH</t>
  </si>
  <si>
    <t>MUTUAL ALAJUELA</t>
  </si>
  <si>
    <t>RAE INGENIERIA</t>
  </si>
  <si>
    <t>AE LOGISTIC</t>
  </si>
  <si>
    <t>GRUPO LOGISTICO SEA INTERNACIONAL</t>
  </si>
  <si>
    <t>KIMBERLY CLARK COSTA RICA</t>
  </si>
  <si>
    <t>MAQUINARIA Y TRACTORES</t>
  </si>
  <si>
    <t>SECANT GROUP</t>
  </si>
  <si>
    <t>HOLOGIC SURGICAL PRODUCTS COSTA RICA S.R.L</t>
  </si>
  <si>
    <t>CIELO NUNCIATURA - ELECTROS</t>
  </si>
  <si>
    <t>EURO LINDORA - LINDORA VILLAGE ETAPA 2</t>
  </si>
  <si>
    <t>EURO LINDORA - LINDORA VILLAGE ETAPA 3</t>
  </si>
  <si>
    <t>CONSTRUCTORA BRK</t>
  </si>
  <si>
    <t>TORRE PARQUE DEL PERU</t>
  </si>
  <si>
    <t>SANDINO ACEVEDO</t>
  </si>
  <si>
    <t>ULACIT S.A</t>
  </si>
  <si>
    <t>Alberto Tagle Reategu</t>
  </si>
  <si>
    <t>PORCINA CERHIMA LIMITADA</t>
  </si>
  <si>
    <t>Jeffrey McInnes</t>
  </si>
  <si>
    <t>JARDIN DEL ESCALANTE</t>
  </si>
  <si>
    <t>COSTA RICA ZF</t>
  </si>
  <si>
    <t>ABREU Y ABREU S.A</t>
  </si>
  <si>
    <t>ALONSO MORERA MARCHENA</t>
  </si>
  <si>
    <t>MANFRED WILHELM PETERS BATALLA</t>
  </si>
  <si>
    <t>JOSE BONILLA</t>
  </si>
  <si>
    <t>ECOTANK</t>
  </si>
  <si>
    <t>SABO</t>
  </si>
  <si>
    <t>ORLANDO CASTRO JIMENEZ</t>
  </si>
  <si>
    <t>INDIANA LEAL SOTO</t>
  </si>
  <si>
    <t>MUNICIPALIDAD DE ACOSTA</t>
  </si>
  <si>
    <t>ADRIAN CASTRO MONTEALEGRE</t>
  </si>
  <si>
    <t>ANGELA ANDREA SOTO</t>
  </si>
  <si>
    <t>ANGELA ANDREA SOTO ZAMORA</t>
  </si>
  <si>
    <t>URBANISMO RIGLO LIMITADA</t>
  </si>
  <si>
    <t>JOHANNA CALVO RODRIGUEZ</t>
  </si>
  <si>
    <t>TARIMA S.A</t>
  </si>
  <si>
    <t>INARI MEDICAL</t>
  </si>
  <si>
    <t>BAMBU RIVERA CLUB RESEDENCES SOCIEDAD ANONIMA</t>
  </si>
  <si>
    <t>54283 / 10027587</t>
  </si>
  <si>
    <t>SENSOR MARKETING</t>
  </si>
  <si>
    <t>MARCO ANTONIO RIVERA</t>
  </si>
  <si>
    <t>Nubia Thompson</t>
  </si>
  <si>
    <t>NICOLAS PIERRE DIENOT</t>
  </si>
  <si>
    <t>SABRINA ALVAREZ LEAL</t>
  </si>
  <si>
    <t>FRANRO S.A</t>
  </si>
  <si>
    <t>ADMEDES</t>
  </si>
  <si>
    <t>SEMANA 03 EXPRESS</t>
  </si>
  <si>
    <t>LINDORA EUROMOBILIA 80198</t>
  </si>
  <si>
    <t>LAWRENCE HUNTING</t>
  </si>
  <si>
    <t>MIGUEL GOMEZ</t>
  </si>
  <si>
    <t>54275 / 10027297</t>
  </si>
  <si>
    <t>ORANGE CONSTRUCTORA</t>
  </si>
  <si>
    <t>FANNY MARIA SEQUEIRA MATA</t>
  </si>
  <si>
    <t>MUNICIPALIDAD DE MONTES DE OCA</t>
  </si>
  <si>
    <t>ALBERTO DENT ZELEDON</t>
  </si>
  <si>
    <t>WILHEM HENDRICK MELCHIOR</t>
  </si>
  <si>
    <t>COOPERMEDICAL SRL</t>
  </si>
  <si>
    <t>ZHICHAO LI</t>
  </si>
  <si>
    <t>JOSE FRANCISCO DE LO CERVANTES LOAIZA</t>
  </si>
  <si>
    <t>ULACIT S,A</t>
  </si>
  <si>
    <t xml:space="preserve">NITINOL </t>
  </si>
  <si>
    <t>SERACSA COMERCIAL</t>
  </si>
  <si>
    <t>CDS - ESCAZU 121 PUERTAS</t>
  </si>
  <si>
    <t>GUIDO ALBERTO ROMERO SOLANO</t>
  </si>
  <si>
    <t>GUIDO MONTERO</t>
  </si>
  <si>
    <t>PABLO PADILLA MENDEZ</t>
  </si>
  <si>
    <t>Jessica Alfaro Coles</t>
  </si>
  <si>
    <t>GN_TWCR</t>
  </si>
  <si>
    <t>GEOVANNY ALBERTO</t>
  </si>
  <si>
    <t>JAQUELINE VELASQUEZ GUZMAN</t>
  </si>
  <si>
    <t>TIMBER TRADING COMPANY</t>
  </si>
  <si>
    <t>Karla campos</t>
  </si>
  <si>
    <t>MARIA MARGARITA URDANETA</t>
  </si>
  <si>
    <t>PRODEYCO S.A</t>
  </si>
  <si>
    <t>Altmann Garnier</t>
  </si>
  <si>
    <t>ALFREDO VARGAS</t>
  </si>
  <si>
    <t>FREDDY ARIAS MORA</t>
  </si>
  <si>
    <t>Cordero Mainieri</t>
  </si>
  <si>
    <t>RCPCONTINENTAL</t>
  </si>
  <si>
    <t>KARIN JOHANNA ERIKSSON</t>
  </si>
  <si>
    <t>Anaïs Mullee</t>
  </si>
  <si>
    <t>ANDRES ARIAS</t>
  </si>
  <si>
    <t>María Vanessa Palacios</t>
  </si>
  <si>
    <t>PROPIEDADES CARIBE</t>
  </si>
  <si>
    <t>MARVIN AGUILAR REDONDO</t>
  </si>
  <si>
    <t>ANA CECILIA MONTERO</t>
  </si>
  <si>
    <t>Maria Vicente</t>
  </si>
  <si>
    <t>yarib alpizar leon</t>
  </si>
  <si>
    <t>BAYERN MEDICAL</t>
  </si>
  <si>
    <t>DIAGNOSTIKA SOCIEDAD</t>
  </si>
  <si>
    <t>Stealth Constructora S.A.</t>
  </si>
  <si>
    <t>SINTER SOCIEDAD ANONIMA</t>
  </si>
  <si>
    <t>IRIABEL LOPEZ</t>
  </si>
  <si>
    <t>MIKE LUKOWIECKY</t>
  </si>
  <si>
    <t>ELECTRONICA CENTROAMERICANA</t>
  </si>
  <si>
    <t>EDUARDO GAZELLE</t>
  </si>
  <si>
    <t>INTACO COSTA RICA</t>
  </si>
  <si>
    <t>ADMEDES SOCIEDAD ANONIMA</t>
  </si>
  <si>
    <t>Laura Uzinka</t>
  </si>
  <si>
    <t>MARIELLA CABEZAS UJUETA</t>
  </si>
  <si>
    <t>Rodrigo Santiago Tambo</t>
  </si>
  <si>
    <t>ADA FIGUEROA CRESPO</t>
  </si>
  <si>
    <t xml:space="preserve">ADA ESTHER FIGUEROA CRESPO </t>
  </si>
  <si>
    <t>ALFONSO QUESADA FERNANDEZ</t>
  </si>
  <si>
    <t>JACQUELINE PICADO SANCHEZ</t>
  </si>
  <si>
    <t>ADA CRESPO FIGUEROA</t>
  </si>
  <si>
    <t>HELLEN CAMACHO</t>
  </si>
  <si>
    <t>SAMUEL RABINOVICH</t>
  </si>
  <si>
    <t>JUAN JOSE ROJAS SALAZAR</t>
  </si>
  <si>
    <t>César Zúñiga Zamora</t>
  </si>
  <si>
    <t>Patricia Segura Alvarado</t>
  </si>
  <si>
    <t>DANIA YOLIMA GONZALEZ MARTINEZ</t>
  </si>
  <si>
    <t>Giovanni Papili</t>
  </si>
  <si>
    <t>CRISTIAN BALTODANO VARGAS</t>
  </si>
  <si>
    <t>SUYIN DEL CARMEN GUTIERREZ RODRIGUEZ</t>
  </si>
  <si>
    <t>Rosa Lara Gonzalez</t>
  </si>
  <si>
    <t>SANTIAGO ALCIDES AGUILAR RODRIGUEZ</t>
  </si>
  <si>
    <t>MARIO ADOLFO VARGAS</t>
  </si>
  <si>
    <t>MADELINE QUIROS</t>
  </si>
  <si>
    <t>LAURA GARCIA CHAVEZ</t>
  </si>
  <si>
    <t>MRBMMA SRL</t>
  </si>
  <si>
    <t>VERONICA DEBUISSON</t>
  </si>
  <si>
    <t>PUBLIEFECTO SOCIEDAD ANONIMA</t>
  </si>
  <si>
    <t>MIGUEL RAMOS GAYTAN</t>
  </si>
  <si>
    <t>HAI WANG</t>
  </si>
  <si>
    <t>PORCINA CERHIMA</t>
  </si>
  <si>
    <t>GREIF DE COSTA RICA</t>
  </si>
  <si>
    <t>AS NARANJO - CGD</t>
  </si>
  <si>
    <t>CAROL QUIROS ACUÑA</t>
  </si>
  <si>
    <t>CINTRON MACHON - LLAVINES</t>
  </si>
  <si>
    <t>KATHERINE CHINCHILLA</t>
  </si>
  <si>
    <t>ROBERTO SASSO</t>
  </si>
  <si>
    <t>PROPERTY MANAGER</t>
  </si>
  <si>
    <t>VIDENDUM</t>
  </si>
  <si>
    <t>JOSE LEON FROIMZON</t>
  </si>
  <si>
    <t>INCASA</t>
  </si>
  <si>
    <t xml:space="preserve">DARUMA BOCHICA </t>
  </si>
  <si>
    <t>Elke Maria Steinvorth</t>
  </si>
  <si>
    <t>ENSITIO SOLUCIONES SOCIEDAD DE RESPONSABILIDAD LIMITADA</t>
  </si>
  <si>
    <t>EDUARDO MORA</t>
  </si>
  <si>
    <t>ANDRIUS VERDE MUSSET</t>
  </si>
  <si>
    <t>María José Orozco</t>
  </si>
  <si>
    <t>Jorge Luis Chavarria</t>
  </si>
  <si>
    <t>Coopemapro</t>
  </si>
  <si>
    <t>CLA ABOGADOS SOCIEDAD ANONIMA</t>
  </si>
  <si>
    <t>Bruno Serrano Arias</t>
  </si>
  <si>
    <t>JOHNNY ARAYA MONGE</t>
  </si>
  <si>
    <t>CORPORACION DE MULTI</t>
  </si>
  <si>
    <t>ENILUZ GONZALEZ</t>
  </si>
  <si>
    <t>Maria Fernanda Mojica</t>
  </si>
  <si>
    <t>JOSEPH SAIDY</t>
  </si>
  <si>
    <t>WILLEM HENDRICK</t>
  </si>
  <si>
    <t>RUBEN SAFFATI</t>
  </si>
  <si>
    <t>RAVEN WITHFORD</t>
  </si>
  <si>
    <t>JEFFRY THONASSEN BURR</t>
  </si>
  <si>
    <t>JOSE RAFAEL FERNANDEZ QUESADA</t>
  </si>
  <si>
    <t>PAUL THOMAS PEBLER / CLOSET</t>
  </si>
  <si>
    <t>Danny Alvarez</t>
  </si>
  <si>
    <t>EDICA - SKY GARDEN LLEGADA MATERIAL</t>
  </si>
  <si>
    <t>EABE ARQUITECTORES Y ASOCIADOS S.A</t>
  </si>
  <si>
    <t>DAVIVIENDA LEASING - SERVICA</t>
  </si>
  <si>
    <t>AZUL PARAISO - PROYCON</t>
  </si>
  <si>
    <t>ALBA SOLANO RODRIGUEZ</t>
  </si>
  <si>
    <t>CIELO NUNCIATURA - ELECTROS 2DO PAQUETE</t>
  </si>
  <si>
    <t>CONCENTRIX COSTA RICA SOCIEDAD ANONIMA</t>
  </si>
  <si>
    <t>YADIRA ELIETH ARAYA CASTILLO</t>
  </si>
  <si>
    <t>PriceSmart, Inc.</t>
  </si>
  <si>
    <t>CIELO NUNCIATURA - ELECTROS 1ER PAQUETE</t>
  </si>
  <si>
    <t>Compania Nacional de Fuerza y Luz S.A.</t>
  </si>
  <si>
    <t>MARISOL SAUMA VARGAS</t>
  </si>
  <si>
    <t>LAURA PIEDRA</t>
  </si>
  <si>
    <t>PRODEYCO - TORRE MAR A MAR</t>
  </si>
  <si>
    <t>JUAN CARLOS DIAZ RAMIREZ</t>
  </si>
  <si>
    <t>CREGANNA MEDICAL, SOCIEDAD DE RESPONSABILIDAD LIMITADA</t>
  </si>
  <si>
    <t>TTA PROJECT MANAGEMENT SOCIEDAD DE RESPONSABILIDAD LIMITADA</t>
  </si>
  <si>
    <t>MANUEL ANTONIO SERRANO GARCIA</t>
  </si>
  <si>
    <t>KIMBERLY CLARK COSTA RICA LIMITADA</t>
  </si>
  <si>
    <t>MARINA PEZ VELA</t>
  </si>
  <si>
    <t>CONSTRUCTORA TOTEM SOCIEDAD ANONIMA</t>
  </si>
  <si>
    <t>COMPAÑIA DE GALLETAS POZUELO DCR SOCIEDAD ANONIMA</t>
  </si>
  <si>
    <t>ROBERT BOSCH SERVICE SOLUTIONS COSTA RICA SOCIEDAD ANONIMA</t>
  </si>
  <si>
    <t>EURO LINDORA - ETAPA 3</t>
  </si>
  <si>
    <t>ERIKA GELBER</t>
  </si>
  <si>
    <t>LUIS DIEGO SALAS RAMIREZ</t>
  </si>
  <si>
    <t xml:space="preserve">INSTITUTO COSTARRICENSE DE PUERTOS DEL PACIFICO </t>
  </si>
  <si>
    <t>RECIBO DE CAJA</t>
  </si>
  <si>
    <t>Genesis Natasha Cordero</t>
  </si>
  <si>
    <t>F CINCO CERO SEIS MEDIA CCV</t>
  </si>
  <si>
    <t>FRANCISCO RODRIGUEZ</t>
  </si>
  <si>
    <t>GRUPO LOGISTICO SEA INTERNATIONAL SOCIEDAD DE RESPONSABILIDAD</t>
  </si>
  <si>
    <t>MAYRA BONILLA SANABRIA</t>
  </si>
  <si>
    <t>MELIDA GARCIA DE OUELLETTE</t>
  </si>
  <si>
    <t>DENNIS ALBERTO TORRES ZUÑIGA</t>
  </si>
  <si>
    <t>CARLOS GUTIERREZ</t>
  </si>
  <si>
    <t>LINDA MARIA NISKANEN</t>
  </si>
  <si>
    <t>SERVICIOS Y TRANSACCIONES INTERNACIONALES DE CASA</t>
  </si>
  <si>
    <t>AUTO REPUESTOS AVENIDA 10 - LA GUACAMAYA</t>
  </si>
  <si>
    <t>PAULA RODRIGUEZ</t>
  </si>
  <si>
    <t>AVILES ROBLETO</t>
  </si>
  <si>
    <t>CRISTINA ROPER</t>
  </si>
  <si>
    <t>YIGAL BENZAQUEN</t>
  </si>
  <si>
    <t>EQUIPOS Y ACCESORIOS</t>
  </si>
  <si>
    <t>Luis Fernandez</t>
  </si>
  <si>
    <t>EDIFISA CONSTRUCTORA SOCIEDAD ANONIMA</t>
  </si>
  <si>
    <t>SERIGRAFICOS SURETKA SOCIEDAD ANONIMA</t>
  </si>
  <si>
    <t>PANORAMA 270</t>
  </si>
  <si>
    <t>AVIVA ROCCA - CONSTRUCTORA BRK</t>
  </si>
  <si>
    <t>BLUE EUROMOBILIA</t>
  </si>
  <si>
    <t>JOSE JOAQUIN GARRO ALVAREZ</t>
  </si>
  <si>
    <t>GLORIA STEPHANIE FONSECA SALAZAR</t>
  </si>
  <si>
    <t>DESARROLLO CIELO ESCALANTE</t>
  </si>
  <si>
    <t>CABALLEIRA S.A</t>
  </si>
  <si>
    <t>TROPER MAGUILLANSKY</t>
  </si>
  <si>
    <t>ADRIAN EDUARDO CORDERO</t>
  </si>
  <si>
    <t>ESTEBAN ALVARADO GONZALEZ</t>
  </si>
  <si>
    <t>ESPINOZA MARIN</t>
  </si>
  <si>
    <t>MARIO ALBERTO DE JESUS GOMEZ FERNANDEZ</t>
  </si>
  <si>
    <t>Edgar García</t>
  </si>
  <si>
    <t>Maria Isabel Ruiz</t>
  </si>
  <si>
    <t>LITOGRAFIA SAN RAFAEL</t>
  </si>
  <si>
    <t>CARMEN MARIA SANCHEZ</t>
  </si>
  <si>
    <t>JUAN AGUILAR BOLAÑOS</t>
  </si>
  <si>
    <t>54284 / 10027593</t>
  </si>
  <si>
    <t>JORGE LUIS MORALES JIMENEZ</t>
  </si>
  <si>
    <t>MEDITERRANEAN SHIPPING</t>
  </si>
  <si>
    <t>QUINFICA DE COSTA RICA</t>
  </si>
  <si>
    <t>PRAGA INGENIERIA</t>
  </si>
  <si>
    <t>LABIN SOCIEDAD ANONIMA</t>
  </si>
  <si>
    <t>GUIDO LORIA</t>
  </si>
  <si>
    <t>FABIAN VARGAS</t>
  </si>
  <si>
    <t>oscar valladares</t>
  </si>
  <si>
    <t>NEUROVET COSTA RICA</t>
  </si>
  <si>
    <t>VIVIANE YANKELEWITZ</t>
  </si>
  <si>
    <t>MARIA JOSE QUIROS</t>
  </si>
  <si>
    <t>L L BEAN</t>
  </si>
  <si>
    <t>Carlos Andres Villalobos</t>
  </si>
  <si>
    <t>OKAY INDUSTRIES</t>
  </si>
  <si>
    <t>Manfred Sinclair</t>
  </si>
  <si>
    <t>Raul Badilla</t>
  </si>
  <si>
    <t>Johel Adonay Muñoz</t>
  </si>
  <si>
    <t>Camarco Heat Group</t>
  </si>
  <si>
    <t>Carlos Alfredo García</t>
  </si>
  <si>
    <t>CDS INGENIERIA</t>
  </si>
  <si>
    <t xml:space="preserve"> I M C INTERAMERICANA</t>
  </si>
  <si>
    <t>Area comercial</t>
  </si>
  <si>
    <t>Cobro real</t>
  </si>
  <si>
    <t>Proyección inicial</t>
  </si>
  <si>
    <t>$ Diferencia</t>
  </si>
  <si>
    <t>% Alcance real</t>
  </si>
  <si>
    <t>Proy. Dirección Comercial</t>
  </si>
  <si>
    <t>$ vs cobro real</t>
  </si>
  <si>
    <t>% vs cobro real</t>
  </si>
  <si>
    <t>Logistica Espacial</t>
  </si>
  <si>
    <t>Totales</t>
  </si>
  <si>
    <t>Cierre de mes junio 2025</t>
  </si>
  <si>
    <t>Proyección inicial del mes</t>
  </si>
  <si>
    <t>Diferencia proyectada $</t>
  </si>
  <si>
    <t>Diferencia proyectada %</t>
  </si>
  <si>
    <t>(Todas)</t>
  </si>
  <si>
    <t>Cierre de mes agosto 2025</t>
  </si>
  <si>
    <t>Cierre de mes julio 2025</t>
  </si>
  <si>
    <t>Cierre de mes setiembre 2025</t>
  </si>
  <si>
    <t>Cierre de mes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</si>
</sst>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_-;\-* #,##0_-;_-* &quot;-&quot;??_-;_-@_-"/>
    <numFmt numFmtId="165" formatCode="[$$-540A]#,##0.00_ ;[Red]\-[$$-540A]#,##0.00\ "/>
    <numFmt numFmtId="166" formatCode="_-* #,##0.0_-;\-* #,##0.0_-;_-* &quot;-&quot;??_-;_-@_-"/>
    <numFmt numFmtId="167" formatCode="0.0%"/>
    <numFmt numFmtId="168" formatCode="#,##0_ ;[Red]\-#,##0\ "/>
    <numFmt numFmtId="169" formatCode="_-* #,##0.0_-;\-* #,##0.0_-;_-* &quot;-&quot;?_-;_-@_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11.5"/>
      <color theme="1"/>
      <name val="Aptos Narrow"/>
      <family val="2"/>
      <scheme val="minor"/>
    </font>
    <font>
      <sz val="11.5"/>
      <color theme="1"/>
      <name val="Aptos Display"/>
      <family val="2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 Display"/>
      <family val="2"/>
    </font>
    <font>
      <b/>
      <sz val="10.5"/>
      <color theme="1"/>
      <name val="Aptos Narrow"/>
      <family val="2"/>
    </font>
    <font>
      <b/>
      <sz val="10.5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b/>
      <sz val="11.5"/>
      <color theme="0" tint="-0.14999847407452621"/>
      <name val="Aptos Display"/>
      <family val="2"/>
    </font>
    <font>
      <b/>
      <u val="double"/>
      <sz val="12"/>
      <color theme="1"/>
      <name val="Aptos Narrow"/>
      <family val="2"/>
      <scheme val="minor"/>
    </font>
    <font>
      <sz val="11.5"/>
      <color theme="0" tint="-0.14999847407452621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right"/>
    </xf>
    <xf numFmtId="17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9" fontId="0" fillId="0" borderId="0" xfId="0" applyNumberFormat="1"/>
    <xf numFmtId="166" fontId="4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right"/>
    </xf>
    <xf numFmtId="0" fontId="6" fillId="0" borderId="0" xfId="0" pivotButton="1" applyFont="1"/>
    <xf numFmtId="0" fontId="6" fillId="0" borderId="0" xfId="0" applyFont="1" applyAlignment="1">
      <alignment horizontal="right"/>
    </xf>
    <xf numFmtId="166" fontId="7" fillId="0" borderId="0" xfId="0" applyNumberFormat="1" applyFont="1" applyAlignment="1">
      <alignment horizontal="right"/>
    </xf>
    <xf numFmtId="0" fontId="6" fillId="0" borderId="0" xfId="0" applyFont="1" applyAlignment="1">
      <alignment wrapText="1"/>
    </xf>
    <xf numFmtId="0" fontId="8" fillId="2" borderId="4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/>
    <xf numFmtId="9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center"/>
    </xf>
    <xf numFmtId="9" fontId="6" fillId="0" borderId="0" xfId="1" applyFont="1" applyAlignment="1">
      <alignment wrapText="1"/>
    </xf>
    <xf numFmtId="164" fontId="9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164" fontId="3" fillId="0" borderId="0" xfId="2" applyNumberFormat="1" applyFont="1" applyBorder="1" applyAlignment="1">
      <alignment horizontal="right"/>
    </xf>
    <xf numFmtId="9" fontId="3" fillId="0" borderId="1" xfId="1" applyFont="1" applyBorder="1" applyAlignment="1">
      <alignment horizontal="right"/>
    </xf>
    <xf numFmtId="164" fontId="3" fillId="0" borderId="3" xfId="2" applyNumberFormat="1" applyFont="1" applyBorder="1" applyAlignment="1">
      <alignment horizontal="right"/>
    </xf>
    <xf numFmtId="9" fontId="3" fillId="0" borderId="2" xfId="1" applyFont="1" applyBorder="1" applyAlignment="1">
      <alignment horizontal="right"/>
    </xf>
    <xf numFmtId="164" fontId="3" fillId="0" borderId="12" xfId="2" applyNumberFormat="1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10" fillId="3" borderId="5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right" vertical="center"/>
    </xf>
    <xf numFmtId="0" fontId="10" fillId="3" borderId="11" xfId="0" applyFont="1" applyFill="1" applyBorder="1" applyAlignment="1">
      <alignment horizontal="right" vertical="center"/>
    </xf>
    <xf numFmtId="164" fontId="3" fillId="0" borderId="9" xfId="2" applyNumberFormat="1" applyFont="1" applyBorder="1" applyAlignment="1">
      <alignment horizontal="right"/>
    </xf>
    <xf numFmtId="0" fontId="10" fillId="4" borderId="10" xfId="0" applyFont="1" applyFill="1" applyBorder="1" applyAlignment="1">
      <alignment horizontal="right" vertical="center"/>
    </xf>
    <xf numFmtId="0" fontId="10" fillId="4" borderId="6" xfId="0" applyFont="1" applyFill="1" applyBorder="1" applyAlignment="1">
      <alignment horizontal="right" vertical="center"/>
    </xf>
    <xf numFmtId="0" fontId="10" fillId="4" borderId="11" xfId="0" applyFont="1" applyFill="1" applyBorder="1" applyAlignment="1">
      <alignment horizontal="right" vertical="center"/>
    </xf>
    <xf numFmtId="164" fontId="7" fillId="0" borderId="0" xfId="0" applyNumberFormat="1" applyFont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64" fontId="3" fillId="5" borderId="3" xfId="2" applyNumberFormat="1" applyFont="1" applyFill="1" applyBorder="1" applyAlignment="1">
      <alignment horizontal="right"/>
    </xf>
    <xf numFmtId="0" fontId="3" fillId="0" borderId="14" xfId="0" applyFont="1" applyBorder="1" applyAlignment="1">
      <alignment horizontal="left"/>
    </xf>
    <xf numFmtId="164" fontId="11" fillId="0" borderId="14" xfId="2" applyNumberFormat="1" applyFont="1" applyBorder="1" applyAlignment="1">
      <alignment horizontal="right"/>
    </xf>
    <xf numFmtId="9" fontId="11" fillId="0" borderId="14" xfId="1" applyFont="1" applyBorder="1" applyAlignment="1">
      <alignment horizontal="right"/>
    </xf>
    <xf numFmtId="0" fontId="0" fillId="5" borderId="0" xfId="0" applyFill="1"/>
    <xf numFmtId="164" fontId="8" fillId="6" borderId="0" xfId="0" applyNumberFormat="1" applyFont="1" applyFill="1"/>
    <xf numFmtId="4" fontId="0" fillId="5" borderId="0" xfId="0" applyNumberFormat="1" applyFill="1"/>
    <xf numFmtId="0" fontId="0" fillId="0" borderId="16" xfId="0" applyBorder="1"/>
    <xf numFmtId="14" fontId="0" fillId="0" borderId="16" xfId="0" applyNumberFormat="1" applyBorder="1"/>
    <xf numFmtId="14" fontId="13" fillId="0" borderId="0" xfId="0" applyNumberFormat="1" applyFont="1"/>
    <xf numFmtId="0" fontId="13" fillId="0" borderId="0" xfId="0" applyFont="1"/>
    <xf numFmtId="14" fontId="12" fillId="0" borderId="0" xfId="0" applyNumberFormat="1" applyFont="1"/>
    <xf numFmtId="43" fontId="0" fillId="0" borderId="0" xfId="2" applyFont="1" applyAlignment="1">
      <alignment wrapText="1"/>
    </xf>
    <xf numFmtId="167" fontId="8" fillId="0" borderId="0" xfId="0" applyNumberFormat="1" applyFont="1"/>
    <xf numFmtId="167" fontId="11" fillId="0" borderId="14" xfId="1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5" borderId="16" xfId="0" applyFill="1" applyBorder="1"/>
    <xf numFmtId="14" fontId="0" fillId="0" borderId="15" xfId="0" applyNumberFormat="1" applyBorder="1"/>
    <xf numFmtId="16" fontId="0" fillId="0" borderId="0" xfId="0" applyNumberFormat="1"/>
    <xf numFmtId="166" fontId="7" fillId="0" borderId="0" xfId="0" applyNumberFormat="1" applyFont="1" applyAlignment="1">
      <alignment horizontal="left"/>
    </xf>
    <xf numFmtId="0" fontId="8" fillId="2" borderId="4" xfId="0" applyFont="1" applyFill="1" applyBorder="1"/>
    <xf numFmtId="0" fontId="8" fillId="2" borderId="4" xfId="0" applyFont="1" applyFill="1" applyBorder="1" applyAlignment="1">
      <alignment horizontal="right"/>
    </xf>
    <xf numFmtId="169" fontId="0" fillId="0" borderId="0" xfId="0" applyNumberFormat="1" applyAlignment="1">
      <alignment horizontal="right"/>
    </xf>
    <xf numFmtId="169" fontId="0" fillId="0" borderId="0" xfId="0" applyNumberFormat="1"/>
    <xf numFmtId="0" fontId="15" fillId="0" borderId="0" xfId="0" applyFont="1"/>
    <xf numFmtId="164" fontId="15" fillId="0" borderId="0" xfId="0" applyNumberFormat="1" applyFont="1"/>
    <xf numFmtId="166" fontId="7" fillId="5" borderId="0" xfId="0" applyNumberFormat="1" applyFont="1" applyFill="1" applyAlignment="1">
      <alignment horizontal="left"/>
    </xf>
    <xf numFmtId="166" fontId="16" fillId="0" borderId="14" xfId="0" applyNumberFormat="1" applyFont="1" applyBorder="1"/>
    <xf numFmtId="166" fontId="14" fillId="0" borderId="14" xfId="0" applyNumberFormat="1" applyFont="1" applyBorder="1"/>
    <xf numFmtId="166" fontId="5" fillId="0" borderId="17" xfId="0" pivotButton="1" applyNumberFormat="1" applyFont="1" applyBorder="1"/>
    <xf numFmtId="166" fontId="5" fillId="0" borderId="17" xfId="0" applyNumberFormat="1" applyFont="1" applyBorder="1"/>
    <xf numFmtId="166" fontId="5" fillId="0" borderId="14" xfId="0" applyNumberFormat="1" applyFont="1" applyBorder="1"/>
    <xf numFmtId="166" fontId="5" fillId="0" borderId="17" xfId="0" applyNumberFormat="1" applyFont="1" applyBorder="1" applyAlignment="1">
      <alignment horizontal="right"/>
    </xf>
    <xf numFmtId="166" fontId="5" fillId="0" borderId="14" xfId="0" applyNumberFormat="1" applyFont="1" applyBorder="1" applyAlignment="1">
      <alignment horizontal="right"/>
    </xf>
    <xf numFmtId="166" fontId="5" fillId="0" borderId="14" xfId="0" pivotButton="1" applyNumberFormat="1" applyFont="1" applyBorder="1" applyAlignment="1">
      <alignment horizontal="left"/>
    </xf>
    <xf numFmtId="164" fontId="5" fillId="0" borderId="14" xfId="0" applyNumberFormat="1" applyFont="1" applyBorder="1" applyAlignment="1">
      <alignment horizontal="right"/>
    </xf>
    <xf numFmtId="166" fontId="5" fillId="0" borderId="14" xfId="0" applyNumberFormat="1" applyFont="1" applyBorder="1" applyAlignment="1">
      <alignment horizontal="left"/>
    </xf>
    <xf numFmtId="167" fontId="5" fillId="0" borderId="14" xfId="0" applyNumberFormat="1" applyFont="1" applyBorder="1"/>
    <xf numFmtId="168" fontId="5" fillId="0" borderId="14" xfId="0" applyNumberFormat="1" applyFont="1" applyBorder="1"/>
    <xf numFmtId="164" fontId="5" fillId="0" borderId="14" xfId="0" applyNumberFormat="1" applyFont="1" applyBorder="1"/>
    <xf numFmtId="9" fontId="5" fillId="0" borderId="14" xfId="0" applyNumberFormat="1" applyFont="1" applyBorder="1"/>
  </cellXfs>
  <cellStyles count="3">
    <cellStyle name="Millares" xfId="2" builtinId="3"/>
    <cellStyle name="Normal" xfId="0" builtinId="0"/>
    <cellStyle name="Porcentaje" xfId="1" builtinId="5"/>
  </cellStyles>
  <dxfs count="335">
    <dxf>
      <numFmt numFmtId="4" formatCode="#,##0.00"/>
    </dxf>
    <dxf>
      <numFmt numFmtId="4" formatCode="#,##0.0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_-* #,##0_-;\-* #,##0_-;_-* &quot;-&quot;??_-;_-@_-"/>
    </dxf>
    <dxf>
      <alignment horizontal="right"/>
    </dxf>
    <dxf>
      <numFmt numFmtId="164" formatCode="_-* #,##0_-;\-* #,##0_-;_-* &quot;-&quot;??_-;_-@_-"/>
    </dxf>
    <dxf>
      <alignment horizontal="right"/>
    </dxf>
    <dxf>
      <numFmt numFmtId="13" formatCode="0%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name val="Aptos Display"/>
        <scheme val="none"/>
      </font>
    </dxf>
    <dxf>
      <font>
        <sz val="11"/>
      </font>
    </dxf>
    <dxf>
      <font>
        <name val="Aptos Display"/>
        <scheme val="none"/>
      </font>
    </dxf>
    <dxf>
      <font>
        <sz val="11"/>
      </font>
    </dxf>
    <dxf>
      <font>
        <sz val="11.5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alignment horizontal="right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border>
        <left/>
        <right/>
        <top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3" formatCode="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</border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  <numFmt numFmtId="13" formatCode="0%"/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name val="Daytona Light"/>
        <family val="2"/>
      </font>
    </dxf>
    <dxf>
      <font>
        <name val="Daytona Light"/>
        <family val="2"/>
      </font>
    </dxf>
    <dxf>
      <font>
        <sz val="10"/>
      </font>
    </dxf>
    <dxf>
      <font>
        <sz val="10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name val="Aptos Narrow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alignment horizontal="left"/>
    </dxf>
    <dxf>
      <alignment horizontal="left"/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top style="medium">
          <color indexed="64"/>
        </top>
      </border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top/>
        <bottom/>
        <vertical/>
      </border>
    </dxf>
    <dxf>
      <border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  <bottom style="medium">
          <color indexed="64"/>
        </bottom>
      </border>
    </dxf>
    <dxf>
      <alignment horizontal="left"/>
    </dxf>
    <dxf>
      <alignment horizontal="left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/>
    </dxf>
    <dxf>
      <numFmt numFmtId="166" formatCode="_-* #,##0.0_-;\-* #,##0.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8" formatCode="#,##0_ ;[Red]\-#,##0\ "/>
    </dxf>
    <dxf>
      <numFmt numFmtId="168" formatCode="#,##0_ ;[Red]\-#,##0\ "/>
    </dxf>
    <dxf>
      <numFmt numFmtId="168" formatCode="#,##0_ ;[Red]\-#,##0\ "/>
    </dxf>
    <dxf>
      <numFmt numFmtId="168" formatCode="#,##0_ ;[Red]\-#,##0\ "/>
    </dxf>
    <dxf>
      <numFmt numFmtId="13" formatCode="0%"/>
    </dxf>
    <dxf>
      <numFmt numFmtId="13" formatCode="0%"/>
    </dxf>
    <dxf>
      <numFmt numFmtId="13" formatCode="0%"/>
    </dxf>
    <dxf>
      <alignment horizontal="right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7" formatCode="0.0%"/>
    </dxf>
    <dxf>
      <numFmt numFmtId="167" formatCode="0.0%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* #,##0_-;\-* #,##0_-;_-* &quot;-&quot;??_-;_-@_-"/>
    </dxf>
    <dxf>
      <font>
        <b/>
        <family val="2"/>
      </font>
    </dxf>
    <dxf>
      <font>
        <color theme="0" tint="-0.14999847407452621"/>
      </font>
      <numFmt numFmtId="166" formatCode="_-* #,##0.0_-;\-* #,##0.0_-;_-* &quot;-&quot;??_-;_-@_-"/>
    </dxf>
    <dxf>
      <font>
        <color theme="0" tint="-0.14999847407452621"/>
      </font>
      <numFmt numFmtId="166" formatCode="_-* #,##0.0_-;\-* #,##0.0_-;_-* &quot;-&quot;??_-;_-@_-"/>
      <fill>
        <patternFill patternType="none">
          <fgColor indexed="64"/>
          <bgColor indexed="65"/>
        </patternFill>
      </fill>
    </dxf>
    <dxf>
      <numFmt numFmtId="164" formatCode="_-* #,##0_-;\-* #,##0_-;_-* &quot;-&quot;??_-;_-@_-"/>
    </dxf>
    <dxf>
      <alignment horizontal="right"/>
    </dxf>
    <dxf>
      <numFmt numFmtId="13" formatCode="0%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b/>
      </font>
    </dxf>
    <dxf>
      <font>
        <b/>
      </font>
    </dxf>
    <dxf>
      <numFmt numFmtId="167" formatCode="0.0%"/>
    </dxf>
  </dxfs>
  <tableStyles count="1" defaultTableStyle="TableStyleMedium2" defaultPivotStyle="PivotStyleLight16">
    <tableStyle name="Invisible" pivot="0" table="0" count="0" xr9:uid="{D3B673DF-8B63-4473-8EB6-F07BDF69AC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93103</xdr:colOff>
      <xdr:row>0</xdr:row>
      <xdr:rowOff>48625</xdr:rowOff>
    </xdr:from>
    <xdr:to>
      <xdr:col>4</xdr:col>
      <xdr:colOff>565834</xdr:colOff>
      <xdr:row>5</xdr:row>
      <xdr:rowOff>68678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Unidad de Negocio">
              <a:extLst>
                <a:ext uri="{FF2B5EF4-FFF2-40B4-BE49-F238E27FC236}">
                  <a16:creationId xmlns:a16="http://schemas.microsoft.com/office/drawing/2014/main" id="{12E27E9D-A379-0A9F-C9E4-E02DD8BCDF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 de Negoc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103" y="48625"/>
              <a:ext cx="4605460" cy="925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249331</xdr:colOff>
      <xdr:row>14</xdr:row>
      <xdr:rowOff>66328</xdr:rowOff>
    </xdr:from>
    <xdr:to>
      <xdr:col>4</xdr:col>
      <xdr:colOff>726140</xdr:colOff>
      <xdr:row>20</xdr:row>
      <xdr:rowOff>63872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ipo">
              <a:extLst>
                <a:ext uri="{FF2B5EF4-FFF2-40B4-BE49-F238E27FC236}">
                  <a16:creationId xmlns:a16="http://schemas.microsoft.com/office/drawing/2014/main" id="{F0AC6A93-AFC6-3E1D-0AE5-F21B1FEAA08D}"/>
                </a:ext>
                <a:ext uri="{147F2762-F138-4A5C-976F-8EAC2B608ADB}">
                  <a16:predDERef xmlns:a16="http://schemas.microsoft.com/office/drawing/2014/main" pred="{C2168C1D-5BE1-9295-2141-80252EEA9F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53260" y="2686263"/>
              <a:ext cx="2305609" cy="12671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653527</xdr:colOff>
      <xdr:row>0</xdr:row>
      <xdr:rowOff>53788</xdr:rowOff>
    </xdr:from>
    <xdr:to>
      <xdr:col>11</xdr:col>
      <xdr:colOff>764242</xdr:colOff>
      <xdr:row>5</xdr:row>
      <xdr:rowOff>89647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mpresa">
              <a:extLst>
                <a:ext uri="{FF2B5EF4-FFF2-40B4-BE49-F238E27FC236}">
                  <a16:creationId xmlns:a16="http://schemas.microsoft.com/office/drawing/2014/main" id="{857C5E11-F935-9F9C-F25A-750241A649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7245" y="53788"/>
              <a:ext cx="3338009" cy="9412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713589</xdr:colOff>
      <xdr:row>0</xdr:row>
      <xdr:rowOff>53787</xdr:rowOff>
    </xdr:from>
    <xdr:to>
      <xdr:col>8</xdr:col>
      <xdr:colOff>502024</xdr:colOff>
      <xdr:row>5</xdr:row>
      <xdr:rowOff>71717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9B614CB4-CF6F-60D8-0AD8-BE994A0469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1495" y="53787"/>
              <a:ext cx="4190106" cy="9233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Money" refreshedDate="46076.447795254629" createdVersion="8" refreshedVersion="8" minRefreshableVersion="3" recordCount="3306" xr:uid="{FE135DA1-49D8-4578-B6AD-A5E4F04F8562}">
  <cacheSource type="worksheet">
    <worksheetSource name="Tabla1"/>
  </cacheSource>
  <cacheFields count="13">
    <cacheField name="Empresa" numFmtId="0">
      <sharedItems containsBlank="1" count="7">
        <s v="Euromobilia"/>
        <s v="Multiclamp"/>
        <s v="Express"/>
        <s v="Paneltech"/>
        <s v="Rosenstock"/>
        <s v="Multicamp" u="1"/>
        <m u="1"/>
      </sharedItems>
    </cacheField>
    <cacheField name="Unidad de Negocio" numFmtId="0">
      <sharedItems count="8">
        <s v="Hogares Funcionales"/>
        <s v="Proyectos Integrales"/>
        <s v="Logística Espacial"/>
        <s v="Productividad Humana"/>
        <s v="Intercompany"/>
        <s v="Venta BC"/>
        <s v="Express" u="1"/>
        <s v="Outlet" u="1"/>
      </sharedItems>
    </cacheField>
    <cacheField name="Tipo" numFmtId="0">
      <sharedItems count="4">
        <s v="Cobro Normal"/>
        <s v="Adelanto"/>
        <s v="Cartera Morosa"/>
        <s v="Adelanto Proyectado" u="1"/>
      </sharedItems>
    </cacheField>
    <cacheField name="# Recibo PC Graf" numFmtId="0">
      <sharedItems containsBlank="1" containsMixedTypes="1" containsNumber="1" containsInteger="1" minValue="36" maxValue="10028498"/>
    </cacheField>
    <cacheField name="Estado" numFmtId="0">
      <sharedItems count="7">
        <s v="Proyeccion"/>
        <s v="Cobrado"/>
        <s v="Cobrado " u="1"/>
        <s v="Proyeccion Gerencia" u="1"/>
        <s v="Pendiente" u="1"/>
        <s v="Alcance %" f="1"/>
        <s v="Alcance $" f="1"/>
      </sharedItems>
    </cacheField>
    <cacheField name="Semana " numFmtId="0">
      <sharedItems containsDate="1" containsBlank="1" containsMixedTypes="1" minDate="2025-07-04T00:00:00" maxDate="2025-08-10T00:00:00" count="13">
        <s v="Semana 01"/>
        <s v="Semana 05"/>
        <s v="Semana 02"/>
        <s v="Semana 03"/>
        <s v="Semana 04"/>
        <m u="1"/>
        <d v="2025-07-04T00:00:00" u="1"/>
        <d v="2025-08-07T00:00:00" u="1"/>
        <d v="2025-07-18T00:00:00" u="1"/>
        <d v="2025-08-08T00:00:00" u="1"/>
        <d v="2025-08-09T00:00:00" u="1"/>
        <d v="2025-08-06T00:00:00" u="1"/>
        <s v="Comercial" u="1"/>
      </sharedItems>
    </cacheField>
    <cacheField name="Fecha de Flujo" numFmtId="14">
      <sharedItems containsNonDate="0" containsDate="1" containsString="0" containsBlank="1" minDate="2025-05-01T00:00:00" maxDate="2027-01-01T00:00:00"/>
    </cacheField>
    <cacheField name="Moneda" numFmtId="0">
      <sharedItems/>
    </cacheField>
    <cacheField name="Monto" numFmtId="0">
      <sharedItems containsSemiMixedTypes="0" containsString="0" containsNumber="1" minValue="1.7647058823529411" maxValue="1000000"/>
    </cacheField>
    <cacheField name="Cliente" numFmtId="0">
      <sharedItems containsMixedTypes="1" containsNumber="1" containsInteger="1" minValue="3101481379" maxValue="3101481379"/>
    </cacheField>
    <cacheField name="Mes" numFmtId="0">
      <sharedItems containsSemiMixedTypes="0" containsNonDate="0" containsDate="1" containsString="0" minDate="2025-05-01T00:00:00" maxDate="2026-02-02T00:00:00" count="10">
        <d v="2025-05-01T00:00:00"/>
        <d v="2025-08-01T00:00:00"/>
        <d v="2025-10-01T00:00:00"/>
        <d v="2026-01-01T00:00:00"/>
        <d v="2025-11-01T00:00:00"/>
        <d v="2025-06-01T00:00:00"/>
        <d v="2026-02-01T00:00:00"/>
        <d v="2025-07-01T00:00:00"/>
        <d v="2025-12-01T00:00:00"/>
        <d v="2025-09-01T00:00:00"/>
      </sharedItems>
    </cacheField>
    <cacheField name="Cobrado" numFmtId="0">
      <sharedItems containsBlank="1"/>
    </cacheField>
    <cacheField name="Comentarios" numFmtId="0">
      <sharedItems containsBlank="1" containsMixedTypes="1" containsNumber="1" containsInteger="1" minValue="4000" maxValue="34334"/>
    </cacheField>
  </cacheFields>
  <calculatedItems count="2">
    <calculatedItem formula="Estado[Cobrado]-'Proy. sensibilizada'">
      <pivotArea cacheIndex="1" outline="0" fieldPosition="0">
        <references count="1">
          <reference field="4" count="1">
            <x v="6"/>
          </reference>
        </references>
      </pivotArea>
    </calculatedItem>
    <calculatedItem formula="Estado[Cobrado]/'Proy. sensibilizada'">
      <pivotArea cacheIndex="1" outline="0" fieldPosition="0">
        <references count="1">
          <reference field="4" count="1">
            <x v="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 pivotCacheId="19143876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6">
  <r>
    <x v="0"/>
    <x v="0"/>
    <x v="0"/>
    <m/>
    <x v="0"/>
    <x v="0"/>
    <d v="2025-05-01T00:00:00"/>
    <s v="Dólares"/>
    <n v="2000"/>
    <s v="MARICELA MORA MORA"/>
    <x v="0"/>
    <s v="SI"/>
    <m/>
  </r>
  <r>
    <x v="0"/>
    <x v="0"/>
    <x v="0"/>
    <m/>
    <x v="0"/>
    <x v="0"/>
    <d v="2025-05-01T00:00:00"/>
    <s v="Dólares"/>
    <n v="199"/>
    <s v="ROGER GUADAMUZ RIVERA"/>
    <x v="0"/>
    <s v="SI"/>
    <m/>
  </r>
  <r>
    <x v="0"/>
    <x v="1"/>
    <x v="1"/>
    <n v="10026675"/>
    <x v="1"/>
    <x v="1"/>
    <d v="2025-05-27T00:00:00"/>
    <s v="Dólares"/>
    <n v="1000000"/>
    <s v="CIELO NUNCIATURA"/>
    <x v="0"/>
    <m/>
    <m/>
  </r>
  <r>
    <x v="0"/>
    <x v="2"/>
    <x v="1"/>
    <m/>
    <x v="1"/>
    <x v="2"/>
    <d v="2025-08-14T00:00:00"/>
    <s v="Dólares"/>
    <n v="593426"/>
    <s v="NUEVOS ALMACENES "/>
    <x v="1"/>
    <m/>
    <m/>
  </r>
  <r>
    <x v="0"/>
    <x v="0"/>
    <x v="0"/>
    <m/>
    <x v="0"/>
    <x v="0"/>
    <d v="2025-05-01T00:00:00"/>
    <s v="Dólares"/>
    <n v="5755"/>
    <s v="ALEJANDRO ESTEBAN TREJOS GOMEZ"/>
    <x v="0"/>
    <s v="SI"/>
    <m/>
  </r>
  <r>
    <x v="0"/>
    <x v="1"/>
    <x v="0"/>
    <n v="10026668"/>
    <x v="1"/>
    <x v="3"/>
    <d v="2025-05-08T00:00:00"/>
    <s v="Dólares"/>
    <n v="509"/>
    <s v="BAUNZEN SOCIEDAD DE RESPONSABILIDAD LIMITADA"/>
    <x v="0"/>
    <m/>
    <m/>
  </r>
  <r>
    <x v="0"/>
    <x v="2"/>
    <x v="0"/>
    <m/>
    <x v="1"/>
    <x v="2"/>
    <d v="2025-10-10T00:00:00"/>
    <s v="Dólares"/>
    <n v="474823.14"/>
    <s v="NUEVOS ALMACENES "/>
    <x v="2"/>
    <m/>
    <m/>
  </r>
  <r>
    <x v="0"/>
    <x v="1"/>
    <x v="1"/>
    <m/>
    <x v="1"/>
    <x v="4"/>
    <d v="2025-10-24T00:00:00"/>
    <s v="Dólares"/>
    <n v="469596.03"/>
    <s v="CONSTRUCTORA VANDER LAAT - TORRE DON BOSCO"/>
    <x v="2"/>
    <m/>
    <m/>
  </r>
  <r>
    <x v="0"/>
    <x v="2"/>
    <x v="0"/>
    <m/>
    <x v="1"/>
    <x v="4"/>
    <d v="2026-01-28T00:00:00"/>
    <s v="Dólares"/>
    <n v="353038"/>
    <s v="NUEVOS ALMACENES"/>
    <x v="3"/>
    <m/>
    <m/>
  </r>
  <r>
    <x v="0"/>
    <x v="0"/>
    <x v="0"/>
    <m/>
    <x v="1"/>
    <x v="3"/>
    <d v="2025-05-10T00:00:00"/>
    <s v="Dólares"/>
    <n v="1260"/>
    <s v="Eron Sabre Internacional S.A"/>
    <x v="0"/>
    <m/>
    <m/>
  </r>
  <r>
    <x v="0"/>
    <x v="2"/>
    <x v="0"/>
    <m/>
    <x v="1"/>
    <x v="2"/>
    <d v="2025-11-13T00:00:00"/>
    <s v="Dólares"/>
    <n v="322674.59000000003"/>
    <s v="BOSTON CIENTIFIC"/>
    <x v="4"/>
    <m/>
    <m/>
  </r>
  <r>
    <x v="0"/>
    <x v="2"/>
    <x v="0"/>
    <n v="10026948"/>
    <x v="1"/>
    <x v="4"/>
    <d v="2025-06-27T00:00:00"/>
    <s v="Dólares"/>
    <n v="305479.52"/>
    <s v="DAVIVIENDA LEASING S,A "/>
    <x v="5"/>
    <m/>
    <m/>
  </r>
  <r>
    <x v="1"/>
    <x v="0"/>
    <x v="0"/>
    <m/>
    <x v="1"/>
    <x v="2"/>
    <d v="2026-01-16T00:00:00"/>
    <s v="Dólares"/>
    <n v="292087.86"/>
    <s v="ECODESARROLLO PAPAGAYO - DP11"/>
    <x v="3"/>
    <m/>
    <m/>
  </r>
  <r>
    <x v="0"/>
    <x v="1"/>
    <x v="2"/>
    <m/>
    <x v="1"/>
    <x v="4"/>
    <d v="2025-11-28T00:00:00"/>
    <s v="Dólares"/>
    <n v="272349.94"/>
    <s v="CIELO NUNCIATURA SOCIEDAD ANONIMA"/>
    <x v="4"/>
    <m/>
    <m/>
  </r>
  <r>
    <x v="0"/>
    <x v="2"/>
    <x v="0"/>
    <m/>
    <x v="0"/>
    <x v="0"/>
    <d v="2025-05-02T00:00:00"/>
    <s v="Dólares"/>
    <n v="200183.62"/>
    <s v="ALMACENES EL REY "/>
    <x v="0"/>
    <s v="SI"/>
    <m/>
  </r>
  <r>
    <x v="0"/>
    <x v="2"/>
    <x v="0"/>
    <m/>
    <x v="0"/>
    <x v="0"/>
    <d v="2025-05-02T00:00:00"/>
    <s v="Dólares"/>
    <n v="2694.47"/>
    <s v="GRUPO LOGISTICO JMA SOCIEDAD ANONIMA "/>
    <x v="0"/>
    <s v="SI"/>
    <m/>
  </r>
  <r>
    <x v="0"/>
    <x v="2"/>
    <x v="0"/>
    <m/>
    <x v="1"/>
    <x v="0"/>
    <d v="2026-02-02T00:00:00"/>
    <s v="Dólares"/>
    <n v="47797.760000000002"/>
    <s v="LANCO PAINTS GUATEMALA,  S.A."/>
    <x v="6"/>
    <m/>
    <m/>
  </r>
  <r>
    <x v="0"/>
    <x v="2"/>
    <x v="0"/>
    <m/>
    <x v="1"/>
    <x v="1"/>
    <d v="2025-07-29T00:00:00"/>
    <s v="Dólares"/>
    <n v="247373.55"/>
    <s v="PriceSmart Guatemala"/>
    <x v="7"/>
    <m/>
    <m/>
  </r>
  <r>
    <x v="0"/>
    <x v="3"/>
    <x v="2"/>
    <m/>
    <x v="1"/>
    <x v="0"/>
    <d v="2026-02-02T00:00:00"/>
    <s v="Colones"/>
    <n v="29061.03883064516"/>
    <s v="UNIVERSIDAD DE COSTA RICA"/>
    <x v="6"/>
    <m/>
    <m/>
  </r>
  <r>
    <x v="0"/>
    <x v="2"/>
    <x v="1"/>
    <n v="10026908"/>
    <x v="1"/>
    <x v="4"/>
    <d v="2025-06-24T00:00:00"/>
    <s v="Dólares"/>
    <n v="204654.4"/>
    <s v="AGUNSA GUATEMALA"/>
    <x v="5"/>
    <m/>
    <m/>
  </r>
  <r>
    <x v="1"/>
    <x v="0"/>
    <x v="0"/>
    <m/>
    <x v="1"/>
    <x v="3"/>
    <d v="2025-05-11T00:00:00"/>
    <s v="Dólares"/>
    <n v="5000"/>
    <s v="G Q ARQUITECTURA SOCIEDAD ANONIMA"/>
    <x v="0"/>
    <m/>
    <m/>
  </r>
  <r>
    <x v="0"/>
    <x v="2"/>
    <x v="0"/>
    <n v="10026473"/>
    <x v="1"/>
    <x v="0"/>
    <d v="2025-05-02T00:00:00"/>
    <s v="Dólares"/>
    <n v="200183.62"/>
    <s v="ALMACENES EL REY "/>
    <x v="0"/>
    <m/>
    <m/>
  </r>
  <r>
    <x v="0"/>
    <x v="1"/>
    <x v="0"/>
    <m/>
    <x v="1"/>
    <x v="4"/>
    <d v="2025-07-24T00:00:00"/>
    <s v="Dólares"/>
    <n v="199129.48"/>
    <s v="FONDO DE MERCADO DE VALORES"/>
    <x v="7"/>
    <m/>
    <m/>
  </r>
  <r>
    <x v="1"/>
    <x v="0"/>
    <x v="0"/>
    <m/>
    <x v="1"/>
    <x v="0"/>
    <d v="2026-02-02T00:00:00"/>
    <s v="Dólares"/>
    <n v="24586"/>
    <s v="DESARROLLOS Y CONSTRUCCION ALFACO LIMITADA"/>
    <x v="6"/>
    <m/>
    <m/>
  </r>
  <r>
    <x v="0"/>
    <x v="1"/>
    <x v="0"/>
    <m/>
    <x v="1"/>
    <x v="4"/>
    <d v="2025-12-22T00:00:00"/>
    <s v="Dólares"/>
    <n v="180008.09"/>
    <s v="CONSTRUCTORA PROYCON"/>
    <x v="8"/>
    <m/>
    <m/>
  </r>
  <r>
    <x v="0"/>
    <x v="2"/>
    <x v="0"/>
    <m/>
    <x v="1"/>
    <x v="0"/>
    <d v="2025-09-03T00:00:00"/>
    <s v="Dólares"/>
    <n v="164036"/>
    <s v="BAC SAN JOSE LEASING S.A. - SISLOCAR"/>
    <x v="9"/>
    <m/>
    <m/>
  </r>
  <r>
    <x v="0"/>
    <x v="1"/>
    <x v="0"/>
    <n v="10026474"/>
    <x v="1"/>
    <x v="0"/>
    <d v="2025-05-02T00:00:00"/>
    <s v="Dólares"/>
    <n v="158457.48000000001"/>
    <s v="EURO NASARA"/>
    <x v="0"/>
    <m/>
    <m/>
  </r>
  <r>
    <x v="0"/>
    <x v="2"/>
    <x v="1"/>
    <m/>
    <x v="1"/>
    <x v="2"/>
    <d v="2026-01-15T00:00:00"/>
    <s v="Dólares"/>
    <n v="148518.16"/>
    <s v="YOBEL - ADELANTO"/>
    <x v="3"/>
    <m/>
    <m/>
  </r>
  <r>
    <x v="0"/>
    <x v="2"/>
    <x v="0"/>
    <m/>
    <x v="0"/>
    <x v="0"/>
    <d v="2025-05-02T00:00:00"/>
    <s v="Dólares"/>
    <n v="434.62"/>
    <s v="MAQUINARIA y TRACTORES LIMITADA"/>
    <x v="0"/>
    <s v="SI"/>
    <m/>
  </r>
  <r>
    <x v="0"/>
    <x v="0"/>
    <x v="0"/>
    <m/>
    <x v="0"/>
    <x v="0"/>
    <d v="2025-05-02T00:00:00"/>
    <s v="Dólares"/>
    <n v="1596"/>
    <s v="ANDRES DIAZ ARAYA"/>
    <x v="0"/>
    <s v="SI"/>
    <m/>
  </r>
  <r>
    <x v="0"/>
    <x v="0"/>
    <x v="0"/>
    <m/>
    <x v="0"/>
    <x v="0"/>
    <d v="2025-05-02T00:00:00"/>
    <s v="Dólares"/>
    <n v="1294.1176470588234"/>
    <s v="LUCIA MOLINA FALLAS"/>
    <x v="0"/>
    <s v="SI"/>
    <m/>
  </r>
  <r>
    <x v="0"/>
    <x v="0"/>
    <x v="0"/>
    <m/>
    <x v="0"/>
    <x v="0"/>
    <d v="2025-05-02T00:00:00"/>
    <s v="Dólares"/>
    <n v="4000"/>
    <s v="YARKONI ORLANDO ROJAS ALVARADO"/>
    <x v="0"/>
    <s v="SI"/>
    <m/>
  </r>
  <r>
    <x v="0"/>
    <x v="0"/>
    <x v="0"/>
    <m/>
    <x v="0"/>
    <x v="0"/>
    <d v="2025-05-02T00:00:00"/>
    <s v="Dólares"/>
    <n v="500"/>
    <s v="SILVIA ELENA ZUÑIGA JIMENEZ"/>
    <x v="0"/>
    <s v="SI"/>
    <m/>
  </r>
  <r>
    <x v="0"/>
    <x v="0"/>
    <x v="0"/>
    <m/>
    <x v="0"/>
    <x v="0"/>
    <d v="2025-05-02T00:00:00"/>
    <s v="Dólares"/>
    <n v="630"/>
    <s v="SERVICIOS GERENCIALES TEMPORALES SRL"/>
    <x v="0"/>
    <s v="SI"/>
    <m/>
  </r>
  <r>
    <x v="0"/>
    <x v="1"/>
    <x v="0"/>
    <m/>
    <x v="0"/>
    <x v="0"/>
    <d v="2025-05-02T00:00:00"/>
    <s v="Dólares"/>
    <n v="384.75"/>
    <s v="3101802628 S.A"/>
    <x v="0"/>
    <s v="SI"/>
    <m/>
  </r>
  <r>
    <x v="0"/>
    <x v="1"/>
    <x v="0"/>
    <m/>
    <x v="0"/>
    <x v="0"/>
    <d v="2025-05-02T00:00:00"/>
    <s v="Dólares"/>
    <n v="10373.549999999999"/>
    <s v="EURO BLUE FA S.A"/>
    <x v="0"/>
    <s v="SI"/>
    <m/>
  </r>
  <r>
    <x v="0"/>
    <x v="1"/>
    <x v="0"/>
    <m/>
    <x v="0"/>
    <x v="0"/>
    <d v="2025-05-02T00:00:00"/>
    <s v="Dólares"/>
    <n v="1528.58"/>
    <s v="BHORA FA SOCIEDAD ANONIMA"/>
    <x v="0"/>
    <s v="SI"/>
    <m/>
  </r>
  <r>
    <x v="0"/>
    <x v="1"/>
    <x v="0"/>
    <m/>
    <x v="0"/>
    <x v="0"/>
    <d v="2025-05-02T00:00:00"/>
    <s v="Dólares"/>
    <n v="158457.48000000001"/>
    <s v="EURO NASARA"/>
    <x v="0"/>
    <s v="SI"/>
    <m/>
  </r>
  <r>
    <x v="0"/>
    <x v="1"/>
    <x v="0"/>
    <m/>
    <x v="0"/>
    <x v="0"/>
    <d v="2025-05-02T00:00:00"/>
    <s v="Dólares"/>
    <n v="73074.66"/>
    <s v="3-101-802628 S.A."/>
    <x v="0"/>
    <s v="NO"/>
    <s v="Duplicado"/>
  </r>
  <r>
    <x v="0"/>
    <x v="1"/>
    <x v="0"/>
    <m/>
    <x v="0"/>
    <x v="0"/>
    <d v="2025-05-02T00:00:00"/>
    <s v="Dólares"/>
    <n v="6764.72"/>
    <s v="T.R. Constructores y Consultores"/>
    <x v="0"/>
    <s v="SI"/>
    <m/>
  </r>
  <r>
    <x v="0"/>
    <x v="1"/>
    <x v="1"/>
    <m/>
    <x v="0"/>
    <x v="0"/>
    <d v="2025-05-02T00:00:00"/>
    <s v="Dólares"/>
    <n v="41024.129999999997"/>
    <s v="3-101-747864 S.A."/>
    <x v="0"/>
    <s v="SI"/>
    <m/>
  </r>
  <r>
    <x v="0"/>
    <x v="1"/>
    <x v="2"/>
    <m/>
    <x v="0"/>
    <x v="0"/>
    <d v="2025-05-02T00:00:00"/>
    <s v="Dólares"/>
    <n v="10000"/>
    <s v="PRODEYCO"/>
    <x v="0"/>
    <s v="NO"/>
    <m/>
  </r>
  <r>
    <x v="0"/>
    <x v="0"/>
    <x v="0"/>
    <n v="10026557"/>
    <x v="1"/>
    <x v="3"/>
    <d v="2025-05-11T00:00:00"/>
    <s v="Dólares"/>
    <n v="2877.51"/>
    <s v="EMILIA PAULA RUGGERI"/>
    <x v="0"/>
    <m/>
    <m/>
  </r>
  <r>
    <x v="0"/>
    <x v="3"/>
    <x v="0"/>
    <m/>
    <x v="1"/>
    <x v="4"/>
    <d v="2025-12-23T00:00:00"/>
    <s v="Dólares"/>
    <n v="136371.21299999999"/>
    <s v="CONCENTRIX"/>
    <x v="8"/>
    <m/>
    <m/>
  </r>
  <r>
    <x v="0"/>
    <x v="0"/>
    <x v="0"/>
    <n v="10026556"/>
    <x v="1"/>
    <x v="3"/>
    <d v="2025-05-11T00:00:00"/>
    <s v="Dólares"/>
    <n v="119.78"/>
    <s v="EMILIA PAULA RUGGERI"/>
    <x v="0"/>
    <m/>
    <m/>
  </r>
  <r>
    <x v="0"/>
    <x v="1"/>
    <x v="0"/>
    <m/>
    <x v="1"/>
    <x v="2"/>
    <d v="2025-07-12T00:00:00"/>
    <s v="Dólares"/>
    <n v="129180.1"/>
    <s v="CIELO DE BABILONIA"/>
    <x v="7"/>
    <m/>
    <m/>
  </r>
  <r>
    <x v="0"/>
    <x v="2"/>
    <x v="2"/>
    <m/>
    <x v="1"/>
    <x v="0"/>
    <d v="2025-12-05T00:00:00"/>
    <s v="Colones"/>
    <n v="127654.86341176472"/>
    <s v="CORPORACION DE SUPERMERCADOS UNIDOS"/>
    <x v="8"/>
    <m/>
    <m/>
  </r>
  <r>
    <x v="0"/>
    <x v="0"/>
    <x v="0"/>
    <m/>
    <x v="1"/>
    <x v="0"/>
    <d v="2026-02-02T00:00:00"/>
    <s v="Dólares"/>
    <n v="6600"/>
    <s v="MELISSA VARGAS CARVAJAL"/>
    <x v="6"/>
    <m/>
    <m/>
  </r>
  <r>
    <x v="0"/>
    <x v="0"/>
    <x v="0"/>
    <m/>
    <x v="0"/>
    <x v="0"/>
    <d v="2025-05-03T00:00:00"/>
    <s v="Dólares"/>
    <n v="7001"/>
    <s v="ERNESTO JOSE GOCHEZ MONGE"/>
    <x v="0"/>
    <s v="SI"/>
    <m/>
  </r>
  <r>
    <x v="0"/>
    <x v="0"/>
    <x v="0"/>
    <m/>
    <x v="0"/>
    <x v="0"/>
    <d v="2025-05-03T00:00:00"/>
    <s v="Dólares"/>
    <n v="899"/>
    <s v="María Fernanda Madrigal Carvajal"/>
    <x v="0"/>
    <s v="SI"/>
    <m/>
  </r>
  <r>
    <x v="0"/>
    <x v="0"/>
    <x v="0"/>
    <m/>
    <x v="0"/>
    <x v="0"/>
    <d v="2025-05-03T00:00:00"/>
    <s v="Dólares"/>
    <n v="1000"/>
    <s v="KATALINA ELENA VELARDE BARQUERO"/>
    <x v="0"/>
    <s v="SI"/>
    <m/>
  </r>
  <r>
    <x v="0"/>
    <x v="0"/>
    <x v="0"/>
    <m/>
    <x v="0"/>
    <x v="0"/>
    <d v="2025-05-03T00:00:00"/>
    <s v="Dólares"/>
    <n v="2263"/>
    <s v="REINER STEVEN SANCHEZ CARBALLO"/>
    <x v="0"/>
    <s v="SI"/>
    <m/>
  </r>
  <r>
    <x v="0"/>
    <x v="0"/>
    <x v="1"/>
    <m/>
    <x v="0"/>
    <x v="0"/>
    <d v="2025-05-04T00:00:00"/>
    <s v="Dólares"/>
    <n v="2000"/>
    <s v="Clientes Nuevos"/>
    <x v="0"/>
    <s v="NO"/>
    <m/>
  </r>
  <r>
    <x v="0"/>
    <x v="0"/>
    <x v="0"/>
    <m/>
    <x v="0"/>
    <x v="0"/>
    <d v="2025-05-04T00:00:00"/>
    <s v="Dólares"/>
    <n v="6750"/>
    <s v="Clientes Nuevos"/>
    <x v="0"/>
    <s v="NO"/>
    <m/>
  </r>
  <r>
    <x v="1"/>
    <x v="0"/>
    <x v="0"/>
    <m/>
    <x v="0"/>
    <x v="0"/>
    <d v="2025-05-04T00:00:00"/>
    <s v="Dólares"/>
    <n v="2000"/>
    <s v="Clientes Nuevos"/>
    <x v="0"/>
    <s v="NO"/>
    <m/>
  </r>
  <r>
    <x v="1"/>
    <x v="0"/>
    <x v="1"/>
    <m/>
    <x v="0"/>
    <x v="0"/>
    <d v="2025-05-04T00:00:00"/>
    <s v="Dólares"/>
    <n v="2000"/>
    <s v="Clientes Nuevos"/>
    <x v="0"/>
    <s v="NO"/>
    <m/>
  </r>
  <r>
    <x v="2"/>
    <x v="3"/>
    <x v="0"/>
    <m/>
    <x v="0"/>
    <x v="0"/>
    <d v="2025-05-04T00:00:00"/>
    <s v="Dólares"/>
    <n v="20000"/>
    <s v="Outlet semana 1"/>
    <x v="0"/>
    <s v="SI"/>
    <m/>
  </r>
  <r>
    <x v="0"/>
    <x v="0"/>
    <x v="0"/>
    <n v="10026563"/>
    <x v="1"/>
    <x v="3"/>
    <d v="2025-05-12T00:00:00"/>
    <s v="Colones"/>
    <n v="13277.952755905511"/>
    <s v="MARICELA MORA MORA"/>
    <x v="0"/>
    <m/>
    <m/>
  </r>
  <r>
    <x v="0"/>
    <x v="2"/>
    <x v="2"/>
    <m/>
    <x v="1"/>
    <x v="4"/>
    <d v="2026-01-26T00:00:00"/>
    <s v="Colones"/>
    <n v="123270.48820564516"/>
    <s v="WALMART - VERTICE"/>
    <x v="3"/>
    <m/>
    <m/>
  </r>
  <r>
    <x v="0"/>
    <x v="1"/>
    <x v="1"/>
    <m/>
    <x v="1"/>
    <x v="0"/>
    <d v="2025-09-05T00:00:00"/>
    <s v="Dólares"/>
    <n v="122910.78"/>
    <s v="MORAVIA ESTE"/>
    <x v="9"/>
    <m/>
    <m/>
  </r>
  <r>
    <x v="0"/>
    <x v="1"/>
    <x v="1"/>
    <m/>
    <x v="1"/>
    <x v="1"/>
    <d v="2025-07-30T00:00:00"/>
    <s v="Dólares"/>
    <n v="122305.79"/>
    <s v="UNIKO SAN FRANCISCO - ADELANTO"/>
    <x v="7"/>
    <m/>
    <m/>
  </r>
  <r>
    <x v="0"/>
    <x v="3"/>
    <x v="2"/>
    <m/>
    <x v="1"/>
    <x v="2"/>
    <d v="2025-12-11T00:00:00"/>
    <s v="Dólares"/>
    <n v="120841.26"/>
    <s v="FONDO DE INVERSION LOS CRESTONES"/>
    <x v="8"/>
    <m/>
    <m/>
  </r>
  <r>
    <x v="0"/>
    <x v="2"/>
    <x v="1"/>
    <m/>
    <x v="1"/>
    <x v="0"/>
    <d v="2025-09-02T00:00:00"/>
    <s v="Dólares"/>
    <n v="119589.4"/>
    <s v="LANCO PAINTS GUATEMALA,  S.A."/>
    <x v="9"/>
    <m/>
    <m/>
  </r>
  <r>
    <x v="0"/>
    <x v="2"/>
    <x v="1"/>
    <m/>
    <x v="1"/>
    <x v="4"/>
    <d v="2025-09-23T00:00:00"/>
    <s v="Dólares"/>
    <n v="115596.3"/>
    <s v="SERVICIOS LOGISTICOS Y CORPORATIVOS FAVALQUE"/>
    <x v="9"/>
    <m/>
    <m/>
  </r>
  <r>
    <x v="0"/>
    <x v="2"/>
    <x v="1"/>
    <n v="10026619"/>
    <x v="1"/>
    <x v="4"/>
    <d v="2025-05-19T00:00:00"/>
    <s v="Dólares"/>
    <n v="114684"/>
    <s v="Arrendadora Sarita SEM 3 ( MY)'INVERSIONES 9.9013 S.A."/>
    <x v="0"/>
    <m/>
    <m/>
  </r>
  <r>
    <x v="0"/>
    <x v="0"/>
    <x v="0"/>
    <m/>
    <x v="0"/>
    <x v="2"/>
    <d v="2025-05-05T00:00:00"/>
    <s v="Dólares"/>
    <n v="1500"/>
    <s v="ANA PAOLA ALVARADO MENDEZ"/>
    <x v="0"/>
    <s v="SI"/>
    <m/>
  </r>
  <r>
    <x v="0"/>
    <x v="0"/>
    <x v="0"/>
    <m/>
    <x v="0"/>
    <x v="2"/>
    <d v="2025-05-05T00:00:00"/>
    <s v="Dólares"/>
    <n v="4000"/>
    <s v="MILTON BALTODANO BALTODANO"/>
    <x v="0"/>
    <s v="SI"/>
    <m/>
  </r>
  <r>
    <x v="0"/>
    <x v="0"/>
    <x v="0"/>
    <m/>
    <x v="0"/>
    <x v="2"/>
    <d v="2025-05-05T00:00:00"/>
    <s v="Dólares"/>
    <n v="200"/>
    <s v="ADA ESTHER FIGUEROA CRESPO"/>
    <x v="0"/>
    <s v="SI"/>
    <m/>
  </r>
  <r>
    <x v="0"/>
    <x v="2"/>
    <x v="0"/>
    <m/>
    <x v="1"/>
    <x v="0"/>
    <d v="2026-02-02T00:00:00"/>
    <s v="Dólares"/>
    <n v="5961.54"/>
    <s v="SOLESIS SOCIEDAD ANONIMA"/>
    <x v="6"/>
    <m/>
    <m/>
  </r>
  <r>
    <x v="0"/>
    <x v="1"/>
    <x v="1"/>
    <m/>
    <x v="1"/>
    <x v="2"/>
    <d v="2025-06-12T00:00:00"/>
    <s v="Dólares"/>
    <n v="111000"/>
    <s v="EDICA - SKYGARDEN"/>
    <x v="5"/>
    <m/>
    <m/>
  </r>
  <r>
    <x v="0"/>
    <x v="2"/>
    <x v="1"/>
    <n v="10026545"/>
    <x v="1"/>
    <x v="3"/>
    <d v="2025-05-12T00:00:00"/>
    <s v="Dólares"/>
    <n v="12000"/>
    <s v="INDUSTRIAS GAREND "/>
    <x v="0"/>
    <m/>
    <m/>
  </r>
  <r>
    <x v="0"/>
    <x v="1"/>
    <x v="0"/>
    <m/>
    <x v="1"/>
    <x v="0"/>
    <d v="2026-01-09T00:00:00"/>
    <s v="Dólares"/>
    <n v="109377.62"/>
    <s v="PALERMO HOME"/>
    <x v="3"/>
    <m/>
    <m/>
  </r>
  <r>
    <x v="3"/>
    <x v="3"/>
    <x v="2"/>
    <n v="15143"/>
    <x v="1"/>
    <x v="3"/>
    <d v="2025-05-12T00:00:00"/>
    <s v="Dólares"/>
    <n v="5064.8"/>
    <s v="ZSCALER COSTA RICA SOCIEDAD ANONIMA"/>
    <x v="0"/>
    <m/>
    <m/>
  </r>
  <r>
    <x v="0"/>
    <x v="1"/>
    <x v="0"/>
    <m/>
    <x v="1"/>
    <x v="4"/>
    <d v="2025-08-29T00:00:00"/>
    <s v="Colones"/>
    <n v="105929.68"/>
    <s v="EURO - LINDORA"/>
    <x v="1"/>
    <m/>
    <m/>
  </r>
  <r>
    <x v="0"/>
    <x v="0"/>
    <x v="0"/>
    <n v="10026555"/>
    <x v="1"/>
    <x v="3"/>
    <d v="2025-05-12T00:00:00"/>
    <s v="Dólares"/>
    <n v="3780"/>
    <s v="MARIA NINFA TERESA DE JESUS CORDERO TORRES"/>
    <x v="0"/>
    <m/>
    <m/>
  </r>
  <r>
    <x v="0"/>
    <x v="2"/>
    <x v="0"/>
    <m/>
    <x v="1"/>
    <x v="2"/>
    <d v="2025-11-14T00:00:00"/>
    <s v="Dólares"/>
    <n v="102287.43"/>
    <s v="AGUNSA GUATEMALA S.A."/>
    <x v="4"/>
    <m/>
    <m/>
  </r>
  <r>
    <x v="0"/>
    <x v="2"/>
    <x v="1"/>
    <m/>
    <x v="1"/>
    <x v="4"/>
    <d v="2025-07-24T00:00:00"/>
    <s v="Dólares"/>
    <n v="100000"/>
    <s v="SERVICA"/>
    <x v="7"/>
    <m/>
    <m/>
  </r>
  <r>
    <x v="3"/>
    <x v="3"/>
    <x v="2"/>
    <n v="15143"/>
    <x v="1"/>
    <x v="3"/>
    <d v="2025-05-12T00:00:00"/>
    <s v="Dólares"/>
    <n v="3352.6"/>
    <s v="ZSCALER COSTA RICA SOCIEDAD ANONIMA"/>
    <x v="0"/>
    <m/>
    <m/>
  </r>
  <r>
    <x v="0"/>
    <x v="0"/>
    <x v="0"/>
    <n v="10026558"/>
    <x v="1"/>
    <x v="3"/>
    <d v="2025-05-12T00:00:00"/>
    <s v="Dólares"/>
    <n v="3000"/>
    <s v="YESSICA MARIA MOLINA RODRIGUEZ"/>
    <x v="0"/>
    <m/>
    <m/>
  </r>
  <r>
    <x v="0"/>
    <x v="2"/>
    <x v="0"/>
    <m/>
    <x v="0"/>
    <x v="2"/>
    <d v="2025-05-07T00:00:00"/>
    <s v="Dólares"/>
    <n v="12441.82"/>
    <s v="MAYCA DISTRIBUIDORES, S.A"/>
    <x v="0"/>
    <s v="SI"/>
    <m/>
  </r>
  <r>
    <x v="0"/>
    <x v="1"/>
    <x v="0"/>
    <n v="10026521"/>
    <x v="1"/>
    <x v="2"/>
    <d v="2025-05-09T00:00:00"/>
    <s v="Dólares"/>
    <n v="96505.58"/>
    <s v="Euro Lindora"/>
    <x v="0"/>
    <m/>
    <m/>
  </r>
  <r>
    <x v="0"/>
    <x v="0"/>
    <x v="0"/>
    <n v="10026547"/>
    <x v="1"/>
    <x v="3"/>
    <d v="2025-05-12T00:00:00"/>
    <s v="Dólares"/>
    <n v="1360"/>
    <s v="nuevo horizonte pye s.a"/>
    <x v="0"/>
    <m/>
    <m/>
  </r>
  <r>
    <x v="0"/>
    <x v="0"/>
    <x v="0"/>
    <n v="10026549"/>
    <x v="1"/>
    <x v="3"/>
    <d v="2025-05-12T00:00:00"/>
    <s v="Dólares"/>
    <n v="400"/>
    <s v="nuevo horizonte pye s.a"/>
    <x v="0"/>
    <m/>
    <m/>
  </r>
  <r>
    <x v="0"/>
    <x v="1"/>
    <x v="0"/>
    <m/>
    <x v="1"/>
    <x v="0"/>
    <d v="2025-08-08T00:00:00"/>
    <s v="Dólares"/>
    <n v="92339.29"/>
    <s v="EURO NASARA"/>
    <x v="1"/>
    <m/>
    <m/>
  </r>
  <r>
    <x v="0"/>
    <x v="3"/>
    <x v="0"/>
    <m/>
    <x v="1"/>
    <x v="0"/>
    <d v="2025-07-04T00:00:00"/>
    <s v="Dólares"/>
    <n v="91494.28"/>
    <s v="AVENIDA 10 REPUESTOS - GUACAMAYA"/>
    <x v="7"/>
    <m/>
    <m/>
  </r>
  <r>
    <x v="0"/>
    <x v="2"/>
    <x v="1"/>
    <m/>
    <x v="1"/>
    <x v="2"/>
    <d v="2025-09-08T00:00:00"/>
    <s v="Dólares"/>
    <n v="90674"/>
    <s v="PRICESMART T&amp;T"/>
    <x v="9"/>
    <m/>
    <m/>
  </r>
  <r>
    <x v="0"/>
    <x v="3"/>
    <x v="1"/>
    <n v="10026560"/>
    <x v="1"/>
    <x v="3"/>
    <d v="2025-05-12T00:00:00"/>
    <s v="Dólares"/>
    <n v="265"/>
    <s v="LUX SOLUTIONS LIMITADA - VALURA"/>
    <x v="0"/>
    <m/>
    <m/>
  </r>
  <r>
    <x v="0"/>
    <x v="1"/>
    <x v="1"/>
    <m/>
    <x v="1"/>
    <x v="4"/>
    <d v="2025-09-26T00:00:00"/>
    <s v="Dólares"/>
    <n v="88797.99"/>
    <s v="EDICA - SKY GARDEN MUEBLES"/>
    <x v="9"/>
    <m/>
    <m/>
  </r>
  <r>
    <x v="0"/>
    <x v="2"/>
    <x v="1"/>
    <m/>
    <x v="1"/>
    <x v="0"/>
    <d v="2025-08-05T00:00:00"/>
    <s v="Dólares"/>
    <n v="88091.21"/>
    <s v="DAVIVIENDA LEASING - NUTRICARE"/>
    <x v="1"/>
    <m/>
    <m/>
  </r>
  <r>
    <x v="0"/>
    <x v="0"/>
    <x v="0"/>
    <n v="10026550"/>
    <x v="1"/>
    <x v="3"/>
    <d v="2025-05-12T00:00:00"/>
    <s v="Dólares"/>
    <n v="10"/>
    <s v="nuevo horizonte pye s.a"/>
    <x v="0"/>
    <m/>
    <m/>
  </r>
  <r>
    <x v="0"/>
    <x v="2"/>
    <x v="0"/>
    <n v="10026911"/>
    <x v="1"/>
    <x v="4"/>
    <d v="2025-06-24T00:00:00"/>
    <s v="Dólares"/>
    <n v="86107.58"/>
    <s v="PRIME LOGISTCS GAG SOCIEDAD ANONIMA"/>
    <x v="5"/>
    <m/>
    <m/>
  </r>
  <r>
    <x v="0"/>
    <x v="3"/>
    <x v="2"/>
    <m/>
    <x v="1"/>
    <x v="2"/>
    <d v="2026-01-16T00:00:00"/>
    <s v="Dólares"/>
    <n v="84330.57"/>
    <s v="CONSTRUCTORA GONZALO DELGADO SOCIEDAD ANONIMA"/>
    <x v="3"/>
    <m/>
    <m/>
  </r>
  <r>
    <x v="0"/>
    <x v="1"/>
    <x v="1"/>
    <m/>
    <x v="1"/>
    <x v="4"/>
    <d v="2025-12-26T00:00:00"/>
    <s v="Dólares"/>
    <n v="82711.320000000007"/>
    <s v="ESENCIA - NOVOGAR"/>
    <x v="8"/>
    <m/>
    <m/>
  </r>
  <r>
    <x v="0"/>
    <x v="1"/>
    <x v="2"/>
    <m/>
    <x v="1"/>
    <x v="0"/>
    <d v="2025-09-05T00:00:00"/>
    <s v="Dólares"/>
    <n v="80000"/>
    <s v="EDICA - SKY GARDEN MUEBLES"/>
    <x v="9"/>
    <m/>
    <m/>
  </r>
  <r>
    <x v="0"/>
    <x v="1"/>
    <x v="1"/>
    <m/>
    <x v="1"/>
    <x v="2"/>
    <d v="2025-09-12T00:00:00"/>
    <s v="Dólares"/>
    <n v="80000"/>
    <s v="EDICA - SKY GARDEN MUEBLES"/>
    <x v="9"/>
    <m/>
    <m/>
  </r>
  <r>
    <x v="0"/>
    <x v="2"/>
    <x v="0"/>
    <m/>
    <x v="0"/>
    <x v="2"/>
    <d v="2025-05-08T00:00:00"/>
    <s v="Dólares"/>
    <n v="1906.76"/>
    <s v="DISTRIBUIDORA LA FLORIDA S.A."/>
    <x v="0"/>
    <m/>
    <m/>
  </r>
  <r>
    <x v="0"/>
    <x v="3"/>
    <x v="0"/>
    <m/>
    <x v="1"/>
    <x v="2"/>
    <d v="2026-01-16T00:00:00"/>
    <s v="Colones"/>
    <n v="80000"/>
    <s v="SUMINISTROS SOTO ESPINOZA"/>
    <x v="3"/>
    <m/>
    <m/>
  </r>
  <r>
    <x v="0"/>
    <x v="2"/>
    <x v="0"/>
    <m/>
    <x v="1"/>
    <x v="4"/>
    <d v="2025-07-22T00:00:00"/>
    <s v="Colones"/>
    <n v="78439.418011811023"/>
    <s v="Cooperativa de Productores de leche Dos PinosR L"/>
    <x v="7"/>
    <m/>
    <m/>
  </r>
  <r>
    <x v="0"/>
    <x v="2"/>
    <x v="1"/>
    <m/>
    <x v="1"/>
    <x v="4"/>
    <d v="2025-08-28T00:00:00"/>
    <s v="Colones"/>
    <n v="77935.78"/>
    <s v="CAFÉ BRITT"/>
    <x v="1"/>
    <m/>
    <m/>
  </r>
  <r>
    <x v="0"/>
    <x v="2"/>
    <x v="0"/>
    <m/>
    <x v="1"/>
    <x v="4"/>
    <d v="2025-10-23T00:00:00"/>
    <s v="Dólares"/>
    <n v="77935.78"/>
    <s v="CAFE BRITT COSTA RICA SOCIEDAD ANONIMA"/>
    <x v="2"/>
    <m/>
    <m/>
  </r>
  <r>
    <x v="0"/>
    <x v="2"/>
    <x v="1"/>
    <n v="10026583"/>
    <x v="1"/>
    <x v="3"/>
    <d v="2025-05-13T00:00:00"/>
    <s v="Dólares"/>
    <n v="31122.959999999999"/>
    <s v="COVESA COMERCIALIZADORA "/>
    <x v="0"/>
    <m/>
    <m/>
  </r>
  <r>
    <x v="0"/>
    <x v="3"/>
    <x v="0"/>
    <n v="10026823"/>
    <x v="1"/>
    <x v="2"/>
    <d v="2025-06-13T00:00:00"/>
    <s v="Dólares"/>
    <n v="76400"/>
    <s v="P Y P CONSTRUCCIONES SOCIEDAD ANONIMA (AS CARIARI)"/>
    <x v="5"/>
    <m/>
    <m/>
  </r>
  <r>
    <x v="1"/>
    <x v="0"/>
    <x v="2"/>
    <m/>
    <x v="1"/>
    <x v="2"/>
    <d v="2026-01-16T00:00:00"/>
    <s v="Dólares"/>
    <n v="76015.7"/>
    <s v="ECODESARROLLO PAPAGAYO - DP10"/>
    <x v="3"/>
    <m/>
    <m/>
  </r>
  <r>
    <x v="0"/>
    <x v="3"/>
    <x v="0"/>
    <m/>
    <x v="1"/>
    <x v="0"/>
    <d v="2025-08-01T00:00:00"/>
    <s v="Dólares"/>
    <n v="75848"/>
    <s v="LOS ARALLANES - COHESITY"/>
    <x v="1"/>
    <m/>
    <m/>
  </r>
  <r>
    <x v="0"/>
    <x v="2"/>
    <x v="2"/>
    <n v="10026571"/>
    <x v="1"/>
    <x v="3"/>
    <d v="2025-05-13T00:00:00"/>
    <s v="Dólares"/>
    <n v="4494.3900000000003"/>
    <s v="MTWO SOCIEDAD DE RESPONSABILIDAD LIMITADA"/>
    <x v="0"/>
    <m/>
    <m/>
  </r>
  <r>
    <x v="0"/>
    <x v="3"/>
    <x v="1"/>
    <m/>
    <x v="1"/>
    <x v="2"/>
    <d v="2025-09-09T00:00:00"/>
    <s v="Dólares"/>
    <n v="74187.899999999994"/>
    <s v="GONZALO DELGADO - PUESTOS FRONTERIZOS"/>
    <x v="9"/>
    <m/>
    <m/>
  </r>
  <r>
    <x v="0"/>
    <x v="4"/>
    <x v="0"/>
    <m/>
    <x v="1"/>
    <x v="2"/>
    <d v="2025-12-12T00:00:00"/>
    <s v="Dólares"/>
    <n v="72760.45"/>
    <s v="VERTICE INTERCOMPANY"/>
    <x v="8"/>
    <m/>
    <m/>
  </r>
  <r>
    <x v="0"/>
    <x v="2"/>
    <x v="0"/>
    <m/>
    <x v="1"/>
    <x v="4"/>
    <d v="2025-11-25T00:00:00"/>
    <s v="Dólares"/>
    <n v="72506.25"/>
    <s v="GRUPO BM"/>
    <x v="4"/>
    <m/>
    <m/>
  </r>
  <r>
    <x v="3"/>
    <x v="3"/>
    <x v="0"/>
    <m/>
    <x v="1"/>
    <x v="0"/>
    <d v="2026-02-02T00:00:00"/>
    <s v="Dólares"/>
    <n v="5754.96"/>
    <s v="RYHTMLINK"/>
    <x v="6"/>
    <m/>
    <m/>
  </r>
  <r>
    <x v="0"/>
    <x v="3"/>
    <x v="1"/>
    <m/>
    <x v="1"/>
    <x v="1"/>
    <d v="2025-05-26T00:00:00"/>
    <s v="Dólares"/>
    <n v="71623.13"/>
    <s v="IMC INTERAMERICANA"/>
    <x v="0"/>
    <m/>
    <m/>
  </r>
  <r>
    <x v="0"/>
    <x v="3"/>
    <x v="0"/>
    <n v="10026538"/>
    <x v="1"/>
    <x v="2"/>
    <d v="2025-05-09T00:00:00"/>
    <s v="Dólares"/>
    <n v="71348.08"/>
    <s v="NUCLEO BUSINESS CENTER SOCIEDAD ANONIMA"/>
    <x v="0"/>
    <m/>
    <m/>
  </r>
  <r>
    <x v="0"/>
    <x v="0"/>
    <x v="0"/>
    <n v="10026577"/>
    <x v="1"/>
    <x v="3"/>
    <d v="2025-05-13T00:00:00"/>
    <s v="Dólares"/>
    <n v="3800"/>
    <s v="FORESTALES PUNTA ISLITA SOCIEDAD ANONIMA"/>
    <x v="0"/>
    <m/>
    <m/>
  </r>
  <r>
    <x v="0"/>
    <x v="3"/>
    <x v="0"/>
    <m/>
    <x v="0"/>
    <x v="2"/>
    <d v="2025-05-09T00:00:00"/>
    <s v="Dólares"/>
    <n v="38549.5"/>
    <s v="MICROVENTION COSTA RICA SRL"/>
    <x v="0"/>
    <s v="SI"/>
    <m/>
  </r>
  <r>
    <x v="0"/>
    <x v="1"/>
    <x v="2"/>
    <m/>
    <x v="0"/>
    <x v="2"/>
    <d v="2025-05-09T00:00:00"/>
    <s v="Dólares"/>
    <n v="10000"/>
    <s v="PRODEYCO"/>
    <x v="0"/>
    <s v="NO"/>
    <m/>
  </r>
  <r>
    <x v="0"/>
    <x v="1"/>
    <x v="0"/>
    <m/>
    <x v="0"/>
    <x v="2"/>
    <d v="2025-05-09T00:00:00"/>
    <s v="Dólares"/>
    <n v="62106.22"/>
    <s v="VOLIO Y TREJOS ASOCIADOS S.A."/>
    <x v="0"/>
    <s v="SI"/>
    <m/>
  </r>
  <r>
    <x v="0"/>
    <x v="1"/>
    <x v="0"/>
    <m/>
    <x v="0"/>
    <x v="2"/>
    <d v="2025-05-09T00:00:00"/>
    <s v="Dólares"/>
    <n v="49310.35"/>
    <s v="VOLIO Y TREJOS ASOCIADOS S.A."/>
    <x v="0"/>
    <s v="SI"/>
    <m/>
  </r>
  <r>
    <x v="0"/>
    <x v="1"/>
    <x v="0"/>
    <m/>
    <x v="0"/>
    <x v="2"/>
    <d v="2025-05-09T00:00:00"/>
    <s v="Dólares"/>
    <n v="96505.58"/>
    <s v="Euro Lindora"/>
    <x v="0"/>
    <s v="SI"/>
    <m/>
  </r>
  <r>
    <x v="0"/>
    <x v="1"/>
    <x v="1"/>
    <m/>
    <x v="1"/>
    <x v="4"/>
    <d v="2025-06-24T00:00:00"/>
    <s v="Dólares"/>
    <n v="69163.839999999997"/>
    <s v="CONSULTORA TTRES"/>
    <x v="5"/>
    <m/>
    <m/>
  </r>
  <r>
    <x v="0"/>
    <x v="1"/>
    <x v="1"/>
    <m/>
    <x v="1"/>
    <x v="4"/>
    <d v="2025-12-23T00:00:00"/>
    <s v="Dólares"/>
    <n v="68730.23"/>
    <s v="ARBORA"/>
    <x v="8"/>
    <m/>
    <m/>
  </r>
  <r>
    <x v="0"/>
    <x v="0"/>
    <x v="0"/>
    <m/>
    <x v="1"/>
    <x v="0"/>
    <d v="2026-02-02T00:00:00"/>
    <s v="Dólares"/>
    <n v="1500"/>
    <s v="Yigal Benzaquen Grynspan"/>
    <x v="6"/>
    <m/>
    <m/>
  </r>
  <r>
    <x v="3"/>
    <x v="3"/>
    <x v="2"/>
    <m/>
    <x v="0"/>
    <x v="2"/>
    <d v="2025-05-09T00:00:00"/>
    <s v="Dólares"/>
    <n v="24323.15"/>
    <s v="CONICO, CONSULTORIA INTEGRAL DE LA CONSTRUCCION, SOCIEDAD ANONIMA"/>
    <x v="0"/>
    <s v="SI"/>
    <n v="5000"/>
  </r>
  <r>
    <x v="3"/>
    <x v="3"/>
    <x v="2"/>
    <m/>
    <x v="0"/>
    <x v="2"/>
    <d v="2025-05-09T00:00:00"/>
    <s v="Dólares"/>
    <n v="22736.54"/>
    <s v="JONES LANG LASALLE LIMITADA"/>
    <x v="0"/>
    <s v="NO"/>
    <m/>
  </r>
  <r>
    <x v="0"/>
    <x v="3"/>
    <x v="1"/>
    <m/>
    <x v="0"/>
    <x v="2"/>
    <d v="2025-05-09T00:00:00"/>
    <s v="Dólares"/>
    <n v="19814.400000000001"/>
    <s v="FONDO DE INVERSION INMOB LOS CRESTONES"/>
    <x v="0"/>
    <s v="NO"/>
    <m/>
  </r>
  <r>
    <x v="0"/>
    <x v="3"/>
    <x v="1"/>
    <m/>
    <x v="0"/>
    <x v="2"/>
    <d v="2025-05-09T00:00:00"/>
    <s v="Dólares"/>
    <n v="6788"/>
    <s v="TEGRA MEDICAL"/>
    <x v="0"/>
    <s v="NO"/>
    <m/>
  </r>
  <r>
    <x v="0"/>
    <x v="3"/>
    <x v="0"/>
    <m/>
    <x v="0"/>
    <x v="2"/>
    <d v="2025-05-09T00:00:00"/>
    <s v="Dólares"/>
    <n v="5404.7"/>
    <s v="EDWIN LUILLY MADRIGAL HERNANDEZ"/>
    <x v="0"/>
    <s v="NO"/>
    <m/>
  </r>
  <r>
    <x v="0"/>
    <x v="3"/>
    <x v="1"/>
    <m/>
    <x v="0"/>
    <x v="2"/>
    <d v="2025-05-09T00:00:00"/>
    <s v="Dólares"/>
    <n v="4505.3999999999996"/>
    <s v="FONDO DE INVERSION INMOB GIBRALTAR"/>
    <x v="0"/>
    <s v="NO"/>
    <m/>
  </r>
  <r>
    <x v="0"/>
    <x v="3"/>
    <x v="1"/>
    <m/>
    <x v="0"/>
    <x v="2"/>
    <d v="2025-05-09T00:00:00"/>
    <s v="Dólares"/>
    <n v="3658.5"/>
    <s v="TEGRA MEDICAL"/>
    <x v="0"/>
    <s v="NO"/>
    <m/>
  </r>
  <r>
    <x v="0"/>
    <x v="2"/>
    <x v="0"/>
    <m/>
    <x v="1"/>
    <x v="2"/>
    <d v="2025-07-11T00:00:00"/>
    <s v="Dólares"/>
    <n v="65894.44"/>
    <s v="HERAEUS MEDICAL COMPONENTS SOCIEDAD DE RESPONSABILIDAD LIMITADA"/>
    <x v="7"/>
    <m/>
    <m/>
  </r>
  <r>
    <x v="0"/>
    <x v="1"/>
    <x v="0"/>
    <m/>
    <x v="1"/>
    <x v="2"/>
    <d v="2025-10-08T00:00:00"/>
    <s v="Dólares"/>
    <n v="65518.38"/>
    <s v="DESARROLLO VIVE TIBAS DVT S.A"/>
    <x v="2"/>
    <m/>
    <m/>
  </r>
  <r>
    <x v="0"/>
    <x v="1"/>
    <x v="0"/>
    <m/>
    <x v="1"/>
    <x v="2"/>
    <d v="2025-10-10T00:00:00"/>
    <s v="Dólares"/>
    <n v="65000"/>
    <s v="EDICA - SKY GARDEN"/>
    <x v="2"/>
    <m/>
    <m/>
  </r>
  <r>
    <x v="0"/>
    <x v="3"/>
    <x v="0"/>
    <m/>
    <x v="1"/>
    <x v="4"/>
    <d v="2025-07-24T00:00:00"/>
    <s v="Dólares"/>
    <n v="64000"/>
    <s v="SIN IDENTIFICAR "/>
    <x v="7"/>
    <m/>
    <m/>
  </r>
  <r>
    <x v="0"/>
    <x v="2"/>
    <x v="0"/>
    <n v="10026679"/>
    <x v="1"/>
    <x v="1"/>
    <d v="2025-05-26T00:00:00"/>
    <s v="Dólares"/>
    <n v="62879.75"/>
    <s v="CORPORACION DE SUMINISTROS Y MATERIALES  "/>
    <x v="0"/>
    <m/>
    <m/>
  </r>
  <r>
    <x v="0"/>
    <x v="2"/>
    <x v="1"/>
    <n v="10026569"/>
    <x v="1"/>
    <x v="3"/>
    <d v="2025-05-13T00:00:00"/>
    <s v="Dólares"/>
    <n v="3252"/>
    <s v="CENTROAMERICANA DE COMERCIO CENCO "/>
    <x v="0"/>
    <m/>
    <m/>
  </r>
  <r>
    <x v="0"/>
    <x v="1"/>
    <x v="2"/>
    <m/>
    <x v="1"/>
    <x v="2"/>
    <d v="2026-01-16T00:00:00"/>
    <s v="Dólares"/>
    <n v="62337.440000000002"/>
    <s v="EDICA - SKY GARDEN"/>
    <x v="3"/>
    <m/>
    <m/>
  </r>
  <r>
    <x v="0"/>
    <x v="2"/>
    <x v="2"/>
    <m/>
    <x v="0"/>
    <x v="2"/>
    <d v="2025-05-10T00:00:00"/>
    <s v="Dólares"/>
    <n v="373.5"/>
    <s v="CORPORACION DE COMPAÑIAS AGROINDUSTRIALES CCA SRL"/>
    <x v="0"/>
    <s v="SI"/>
    <m/>
  </r>
  <r>
    <x v="0"/>
    <x v="2"/>
    <x v="2"/>
    <n v="10026767"/>
    <x v="1"/>
    <x v="0"/>
    <d v="2025-06-04T00:00:00"/>
    <s v="Dólares"/>
    <n v="62178.65"/>
    <s v="Corporacion Frionet S.A"/>
    <x v="5"/>
    <m/>
    <m/>
  </r>
  <r>
    <x v="0"/>
    <x v="1"/>
    <x v="0"/>
    <n v="10026513"/>
    <x v="1"/>
    <x v="2"/>
    <d v="2025-05-09T00:00:00"/>
    <s v="Dólares"/>
    <n v="62106.22"/>
    <s v="VOLIO Y TREJOS ASOCIADOS S.A."/>
    <x v="0"/>
    <m/>
    <m/>
  </r>
  <r>
    <x v="0"/>
    <x v="0"/>
    <x v="1"/>
    <m/>
    <x v="0"/>
    <x v="2"/>
    <d v="2025-05-11T00:00:00"/>
    <s v="Dólares"/>
    <n v="13500"/>
    <s v="Clientes Nuevos"/>
    <x v="0"/>
    <s v="NO"/>
    <m/>
  </r>
  <r>
    <x v="0"/>
    <x v="0"/>
    <x v="0"/>
    <m/>
    <x v="0"/>
    <x v="2"/>
    <d v="2025-05-11T00:00:00"/>
    <s v="Dólares"/>
    <n v="67500"/>
    <s v="Clientes Nuevos"/>
    <x v="0"/>
    <s v="NO"/>
    <m/>
  </r>
  <r>
    <x v="1"/>
    <x v="0"/>
    <x v="1"/>
    <m/>
    <x v="0"/>
    <x v="2"/>
    <d v="2025-05-11T00:00:00"/>
    <s v="Dólares"/>
    <n v="4000"/>
    <s v="Clientes Nuevos"/>
    <x v="0"/>
    <s v="NO"/>
    <m/>
  </r>
  <r>
    <x v="1"/>
    <x v="0"/>
    <x v="0"/>
    <m/>
    <x v="0"/>
    <x v="2"/>
    <d v="2025-05-11T00:00:00"/>
    <s v="Dólares"/>
    <n v="10000"/>
    <s v="Clientes Nuevos"/>
    <x v="0"/>
    <s v="NO"/>
    <m/>
  </r>
  <r>
    <x v="0"/>
    <x v="2"/>
    <x v="0"/>
    <m/>
    <x v="0"/>
    <x v="2"/>
    <d v="2025-05-11T00:00:00"/>
    <s v="Dólares"/>
    <n v="1821.2"/>
    <s v="CORPORACION PIPASA SRL "/>
    <x v="0"/>
    <s v="SI"/>
    <m/>
  </r>
  <r>
    <x v="0"/>
    <x v="2"/>
    <x v="0"/>
    <m/>
    <x v="0"/>
    <x v="2"/>
    <d v="2025-05-11T00:00:00"/>
    <s v="Dólares"/>
    <n v="1221.18"/>
    <s v="GRUPO SOLUCRET BPR S,A"/>
    <x v="0"/>
    <m/>
    <m/>
  </r>
  <r>
    <x v="0"/>
    <x v="2"/>
    <x v="2"/>
    <m/>
    <x v="0"/>
    <x v="2"/>
    <d v="2025-05-11T00:00:00"/>
    <s v="Dólares"/>
    <n v="6102.97"/>
    <s v="PRAXAIR COSTA RICA SOCIEDAD ANONIMA"/>
    <x v="0"/>
    <s v="SI"/>
    <m/>
  </r>
  <r>
    <x v="2"/>
    <x v="3"/>
    <x v="0"/>
    <m/>
    <x v="0"/>
    <x v="2"/>
    <d v="2025-05-11T00:00:00"/>
    <s v="Dólares"/>
    <n v="20000"/>
    <s v="Outlet semana 2"/>
    <x v="0"/>
    <m/>
    <m/>
  </r>
  <r>
    <x v="0"/>
    <x v="0"/>
    <x v="0"/>
    <n v="10026581"/>
    <x v="1"/>
    <x v="3"/>
    <d v="2025-05-13T00:00:00"/>
    <s v="Dólares"/>
    <n v="2148"/>
    <s v="IVAN ROBERTO ARROYO VINDAS"/>
    <x v="0"/>
    <m/>
    <m/>
  </r>
  <r>
    <x v="0"/>
    <x v="1"/>
    <x v="1"/>
    <m/>
    <x v="1"/>
    <x v="4"/>
    <d v="2025-08-29T00:00:00"/>
    <s v="Colones"/>
    <n v="61200.160000000003"/>
    <s v="SKY HOUSE ADELANTO"/>
    <x v="1"/>
    <m/>
    <m/>
  </r>
  <r>
    <x v="0"/>
    <x v="1"/>
    <x v="2"/>
    <n v="10026918"/>
    <x v="1"/>
    <x v="4"/>
    <d v="2025-06-25T00:00:00"/>
    <s v="Dólares"/>
    <n v="60437.2"/>
    <s v="EDICA LIMITADA - TORRE VELO"/>
    <x v="5"/>
    <m/>
    <m/>
  </r>
  <r>
    <x v="1"/>
    <x v="0"/>
    <x v="1"/>
    <m/>
    <x v="0"/>
    <x v="2"/>
    <d v="2025-05-12T00:00:00"/>
    <s v="Dólares"/>
    <n v="5000"/>
    <s v="Clientes Nuevos"/>
    <x v="7"/>
    <m/>
    <m/>
  </r>
  <r>
    <x v="0"/>
    <x v="0"/>
    <x v="1"/>
    <m/>
    <x v="0"/>
    <x v="2"/>
    <d v="2025-05-12T00:00:00"/>
    <s v="Dólares"/>
    <n v="15000"/>
    <s v="Clientes Nuevos"/>
    <x v="7"/>
    <m/>
    <m/>
  </r>
  <r>
    <x v="1"/>
    <x v="0"/>
    <x v="0"/>
    <m/>
    <x v="0"/>
    <x v="2"/>
    <d v="2025-05-12T00:00:00"/>
    <s v="Dólares"/>
    <n v="15000"/>
    <s v="Clientes Nuevos"/>
    <x v="7"/>
    <m/>
    <m/>
  </r>
  <r>
    <x v="0"/>
    <x v="0"/>
    <x v="0"/>
    <m/>
    <x v="0"/>
    <x v="2"/>
    <d v="2025-05-12T00:00:00"/>
    <s v="Dólares"/>
    <n v="60000"/>
    <s v="Clientes Nuevos"/>
    <x v="7"/>
    <m/>
    <m/>
  </r>
  <r>
    <x v="0"/>
    <x v="1"/>
    <x v="0"/>
    <m/>
    <x v="1"/>
    <x v="0"/>
    <d v="2025-12-03T00:00:00"/>
    <s v="Dólares"/>
    <n v="60168.53"/>
    <s v="EDICA - SKY GARDEN"/>
    <x v="8"/>
    <m/>
    <m/>
  </r>
  <r>
    <x v="0"/>
    <x v="0"/>
    <x v="0"/>
    <n v="10026563"/>
    <x v="1"/>
    <x v="3"/>
    <d v="2025-05-13T00:00:00"/>
    <s v="Dólares"/>
    <n v="1528"/>
    <s v="ANGELICA CASTRO CASTRO"/>
    <x v="0"/>
    <m/>
    <m/>
  </r>
  <r>
    <x v="0"/>
    <x v="1"/>
    <x v="2"/>
    <m/>
    <x v="1"/>
    <x v="2"/>
    <d v="2025-12-12T00:00:00"/>
    <s v="Dólares"/>
    <n v="59871.42"/>
    <s v="EDICA - SKY GARDEN"/>
    <x v="8"/>
    <m/>
    <m/>
  </r>
  <r>
    <x v="0"/>
    <x v="0"/>
    <x v="0"/>
    <n v="10026562"/>
    <x v="1"/>
    <x v="3"/>
    <d v="2025-05-13T00:00:00"/>
    <s v="Dólares"/>
    <n v="1300"/>
    <s v="COMPAÑIA UNITOOL COSTA RICA SRL"/>
    <x v="0"/>
    <m/>
    <m/>
  </r>
  <r>
    <x v="0"/>
    <x v="2"/>
    <x v="0"/>
    <m/>
    <x v="1"/>
    <x v="4"/>
    <d v="2025-09-25T00:00:00"/>
    <s v="Dólares"/>
    <n v="58727.48"/>
    <s v="BELINA NUTRICIONAL"/>
    <x v="9"/>
    <m/>
    <m/>
  </r>
  <r>
    <x v="0"/>
    <x v="1"/>
    <x v="0"/>
    <n v="10027042"/>
    <x v="1"/>
    <x v="2"/>
    <d v="2025-07-10T00:00:00"/>
    <s v="Dólares"/>
    <n v="58630.03"/>
    <s v="CIELO DE BABILONIA"/>
    <x v="7"/>
    <m/>
    <m/>
  </r>
  <r>
    <x v="0"/>
    <x v="2"/>
    <x v="2"/>
    <m/>
    <x v="1"/>
    <x v="2"/>
    <d v="2025-09-10T00:00:00"/>
    <s v="Dólares"/>
    <n v="58267.42"/>
    <s v="PRIME LOGISTICS GAG SOCIEDAD ANONIMA"/>
    <x v="9"/>
    <m/>
    <m/>
  </r>
  <r>
    <x v="0"/>
    <x v="2"/>
    <x v="1"/>
    <n v="10026568"/>
    <x v="1"/>
    <x v="3"/>
    <d v="2025-05-13T00:00:00"/>
    <s v="Dólares"/>
    <n v="1200"/>
    <s v="AGUILA LOGISTICA "/>
    <x v="0"/>
    <m/>
    <m/>
  </r>
  <r>
    <x v="3"/>
    <x v="3"/>
    <x v="1"/>
    <m/>
    <x v="1"/>
    <x v="4"/>
    <d v="2025-05-21T00:00:00"/>
    <s v="Dólares"/>
    <n v="58066.96"/>
    <s v="CENTRO COMERCIAL MULTIPLAZA SOCIEDAD ANONIMA"/>
    <x v="0"/>
    <m/>
    <m/>
  </r>
  <r>
    <x v="0"/>
    <x v="2"/>
    <x v="2"/>
    <m/>
    <x v="1"/>
    <x v="1"/>
    <d v="2025-12-30T00:00:00"/>
    <s v="Dólares"/>
    <n v="57863.46"/>
    <s v="PRICESMART GUATEMALA"/>
    <x v="8"/>
    <m/>
    <m/>
  </r>
  <r>
    <x v="3"/>
    <x v="3"/>
    <x v="1"/>
    <n v="15144"/>
    <x v="1"/>
    <x v="3"/>
    <d v="2025-05-13T00:00:00"/>
    <s v="Dólares"/>
    <n v="663.54"/>
    <s v="BIOCIENTIFICA INTERNACIONAL S D R L LIMITADA"/>
    <x v="0"/>
    <m/>
    <m/>
  </r>
  <r>
    <x v="0"/>
    <x v="2"/>
    <x v="0"/>
    <m/>
    <x v="1"/>
    <x v="0"/>
    <d v="2025-07-03T00:00:00"/>
    <s v="Dólares"/>
    <n v="56768.79"/>
    <s v="INARI MEDICAL COSTA RICA SOCIEDAD ANONIMA"/>
    <x v="7"/>
    <m/>
    <m/>
  </r>
  <r>
    <x v="1"/>
    <x v="0"/>
    <x v="0"/>
    <m/>
    <x v="1"/>
    <x v="2"/>
    <d v="2026-01-15T00:00:00"/>
    <s v="Dólares"/>
    <n v="55011.73"/>
    <s v="CONSTRUCTORA TOTEM"/>
    <x v="3"/>
    <m/>
    <m/>
  </r>
  <r>
    <x v="0"/>
    <x v="1"/>
    <x v="1"/>
    <m/>
    <x v="1"/>
    <x v="2"/>
    <d v="2025-06-12T00:00:00"/>
    <s v="Dólares"/>
    <n v="55003"/>
    <s v="EDICA - SKYGARDEN"/>
    <x v="5"/>
    <m/>
    <m/>
  </r>
  <r>
    <x v="0"/>
    <x v="3"/>
    <x v="2"/>
    <m/>
    <x v="1"/>
    <x v="4"/>
    <d v="2025-07-24T00:00:00"/>
    <s v="Dólares"/>
    <n v="54696.07"/>
    <s v="PLAZA RIVIERA - EDICA COCA COLA "/>
    <x v="7"/>
    <m/>
    <m/>
  </r>
  <r>
    <x v="0"/>
    <x v="2"/>
    <x v="2"/>
    <m/>
    <x v="1"/>
    <x v="2"/>
    <d v="2026-01-16T00:00:00"/>
    <s v="Colones"/>
    <n v="54549.056733870966"/>
    <s v="CORPORACION DE SUPERMERCADOS UNIDOS SOCIEDAD DE RESPONSABILIDAD LIMITADA"/>
    <x v="3"/>
    <m/>
    <m/>
  </r>
  <r>
    <x v="0"/>
    <x v="1"/>
    <x v="0"/>
    <n v="10026810"/>
    <x v="1"/>
    <x v="2"/>
    <d v="2025-06-13T00:00:00"/>
    <s v="Dólares"/>
    <n v="54512.22"/>
    <s v="EURO LINDORA FA S.A"/>
    <x v="5"/>
    <m/>
    <m/>
  </r>
  <r>
    <x v="0"/>
    <x v="3"/>
    <x v="2"/>
    <n v="10026566"/>
    <x v="1"/>
    <x v="3"/>
    <d v="2025-05-13T00:00:00"/>
    <s v="Dólares"/>
    <n v="378.79893700787397"/>
    <s v="Universidad de Costa Rica"/>
    <x v="0"/>
    <m/>
    <m/>
  </r>
  <r>
    <x v="3"/>
    <x v="3"/>
    <x v="1"/>
    <n v="15168"/>
    <x v="1"/>
    <x v="2"/>
    <d v="2025-06-13T00:00:00"/>
    <s v="Dólares"/>
    <n v="53213.98"/>
    <s v="ULTRAPARK DOS SOCIEDAD ANONIMA"/>
    <x v="5"/>
    <m/>
    <m/>
  </r>
  <r>
    <x v="0"/>
    <x v="0"/>
    <x v="0"/>
    <n v="10026576"/>
    <x v="1"/>
    <x v="3"/>
    <d v="2025-05-13T00:00:00"/>
    <s v="Dólares"/>
    <n v="308.95999999999998"/>
    <s v="BRANDON BARRANTES ALVARADO"/>
    <x v="0"/>
    <m/>
    <m/>
  </r>
  <r>
    <x v="0"/>
    <x v="2"/>
    <x v="1"/>
    <m/>
    <x v="1"/>
    <x v="0"/>
    <d v="2025-07-03T00:00:00"/>
    <s v="Dólares"/>
    <n v="51080"/>
    <s v="ZONA FRANCA PARQUE CENTRAL"/>
    <x v="7"/>
    <m/>
    <m/>
  </r>
  <r>
    <x v="0"/>
    <x v="2"/>
    <x v="2"/>
    <m/>
    <x v="1"/>
    <x v="2"/>
    <d v="2025-10-10T00:00:00"/>
    <s v="Dólares"/>
    <n v="51079.14"/>
    <s v="ZONA FRANCA PARQUE COYOL TRES SOCIEDAD DE RESPONSABILIDAD LIMITADA"/>
    <x v="2"/>
    <m/>
    <m/>
  </r>
  <r>
    <x v="0"/>
    <x v="2"/>
    <x v="0"/>
    <n v="10026570"/>
    <x v="1"/>
    <x v="3"/>
    <d v="2025-05-13T00:00:00"/>
    <s v="Dólares"/>
    <n v="200"/>
    <s v="INDUSTRIAL LUGUME SOCIEDAD  ANONIMA "/>
    <x v="0"/>
    <m/>
    <m/>
  </r>
  <r>
    <x v="0"/>
    <x v="1"/>
    <x v="1"/>
    <n v="10026565"/>
    <x v="1"/>
    <x v="3"/>
    <d v="2025-05-14T00:00:00"/>
    <s v="Dólares"/>
    <n v="500000"/>
    <s v="CIELO NUNCIATURA"/>
    <x v="0"/>
    <m/>
    <m/>
  </r>
  <r>
    <x v="0"/>
    <x v="1"/>
    <x v="0"/>
    <m/>
    <x v="1"/>
    <x v="4"/>
    <d v="2025-05-23T00:00:00"/>
    <s v="Dólares"/>
    <n v="50000"/>
    <s v="GUACHIPELIN"/>
    <x v="0"/>
    <m/>
    <m/>
  </r>
  <r>
    <x v="0"/>
    <x v="1"/>
    <x v="0"/>
    <n v="10026764"/>
    <x v="1"/>
    <x v="0"/>
    <d v="2025-06-06T00:00:00"/>
    <s v="Dólares"/>
    <n v="50000"/>
    <s v="Guachipelin Estate Trescientos Diez  SA"/>
    <x v="5"/>
    <m/>
    <m/>
  </r>
  <r>
    <x v="0"/>
    <x v="1"/>
    <x v="2"/>
    <m/>
    <x v="1"/>
    <x v="4"/>
    <d v="2025-06-24T00:00:00"/>
    <s v="Dólares"/>
    <n v="50000"/>
    <s v="Guachipelin Estate Trescientos Diez  SA"/>
    <x v="5"/>
    <m/>
    <m/>
  </r>
  <r>
    <x v="0"/>
    <x v="0"/>
    <x v="0"/>
    <m/>
    <x v="1"/>
    <x v="3"/>
    <d v="2025-05-14T00:00:00"/>
    <s v="Dólares"/>
    <n v="3000"/>
    <s v="3-101-795629 SOCIEDAD ANONIMA"/>
    <x v="0"/>
    <m/>
    <m/>
  </r>
  <r>
    <x v="0"/>
    <x v="2"/>
    <x v="1"/>
    <m/>
    <x v="1"/>
    <x v="0"/>
    <d v="2025-08-01T00:00:00"/>
    <s v="Dólares"/>
    <n v="50000"/>
    <s v="ALMACENES EL REY"/>
    <x v="1"/>
    <m/>
    <m/>
  </r>
  <r>
    <x v="0"/>
    <x v="3"/>
    <x v="0"/>
    <m/>
    <x v="1"/>
    <x v="0"/>
    <d v="2025-08-01T00:00:00"/>
    <s v="Dólares"/>
    <n v="50000"/>
    <s v="CONTRACT WORKPLACES - KRAFT HEINZ"/>
    <x v="1"/>
    <m/>
    <m/>
  </r>
  <r>
    <x v="0"/>
    <x v="2"/>
    <x v="2"/>
    <m/>
    <x v="0"/>
    <x v="3"/>
    <d v="2025-05-15T00:00:00"/>
    <s v="Dólares"/>
    <n v="7181.47"/>
    <s v="Cooperativa de Productores de leche Dos PinosR L"/>
    <x v="0"/>
    <s v="NO"/>
    <m/>
  </r>
  <r>
    <x v="0"/>
    <x v="2"/>
    <x v="2"/>
    <m/>
    <x v="0"/>
    <x v="3"/>
    <d v="2025-05-15T00:00:00"/>
    <s v="Dólares"/>
    <n v="3333.89"/>
    <s v="Cooperativa de Productores de leche Dos PinosR L"/>
    <x v="0"/>
    <s v="NO"/>
    <m/>
  </r>
  <r>
    <x v="0"/>
    <x v="2"/>
    <x v="2"/>
    <m/>
    <x v="0"/>
    <x v="3"/>
    <d v="2025-05-15T00:00:00"/>
    <s v="Dólares"/>
    <n v="11132.13"/>
    <s v="Cooperativa de Productores de leche Dos PinosR L"/>
    <x v="0"/>
    <s v="NO"/>
    <m/>
  </r>
  <r>
    <x v="0"/>
    <x v="2"/>
    <x v="2"/>
    <m/>
    <x v="0"/>
    <x v="3"/>
    <d v="2025-05-15T00:00:00"/>
    <s v="Dólares"/>
    <n v="11417.23"/>
    <s v="Cooperativa de Productores de leche Dos PinosR L"/>
    <x v="0"/>
    <s v="NO"/>
    <m/>
  </r>
  <r>
    <x v="0"/>
    <x v="3"/>
    <x v="0"/>
    <m/>
    <x v="1"/>
    <x v="2"/>
    <d v="2025-08-12T00:00:00"/>
    <s v="Dólares"/>
    <n v="50000"/>
    <s v="P Y P CONSTRUCCIONES SOCIEDAD ANONIMA"/>
    <x v="1"/>
    <m/>
    <m/>
  </r>
  <r>
    <x v="0"/>
    <x v="3"/>
    <x v="2"/>
    <m/>
    <x v="1"/>
    <x v="0"/>
    <d v="2025-10-03T00:00:00"/>
    <s v="Dólares"/>
    <n v="50000"/>
    <s v="P Y P CONSTRUCCIONES SOCIEDAD ANONIMA"/>
    <x v="2"/>
    <m/>
    <m/>
  </r>
  <r>
    <x v="1"/>
    <x v="0"/>
    <x v="1"/>
    <m/>
    <x v="1"/>
    <x v="4"/>
    <d v="2025-10-24T00:00:00"/>
    <s v="Dólares"/>
    <n v="50000"/>
    <s v="ALEJANDRO GERARDO VALVERDE MOLINA"/>
    <x v="2"/>
    <m/>
    <m/>
  </r>
  <r>
    <x v="0"/>
    <x v="1"/>
    <x v="2"/>
    <m/>
    <x v="1"/>
    <x v="4"/>
    <d v="2025-12-26T00:00:00"/>
    <s v="Dólares"/>
    <n v="50000"/>
    <s v="EDICA - SKY GARDEN"/>
    <x v="8"/>
    <m/>
    <m/>
  </r>
  <r>
    <x v="0"/>
    <x v="2"/>
    <x v="0"/>
    <m/>
    <x v="0"/>
    <x v="3"/>
    <d v="2025-05-15T00:00:00"/>
    <s v="Dólares"/>
    <n v="1100.81"/>
    <s v="CORPORACION DE SUPERMERCADOS UNIDOS SOCIEDAD DE RESPONSABILIDAD LIMITADA"/>
    <x v="0"/>
    <m/>
    <m/>
  </r>
  <r>
    <x v="0"/>
    <x v="4"/>
    <x v="0"/>
    <m/>
    <x v="1"/>
    <x v="0"/>
    <d v="2025-12-02T00:00:00"/>
    <s v="Dólares"/>
    <n v="49766.06"/>
    <s v="ALTEA G Y E SOCIEDAD ANONIMA."/>
    <x v="8"/>
    <m/>
    <m/>
  </r>
  <r>
    <x v="0"/>
    <x v="2"/>
    <x v="2"/>
    <m/>
    <x v="0"/>
    <x v="3"/>
    <d v="2025-05-15T00:00:00"/>
    <s v="Dólares"/>
    <n v="24104.65"/>
    <s v="Corporacion Frionet S.A"/>
    <x v="0"/>
    <s v="NO"/>
    <m/>
  </r>
  <r>
    <x v="0"/>
    <x v="2"/>
    <x v="2"/>
    <m/>
    <x v="0"/>
    <x v="3"/>
    <d v="2025-05-15T00:00:00"/>
    <s v="Dólares"/>
    <n v="4159.71"/>
    <s v="DISTRIBUIDORA LA FLORIDA S.A."/>
    <x v="0"/>
    <s v="SI"/>
    <m/>
  </r>
  <r>
    <x v="0"/>
    <x v="2"/>
    <x v="2"/>
    <m/>
    <x v="0"/>
    <x v="3"/>
    <d v="2025-05-15T00:00:00"/>
    <s v="Dólares"/>
    <n v="1589.23"/>
    <s v="DISTRIBUIDORA LA FLORIDA S.A."/>
    <x v="0"/>
    <s v="SI"/>
    <m/>
  </r>
  <r>
    <x v="0"/>
    <x v="2"/>
    <x v="0"/>
    <m/>
    <x v="0"/>
    <x v="3"/>
    <d v="2025-05-15T00:00:00"/>
    <s v="Dólares"/>
    <n v="2370.0700000000002"/>
    <s v="EATON ELECTRICAL SRL"/>
    <x v="0"/>
    <s v="NO"/>
    <m/>
  </r>
  <r>
    <x v="0"/>
    <x v="2"/>
    <x v="0"/>
    <m/>
    <x v="0"/>
    <x v="3"/>
    <d v="2025-05-15T00:00:00"/>
    <s v="Dólares"/>
    <n v="236.61"/>
    <s v="INDUSTRIAL LUGUME SOCIEDAD  ANONIMA "/>
    <x v="0"/>
    <s v="SI"/>
    <m/>
  </r>
  <r>
    <x v="0"/>
    <x v="2"/>
    <x v="2"/>
    <m/>
    <x v="0"/>
    <x v="3"/>
    <d v="2025-05-15T00:00:00"/>
    <s v="Dólares"/>
    <n v="4473.92"/>
    <s v="LUTRON CR SOCIEDAD DE RESPONSABILIDAD LIMITADA"/>
    <x v="0"/>
    <m/>
    <m/>
  </r>
  <r>
    <x v="0"/>
    <x v="2"/>
    <x v="0"/>
    <m/>
    <x v="0"/>
    <x v="3"/>
    <d v="2025-05-15T00:00:00"/>
    <s v="Dólares"/>
    <n v="169.46"/>
    <s v="LUTRON CR SOCIEDAD DE RESPONSABILIDAD LIMITADA"/>
    <x v="0"/>
    <m/>
    <m/>
  </r>
  <r>
    <x v="0"/>
    <x v="2"/>
    <x v="0"/>
    <n v="10026765"/>
    <x v="1"/>
    <x v="0"/>
    <d v="2025-06-06T00:00:00"/>
    <s v="Dólares"/>
    <n v="49540.84"/>
    <s v="Fisher Scientific Costa Rica SRL"/>
    <x v="5"/>
    <m/>
    <m/>
  </r>
  <r>
    <x v="0"/>
    <x v="0"/>
    <x v="0"/>
    <n v="10026584"/>
    <x v="1"/>
    <x v="3"/>
    <d v="2025-05-14T00:00:00"/>
    <s v="Dólares"/>
    <n v="1987.91"/>
    <s v="MARIA ALEJANDRA GAMBOA ALVARADO"/>
    <x v="0"/>
    <m/>
    <m/>
  </r>
  <r>
    <x v="0"/>
    <x v="2"/>
    <x v="0"/>
    <n v="10026595"/>
    <x v="1"/>
    <x v="3"/>
    <d v="2025-05-14T00:00:00"/>
    <s v="Dólares"/>
    <n v="407.92"/>
    <s v="CONSTRUCCION Y REDES COSTA RICA SOCIEDAD DE RESPONSABILIDAD"/>
    <x v="0"/>
    <m/>
    <m/>
  </r>
  <r>
    <x v="0"/>
    <x v="1"/>
    <x v="0"/>
    <m/>
    <x v="1"/>
    <x v="4"/>
    <d v="2026-01-30T00:00:00"/>
    <s v="Dólares"/>
    <n v="47828.66"/>
    <s v="EDICA - SKY GARDEN"/>
    <x v="3"/>
    <m/>
    <m/>
  </r>
  <r>
    <x v="0"/>
    <x v="0"/>
    <x v="0"/>
    <m/>
    <x v="1"/>
    <x v="0"/>
    <d v="2026-02-02T00:00:00"/>
    <s v="Dólares"/>
    <n v="1492"/>
    <s v="Randy Varela Cordero"/>
    <x v="6"/>
    <m/>
    <m/>
  </r>
  <r>
    <x v="0"/>
    <x v="0"/>
    <x v="0"/>
    <m/>
    <x v="1"/>
    <x v="0"/>
    <d v="2026-02-02T00:00:00"/>
    <s v="Dólares"/>
    <n v="902.3"/>
    <s v="PURA VIDA ESPAIS"/>
    <x v="6"/>
    <m/>
    <m/>
  </r>
  <r>
    <x v="1"/>
    <x v="0"/>
    <x v="0"/>
    <m/>
    <x v="1"/>
    <x v="0"/>
    <d v="2025-08-08T00:00:00"/>
    <s v="Dólares"/>
    <n v="47480.61"/>
    <s v="ECODESARROLLO PAPAGAYO LIMITADA"/>
    <x v="1"/>
    <m/>
    <m/>
  </r>
  <r>
    <x v="1"/>
    <x v="0"/>
    <x v="2"/>
    <m/>
    <x v="0"/>
    <x v="3"/>
    <d v="2025-05-16T00:00:00"/>
    <s v="Dólares"/>
    <n v="16799"/>
    <s v="ILSE GRACIELA KOGEL GONZALEZ"/>
    <x v="0"/>
    <s v="NO"/>
    <m/>
  </r>
  <r>
    <x v="0"/>
    <x v="1"/>
    <x v="0"/>
    <m/>
    <x v="0"/>
    <x v="3"/>
    <d v="2025-05-16T00:00:00"/>
    <s v="Dólares"/>
    <n v="28560.240000000002"/>
    <s v="CONOBRA"/>
    <x v="0"/>
    <m/>
    <m/>
  </r>
  <r>
    <x v="0"/>
    <x v="1"/>
    <x v="0"/>
    <m/>
    <x v="0"/>
    <x v="3"/>
    <d v="2025-05-16T00:00:00"/>
    <s v="Dólares"/>
    <n v="65703.81"/>
    <s v="BILCO"/>
    <x v="0"/>
    <m/>
    <m/>
  </r>
  <r>
    <x v="0"/>
    <x v="1"/>
    <x v="0"/>
    <m/>
    <x v="0"/>
    <x v="3"/>
    <d v="2025-05-16T00:00:00"/>
    <s v="Dólares"/>
    <n v="96506.58"/>
    <s v="Euro Lindora"/>
    <x v="0"/>
    <s v="SI"/>
    <m/>
  </r>
  <r>
    <x v="0"/>
    <x v="1"/>
    <x v="0"/>
    <m/>
    <x v="1"/>
    <x v="4"/>
    <d v="2025-10-24T00:00:00"/>
    <s v="Dólares"/>
    <n v="47042"/>
    <s v="EDICA - SKY GARDEN"/>
    <x v="2"/>
    <m/>
    <m/>
  </r>
  <r>
    <x v="3"/>
    <x v="3"/>
    <x v="0"/>
    <n v="15177"/>
    <x v="1"/>
    <x v="0"/>
    <d v="2025-07-01T00:00:00"/>
    <s v="Dólares"/>
    <n v="47034.11"/>
    <s v="ZONA FRANCA COYOL SOCIEDAD ANONIMA"/>
    <x v="7"/>
    <m/>
    <m/>
  </r>
  <r>
    <x v="3"/>
    <x v="3"/>
    <x v="0"/>
    <m/>
    <x v="1"/>
    <x v="2"/>
    <d v="2025-10-09T00:00:00"/>
    <s v="Colones"/>
    <n v="46951.582196078438"/>
    <s v="FLORIDA BEBIDAS"/>
    <x v="2"/>
    <m/>
    <m/>
  </r>
  <r>
    <x v="0"/>
    <x v="1"/>
    <x v="0"/>
    <m/>
    <x v="1"/>
    <x v="4"/>
    <d v="2025-07-23T00:00:00"/>
    <s v="Dólares"/>
    <n v="46443.29"/>
    <s v="VOLIO Y TREJOS ASOCIADOS S.A"/>
    <x v="7"/>
    <m/>
    <m/>
  </r>
  <r>
    <x v="0"/>
    <x v="1"/>
    <x v="1"/>
    <m/>
    <x v="1"/>
    <x v="2"/>
    <d v="2025-10-10T00:00:00"/>
    <s v="Dólares"/>
    <n v="46109.23"/>
    <s v="PANORAMA 270 - PUERTAS"/>
    <x v="2"/>
    <m/>
    <m/>
  </r>
  <r>
    <x v="0"/>
    <x v="0"/>
    <x v="0"/>
    <m/>
    <x v="1"/>
    <x v="0"/>
    <d v="2026-02-02T00:00:00"/>
    <s v="Dólares"/>
    <n v="657"/>
    <s v="Edgardo Morales"/>
    <x v="6"/>
    <m/>
    <m/>
  </r>
  <r>
    <x v="0"/>
    <x v="2"/>
    <x v="1"/>
    <m/>
    <x v="1"/>
    <x v="0"/>
    <d v="2025-07-03T00:00:00"/>
    <s v="Dólares"/>
    <n v="44276"/>
    <s v="FREUDEMBERG MEDICAL"/>
    <x v="7"/>
    <m/>
    <m/>
  </r>
  <r>
    <x v="0"/>
    <x v="2"/>
    <x v="2"/>
    <m/>
    <x v="1"/>
    <x v="0"/>
    <d v="2025-10-03T00:00:00"/>
    <s v="Dólares"/>
    <n v="44275.97"/>
    <s v="FREUDENBERG MEDICAL SOCIEDAD DE RESPONSABILIDAD LIMITADA"/>
    <x v="2"/>
    <m/>
    <m/>
  </r>
  <r>
    <x v="3"/>
    <x v="3"/>
    <x v="1"/>
    <m/>
    <x v="1"/>
    <x v="0"/>
    <d v="2026-02-02T00:00:00"/>
    <s v="Dólares"/>
    <n v="428"/>
    <s v="JORGE BARRANTES OROZCO"/>
    <x v="6"/>
    <m/>
    <m/>
  </r>
  <r>
    <x v="0"/>
    <x v="0"/>
    <x v="0"/>
    <n v="10026585"/>
    <x v="1"/>
    <x v="3"/>
    <d v="2025-05-14T00:00:00"/>
    <s v="Colones"/>
    <n v="350.64173228346459"/>
    <s v="HORACIO JUAN DE LA TRINIDAD CAMPOS VARGAS"/>
    <x v="0"/>
    <m/>
    <m/>
  </r>
  <r>
    <x v="0"/>
    <x v="4"/>
    <x v="0"/>
    <m/>
    <x v="1"/>
    <x v="0"/>
    <d v="2026-01-02T00:00:00"/>
    <s v="Dólares"/>
    <n v="43372.35"/>
    <s v="ALTEA G Y E SOCIEDAD ANONIMA."/>
    <x v="3"/>
    <m/>
    <m/>
  </r>
  <r>
    <x v="0"/>
    <x v="3"/>
    <x v="1"/>
    <m/>
    <x v="1"/>
    <x v="4"/>
    <d v="2025-11-26T00:00:00"/>
    <s v="Dólares"/>
    <n v="42595"/>
    <s v="VOLIO Y TREJOS - AEROPUERTO"/>
    <x v="4"/>
    <m/>
    <m/>
  </r>
  <r>
    <x v="0"/>
    <x v="3"/>
    <x v="0"/>
    <m/>
    <x v="1"/>
    <x v="2"/>
    <d v="2025-07-11T00:00:00"/>
    <s v="Dólares"/>
    <n v="42582.98"/>
    <s v="AUTO REPUESTOS AVENIDA DIEZ S.A."/>
    <x v="7"/>
    <m/>
    <m/>
  </r>
  <r>
    <x v="0"/>
    <x v="0"/>
    <x v="0"/>
    <m/>
    <x v="1"/>
    <x v="3"/>
    <d v="2025-05-14T00:00:00"/>
    <s v="Dólares"/>
    <n v="235.6"/>
    <s v="Diana Isabel Borge Mora"/>
    <x v="0"/>
    <m/>
    <m/>
  </r>
  <r>
    <x v="0"/>
    <x v="2"/>
    <x v="1"/>
    <m/>
    <x v="1"/>
    <x v="0"/>
    <d v="2025-12-03T00:00:00"/>
    <s v="Dólares"/>
    <n v="41937.269999999997"/>
    <s v="ELECTRO PLAST"/>
    <x v="8"/>
    <m/>
    <m/>
  </r>
  <r>
    <x v="0"/>
    <x v="3"/>
    <x v="1"/>
    <m/>
    <x v="0"/>
    <x v="3"/>
    <d v="2025-05-16T00:00:00"/>
    <s v="Dólares"/>
    <n v="6433"/>
    <s v="EVOLUTION FREE ZONE - EDIFICADORA"/>
    <x v="0"/>
    <s v="SI"/>
    <m/>
  </r>
  <r>
    <x v="0"/>
    <x v="3"/>
    <x v="1"/>
    <m/>
    <x v="0"/>
    <x v="3"/>
    <d v="2025-05-16T00:00:00"/>
    <s v="Dólares"/>
    <n v="4801"/>
    <s v="TELEDOLAR"/>
    <x v="0"/>
    <s v="NO"/>
    <m/>
  </r>
  <r>
    <x v="0"/>
    <x v="3"/>
    <x v="1"/>
    <m/>
    <x v="0"/>
    <x v="3"/>
    <d v="2025-05-16T00:00:00"/>
    <s v="Dólares"/>
    <n v="3708"/>
    <s v="COOPENAE "/>
    <x v="0"/>
    <s v="NO"/>
    <m/>
  </r>
  <r>
    <x v="0"/>
    <x v="3"/>
    <x v="0"/>
    <m/>
    <x v="1"/>
    <x v="0"/>
    <d v="2025-10-01T00:00:00"/>
    <s v="Dólares"/>
    <n v="41319.089999999997"/>
    <s v="SAGA INGENIERIA SOCIEDAD ANONIMA"/>
    <x v="2"/>
    <m/>
    <m/>
  </r>
  <r>
    <x v="0"/>
    <x v="1"/>
    <x v="1"/>
    <n v="10026468"/>
    <x v="1"/>
    <x v="0"/>
    <d v="2025-05-02T00:00:00"/>
    <s v="Dólares"/>
    <n v="41024.129999999997"/>
    <s v="3-101-747864 S.A."/>
    <x v="0"/>
    <m/>
    <m/>
  </r>
  <r>
    <x v="3"/>
    <x v="3"/>
    <x v="0"/>
    <m/>
    <x v="1"/>
    <x v="4"/>
    <d v="2026-01-28T00:00:00"/>
    <s v="Dólares"/>
    <n v="40984.32"/>
    <s v="CONTRACT WORK PLACES"/>
    <x v="3"/>
    <m/>
    <m/>
  </r>
  <r>
    <x v="0"/>
    <x v="2"/>
    <x v="0"/>
    <m/>
    <x v="1"/>
    <x v="2"/>
    <d v="2025-11-14T00:00:00"/>
    <s v="Dólares"/>
    <n v="40855.71"/>
    <s v="VIANT COSTA RICA"/>
    <x v="4"/>
    <m/>
    <m/>
  </r>
  <r>
    <x v="0"/>
    <x v="3"/>
    <x v="0"/>
    <n v="10026593"/>
    <x v="1"/>
    <x v="3"/>
    <d v="2025-05-15T00:00:00"/>
    <s v="Dólares"/>
    <n v="71348.08"/>
    <s v="NUCLEO BUSINESS CENTER SOCIEDAD ANONIMA"/>
    <x v="0"/>
    <m/>
    <m/>
  </r>
  <r>
    <x v="1"/>
    <x v="0"/>
    <x v="0"/>
    <m/>
    <x v="1"/>
    <x v="4"/>
    <d v="2025-09-27T00:00:00"/>
    <s v="Dólares"/>
    <n v="40326"/>
    <s v="DESARROLLO Y CONSTRUCCIONES"/>
    <x v="9"/>
    <m/>
    <m/>
  </r>
  <r>
    <x v="0"/>
    <x v="1"/>
    <x v="0"/>
    <m/>
    <x v="1"/>
    <x v="4"/>
    <d v="2025-10-23T00:00:00"/>
    <s v="Dólares"/>
    <n v="40053.97"/>
    <s v="PROPIEDADES DEL RINCON"/>
    <x v="2"/>
    <m/>
    <m/>
  </r>
  <r>
    <x v="3"/>
    <x v="3"/>
    <x v="0"/>
    <m/>
    <x v="0"/>
    <x v="3"/>
    <d v="2025-05-18T00:00:00"/>
    <s v="Dólares"/>
    <n v="36580"/>
    <s v="DISTRIBUIDORA LA FLORIDA S.A."/>
    <x v="0"/>
    <s v="SI"/>
    <m/>
  </r>
  <r>
    <x v="3"/>
    <x v="3"/>
    <x v="0"/>
    <m/>
    <x v="0"/>
    <x v="3"/>
    <d v="2025-05-18T00:00:00"/>
    <s v="Dólares"/>
    <n v="30510"/>
    <s v="DISTRIBUIDORA LA FLORIDA S.A."/>
    <x v="0"/>
    <s v="SI"/>
    <m/>
  </r>
  <r>
    <x v="0"/>
    <x v="0"/>
    <x v="1"/>
    <m/>
    <x v="0"/>
    <x v="3"/>
    <d v="2025-05-18T00:00:00"/>
    <s v="Dólares"/>
    <n v="17000"/>
    <s v="Clientes Nuevos"/>
    <x v="0"/>
    <s v="NO"/>
    <m/>
  </r>
  <r>
    <x v="0"/>
    <x v="0"/>
    <x v="0"/>
    <m/>
    <x v="0"/>
    <x v="3"/>
    <d v="2025-05-18T00:00:00"/>
    <s v="Dólares"/>
    <n v="67000"/>
    <s v="Clientes Nuevos"/>
    <x v="0"/>
    <s v="NO"/>
    <m/>
  </r>
  <r>
    <x v="1"/>
    <x v="0"/>
    <x v="1"/>
    <m/>
    <x v="0"/>
    <x v="3"/>
    <d v="2025-05-18T00:00:00"/>
    <s v="Dólares"/>
    <n v="2000"/>
    <s v="Clientes Nuevos"/>
    <x v="0"/>
    <s v="NO"/>
    <m/>
  </r>
  <r>
    <x v="1"/>
    <x v="0"/>
    <x v="0"/>
    <m/>
    <x v="0"/>
    <x v="3"/>
    <d v="2025-05-18T00:00:00"/>
    <s v="Dólares"/>
    <n v="19000"/>
    <s v="Clientes Nuevos"/>
    <x v="0"/>
    <s v="NO"/>
    <m/>
  </r>
  <r>
    <x v="2"/>
    <x v="3"/>
    <x v="0"/>
    <m/>
    <x v="0"/>
    <x v="3"/>
    <d v="2025-05-18T00:00:00"/>
    <s v="Dólares"/>
    <n v="20000"/>
    <s v="Outlet semana 3"/>
    <x v="0"/>
    <m/>
    <m/>
  </r>
  <r>
    <x v="0"/>
    <x v="3"/>
    <x v="2"/>
    <m/>
    <x v="0"/>
    <x v="3"/>
    <d v="2025-05-18T00:00:00"/>
    <s v="Dólares"/>
    <n v="9550"/>
    <s v="CONICO, CONSULTORIA INTEGRAL DE LA CONSTRUCCION, SOCIEDAD ANONIMA"/>
    <x v="0"/>
    <s v="NO"/>
    <m/>
  </r>
  <r>
    <x v="3"/>
    <x v="3"/>
    <x v="0"/>
    <m/>
    <x v="0"/>
    <x v="3"/>
    <d v="2025-05-18T00:00:00"/>
    <s v="Dólares"/>
    <n v="4953.6000000000004"/>
    <s v="CONSTRUCTORA NAVARRO Y AVILES SOCIEDAD ANONIMA"/>
    <x v="0"/>
    <s v="NO"/>
    <m/>
  </r>
  <r>
    <x v="0"/>
    <x v="1"/>
    <x v="0"/>
    <n v="10026931"/>
    <x v="1"/>
    <x v="4"/>
    <d v="2025-06-27T00:00:00"/>
    <s v="Dólares"/>
    <n v="40000"/>
    <s v="EDICA LIMITADA - TORRE VELO"/>
    <x v="5"/>
    <m/>
    <m/>
  </r>
  <r>
    <x v="0"/>
    <x v="2"/>
    <x v="2"/>
    <m/>
    <x v="1"/>
    <x v="2"/>
    <d v="2025-09-08T00:00:00"/>
    <s v="Dólares"/>
    <n v="39904.880000000005"/>
    <s v="PRICESMART GUATEMALA"/>
    <x v="9"/>
    <m/>
    <m/>
  </r>
  <r>
    <x v="0"/>
    <x v="2"/>
    <x v="0"/>
    <m/>
    <x v="0"/>
    <x v="4"/>
    <d v="2025-05-19T00:00:00"/>
    <s v="Dólares"/>
    <n v="285.58999999999997"/>
    <s v="CORPORACION DE SUPERMERCADOS UNIDOS SOCIEDAD DE RESPONSABILIDAD LIMITADA"/>
    <x v="0"/>
    <m/>
    <m/>
  </r>
  <r>
    <x v="0"/>
    <x v="2"/>
    <x v="0"/>
    <m/>
    <x v="0"/>
    <x v="4"/>
    <d v="2025-05-19T00:00:00"/>
    <s v="Dólares"/>
    <n v="24555.919999999998"/>
    <s v="Corporacion de Supermercados Unidos SRL"/>
    <x v="0"/>
    <s v="NO"/>
    <m/>
  </r>
  <r>
    <x v="3"/>
    <x v="3"/>
    <x v="1"/>
    <m/>
    <x v="1"/>
    <x v="0"/>
    <d v="2025-08-08T00:00:00"/>
    <s v="Dólares"/>
    <n v="39640.449999999997"/>
    <s v="CR HOY - ADELANTO"/>
    <x v="1"/>
    <m/>
    <m/>
  </r>
  <r>
    <x v="0"/>
    <x v="1"/>
    <x v="0"/>
    <n v="10026655"/>
    <x v="1"/>
    <x v="4"/>
    <d v="2025-05-23T00:00:00"/>
    <s v="Dólares"/>
    <n v="39486.980000000003"/>
    <s v="Residencias Vista  la Vita"/>
    <x v="0"/>
    <m/>
    <m/>
  </r>
  <r>
    <x v="3"/>
    <x v="3"/>
    <x v="1"/>
    <m/>
    <x v="1"/>
    <x v="0"/>
    <d v="2025-11-05T00:00:00"/>
    <s v="Dólares"/>
    <n v="39394.44"/>
    <s v="BILCO COSTA RICA S.A."/>
    <x v="4"/>
    <m/>
    <m/>
  </r>
  <r>
    <x v="3"/>
    <x v="3"/>
    <x v="0"/>
    <m/>
    <x v="1"/>
    <x v="4"/>
    <d v="2025-08-29T00:00:00"/>
    <s v="Dólares"/>
    <n v="39000"/>
    <s v="CONICO CONSTRUCTORA - CCPP CORREDORES"/>
    <x v="1"/>
    <m/>
    <m/>
  </r>
  <r>
    <x v="0"/>
    <x v="2"/>
    <x v="0"/>
    <m/>
    <x v="1"/>
    <x v="2"/>
    <d v="2025-09-09T00:00:00"/>
    <s v="Dólares"/>
    <n v="38715"/>
    <s v="GRUPO BM"/>
    <x v="9"/>
    <m/>
    <m/>
  </r>
  <r>
    <x v="0"/>
    <x v="3"/>
    <x v="0"/>
    <n v="10026514"/>
    <x v="1"/>
    <x v="2"/>
    <d v="2025-05-08T00:00:00"/>
    <s v="Dólares"/>
    <n v="38549.519999999997"/>
    <s v="MICROVENTION COSTA RICA SRL"/>
    <x v="0"/>
    <m/>
    <m/>
  </r>
  <r>
    <x v="0"/>
    <x v="1"/>
    <x v="0"/>
    <n v="10026727"/>
    <x v="1"/>
    <x v="1"/>
    <d v="2025-05-30T00:00:00"/>
    <s v="Dólares"/>
    <n v="38385.839999999997"/>
    <s v="3-101-747864 S.A."/>
    <x v="0"/>
    <m/>
    <m/>
  </r>
  <r>
    <x v="3"/>
    <x v="3"/>
    <x v="2"/>
    <n v="15145"/>
    <x v="1"/>
    <x v="3"/>
    <d v="2025-05-15T00:00:00"/>
    <s v="Dólares"/>
    <n v="26284.34"/>
    <s v="CENTRO COMERCIAL MULTIPLAZA SOCIEDAD ANONIMA"/>
    <x v="0"/>
    <m/>
    <m/>
  </r>
  <r>
    <x v="0"/>
    <x v="1"/>
    <x v="0"/>
    <n v="10026996"/>
    <x v="1"/>
    <x v="0"/>
    <d v="2025-07-03T00:00:00"/>
    <s v="Dólares"/>
    <n v="38223.39"/>
    <s v="VOLIO Y TREJOS ASOCIADOS"/>
    <x v="7"/>
    <m/>
    <m/>
  </r>
  <r>
    <x v="0"/>
    <x v="4"/>
    <x v="2"/>
    <m/>
    <x v="1"/>
    <x v="0"/>
    <d v="2025-10-02T00:00:00"/>
    <s v="Dólares"/>
    <n v="38113.769999999997"/>
    <s v="SIN IDENTIFICAR - ALTEA"/>
    <x v="2"/>
    <m/>
    <m/>
  </r>
  <r>
    <x v="0"/>
    <x v="4"/>
    <x v="0"/>
    <m/>
    <x v="1"/>
    <x v="1"/>
    <d v="2025-10-31T00:00:00"/>
    <s v="Dólares"/>
    <n v="37793.68"/>
    <s v="SIN IDENTIFICAR - ALTEA"/>
    <x v="2"/>
    <m/>
    <m/>
  </r>
  <r>
    <x v="0"/>
    <x v="3"/>
    <x v="0"/>
    <m/>
    <x v="1"/>
    <x v="0"/>
    <d v="2025-11-06T00:00:00"/>
    <s v="Dólares"/>
    <n v="37417.68"/>
    <s v="TORRE PARQUE DEL PERU SOCIEDAD ANONIMA"/>
    <x v="4"/>
    <m/>
    <m/>
  </r>
  <r>
    <x v="0"/>
    <x v="3"/>
    <x v="2"/>
    <m/>
    <x v="1"/>
    <x v="0"/>
    <d v="2025-08-01T00:00:00"/>
    <s v="Dólares"/>
    <n v="36955.870000000003"/>
    <s v="EDICA - COCA COLA"/>
    <x v="1"/>
    <m/>
    <m/>
  </r>
  <r>
    <x v="0"/>
    <x v="1"/>
    <x v="0"/>
    <m/>
    <x v="1"/>
    <x v="0"/>
    <d v="2025-09-04T00:00:00"/>
    <s v="Dólares"/>
    <n v="36850"/>
    <s v="PROPIEDADES EL RINCÓN DE LOS SUEÑOS S.A"/>
    <x v="9"/>
    <m/>
    <m/>
  </r>
  <r>
    <x v="0"/>
    <x v="0"/>
    <x v="0"/>
    <n v="10028424"/>
    <x v="1"/>
    <x v="0"/>
    <d v="2026-02-02T00:00:00"/>
    <s v="Dólares"/>
    <n v="355.33"/>
    <s v="ERP CONSULTING GRUOP S.A"/>
    <x v="6"/>
    <m/>
    <m/>
  </r>
  <r>
    <x v="3"/>
    <x v="3"/>
    <x v="0"/>
    <m/>
    <x v="1"/>
    <x v="4"/>
    <d v="2025-11-26T00:00:00"/>
    <s v="Dólares"/>
    <n v="36668.5"/>
    <s v="BAC SAN JOSE"/>
    <x v="4"/>
    <m/>
    <m/>
  </r>
  <r>
    <x v="0"/>
    <x v="2"/>
    <x v="1"/>
    <n v="10026618"/>
    <x v="1"/>
    <x v="3"/>
    <d v="2025-05-15T00:00:00"/>
    <s v="Dólares"/>
    <n v="21523.66"/>
    <s v="PRIME LOGISTICS  SEM - 2 ( MY)"/>
    <x v="0"/>
    <m/>
    <m/>
  </r>
  <r>
    <x v="0"/>
    <x v="4"/>
    <x v="0"/>
    <m/>
    <x v="1"/>
    <x v="0"/>
    <d v="2025-11-04T00:00:00"/>
    <s v="Dólares"/>
    <n v="36160"/>
    <s v="VERTICE ALQUILERES"/>
    <x v="4"/>
    <m/>
    <m/>
  </r>
  <r>
    <x v="0"/>
    <x v="3"/>
    <x v="0"/>
    <m/>
    <x v="1"/>
    <x v="0"/>
    <d v="2025-09-01T00:00:00"/>
    <s v="Colones"/>
    <n v="35942.319607843136"/>
    <s v="COMPAÑIA NACIONAL DE FUERZA Y LUZ"/>
    <x v="9"/>
    <m/>
    <m/>
  </r>
  <r>
    <x v="3"/>
    <x v="3"/>
    <x v="2"/>
    <m/>
    <x v="1"/>
    <x v="4"/>
    <d v="2025-07-23T00:00:00"/>
    <s v="Dólares"/>
    <n v="35715"/>
    <s v="ROCHE SERVICES AMERICAS SOCIEDAD DE RESPONSABILIDAD LIMITADA"/>
    <x v="7"/>
    <m/>
    <m/>
  </r>
  <r>
    <x v="3"/>
    <x v="3"/>
    <x v="0"/>
    <n v="15162"/>
    <x v="1"/>
    <x v="0"/>
    <d v="2025-06-05T00:00:00"/>
    <s v="Dólares"/>
    <n v="35576.93"/>
    <s v="CONTRACT WORKPLACES COSTA RICA SOCIEDAD ANONIMA"/>
    <x v="5"/>
    <m/>
    <m/>
  </r>
  <r>
    <x v="0"/>
    <x v="1"/>
    <x v="0"/>
    <m/>
    <x v="1"/>
    <x v="0"/>
    <d v="2025-11-07T00:00:00"/>
    <s v="Dólares"/>
    <n v="35115.43"/>
    <s v="3-101-820946"/>
    <x v="4"/>
    <m/>
    <m/>
  </r>
  <r>
    <x v="1"/>
    <x v="0"/>
    <x v="0"/>
    <n v="10820"/>
    <x v="1"/>
    <x v="0"/>
    <d v="2025-11-07T00:00:00"/>
    <s v="Dólares"/>
    <n v="35000"/>
    <s v="STEPHANIE KENNEDY"/>
    <x v="4"/>
    <m/>
    <m/>
  </r>
  <r>
    <x v="3"/>
    <x v="3"/>
    <x v="0"/>
    <m/>
    <x v="1"/>
    <x v="4"/>
    <d v="2025-11-26T00:00:00"/>
    <s v="Dólares"/>
    <n v="34937.57"/>
    <s v="BAC SAN JOSE"/>
    <x v="4"/>
    <m/>
    <m/>
  </r>
  <r>
    <x v="0"/>
    <x v="2"/>
    <x v="0"/>
    <m/>
    <x v="1"/>
    <x v="4"/>
    <d v="2025-09-26T00:00:00"/>
    <s v="Colones"/>
    <n v="34930.071254901959"/>
    <s v="BRIDGESTONE DE COSTA RICA SOCIEDAD ANONIMA"/>
    <x v="9"/>
    <m/>
    <m/>
  </r>
  <r>
    <x v="2"/>
    <x v="3"/>
    <x v="0"/>
    <m/>
    <x v="1"/>
    <x v="4"/>
    <d v="2025-11-28T00:00:00"/>
    <s v="Dólares"/>
    <n v="34907.49"/>
    <s v="SEMANA 04 NOVIEMBRE EXPRESS"/>
    <x v="4"/>
    <m/>
    <m/>
  </r>
  <r>
    <x v="0"/>
    <x v="1"/>
    <x v="2"/>
    <n v="10026658"/>
    <x v="1"/>
    <x v="4"/>
    <d v="2025-05-23T00:00:00"/>
    <s v="Dólares"/>
    <n v="34344"/>
    <s v="Euro Nasara"/>
    <x v="0"/>
    <m/>
    <m/>
  </r>
  <r>
    <x v="0"/>
    <x v="0"/>
    <x v="0"/>
    <m/>
    <x v="1"/>
    <x v="3"/>
    <d v="2025-05-15T00:00:00"/>
    <s v="Dólares"/>
    <n v="18550"/>
    <s v="OSWALDO JOSE ALVAREZ VELASQUEZ"/>
    <x v="0"/>
    <m/>
    <m/>
  </r>
  <r>
    <x v="0"/>
    <x v="1"/>
    <x v="2"/>
    <m/>
    <x v="1"/>
    <x v="4"/>
    <d v="2025-12-26T00:00:00"/>
    <s v="Dólares"/>
    <n v="33881.85"/>
    <s v="EDICA - SKY GARDEN"/>
    <x v="8"/>
    <m/>
    <m/>
  </r>
  <r>
    <x v="0"/>
    <x v="2"/>
    <x v="0"/>
    <m/>
    <x v="1"/>
    <x v="4"/>
    <d v="2025-08-25T00:00:00"/>
    <s v="Colones"/>
    <n v="33479.984313725487"/>
    <s v="COMPAÑIA NACIONAL DE FUERZA Y LUZ"/>
    <x v="1"/>
    <m/>
    <m/>
  </r>
  <r>
    <x v="1"/>
    <x v="0"/>
    <x v="1"/>
    <m/>
    <x v="1"/>
    <x v="2"/>
    <d v="2025-10-11T00:00:00"/>
    <s v="Dólares"/>
    <n v="33432"/>
    <s v="DESARROLLOS Y CONSTRUCCION ALFACO LIMITADA"/>
    <x v="2"/>
    <m/>
    <m/>
  </r>
  <r>
    <x v="0"/>
    <x v="3"/>
    <x v="0"/>
    <n v="10026592"/>
    <x v="1"/>
    <x v="3"/>
    <d v="2025-05-15T00:00:00"/>
    <s v="Dólares"/>
    <n v="8340"/>
    <s v="L L BEAN INC"/>
    <x v="0"/>
    <m/>
    <m/>
  </r>
  <r>
    <x v="0"/>
    <x v="2"/>
    <x v="0"/>
    <m/>
    <x v="1"/>
    <x v="4"/>
    <d v="2025-09-26T00:00:00"/>
    <s v="Dólares"/>
    <n v="32813.32"/>
    <s v="PRICESMART GUATEMALA"/>
    <x v="9"/>
    <m/>
    <m/>
  </r>
  <r>
    <x v="0"/>
    <x v="3"/>
    <x v="2"/>
    <m/>
    <x v="0"/>
    <x v="4"/>
    <d v="2025-05-23T00:00:00"/>
    <s v="Dólares"/>
    <n v="34716.1"/>
    <s v="ROCHE SERVICES AMERICAS SOCIEDAD DE RESPONSABILIDAD LIMITADA"/>
    <x v="0"/>
    <s v="NO"/>
    <m/>
  </r>
  <r>
    <x v="0"/>
    <x v="2"/>
    <x v="0"/>
    <n v="10026524"/>
    <x v="1"/>
    <x v="3"/>
    <d v="2025-05-15T00:00:00"/>
    <s v="Dólares"/>
    <n v="7000"/>
    <s v="MEGALINEAS SOCIEDAD ANONIMA "/>
    <x v="0"/>
    <m/>
    <m/>
  </r>
  <r>
    <x v="0"/>
    <x v="1"/>
    <x v="0"/>
    <m/>
    <x v="0"/>
    <x v="4"/>
    <d v="2025-05-23T00:00:00"/>
    <s v="Dólares"/>
    <n v="107000"/>
    <s v="Euro Nassara"/>
    <x v="0"/>
    <s v="NO"/>
    <n v="34334"/>
  </r>
  <r>
    <x v="0"/>
    <x v="2"/>
    <x v="0"/>
    <m/>
    <x v="0"/>
    <x v="4"/>
    <d v="2025-05-23T00:00:00"/>
    <s v="Dólares"/>
    <n v="848.81"/>
    <s v="EMP INTEL DE COSTA RICA SRL"/>
    <x v="0"/>
    <s v="NO"/>
    <m/>
  </r>
  <r>
    <x v="0"/>
    <x v="2"/>
    <x v="0"/>
    <m/>
    <x v="0"/>
    <x v="4"/>
    <d v="2025-05-23T00:00:00"/>
    <s v="Dólares"/>
    <n v="1668.24"/>
    <s v="EMP INTEL DE COSTA RICA SRL"/>
    <x v="0"/>
    <s v="NO"/>
    <m/>
  </r>
  <r>
    <x v="0"/>
    <x v="1"/>
    <x v="0"/>
    <m/>
    <x v="1"/>
    <x v="0"/>
    <d v="2026-01-09T00:00:00"/>
    <s v="Dólares"/>
    <n v="32514.1"/>
    <s v="PROYECTO MORAVIA ESTE"/>
    <x v="3"/>
    <m/>
    <m/>
  </r>
  <r>
    <x v="0"/>
    <x v="2"/>
    <x v="1"/>
    <n v="10026939"/>
    <x v="1"/>
    <x v="4"/>
    <d v="2025-06-27T00:00:00"/>
    <s v="Dólares"/>
    <n v="32299"/>
    <s v="ABBOTT  31891 SEM 4  ( 31891)"/>
    <x v="5"/>
    <m/>
    <m/>
  </r>
  <r>
    <x v="0"/>
    <x v="0"/>
    <x v="0"/>
    <m/>
    <x v="1"/>
    <x v="2"/>
    <d v="2025-12-09T00:00:00"/>
    <s v="Dólares"/>
    <n v="32060.31"/>
    <s v="VALENCIANO MERCAR"/>
    <x v="8"/>
    <m/>
    <m/>
  </r>
  <r>
    <x v="0"/>
    <x v="3"/>
    <x v="0"/>
    <n v="10026774"/>
    <x v="1"/>
    <x v="2"/>
    <d v="2025-06-09T00:00:00"/>
    <s v="Dólares"/>
    <n v="31933.15"/>
    <s v="CURTISSWRIGHT CONTROLS COSTA RICA SOCIEDAD ANONIMA"/>
    <x v="5"/>
    <m/>
    <m/>
  </r>
  <r>
    <x v="3"/>
    <x v="3"/>
    <x v="2"/>
    <m/>
    <x v="1"/>
    <x v="4"/>
    <d v="2025-06-26T00:00:00"/>
    <s v="Dólares"/>
    <n v="31724.400000000001"/>
    <s v="PARQUE CENTRAL SOCIEDAD ANONIMA"/>
    <x v="5"/>
    <m/>
    <m/>
  </r>
  <r>
    <x v="0"/>
    <x v="2"/>
    <x v="0"/>
    <m/>
    <x v="1"/>
    <x v="2"/>
    <d v="2025-10-10T00:00:00"/>
    <s v="Dólares"/>
    <n v="31637.52"/>
    <s v="DAVIVIENDA LEASING S.A. - COSMAQ"/>
    <x v="2"/>
    <m/>
    <m/>
  </r>
  <r>
    <x v="0"/>
    <x v="2"/>
    <x v="0"/>
    <m/>
    <x v="1"/>
    <x v="2"/>
    <d v="2025-11-13T00:00:00"/>
    <s v="Dólares"/>
    <n v="31566.82"/>
    <s v="MAYCA DISTRIBUIDORES, S.A"/>
    <x v="4"/>
    <m/>
    <m/>
  </r>
  <r>
    <x v="0"/>
    <x v="0"/>
    <x v="0"/>
    <n v="10026586"/>
    <x v="1"/>
    <x v="3"/>
    <d v="2025-05-15T00:00:00"/>
    <s v="Dólares"/>
    <n v="5927.33"/>
    <s v="COMERCIAL BANTE SOCIEDAD ANONIMA"/>
    <x v="0"/>
    <m/>
    <m/>
  </r>
  <r>
    <x v="3"/>
    <x v="3"/>
    <x v="2"/>
    <m/>
    <x v="1"/>
    <x v="2"/>
    <d v="2026-01-12T00:00:00"/>
    <s v="Dólares"/>
    <n v="31156.74"/>
    <s v="HOSPEDAJE AEROPUERTO"/>
    <x v="3"/>
    <m/>
    <m/>
  </r>
  <r>
    <x v="0"/>
    <x v="0"/>
    <x v="0"/>
    <m/>
    <x v="1"/>
    <x v="3"/>
    <d v="2025-05-15T00:00:00"/>
    <s v="Dólares"/>
    <n v="4627.7"/>
    <s v="JACOB JOSEPH STRIKOWSKI"/>
    <x v="0"/>
    <m/>
    <m/>
  </r>
  <r>
    <x v="0"/>
    <x v="0"/>
    <x v="0"/>
    <n v="10026587"/>
    <x v="1"/>
    <x v="3"/>
    <d v="2025-05-15T00:00:00"/>
    <s v="Dólares"/>
    <n v="3000"/>
    <s v="COMERCIAL BANTE SOCIEDAD ANONIMA"/>
    <x v="0"/>
    <m/>
    <m/>
  </r>
  <r>
    <x v="0"/>
    <x v="3"/>
    <x v="2"/>
    <m/>
    <x v="1"/>
    <x v="2"/>
    <d v="2026-01-16T00:00:00"/>
    <s v="Dólares"/>
    <n v="30834.19"/>
    <s v="UNED - ATENAS"/>
    <x v="3"/>
    <m/>
    <m/>
  </r>
  <r>
    <x v="0"/>
    <x v="0"/>
    <x v="0"/>
    <m/>
    <x v="1"/>
    <x v="3"/>
    <d v="2025-05-15T00:00:00"/>
    <s v="Colones"/>
    <n v="1968.5039370078741"/>
    <s v="LILLIAM ESCALANTE ARAUZ"/>
    <x v="0"/>
    <m/>
    <m/>
  </r>
  <r>
    <x v="0"/>
    <x v="1"/>
    <x v="0"/>
    <n v="10026612"/>
    <x v="1"/>
    <x v="3"/>
    <d v="2025-05-16T00:00:00"/>
    <s v="Dólares"/>
    <n v="96505.57"/>
    <s v="Euro Lindora"/>
    <x v="0"/>
    <m/>
    <m/>
  </r>
  <r>
    <x v="0"/>
    <x v="3"/>
    <x v="2"/>
    <n v="10026604"/>
    <x v="1"/>
    <x v="3"/>
    <d v="2025-05-16T00:00:00"/>
    <s v="Dólares"/>
    <n v="93750"/>
    <s v="CONSTRUCTORA GONZALO DELGADO SOCIEDAD ANONIMA (CCSS NARANJO)"/>
    <x v="0"/>
    <m/>
    <m/>
  </r>
  <r>
    <x v="3"/>
    <x v="3"/>
    <x v="1"/>
    <m/>
    <x v="0"/>
    <x v="4"/>
    <d v="2025-05-23T00:00:00"/>
    <s v="Dólares"/>
    <n v="3878"/>
    <s v="CONTRACT WORKPLACES COSTA RICA SOCIEDAD ANONIMA - ULATINA"/>
    <x v="0"/>
    <s v="NO"/>
    <m/>
  </r>
  <r>
    <x v="0"/>
    <x v="3"/>
    <x v="1"/>
    <m/>
    <x v="0"/>
    <x v="4"/>
    <d v="2025-05-23T00:00:00"/>
    <s v="Dólares"/>
    <n v="3712"/>
    <s v="CONTRACT WORKPLACES COSTA RICA SOCIEDAD ANONIMA - EPIC HERBALIFE"/>
    <x v="0"/>
    <s v="NO"/>
    <m/>
  </r>
  <r>
    <x v="0"/>
    <x v="1"/>
    <x v="2"/>
    <m/>
    <x v="1"/>
    <x v="4"/>
    <d v="2025-07-24T00:00:00"/>
    <s v="Dólares"/>
    <n v="30303.93"/>
    <s v="EDICA - TORRE VELO"/>
    <x v="7"/>
    <m/>
    <m/>
  </r>
  <r>
    <x v="0"/>
    <x v="0"/>
    <x v="0"/>
    <m/>
    <x v="1"/>
    <x v="1"/>
    <d v="2025-07-28T00:00:00"/>
    <s v="Dólares"/>
    <n v="30282.639999999999"/>
    <s v="ELKE MARIA STEINVORTH - JENIZARO CRIOLLO"/>
    <x v="7"/>
    <m/>
    <m/>
  </r>
  <r>
    <x v="0"/>
    <x v="1"/>
    <x v="0"/>
    <n v="10026590"/>
    <x v="1"/>
    <x v="3"/>
    <d v="2025-05-16T00:00:00"/>
    <s v="Dólares"/>
    <n v="49310.35"/>
    <s v="VOLIO Y TREJOS ASOCIADOS S.A."/>
    <x v="0"/>
    <m/>
    <m/>
  </r>
  <r>
    <x v="0"/>
    <x v="0"/>
    <x v="1"/>
    <m/>
    <x v="0"/>
    <x v="4"/>
    <d v="2025-05-25T00:00:00"/>
    <s v="Dólares"/>
    <n v="18000"/>
    <s v="Clientes Nuevos"/>
    <x v="0"/>
    <s v="NO"/>
    <m/>
  </r>
  <r>
    <x v="0"/>
    <x v="0"/>
    <x v="0"/>
    <m/>
    <x v="0"/>
    <x v="4"/>
    <d v="2025-05-25T00:00:00"/>
    <s v="Dólares"/>
    <n v="72000"/>
    <s v="Clientes Nuevos"/>
    <x v="0"/>
    <s v="SI"/>
    <m/>
  </r>
  <r>
    <x v="0"/>
    <x v="0"/>
    <x v="0"/>
    <m/>
    <x v="0"/>
    <x v="4"/>
    <d v="2025-05-25T00:00:00"/>
    <s v="Dólares"/>
    <n v="7000"/>
    <s v="LUXE GREEN PARADISE INC SOCIEDAD DE RESPONSABILIDAD LIMITADA"/>
    <x v="0"/>
    <s v="NO"/>
    <m/>
  </r>
  <r>
    <x v="1"/>
    <x v="0"/>
    <x v="1"/>
    <m/>
    <x v="0"/>
    <x v="4"/>
    <d v="2025-05-25T00:00:00"/>
    <s v="Dólares"/>
    <n v="4000"/>
    <s v="Clientes Nuevos"/>
    <x v="0"/>
    <s v="SI"/>
    <m/>
  </r>
  <r>
    <x v="1"/>
    <x v="0"/>
    <x v="0"/>
    <m/>
    <x v="0"/>
    <x v="4"/>
    <d v="2025-05-25T00:00:00"/>
    <s v="Dólares"/>
    <n v="20000"/>
    <s v="Clientes Nuevos"/>
    <x v="0"/>
    <s v="SI"/>
    <m/>
  </r>
  <r>
    <x v="0"/>
    <x v="1"/>
    <x v="0"/>
    <n v="10026614"/>
    <x v="1"/>
    <x v="3"/>
    <d v="2025-05-16T00:00:00"/>
    <s v="Dólares"/>
    <n v="43894.28"/>
    <s v="3-101-820946 S.A."/>
    <x v="0"/>
    <m/>
    <m/>
  </r>
  <r>
    <x v="0"/>
    <x v="0"/>
    <x v="0"/>
    <m/>
    <x v="1"/>
    <x v="4"/>
    <d v="2025-09-25T00:00:00"/>
    <s v="Dólares"/>
    <n v="30000"/>
    <s v="SIN IDENTIFICAR"/>
    <x v="9"/>
    <m/>
    <m/>
  </r>
  <r>
    <x v="0"/>
    <x v="0"/>
    <x v="0"/>
    <n v="10028426"/>
    <x v="1"/>
    <x v="0"/>
    <d v="2026-02-02T00:00:00"/>
    <s v="Dólares"/>
    <n v="216"/>
    <s v="MARIA GOMEZ MONTALVAN"/>
    <x v="6"/>
    <m/>
    <m/>
  </r>
  <r>
    <x v="0"/>
    <x v="3"/>
    <x v="0"/>
    <m/>
    <x v="1"/>
    <x v="4"/>
    <d v="2025-09-26T00:00:00"/>
    <s v="Dólares"/>
    <n v="29668.04"/>
    <s v="GUACAMAYA"/>
    <x v="9"/>
    <m/>
    <m/>
  </r>
  <r>
    <x v="2"/>
    <x v="3"/>
    <x v="0"/>
    <m/>
    <x v="0"/>
    <x v="4"/>
    <d v="2025-05-25T00:00:00"/>
    <s v="Dólares"/>
    <n v="20000"/>
    <s v="Outlet semana 3"/>
    <x v="0"/>
    <s v="SI"/>
    <m/>
  </r>
  <r>
    <x v="0"/>
    <x v="0"/>
    <x v="2"/>
    <m/>
    <x v="1"/>
    <x v="0"/>
    <d v="2025-08-08T00:00:00"/>
    <s v="Dólares"/>
    <n v="29449"/>
    <s v="CONSTRUCTORA VAN DER LAAT Y JIMENEZ - INACON"/>
    <x v="1"/>
    <m/>
    <m/>
  </r>
  <r>
    <x v="0"/>
    <x v="3"/>
    <x v="2"/>
    <n v="10026603"/>
    <x v="1"/>
    <x v="3"/>
    <d v="2025-05-16T00:00:00"/>
    <s v="Dólares"/>
    <n v="40680.65"/>
    <s v="CONSTRUCTORA GONZALO DELGADO SOCIEDAD ANONIMA (PJ SR)"/>
    <x v="0"/>
    <m/>
    <m/>
  </r>
  <r>
    <x v="0"/>
    <x v="3"/>
    <x v="0"/>
    <m/>
    <x v="1"/>
    <x v="2"/>
    <d v="2025-07-11T00:00:00"/>
    <s v="Dólares"/>
    <n v="29175.360000000001"/>
    <s v="AUTO REPUESTOS AVENIDA DIEZ S.A. (GUACAMAYA)"/>
    <x v="7"/>
    <m/>
    <m/>
  </r>
  <r>
    <x v="3"/>
    <x v="3"/>
    <x v="0"/>
    <n v="15146"/>
    <x v="1"/>
    <x v="3"/>
    <d v="2025-05-16T00:00:00"/>
    <s v="Dólares"/>
    <n v="36580.080000000002"/>
    <s v="DISTRIBUIDORA LA FLORIDA S.A."/>
    <x v="0"/>
    <m/>
    <m/>
  </r>
  <r>
    <x v="0"/>
    <x v="0"/>
    <x v="0"/>
    <n v="10028425"/>
    <x v="1"/>
    <x v="0"/>
    <d v="2026-02-02T00:00:00"/>
    <s v="Colones"/>
    <n v="160.47379032258064"/>
    <s v="ANDRES GARCIA CANO"/>
    <x v="6"/>
    <m/>
    <m/>
  </r>
  <r>
    <x v="3"/>
    <x v="3"/>
    <x v="0"/>
    <m/>
    <x v="1"/>
    <x v="2"/>
    <d v="2025-08-13T00:00:00"/>
    <s v="Dólares"/>
    <n v="28831.62"/>
    <s v="ULTRAPARK"/>
    <x v="1"/>
    <m/>
    <m/>
  </r>
  <r>
    <x v="0"/>
    <x v="1"/>
    <x v="0"/>
    <n v="10026680"/>
    <x v="1"/>
    <x v="1"/>
    <d v="2025-05-28T00:00:00"/>
    <s v="Dólares"/>
    <n v="28560.240000000002"/>
    <s v="CONOBRA"/>
    <x v="0"/>
    <m/>
    <m/>
  </r>
  <r>
    <x v="0"/>
    <x v="1"/>
    <x v="0"/>
    <m/>
    <x v="1"/>
    <x v="2"/>
    <d v="2025-12-10T00:00:00"/>
    <s v="Dólares"/>
    <n v="28533.97"/>
    <s v="FONDO DE INVERSION INMOBILIARIA"/>
    <x v="8"/>
    <m/>
    <m/>
  </r>
  <r>
    <x v="3"/>
    <x v="3"/>
    <x v="0"/>
    <n v="15146"/>
    <x v="1"/>
    <x v="3"/>
    <d v="2025-05-16T00:00:00"/>
    <s v="Dólares"/>
    <n v="30510"/>
    <s v="DISTRIBUIDORA LA FLORIDA S.A."/>
    <x v="0"/>
    <m/>
    <m/>
  </r>
  <r>
    <x v="0"/>
    <x v="1"/>
    <x v="0"/>
    <n v="10026725"/>
    <x v="1"/>
    <x v="1"/>
    <d v="2025-05-30T00:00:00"/>
    <s v="Dólares"/>
    <n v="27804.560000000001"/>
    <s v="PRODEYCO"/>
    <x v="0"/>
    <m/>
    <m/>
  </r>
  <r>
    <x v="0"/>
    <x v="2"/>
    <x v="0"/>
    <m/>
    <x v="1"/>
    <x v="4"/>
    <d v="2025-10-24T00:00:00"/>
    <s v="Dólares"/>
    <n v="27794.04"/>
    <s v="BOSTON CIENTIFIC"/>
    <x v="2"/>
    <m/>
    <m/>
  </r>
  <r>
    <x v="0"/>
    <x v="3"/>
    <x v="2"/>
    <m/>
    <x v="1"/>
    <x v="0"/>
    <d v="2025-11-07T00:00:00"/>
    <s v="Dólares"/>
    <n v="27711.08"/>
    <s v="CONSTRUCTORA GONZALO DELGADO SOCIEDAD ANONIMA - PEÑAS BLANCAS"/>
    <x v="4"/>
    <m/>
    <m/>
  </r>
  <r>
    <x v="1"/>
    <x v="0"/>
    <x v="1"/>
    <m/>
    <x v="1"/>
    <x v="1"/>
    <d v="2025-10-29T00:00:00"/>
    <s v="Dólares"/>
    <n v="27636"/>
    <s v="MCV TRANSPORTE"/>
    <x v="2"/>
    <m/>
    <m/>
  </r>
  <r>
    <x v="0"/>
    <x v="3"/>
    <x v="0"/>
    <n v="10026745"/>
    <x v="1"/>
    <x v="0"/>
    <d v="2025-06-02T00:00:00"/>
    <s v="Colones"/>
    <n v="27284.369803149606"/>
    <s v="CORTE SUPREMA DE JUSTICIA PODER JUDICIAL"/>
    <x v="5"/>
    <m/>
    <m/>
  </r>
  <r>
    <x v="0"/>
    <x v="2"/>
    <x v="0"/>
    <m/>
    <x v="1"/>
    <x v="4"/>
    <d v="2025-11-24T00:00:00"/>
    <s v="Colones"/>
    <n v="26884.624529411765"/>
    <s v="JASEC"/>
    <x v="4"/>
    <m/>
    <m/>
  </r>
  <r>
    <x v="3"/>
    <x v="3"/>
    <x v="1"/>
    <m/>
    <x v="1"/>
    <x v="2"/>
    <d v="2026-01-15T00:00:00"/>
    <s v="Dólares"/>
    <n v="26694"/>
    <s v="CONSTRUCTORA ENRIQUE MUÑOZ S.A."/>
    <x v="3"/>
    <m/>
    <m/>
  </r>
  <r>
    <x v="0"/>
    <x v="3"/>
    <x v="2"/>
    <m/>
    <x v="1"/>
    <x v="4"/>
    <d v="2025-11-27T00:00:00"/>
    <s v="Dólares"/>
    <n v="26529.68"/>
    <s v="BILCO INARI MEDICAL"/>
    <x v="4"/>
    <m/>
    <m/>
  </r>
  <r>
    <x v="0"/>
    <x v="0"/>
    <x v="0"/>
    <m/>
    <x v="1"/>
    <x v="4"/>
    <d v="2026-01-30T00:00:00"/>
    <s v="Dólares"/>
    <n v="26504.1"/>
    <s v="INACON - VANDER LAAT "/>
    <x v="3"/>
    <m/>
    <m/>
  </r>
  <r>
    <x v="0"/>
    <x v="1"/>
    <x v="0"/>
    <m/>
    <x v="1"/>
    <x v="4"/>
    <d v="2025-07-23T00:00:00"/>
    <s v="Dólares"/>
    <n v="26500"/>
    <s v="MAQUINARIA WOODPECKER"/>
    <x v="7"/>
    <m/>
    <m/>
  </r>
  <r>
    <x v="0"/>
    <x v="1"/>
    <x v="0"/>
    <m/>
    <x v="1"/>
    <x v="0"/>
    <d v="2025-08-01T00:00:00"/>
    <s v="Dólares"/>
    <n v="26500"/>
    <s v="MAQUINARIA WOODPECKER"/>
    <x v="1"/>
    <m/>
    <m/>
  </r>
  <r>
    <x v="0"/>
    <x v="1"/>
    <x v="2"/>
    <n v="10026596"/>
    <x v="1"/>
    <x v="3"/>
    <d v="2025-05-16T00:00:00"/>
    <s v="Dólares"/>
    <n v="19428.02"/>
    <s v="Edica"/>
    <x v="0"/>
    <m/>
    <m/>
  </r>
  <r>
    <x v="2"/>
    <x v="3"/>
    <x v="0"/>
    <m/>
    <x v="1"/>
    <x v="3"/>
    <d v="2025-05-16T00:00:00"/>
    <s v="Dólares"/>
    <n v="7301.09"/>
    <s v="PAGO SEMANA 03 OUTLET MAYO"/>
    <x v="0"/>
    <m/>
    <m/>
  </r>
  <r>
    <x v="0"/>
    <x v="3"/>
    <x v="2"/>
    <m/>
    <x v="1"/>
    <x v="0"/>
    <d v="2025-07-03T00:00:00"/>
    <s v="Dólares"/>
    <n v="26415"/>
    <s v="UNIVERSIDAD NACIONAL DE COSTA RICA "/>
    <x v="7"/>
    <m/>
    <m/>
  </r>
  <r>
    <x v="3"/>
    <x v="3"/>
    <x v="1"/>
    <m/>
    <x v="1"/>
    <x v="0"/>
    <d v="2025-09-07T00:00:00"/>
    <s v="Dólares"/>
    <n v="26413.759999999998"/>
    <s v="CONICO, CONSULTORIA INTEGRAL DE LA CONSTRUCCION, SOCIEDAD ANONIMA"/>
    <x v="9"/>
    <m/>
    <m/>
  </r>
  <r>
    <x v="0"/>
    <x v="0"/>
    <x v="0"/>
    <n v="10027602"/>
    <x v="1"/>
    <x v="4"/>
    <d v="2025-09-22T00:00:00"/>
    <s v="Dólares"/>
    <n v="26367.759999999998"/>
    <s v="JENIZARO CRIOLLO LIMITADA"/>
    <x v="9"/>
    <m/>
    <m/>
  </r>
  <r>
    <x v="0"/>
    <x v="1"/>
    <x v="0"/>
    <n v="10026573"/>
    <x v="1"/>
    <x v="3"/>
    <d v="2025-05-16T00:00:00"/>
    <s v="Dólares"/>
    <n v="6764.72"/>
    <s v="T.R. Constructores y Consultores"/>
    <x v="0"/>
    <m/>
    <m/>
  </r>
  <r>
    <x v="3"/>
    <x v="3"/>
    <x v="2"/>
    <n v="15148"/>
    <x v="1"/>
    <x v="3"/>
    <d v="2025-05-16T00:00:00"/>
    <s v="Dólares"/>
    <n v="5000"/>
    <s v="CONICO, CONSULTORIA INTEGRAL DE LA CONSTRUCCION, SOCIEDAD ANONIMA"/>
    <x v="0"/>
    <m/>
    <m/>
  </r>
  <r>
    <x v="0"/>
    <x v="1"/>
    <x v="0"/>
    <m/>
    <x v="1"/>
    <x v="2"/>
    <d v="2025-12-12T00:00:00"/>
    <s v="Dólares"/>
    <n v="25868.52"/>
    <s v="PROYECTO MORAVIA ESTE"/>
    <x v="8"/>
    <m/>
    <m/>
  </r>
  <r>
    <x v="3"/>
    <x v="3"/>
    <x v="2"/>
    <m/>
    <x v="0"/>
    <x v="1"/>
    <d v="2025-05-30T00:00:00"/>
    <s v="Dólares"/>
    <n v="56468.3"/>
    <s v="CONSTRUCTORA GONZALO DELGADO SOCIEDAD ANONIMA"/>
    <x v="0"/>
    <s v="SI"/>
    <m/>
  </r>
  <r>
    <x v="0"/>
    <x v="3"/>
    <x v="2"/>
    <m/>
    <x v="0"/>
    <x v="1"/>
    <d v="2025-05-30T00:00:00"/>
    <s v="Dólares"/>
    <n v="50887.5"/>
    <s v="UNIVERSIDAD ESTATAL A DISTANCIA"/>
    <x v="0"/>
    <s v="NO"/>
    <m/>
  </r>
  <r>
    <x v="3"/>
    <x v="3"/>
    <x v="1"/>
    <m/>
    <x v="0"/>
    <x v="1"/>
    <d v="2025-05-30T00:00:00"/>
    <s v="Dólares"/>
    <n v="31483"/>
    <s v="CONTRACT WORKPLACES COSTA RICA SOCIEDAD ANONIMA - ULATINA"/>
    <x v="0"/>
    <s v="NO"/>
    <m/>
  </r>
  <r>
    <x v="0"/>
    <x v="3"/>
    <x v="2"/>
    <m/>
    <x v="0"/>
    <x v="1"/>
    <d v="2025-05-30T00:00:00"/>
    <s v="Dólares"/>
    <n v="23610"/>
    <s v="CONSTRUCTORA ELISEO VARGAS &amp; ASOCIADOS S.A."/>
    <x v="0"/>
    <s v="NO"/>
    <m/>
  </r>
  <r>
    <x v="0"/>
    <x v="3"/>
    <x v="2"/>
    <m/>
    <x v="0"/>
    <x v="1"/>
    <d v="2025-05-30T00:00:00"/>
    <s v="Dólares"/>
    <n v="22500"/>
    <s v="FEDERACION COSTARRICENSE DE FUTBOL"/>
    <x v="0"/>
    <s v="NO"/>
    <m/>
  </r>
  <r>
    <x v="0"/>
    <x v="3"/>
    <x v="2"/>
    <m/>
    <x v="1"/>
    <x v="4"/>
    <d v="2025-07-21T00:00:00"/>
    <s v="Dólares"/>
    <n v="25867.69"/>
    <s v="COMPANIA CONSTRUCTORA VAN DER LAAT Y JIMENEZ S.A."/>
    <x v="7"/>
    <m/>
    <m/>
  </r>
  <r>
    <x v="3"/>
    <x v="3"/>
    <x v="1"/>
    <n v="15205"/>
    <x v="1"/>
    <x v="0"/>
    <d v="2025-08-07T00:00:00"/>
    <s v="Dólares"/>
    <n v="25775.21"/>
    <s v="BILCO EPSILON"/>
    <x v="1"/>
    <m/>
    <m/>
  </r>
  <r>
    <x v="0"/>
    <x v="0"/>
    <x v="2"/>
    <m/>
    <x v="0"/>
    <x v="1"/>
    <d v="2025-05-30T00:00:00"/>
    <s v="Dólares"/>
    <n v="3000"/>
    <s v="SPC TELECENTINEL SOCIEDAD ANONIMA"/>
    <x v="0"/>
    <s v="NO"/>
    <m/>
  </r>
  <r>
    <x v="0"/>
    <x v="0"/>
    <x v="0"/>
    <m/>
    <x v="0"/>
    <x v="1"/>
    <d v="2025-05-30T00:00:00"/>
    <s v="Dólares"/>
    <n v="10319"/>
    <s v="ELECTROMECANICA PABLO MURILLO SOCIEDAD ANONIMA"/>
    <x v="0"/>
    <s v="NO"/>
    <m/>
  </r>
  <r>
    <x v="0"/>
    <x v="0"/>
    <x v="0"/>
    <m/>
    <x v="0"/>
    <x v="1"/>
    <d v="2025-05-30T00:00:00"/>
    <s v="Dólares"/>
    <n v="17000"/>
    <s v="SAMUEL RABINOVICH DYNER"/>
    <x v="0"/>
    <s v="NO"/>
    <m/>
  </r>
  <r>
    <x v="0"/>
    <x v="0"/>
    <x v="0"/>
    <m/>
    <x v="0"/>
    <x v="1"/>
    <d v="2025-05-30T00:00:00"/>
    <s v="Dólares"/>
    <n v="13380"/>
    <s v="LUXE GREEN PARADISE INC SOCIEDAD DE RESPONSABILIDAD LIMITADA"/>
    <x v="0"/>
    <s v="NO"/>
    <m/>
  </r>
  <r>
    <x v="1"/>
    <x v="0"/>
    <x v="0"/>
    <m/>
    <x v="0"/>
    <x v="1"/>
    <d v="2025-05-30T00:00:00"/>
    <s v="Dólares"/>
    <n v="30000"/>
    <s v="Sense"/>
    <x v="0"/>
    <s v="NO"/>
    <m/>
  </r>
  <r>
    <x v="0"/>
    <x v="1"/>
    <x v="2"/>
    <m/>
    <x v="0"/>
    <x v="1"/>
    <d v="2025-05-30T00:00:00"/>
    <s v="Dólares"/>
    <n v="20944"/>
    <s v="PROYECTO RESIDENCIAL VIVA JACO "/>
    <x v="0"/>
    <m/>
    <m/>
  </r>
  <r>
    <x v="0"/>
    <x v="1"/>
    <x v="2"/>
    <m/>
    <x v="0"/>
    <x v="1"/>
    <d v="2025-05-30T00:00:00"/>
    <s v="Dólares"/>
    <n v="11787.33"/>
    <s v="VOLIO Y TREJOS ASOCIADOS S.A"/>
    <x v="0"/>
    <m/>
    <m/>
  </r>
  <r>
    <x v="0"/>
    <x v="1"/>
    <x v="1"/>
    <m/>
    <x v="0"/>
    <x v="1"/>
    <d v="2025-05-30T00:00:00"/>
    <s v="Dólares"/>
    <n v="500000"/>
    <s v="CIELO NUNCIATURA"/>
    <x v="0"/>
    <s v="SI"/>
    <m/>
  </r>
  <r>
    <x v="2"/>
    <x v="3"/>
    <x v="0"/>
    <m/>
    <x v="1"/>
    <x v="0"/>
    <d v="2025-08-09T00:00:00"/>
    <s v="Dólares"/>
    <n v="25770.43"/>
    <s v="SEMANA 01 AGOSTO EXPRESS"/>
    <x v="1"/>
    <m/>
    <m/>
  </r>
  <r>
    <x v="0"/>
    <x v="3"/>
    <x v="0"/>
    <m/>
    <x v="1"/>
    <x v="0"/>
    <d v="2025-11-07T00:00:00"/>
    <s v="Dólares"/>
    <n v="25733.99"/>
    <s v="GUACAMAYA "/>
    <x v="4"/>
    <m/>
    <m/>
  </r>
  <r>
    <x v="0"/>
    <x v="0"/>
    <x v="0"/>
    <m/>
    <x v="1"/>
    <x v="0"/>
    <d v="2026-02-02T00:00:00"/>
    <s v="Dólares"/>
    <n v="160.18"/>
    <s v="BEATRIZ ELENA ARLEY"/>
    <x v="6"/>
    <m/>
    <m/>
  </r>
  <r>
    <x v="0"/>
    <x v="0"/>
    <x v="0"/>
    <m/>
    <x v="1"/>
    <x v="3"/>
    <d v="2025-05-16T00:00:00"/>
    <s v="Dólares"/>
    <n v="2000"/>
    <s v="XINIA PATRICIA DEL S VEGA GUZMAN"/>
    <x v="0"/>
    <m/>
    <m/>
  </r>
  <r>
    <x v="0"/>
    <x v="1"/>
    <x v="0"/>
    <n v="10026924"/>
    <x v="1"/>
    <x v="4"/>
    <d v="2025-06-26T00:00:00"/>
    <s v="Dólares"/>
    <n v="25346.09"/>
    <s v="VOLIO Y TREJOS ASOCIADOS"/>
    <x v="5"/>
    <m/>
    <m/>
  </r>
  <r>
    <x v="1"/>
    <x v="0"/>
    <x v="0"/>
    <m/>
    <x v="1"/>
    <x v="2"/>
    <d v="2026-01-16T00:00:00"/>
    <s v="Dólares"/>
    <n v="25165"/>
    <s v="P270 MUEBLES"/>
    <x v="3"/>
    <m/>
    <m/>
  </r>
  <r>
    <x v="0"/>
    <x v="0"/>
    <x v="0"/>
    <m/>
    <x v="1"/>
    <x v="2"/>
    <d v="2025-12-12T00:00:00"/>
    <s v="Dólares"/>
    <n v="25150"/>
    <s v="MARIO ADOLFO VARGAS VALVERDE"/>
    <x v="8"/>
    <m/>
    <m/>
  </r>
  <r>
    <x v="2"/>
    <x v="3"/>
    <x v="0"/>
    <m/>
    <x v="0"/>
    <x v="1"/>
    <d v="2025-05-31T00:00:00"/>
    <s v="Dólares"/>
    <n v="20000"/>
    <s v="Outlet semana 4"/>
    <x v="0"/>
    <s v="SI"/>
    <m/>
  </r>
  <r>
    <x v="0"/>
    <x v="0"/>
    <x v="1"/>
    <m/>
    <x v="0"/>
    <x v="1"/>
    <d v="2025-05-31T00:00:00"/>
    <s v="Dólares"/>
    <n v="17000"/>
    <s v="Clientes Nuevos"/>
    <x v="0"/>
    <s v="SI"/>
    <m/>
  </r>
  <r>
    <x v="0"/>
    <x v="0"/>
    <x v="0"/>
    <m/>
    <x v="0"/>
    <x v="1"/>
    <d v="2025-05-31T00:00:00"/>
    <s v="Dólares"/>
    <n v="84000"/>
    <s v="Clientes Nuevos"/>
    <x v="0"/>
    <s v="NO"/>
    <m/>
  </r>
  <r>
    <x v="1"/>
    <x v="0"/>
    <x v="1"/>
    <m/>
    <x v="0"/>
    <x v="1"/>
    <d v="2025-05-31T00:00:00"/>
    <s v="Dólares"/>
    <n v="3000"/>
    <s v="Clientes Nuevos"/>
    <x v="0"/>
    <s v="SI"/>
    <m/>
  </r>
  <r>
    <x v="1"/>
    <x v="0"/>
    <x v="0"/>
    <m/>
    <x v="0"/>
    <x v="1"/>
    <d v="2025-05-31T00:00:00"/>
    <s v="Dólares"/>
    <n v="18000"/>
    <s v="Clientes Nuevos"/>
    <x v="0"/>
    <s v="SI"/>
    <m/>
  </r>
  <r>
    <x v="0"/>
    <x v="2"/>
    <x v="1"/>
    <m/>
    <x v="0"/>
    <x v="1"/>
    <d v="2025-05-31T00:00:00"/>
    <s v="Dólares"/>
    <n v="139481.60000000001"/>
    <s v="BOSTON SCIENTIFIC DE COSTA RICA    31299 SEM 4 (MY)"/>
    <x v="0"/>
    <s v="NO"/>
    <m/>
  </r>
  <r>
    <x v="0"/>
    <x v="2"/>
    <x v="2"/>
    <m/>
    <x v="0"/>
    <x v="1"/>
    <d v="2025-05-31T00:00:00"/>
    <s v="Dólares"/>
    <n v="2905.21"/>
    <s v="Cooperativa de Productores de leche Dos PinosR L"/>
    <x v="0"/>
    <s v="NO"/>
    <m/>
  </r>
  <r>
    <x v="0"/>
    <x v="2"/>
    <x v="2"/>
    <m/>
    <x v="0"/>
    <x v="1"/>
    <d v="2025-05-31T00:00:00"/>
    <s v="Dólares"/>
    <n v="16675.21"/>
    <s v="Cooperativa de Productores de leche Dos PinosR L"/>
    <x v="0"/>
    <s v="NO"/>
    <m/>
  </r>
  <r>
    <x v="0"/>
    <x v="2"/>
    <x v="2"/>
    <m/>
    <x v="0"/>
    <x v="1"/>
    <d v="2025-05-31T00:00:00"/>
    <s v="Dólares"/>
    <n v="8983.9599999999991"/>
    <s v="Cooperativa de Productores de leche Dos PinosR L"/>
    <x v="0"/>
    <s v="NO"/>
    <m/>
  </r>
  <r>
    <x v="0"/>
    <x v="2"/>
    <x v="1"/>
    <m/>
    <x v="0"/>
    <x v="1"/>
    <d v="2025-05-31T00:00:00"/>
    <s v="Dólares"/>
    <n v="38265"/>
    <s v="FARMANOVA  31692  SEM 4 (MY)"/>
    <x v="0"/>
    <s v="NO"/>
    <m/>
  </r>
  <r>
    <x v="0"/>
    <x v="2"/>
    <x v="2"/>
    <m/>
    <x v="0"/>
    <x v="1"/>
    <d v="2025-05-31T00:00:00"/>
    <s v="Dólares"/>
    <n v="2259.0700000000002"/>
    <s v="GRUPO AGROINDUSTRIAL NUMAR S.A."/>
    <x v="0"/>
    <s v="NO"/>
    <m/>
  </r>
  <r>
    <x v="0"/>
    <x v="2"/>
    <x v="1"/>
    <m/>
    <x v="0"/>
    <x v="1"/>
    <d v="2025-05-31T00:00:00"/>
    <s v="Dólares"/>
    <n v="16056.8"/>
    <s v="INDUSTRIAS GAREND SOCIEDAD ANONIMA  31639  SEM 4 (AB)"/>
    <x v="0"/>
    <s v="SI"/>
    <n v="12000"/>
  </r>
  <r>
    <x v="0"/>
    <x v="2"/>
    <x v="2"/>
    <m/>
    <x v="0"/>
    <x v="1"/>
    <d v="2025-05-31T00:00:00"/>
    <s v="Dólares"/>
    <n v="45.2"/>
    <s v="JAVIER ANTONIO RIVAS"/>
    <x v="0"/>
    <m/>
    <m/>
  </r>
  <r>
    <x v="0"/>
    <x v="2"/>
    <x v="1"/>
    <m/>
    <x v="0"/>
    <x v="1"/>
    <d v="2025-05-31T00:00:00"/>
    <s v="Dólares"/>
    <n v="54587"/>
    <s v="MEGA LINEAS MODULA   30890  SEM-4 (MY)"/>
    <x v="0"/>
    <s v="SI"/>
    <n v="7000"/>
  </r>
  <r>
    <x v="0"/>
    <x v="2"/>
    <x v="0"/>
    <m/>
    <x v="0"/>
    <x v="1"/>
    <d v="2025-05-31T00:00:00"/>
    <s v="Dólares"/>
    <n v="16652.09"/>
    <s v="MEGALINEAS SOCIEDAD ANONIMA "/>
    <x v="0"/>
    <s v="SI"/>
    <n v="7000"/>
  </r>
  <r>
    <x v="0"/>
    <x v="2"/>
    <x v="0"/>
    <m/>
    <x v="0"/>
    <x v="1"/>
    <d v="2025-05-31T00:00:00"/>
    <s v="Dólares"/>
    <n v="5128.2"/>
    <s v="NESTLE EL SALVADOR, S.A. DE C.V."/>
    <x v="0"/>
    <m/>
    <m/>
  </r>
  <r>
    <x v="0"/>
    <x v="2"/>
    <x v="2"/>
    <m/>
    <x v="0"/>
    <x v="1"/>
    <d v="2025-05-31T00:00:00"/>
    <s v="Dólares"/>
    <n v="200"/>
    <s v="SWAV CR SOCIEDAD DE RESPONSABILIDAD LIMITADA"/>
    <x v="0"/>
    <m/>
    <m/>
  </r>
  <r>
    <x v="0"/>
    <x v="1"/>
    <x v="0"/>
    <n v="10026613"/>
    <x v="1"/>
    <x v="3"/>
    <d v="2025-05-16T00:00:00"/>
    <s v="Dólares"/>
    <n v="1684.65"/>
    <s v="BHORA FA SOCIEDAD ANONIMA"/>
    <x v="0"/>
    <m/>
    <m/>
  </r>
  <r>
    <x v="1"/>
    <x v="0"/>
    <x v="0"/>
    <m/>
    <x v="1"/>
    <x v="4"/>
    <d v="2025-05-20T00:00:00"/>
    <s v="Dólares"/>
    <n v="25000"/>
    <s v="MCV TRANSPORT OF COSTA RICA S.A"/>
    <x v="0"/>
    <m/>
    <m/>
  </r>
  <r>
    <x v="0"/>
    <x v="1"/>
    <x v="0"/>
    <n v="10026820"/>
    <x v="1"/>
    <x v="2"/>
    <d v="2025-06-13T00:00:00"/>
    <s v="Dólares"/>
    <n v="25000"/>
    <s v="EDICA LIMITADA"/>
    <x v="5"/>
    <m/>
    <m/>
  </r>
  <r>
    <x v="3"/>
    <x v="3"/>
    <x v="0"/>
    <m/>
    <x v="1"/>
    <x v="0"/>
    <d v="2025-08-08T00:00:00"/>
    <s v="Dólares"/>
    <n v="25000"/>
    <s v="CONICO, CONSULTORIA INTEGRAL DE LA CONSTRUCCION, SOCIEDAD ANONIMA"/>
    <x v="1"/>
    <m/>
    <m/>
  </r>
  <r>
    <x v="0"/>
    <x v="1"/>
    <x v="0"/>
    <m/>
    <x v="1"/>
    <x v="0"/>
    <d v="2025-12-05T00:00:00"/>
    <s v="Dólares"/>
    <n v="25000"/>
    <s v="EDICA LIMITADA"/>
    <x v="8"/>
    <m/>
    <m/>
  </r>
  <r>
    <x v="0"/>
    <x v="1"/>
    <x v="0"/>
    <n v="10027056"/>
    <x v="1"/>
    <x v="2"/>
    <d v="2025-07-11T00:00:00"/>
    <s v="Dólares"/>
    <n v="24614.48"/>
    <s v="PROYECTO RESERVA MORAVIA"/>
    <x v="7"/>
    <m/>
    <m/>
  </r>
  <r>
    <x v="0"/>
    <x v="2"/>
    <x v="2"/>
    <m/>
    <x v="1"/>
    <x v="0"/>
    <d v="2026-02-03T00:00:00"/>
    <s v="Dólares"/>
    <n v="126120.92"/>
    <s v="PRICESMART"/>
    <x v="6"/>
    <m/>
    <m/>
  </r>
  <r>
    <x v="0"/>
    <x v="4"/>
    <x v="2"/>
    <m/>
    <x v="1"/>
    <x v="4"/>
    <d v="2025-10-24T00:00:00"/>
    <s v="Dólares"/>
    <n v="24416.97"/>
    <s v="SIN IDENTIFICAR - ALTEA"/>
    <x v="2"/>
    <m/>
    <m/>
  </r>
  <r>
    <x v="0"/>
    <x v="2"/>
    <x v="0"/>
    <m/>
    <x v="1"/>
    <x v="0"/>
    <d v="2025-08-05T00:00:00"/>
    <s v="Dólares"/>
    <n v="24255.55"/>
    <s v="Corporacion Frionet S.A"/>
    <x v="1"/>
    <m/>
    <m/>
  </r>
  <r>
    <x v="0"/>
    <x v="3"/>
    <x v="0"/>
    <m/>
    <x v="1"/>
    <x v="4"/>
    <d v="2025-12-23T00:00:00"/>
    <s v="Colones"/>
    <n v="24165.031470588237"/>
    <s v="COMPAÑÍA NACIONAL DE FUERZA Y LUZ"/>
    <x v="8"/>
    <m/>
    <m/>
  </r>
  <r>
    <x v="0"/>
    <x v="0"/>
    <x v="0"/>
    <m/>
    <x v="1"/>
    <x v="3"/>
    <d v="2025-05-16T00:00:00"/>
    <s v="Dólares"/>
    <n v="1180"/>
    <s v="CARTON WLLIAMS PHILLIPS"/>
    <x v="0"/>
    <m/>
    <m/>
  </r>
  <r>
    <x v="3"/>
    <x v="3"/>
    <x v="0"/>
    <m/>
    <x v="1"/>
    <x v="0"/>
    <d v="2025-09-04T00:00:00"/>
    <s v="Dólares"/>
    <n v="24140"/>
    <s v="BILCO - EPSILON"/>
    <x v="9"/>
    <m/>
    <m/>
  </r>
  <r>
    <x v="0"/>
    <x v="2"/>
    <x v="2"/>
    <m/>
    <x v="1"/>
    <x v="1"/>
    <d v="2025-12-29T00:00:00"/>
    <s v="Dólares"/>
    <n v="24100.31"/>
    <s v="NUEVOS ALMACENES"/>
    <x v="8"/>
    <m/>
    <m/>
  </r>
  <r>
    <x v="0"/>
    <x v="1"/>
    <x v="2"/>
    <m/>
    <x v="1"/>
    <x v="2"/>
    <d v="2025-12-09T00:00:00"/>
    <s v="Dólares"/>
    <n v="23965.55"/>
    <s v="RETENCIONES EUCALIPTO"/>
    <x v="8"/>
    <m/>
    <m/>
  </r>
  <r>
    <x v="1"/>
    <x v="0"/>
    <x v="0"/>
    <m/>
    <x v="1"/>
    <x v="4"/>
    <d v="2025-08-26T00:00:00"/>
    <s v="Dólares"/>
    <n v="23545"/>
    <s v="GQ ARQUITECTOS"/>
    <x v="1"/>
    <m/>
    <m/>
  </r>
  <r>
    <x v="0"/>
    <x v="1"/>
    <x v="0"/>
    <m/>
    <x v="1"/>
    <x v="0"/>
    <d v="2025-10-02T00:00:00"/>
    <s v="Dólares"/>
    <n v="23399.09"/>
    <s v="CAFETOS EUROMOBILIA"/>
    <x v="2"/>
    <m/>
    <m/>
  </r>
  <r>
    <x v="0"/>
    <x v="4"/>
    <x v="0"/>
    <m/>
    <x v="1"/>
    <x v="2"/>
    <d v="2025-11-10T00:00:00"/>
    <s v="Dólares"/>
    <n v="23365.01"/>
    <s v="ALTEA INTERCOMPANY"/>
    <x v="4"/>
    <m/>
    <m/>
  </r>
  <r>
    <x v="0"/>
    <x v="1"/>
    <x v="0"/>
    <m/>
    <x v="1"/>
    <x v="4"/>
    <d v="2025-12-26T00:00:00"/>
    <s v="Dólares"/>
    <n v="23238.29"/>
    <s v="3-101-820946 - UNIKO ESTAPA 3"/>
    <x v="8"/>
    <m/>
    <m/>
  </r>
  <r>
    <x v="3"/>
    <x v="3"/>
    <x v="1"/>
    <m/>
    <x v="1"/>
    <x v="2"/>
    <d v="2025-08-14T00:00:00"/>
    <s v="Dólares"/>
    <n v="22953"/>
    <s v="ULTRAPARK"/>
    <x v="1"/>
    <m/>
    <m/>
  </r>
  <r>
    <x v="0"/>
    <x v="3"/>
    <x v="0"/>
    <m/>
    <x v="1"/>
    <x v="0"/>
    <d v="2025-11-04T00:00:00"/>
    <s v="Dólares"/>
    <n v="22734.83"/>
    <s v="EDIFICADORA CENTROAMERICANA RAPIPAREDES S.A."/>
    <x v="4"/>
    <m/>
    <m/>
  </r>
  <r>
    <x v="3"/>
    <x v="3"/>
    <x v="0"/>
    <m/>
    <x v="1"/>
    <x v="4"/>
    <d v="2025-10-22T00:00:00"/>
    <s v="Colones"/>
    <n v="22725.505392156861"/>
    <s v="DISTRIBUIDORA LA FLORIDA"/>
    <x v="2"/>
    <m/>
    <m/>
  </r>
  <r>
    <x v="0"/>
    <x v="3"/>
    <x v="2"/>
    <n v="10027663"/>
    <x v="1"/>
    <x v="1"/>
    <d v="2025-09-29T00:00:00"/>
    <s v="Dólares"/>
    <n v="22600"/>
    <s v="TELEDOLAR SOCIEDAD ANONIMA"/>
    <x v="9"/>
    <m/>
    <m/>
  </r>
  <r>
    <x v="0"/>
    <x v="4"/>
    <x v="0"/>
    <m/>
    <x v="1"/>
    <x v="4"/>
    <d v="2025-10-24T00:00:00"/>
    <s v="Dólares"/>
    <n v="22600"/>
    <s v="ALQUILER VERTICE"/>
    <x v="2"/>
    <m/>
    <m/>
  </r>
  <r>
    <x v="0"/>
    <x v="4"/>
    <x v="0"/>
    <m/>
    <x v="1"/>
    <x v="2"/>
    <d v="2025-12-12T00:00:00"/>
    <s v="Dólares"/>
    <n v="22600"/>
    <s v="VERTICE INTERCOMPANY"/>
    <x v="8"/>
    <m/>
    <m/>
  </r>
  <r>
    <x v="0"/>
    <x v="4"/>
    <x v="0"/>
    <m/>
    <x v="1"/>
    <x v="2"/>
    <d v="2026-01-16T00:00:00"/>
    <s v="Dólares"/>
    <n v="22600"/>
    <s v="ALQUILER VERTICE"/>
    <x v="3"/>
    <m/>
    <m/>
  </r>
  <r>
    <x v="0"/>
    <x v="2"/>
    <x v="0"/>
    <m/>
    <x v="1"/>
    <x v="2"/>
    <d v="2025-10-09T00:00:00"/>
    <s v="Colones"/>
    <n v="22547.353078431373"/>
    <s v="CORPORACION PIPASA"/>
    <x v="2"/>
    <m/>
    <m/>
  </r>
  <r>
    <x v="0"/>
    <x v="0"/>
    <x v="0"/>
    <m/>
    <x v="1"/>
    <x v="3"/>
    <d v="2025-05-16T00:00:00"/>
    <s v="Dólares"/>
    <n v="1000"/>
    <s v="XINIA PATRICIA DEL S VEGA GUZMAN"/>
    <x v="0"/>
    <m/>
    <m/>
  </r>
  <r>
    <x v="0"/>
    <x v="1"/>
    <x v="1"/>
    <m/>
    <x v="1"/>
    <x v="0"/>
    <d v="2025-11-01T00:00:00"/>
    <s v="Dólares"/>
    <n v="22491.360000000001"/>
    <s v="DESARROLLOS ECOLOGICOS EL CANAL"/>
    <x v="4"/>
    <m/>
    <m/>
  </r>
  <r>
    <x v="1"/>
    <x v="0"/>
    <x v="0"/>
    <n v="10800"/>
    <x v="1"/>
    <x v="0"/>
    <d v="2025-10-02T00:00:00"/>
    <s v="Dólares"/>
    <n v="22440"/>
    <s v="STUDIO TINGO LIMITADA"/>
    <x v="2"/>
    <m/>
    <m/>
  </r>
  <r>
    <x v="2"/>
    <x v="3"/>
    <x v="0"/>
    <m/>
    <x v="1"/>
    <x v="1"/>
    <d v="2025-05-31T00:00:00"/>
    <s v="Dólares"/>
    <n v="22228.46"/>
    <s v="PAGO SEMANA 05 OUTLET MAYO"/>
    <x v="0"/>
    <m/>
    <m/>
  </r>
  <r>
    <x v="3"/>
    <x v="3"/>
    <x v="1"/>
    <n v="15149"/>
    <x v="1"/>
    <x v="3"/>
    <d v="2025-05-16T00:00:00"/>
    <s v="Dólares"/>
    <n v="799.32"/>
    <s v="3-102-896838 SOCIEDAD DE RESPONSABILIDAD LIMITADA *VENTA EN SALA*"/>
    <x v="0"/>
    <m/>
    <m/>
  </r>
  <r>
    <x v="0"/>
    <x v="2"/>
    <x v="1"/>
    <m/>
    <x v="1"/>
    <x v="0"/>
    <d v="2025-07-02T00:00:00"/>
    <s v="Dólares"/>
    <n v="22066.86"/>
    <s v="PRIME LOGISTCS GAG SOCIEDAD ANONIMA - ABBOTT"/>
    <x v="7"/>
    <m/>
    <m/>
  </r>
  <r>
    <x v="0"/>
    <x v="1"/>
    <x v="0"/>
    <n v="10026734"/>
    <x v="1"/>
    <x v="0"/>
    <d v="2025-06-02T00:00:00"/>
    <s v="Dólares"/>
    <n v="21978.26"/>
    <s v="CONOBRA"/>
    <x v="5"/>
    <m/>
    <m/>
  </r>
  <r>
    <x v="0"/>
    <x v="2"/>
    <x v="0"/>
    <n v="10026631"/>
    <x v="1"/>
    <x v="3"/>
    <d v="2025-05-16T00:00:00"/>
    <s v="Dólares"/>
    <n v="506.01"/>
    <s v="I E SOCIEDAD ANONIMA "/>
    <x v="0"/>
    <m/>
    <m/>
  </r>
  <r>
    <x v="0"/>
    <x v="1"/>
    <x v="0"/>
    <m/>
    <x v="1"/>
    <x v="0"/>
    <d v="2026-02-03T00:00:00"/>
    <s v="Dólares"/>
    <n v="4723.63"/>
    <s v="CAFETOS"/>
    <x v="6"/>
    <m/>
    <m/>
  </r>
  <r>
    <x v="0"/>
    <x v="1"/>
    <x v="0"/>
    <m/>
    <x v="1"/>
    <x v="2"/>
    <d v="2025-10-10T00:00:00"/>
    <s v="Dólares"/>
    <n v="21800.13"/>
    <s v="Euro Lindora"/>
    <x v="2"/>
    <m/>
    <m/>
  </r>
  <r>
    <x v="3"/>
    <x v="3"/>
    <x v="0"/>
    <m/>
    <x v="1"/>
    <x v="0"/>
    <d v="2025-11-01T00:00:00"/>
    <s v="Dólares"/>
    <n v="21611.24"/>
    <s v="CONICO CONSTRUCTORA"/>
    <x v="4"/>
    <m/>
    <m/>
  </r>
  <r>
    <x v="0"/>
    <x v="0"/>
    <x v="0"/>
    <m/>
    <x v="1"/>
    <x v="3"/>
    <d v="2025-05-16T00:00:00"/>
    <s v="Dólares"/>
    <n v="199.47"/>
    <s v="Daniela Zúñiga Zamora"/>
    <x v="0"/>
    <m/>
    <m/>
  </r>
  <r>
    <x v="3"/>
    <x v="3"/>
    <x v="2"/>
    <n v="15147"/>
    <x v="1"/>
    <x v="3"/>
    <d v="2025-05-16T00:00:00"/>
    <s v="Dólares"/>
    <n v="96.22"/>
    <s v="SAMTEC INTERCONNECT ASSEMBLY SIA COSTA RICA S.R.L"/>
    <x v="0"/>
    <m/>
    <m/>
  </r>
  <r>
    <x v="0"/>
    <x v="2"/>
    <x v="1"/>
    <m/>
    <x v="1"/>
    <x v="4"/>
    <d v="2025-06-24T00:00:00"/>
    <s v="Dólares"/>
    <n v="20826.849999999999"/>
    <s v="Ayurveda Centroamericana"/>
    <x v="5"/>
    <m/>
    <m/>
  </r>
  <r>
    <x v="0"/>
    <x v="3"/>
    <x v="1"/>
    <m/>
    <x v="1"/>
    <x v="4"/>
    <d v="2025-09-25T00:00:00"/>
    <s v="Dólares"/>
    <n v="20435.91"/>
    <s v="FONDO DE INVERSION INMOBILIARIA LOS CRESTONES - STEWART"/>
    <x v="9"/>
    <m/>
    <m/>
  </r>
  <r>
    <x v="3"/>
    <x v="3"/>
    <x v="0"/>
    <m/>
    <x v="1"/>
    <x v="2"/>
    <d v="2026-01-12T00:00:00"/>
    <s v="Colones"/>
    <n v="20366.133850806455"/>
    <s v="COMPAÑÍA NACIONAL DE FUERZA Y LUZ"/>
    <x v="3"/>
    <m/>
    <m/>
  </r>
  <r>
    <x v="0"/>
    <x v="2"/>
    <x v="0"/>
    <n v="10026606"/>
    <x v="1"/>
    <x v="3"/>
    <d v="2025-05-17T00:00:00"/>
    <s v="Dólares"/>
    <n v="12273.41"/>
    <s v="LA NAPOLI BAJUREÑA, S.A"/>
    <x v="0"/>
    <m/>
    <m/>
  </r>
  <r>
    <x v="4"/>
    <x v="1"/>
    <x v="0"/>
    <n v="37"/>
    <x v="1"/>
    <x v="0"/>
    <d v="2025-08-05T00:00:00"/>
    <s v="Dólares"/>
    <n v="20272.2"/>
    <s v="3-101-721431 S.A."/>
    <x v="1"/>
    <m/>
    <m/>
  </r>
  <r>
    <x v="2"/>
    <x v="3"/>
    <x v="0"/>
    <m/>
    <x v="1"/>
    <x v="4"/>
    <d v="2025-08-31T00:00:00"/>
    <s v="Dólares"/>
    <n v="20246.740000000002"/>
    <s v="SEMANA 04 AGOSTO EXPRESS"/>
    <x v="1"/>
    <m/>
    <m/>
  </r>
  <r>
    <x v="3"/>
    <x v="3"/>
    <x v="1"/>
    <m/>
    <x v="1"/>
    <x v="0"/>
    <d v="2025-11-07T00:00:00"/>
    <s v="Dólares"/>
    <n v="20200.77"/>
    <s v="ACUÑA Y HANSON"/>
    <x v="4"/>
    <m/>
    <m/>
  </r>
  <r>
    <x v="0"/>
    <x v="0"/>
    <x v="0"/>
    <m/>
    <x v="1"/>
    <x v="3"/>
    <d v="2025-05-17T00:00:00"/>
    <s v="Dólares"/>
    <n v="2322.84"/>
    <s v="XINIA PATRICIA DEL S VEGA GUZMAN"/>
    <x v="0"/>
    <m/>
    <m/>
  </r>
  <r>
    <x v="0"/>
    <x v="0"/>
    <x v="0"/>
    <m/>
    <x v="1"/>
    <x v="3"/>
    <d v="2025-05-17T00:00:00"/>
    <s v="Dólares"/>
    <n v="1640"/>
    <s v="3-101-795629 SOCIEDAD ANONIMA"/>
    <x v="0"/>
    <m/>
    <m/>
  </r>
  <r>
    <x v="0"/>
    <x v="0"/>
    <x v="0"/>
    <m/>
    <x v="1"/>
    <x v="3"/>
    <d v="2025-05-17T00:00:00"/>
    <s v="Colones"/>
    <n v="1081.6040354330707"/>
    <s v="Cinthya Cascante Bagnarello"/>
    <x v="0"/>
    <m/>
    <m/>
  </r>
  <r>
    <x v="0"/>
    <x v="1"/>
    <x v="2"/>
    <m/>
    <x v="1"/>
    <x v="2"/>
    <d v="2025-11-13T00:00:00"/>
    <s v="Dólares"/>
    <n v="20000"/>
    <s v="GUACHIPELIN REAL STATE"/>
    <x v="4"/>
    <m/>
    <m/>
  </r>
  <r>
    <x v="0"/>
    <x v="1"/>
    <x v="2"/>
    <m/>
    <x v="1"/>
    <x v="2"/>
    <d v="2025-11-13T00:00:00"/>
    <s v="Dólares"/>
    <n v="20000"/>
    <s v="GUACHIPELIN REAL STATE"/>
    <x v="4"/>
    <m/>
    <m/>
  </r>
  <r>
    <x v="0"/>
    <x v="0"/>
    <x v="0"/>
    <m/>
    <x v="1"/>
    <x v="3"/>
    <d v="2025-06-15T00:00:00"/>
    <s v="Colones"/>
    <n v="502.95078740157481"/>
    <s v="BRYAN GERARDO RODRIGUEZ ARAYA"/>
    <x v="5"/>
    <m/>
    <m/>
  </r>
  <r>
    <x v="0"/>
    <x v="0"/>
    <x v="1"/>
    <m/>
    <x v="1"/>
    <x v="3"/>
    <d v="2025-06-16T00:00:00"/>
    <s v="Dólares"/>
    <n v="5000"/>
    <s v="GREENWAY COCINA"/>
    <x v="5"/>
    <m/>
    <m/>
  </r>
  <r>
    <x v="0"/>
    <x v="3"/>
    <x v="2"/>
    <m/>
    <x v="1"/>
    <x v="4"/>
    <d v="2025-06-26T00:00:00"/>
    <s v="Dólares"/>
    <n v="19811.439999999999"/>
    <s v="FONDO DE INVERSION INMOB LOS CRESTONES"/>
    <x v="5"/>
    <m/>
    <m/>
  </r>
  <r>
    <x v="0"/>
    <x v="0"/>
    <x v="0"/>
    <n v="10027256"/>
    <x v="1"/>
    <x v="0"/>
    <d v="2025-08-07T00:00:00"/>
    <s v="Dólares"/>
    <n v="19550"/>
    <s v="ENRIQUE JOSE ACEVEDO SANDINO"/>
    <x v="1"/>
    <m/>
    <m/>
  </r>
  <r>
    <x v="0"/>
    <x v="0"/>
    <x v="0"/>
    <m/>
    <x v="1"/>
    <x v="1"/>
    <d v="2025-10-31T00:00:00"/>
    <s v="Dólares"/>
    <n v="19550"/>
    <s v="ACEVEDO SANDINO"/>
    <x v="2"/>
    <m/>
    <m/>
  </r>
  <r>
    <x v="0"/>
    <x v="0"/>
    <x v="0"/>
    <m/>
    <x v="1"/>
    <x v="3"/>
    <d v="2025-06-16T00:00:00"/>
    <s v="Dólares"/>
    <n v="5000"/>
    <s v="MARIA ANDREA MOLIGNANO"/>
    <x v="5"/>
    <m/>
    <m/>
  </r>
  <r>
    <x v="0"/>
    <x v="2"/>
    <x v="2"/>
    <n v="10026770"/>
    <x v="1"/>
    <x v="0"/>
    <d v="2025-06-06T00:00:00"/>
    <s v="Dólares"/>
    <n v="19533.77"/>
    <s v="BOSTON SCIENTIFIC DE COSTA RICA S.R.L"/>
    <x v="5"/>
    <m/>
    <m/>
  </r>
  <r>
    <x v="0"/>
    <x v="0"/>
    <x v="0"/>
    <m/>
    <x v="1"/>
    <x v="0"/>
    <d v="2025-12-02T00:00:00"/>
    <s v="Colones"/>
    <n v="19466.274509803923"/>
    <s v="CARLOS LUIS SANCHEZ"/>
    <x v="8"/>
    <m/>
    <m/>
  </r>
  <r>
    <x v="0"/>
    <x v="0"/>
    <x v="0"/>
    <m/>
    <x v="1"/>
    <x v="3"/>
    <d v="2025-06-16T00:00:00"/>
    <s v="Dólares"/>
    <n v="5000"/>
    <s v="JOHN HENRY RONALD"/>
    <x v="5"/>
    <m/>
    <m/>
  </r>
  <r>
    <x v="0"/>
    <x v="3"/>
    <x v="2"/>
    <m/>
    <x v="1"/>
    <x v="4"/>
    <d v="2025-06-25T00:00:00"/>
    <s v="Dólares"/>
    <n v="19326.060000000001"/>
    <s v="JONES LANG LASALLE LIMITADA"/>
    <x v="5"/>
    <m/>
    <m/>
  </r>
  <r>
    <x v="0"/>
    <x v="3"/>
    <x v="2"/>
    <n v="10027052"/>
    <x v="1"/>
    <x v="2"/>
    <d v="2025-07-11T00:00:00"/>
    <s v="Dólares"/>
    <n v="19326.060000000001"/>
    <s v="JONES LANG LASALLE LIMITADA"/>
    <x v="7"/>
    <m/>
    <m/>
  </r>
  <r>
    <x v="0"/>
    <x v="0"/>
    <x v="1"/>
    <m/>
    <x v="1"/>
    <x v="3"/>
    <d v="2025-06-16T00:00:00"/>
    <s v="Colones"/>
    <n v="4000"/>
    <s v="R M INDUSTRIAL SOLIN SOCIEDAD ANONIMA"/>
    <x v="5"/>
    <m/>
    <m/>
  </r>
  <r>
    <x v="0"/>
    <x v="0"/>
    <x v="0"/>
    <n v="10028423"/>
    <x v="1"/>
    <x v="0"/>
    <d v="2026-02-03T00:00:00"/>
    <s v="Dólares"/>
    <n v="3840"/>
    <s v="MARMARALYSA SOCIEDAD ANONIMA"/>
    <x v="6"/>
    <m/>
    <m/>
  </r>
  <r>
    <x v="0"/>
    <x v="0"/>
    <x v="0"/>
    <m/>
    <x v="1"/>
    <x v="0"/>
    <d v="2025-06-04T00:00:00"/>
    <s v="Colones"/>
    <n v="19099.86220472441"/>
    <s v="GREGORIO SEGURA COTO"/>
    <x v="5"/>
    <m/>
    <m/>
  </r>
  <r>
    <x v="0"/>
    <x v="2"/>
    <x v="1"/>
    <m/>
    <x v="1"/>
    <x v="0"/>
    <d v="2026-02-03T00:00:00"/>
    <s v="Dólares"/>
    <n v="3225"/>
    <s v="AQUA POOL"/>
    <x v="6"/>
    <m/>
    <m/>
  </r>
  <r>
    <x v="0"/>
    <x v="1"/>
    <x v="1"/>
    <n v="10026518"/>
    <x v="1"/>
    <x v="2"/>
    <d v="2025-05-07T00:00:00"/>
    <s v="Dólares"/>
    <n v="18885.5"/>
    <s v="BILCO COSTA RICA SA"/>
    <x v="0"/>
    <m/>
    <m/>
  </r>
  <r>
    <x v="0"/>
    <x v="1"/>
    <x v="1"/>
    <m/>
    <x v="1"/>
    <x v="1"/>
    <d v="2025-10-31T00:00:00"/>
    <s v="Dólares"/>
    <n v="18709.650000000001"/>
    <s v="CONSULTORA T TRES LIMITADA"/>
    <x v="2"/>
    <m/>
    <m/>
  </r>
  <r>
    <x v="0"/>
    <x v="0"/>
    <x v="0"/>
    <m/>
    <x v="1"/>
    <x v="0"/>
    <d v="2026-02-03T00:00:00"/>
    <s v="Dólares"/>
    <n v="1500"/>
    <s v="Yaleni Picado Corea"/>
    <x v="6"/>
    <m/>
    <m/>
  </r>
  <r>
    <x v="0"/>
    <x v="0"/>
    <x v="0"/>
    <m/>
    <x v="1"/>
    <x v="3"/>
    <d v="2025-06-16T00:00:00"/>
    <s v="Dólares"/>
    <n v="3028"/>
    <s v="MARIA ANDREA MOLIGNANO"/>
    <x v="5"/>
    <m/>
    <m/>
  </r>
  <r>
    <x v="0"/>
    <x v="0"/>
    <x v="0"/>
    <m/>
    <x v="1"/>
    <x v="3"/>
    <d v="2025-06-16T00:00:00"/>
    <s v="Dólares"/>
    <n v="3000"/>
    <s v="GUIDO UMAÑA VINDAS"/>
    <x v="5"/>
    <m/>
    <m/>
  </r>
  <r>
    <x v="0"/>
    <x v="0"/>
    <x v="0"/>
    <n v="10027293"/>
    <x v="1"/>
    <x v="2"/>
    <d v="2025-08-11T00:00:00"/>
    <s v="Dólares"/>
    <n v="18302"/>
    <s v="KARINAMAYPA SOCIEDAD DE RESPONSABILIDAD LIMITADA "/>
    <x v="1"/>
    <m/>
    <m/>
  </r>
  <r>
    <x v="0"/>
    <x v="1"/>
    <x v="0"/>
    <n v="10026723"/>
    <x v="1"/>
    <x v="1"/>
    <d v="2025-05-31T00:00:00"/>
    <s v="Dólares"/>
    <n v="18275.150000000001"/>
    <s v="CIELO DE BABILONIA"/>
    <x v="0"/>
    <m/>
    <m/>
  </r>
  <r>
    <x v="0"/>
    <x v="1"/>
    <x v="0"/>
    <n v="10026724"/>
    <x v="1"/>
    <x v="1"/>
    <d v="2025-05-31T00:00:00"/>
    <s v="Dólares"/>
    <n v="18275.150000000001"/>
    <s v="CIELO DE BABILONIA"/>
    <x v="0"/>
    <m/>
    <m/>
  </r>
  <r>
    <x v="0"/>
    <x v="3"/>
    <x v="1"/>
    <m/>
    <x v="1"/>
    <x v="2"/>
    <d v="2025-05-09T00:00:00"/>
    <s v="Dólares"/>
    <n v="18137.72"/>
    <s v="San José Indoor Club "/>
    <x v="0"/>
    <m/>
    <m/>
  </r>
  <r>
    <x v="0"/>
    <x v="0"/>
    <x v="0"/>
    <m/>
    <x v="1"/>
    <x v="4"/>
    <d v="2025-05-21T00:00:00"/>
    <s v="Dólares"/>
    <n v="18000"/>
    <s v="CONSULTORA T TRES LIMITADA"/>
    <x v="0"/>
    <m/>
    <m/>
  </r>
  <r>
    <x v="0"/>
    <x v="0"/>
    <x v="0"/>
    <m/>
    <x v="1"/>
    <x v="3"/>
    <d v="2025-06-16T00:00:00"/>
    <s v="Dólares"/>
    <n v="2895"/>
    <s v="GUIDO UMAÑA VINDAS"/>
    <x v="5"/>
    <m/>
    <m/>
  </r>
  <r>
    <x v="0"/>
    <x v="2"/>
    <x v="1"/>
    <m/>
    <x v="1"/>
    <x v="0"/>
    <d v="2026-02-03T00:00:00"/>
    <s v="Dólares"/>
    <n v="1288.6400000000001"/>
    <s v="BIOCIENTIFICA"/>
    <x v="6"/>
    <m/>
    <m/>
  </r>
  <r>
    <x v="0"/>
    <x v="2"/>
    <x v="2"/>
    <m/>
    <x v="1"/>
    <x v="2"/>
    <d v="2025-09-11T00:00:00"/>
    <s v="Dólares"/>
    <n v="17984.259999999998"/>
    <s v="INARI MEDICAL COSTA RICA SOCIEDAD ANONIMA"/>
    <x v="9"/>
    <m/>
    <m/>
  </r>
  <r>
    <x v="0"/>
    <x v="3"/>
    <x v="0"/>
    <m/>
    <x v="1"/>
    <x v="2"/>
    <d v="2025-08-14T00:00:00"/>
    <s v="Dólares"/>
    <n v="17892.349999999999"/>
    <s v="CONSTRUCTOTA TOTEM"/>
    <x v="1"/>
    <m/>
    <m/>
  </r>
  <r>
    <x v="0"/>
    <x v="0"/>
    <x v="1"/>
    <m/>
    <x v="1"/>
    <x v="1"/>
    <d v="2025-07-28T00:00:00"/>
    <s v="Dólares"/>
    <n v="17882"/>
    <s v="ADELANTO COCINA - RIVIERA DEL MAR"/>
    <x v="7"/>
    <m/>
    <m/>
  </r>
  <r>
    <x v="0"/>
    <x v="2"/>
    <x v="0"/>
    <m/>
    <x v="1"/>
    <x v="0"/>
    <d v="2025-12-05T00:00:00"/>
    <s v="Dólares"/>
    <n v="17881.57"/>
    <s v="AUTO REPUESTOS AVENIDA 10"/>
    <x v="8"/>
    <m/>
    <m/>
  </r>
  <r>
    <x v="3"/>
    <x v="3"/>
    <x v="0"/>
    <m/>
    <x v="1"/>
    <x v="2"/>
    <d v="2025-10-07T00:00:00"/>
    <s v="Dólares"/>
    <n v="17858.25"/>
    <s v="BLOCK CONSTRUCTORA"/>
    <x v="2"/>
    <m/>
    <m/>
  </r>
  <r>
    <x v="0"/>
    <x v="0"/>
    <x v="0"/>
    <m/>
    <x v="1"/>
    <x v="3"/>
    <d v="2025-06-16T00:00:00"/>
    <s v="Dólares"/>
    <n v="2730"/>
    <s v="JOSUE ANTONIO OTAROLA MENDEZ"/>
    <x v="5"/>
    <m/>
    <m/>
  </r>
  <r>
    <x v="0"/>
    <x v="0"/>
    <x v="0"/>
    <m/>
    <x v="1"/>
    <x v="0"/>
    <d v="2026-02-03T00:00:00"/>
    <s v="Dólares"/>
    <n v="522"/>
    <s v="Francisco Cocozza"/>
    <x v="6"/>
    <m/>
    <m/>
  </r>
  <r>
    <x v="0"/>
    <x v="2"/>
    <x v="0"/>
    <n v="10026720"/>
    <x v="1"/>
    <x v="1"/>
    <d v="2025-05-30T00:00:00"/>
    <s v="Dólares"/>
    <n v="17645.79"/>
    <s v="R RUBINSTEIN Y COMPAÑIA SOCIEDAD ANONIMA"/>
    <x v="0"/>
    <m/>
    <m/>
  </r>
  <r>
    <x v="3"/>
    <x v="3"/>
    <x v="0"/>
    <m/>
    <x v="1"/>
    <x v="0"/>
    <d v="2025-12-03T00:00:00"/>
    <s v="Dólares"/>
    <n v="17547.150000000001"/>
    <s v="VML CONTRACT"/>
    <x v="8"/>
    <m/>
    <m/>
  </r>
  <r>
    <x v="0"/>
    <x v="3"/>
    <x v="2"/>
    <n v="10026858"/>
    <x v="1"/>
    <x v="3"/>
    <d v="2025-06-16T00:00:00"/>
    <s v="Colones"/>
    <n v="2682.1870078740158"/>
    <s v="EDWIN LUILLY MADRIGAL HERNANDEZ"/>
    <x v="5"/>
    <m/>
    <m/>
  </r>
  <r>
    <x v="0"/>
    <x v="0"/>
    <x v="0"/>
    <n v="10026534"/>
    <x v="1"/>
    <x v="2"/>
    <d v="2025-05-09T00:00:00"/>
    <s v="Dólares"/>
    <n v="17500"/>
    <s v="VIRGINIA ULLOA VARGAS"/>
    <x v="0"/>
    <m/>
    <m/>
  </r>
  <r>
    <x v="2"/>
    <x v="3"/>
    <x v="0"/>
    <m/>
    <x v="1"/>
    <x v="2"/>
    <d v="2025-09-13T00:00:00"/>
    <s v="Dólares"/>
    <n v="17412.939999999999"/>
    <s v="SEMANA 02 SETIEMBRE EXPRESS"/>
    <x v="9"/>
    <m/>
    <m/>
  </r>
  <r>
    <x v="0"/>
    <x v="2"/>
    <x v="0"/>
    <m/>
    <x v="1"/>
    <x v="0"/>
    <d v="2025-09-05T00:00:00"/>
    <s v="Dólares"/>
    <n v="17373.55"/>
    <s v="SWAV CR SOCIEDAD DE RESPONSABILIDAD LIMITADA"/>
    <x v="9"/>
    <m/>
    <m/>
  </r>
  <r>
    <x v="2"/>
    <x v="3"/>
    <x v="0"/>
    <m/>
    <x v="1"/>
    <x v="4"/>
    <d v="2025-07-26T00:00:00"/>
    <s v="Dólares"/>
    <n v="17229.55"/>
    <s v="SEMANA 04 JULIO EXPRESS"/>
    <x v="7"/>
    <m/>
    <m/>
  </r>
  <r>
    <x v="0"/>
    <x v="2"/>
    <x v="0"/>
    <n v="10026843"/>
    <x v="1"/>
    <x v="3"/>
    <d v="2025-06-16T00:00:00"/>
    <s v="Dólares"/>
    <n v="2420.8000000000002"/>
    <s v="MARCO WILLIAM CERDAS "/>
    <x v="5"/>
    <m/>
    <m/>
  </r>
  <r>
    <x v="0"/>
    <x v="3"/>
    <x v="1"/>
    <m/>
    <x v="1"/>
    <x v="0"/>
    <d v="2025-08-08T00:00:00"/>
    <s v="Dólares"/>
    <n v="17155.73"/>
    <s v="ADELANTO - PROMERICA NOVACENTRO"/>
    <x v="1"/>
    <m/>
    <m/>
  </r>
  <r>
    <x v="0"/>
    <x v="2"/>
    <x v="0"/>
    <m/>
    <x v="1"/>
    <x v="2"/>
    <d v="2025-09-12T00:00:00"/>
    <s v="Dólares"/>
    <n v="17094.53"/>
    <s v="CORICAR S.A"/>
    <x v="9"/>
    <m/>
    <m/>
  </r>
  <r>
    <x v="0"/>
    <x v="2"/>
    <x v="1"/>
    <m/>
    <x v="1"/>
    <x v="4"/>
    <d v="2025-11-25T00:00:00"/>
    <s v="Dólares"/>
    <n v="17059.82"/>
    <s v="SALUD LATINA"/>
    <x v="4"/>
    <m/>
    <m/>
  </r>
  <r>
    <x v="0"/>
    <x v="2"/>
    <x v="0"/>
    <n v="10026865"/>
    <x v="1"/>
    <x v="3"/>
    <d v="2025-06-16T00:00:00"/>
    <s v="Dólares"/>
    <n v="2058.2199999999998"/>
    <s v="INVERSIONES DOJA "/>
    <x v="5"/>
    <m/>
    <m/>
  </r>
  <r>
    <x v="0"/>
    <x v="2"/>
    <x v="0"/>
    <n v="10026841"/>
    <x v="1"/>
    <x v="3"/>
    <d v="2025-06-16T00:00:00"/>
    <s v="Dólares"/>
    <n v="2042.89"/>
    <s v="KPO ALPHA INC SOCIEDAD ANONIMA"/>
    <x v="5"/>
    <m/>
    <m/>
  </r>
  <r>
    <x v="0"/>
    <x v="3"/>
    <x v="1"/>
    <m/>
    <x v="1"/>
    <x v="0"/>
    <d v="2025-09-03T00:00:00"/>
    <s v="Dólares"/>
    <n v="17018.11"/>
    <s v="BANCO PROMERICA - ADELANTO LIBERIA"/>
    <x v="9"/>
    <m/>
    <m/>
  </r>
  <r>
    <x v="0"/>
    <x v="3"/>
    <x v="1"/>
    <n v="10026768"/>
    <x v="1"/>
    <x v="0"/>
    <d v="2025-06-06T00:00:00"/>
    <s v="Dólares"/>
    <n v="17014.45"/>
    <s v="BANCO PROMERICA DE COSTA RICA SOCIEDAD ANONIMA"/>
    <x v="5"/>
    <m/>
    <m/>
  </r>
  <r>
    <x v="1"/>
    <x v="0"/>
    <x v="0"/>
    <m/>
    <x v="1"/>
    <x v="4"/>
    <d v="2025-06-23T00:00:00"/>
    <s v="Dólares"/>
    <n v="17000"/>
    <s v="Iris Morre"/>
    <x v="5"/>
    <m/>
    <m/>
  </r>
  <r>
    <x v="0"/>
    <x v="2"/>
    <x v="1"/>
    <m/>
    <x v="1"/>
    <x v="4"/>
    <d v="2025-09-26T00:00:00"/>
    <s v="Dólares"/>
    <n v="17000"/>
    <s v="CONSTRUCTORA YERIL"/>
    <x v="9"/>
    <m/>
    <m/>
  </r>
  <r>
    <x v="0"/>
    <x v="5"/>
    <x v="0"/>
    <m/>
    <x v="1"/>
    <x v="0"/>
    <d v="2025-11-07T00:00:00"/>
    <s v="Dólares"/>
    <n v="17000"/>
    <s v="CONSTRUCCIONES YERIL"/>
    <x v="4"/>
    <m/>
    <m/>
  </r>
  <r>
    <x v="0"/>
    <x v="0"/>
    <x v="1"/>
    <m/>
    <x v="1"/>
    <x v="2"/>
    <d v="2025-07-12T00:00:00"/>
    <s v="Dólares"/>
    <n v="16800"/>
    <s v="ADELANTO COCINA - GENESIS CORDERO"/>
    <x v="7"/>
    <m/>
    <m/>
  </r>
  <r>
    <x v="3"/>
    <x v="3"/>
    <x v="0"/>
    <m/>
    <x v="1"/>
    <x v="4"/>
    <d v="2026-01-26T00:00:00"/>
    <s v="Colones"/>
    <n v="16769.280322580646"/>
    <s v="COMPAÑÍA NACIONAL DE FUERZA Y LUZ"/>
    <x v="3"/>
    <m/>
    <m/>
  </r>
  <r>
    <x v="1"/>
    <x v="0"/>
    <x v="1"/>
    <m/>
    <x v="1"/>
    <x v="2"/>
    <d v="2025-10-08T00:00:00"/>
    <s v="Colones"/>
    <n v="16666.666666666668"/>
    <s v="HANNIA CRISTINA ESPINOZA MARIN"/>
    <x v="2"/>
    <m/>
    <m/>
  </r>
  <r>
    <x v="0"/>
    <x v="0"/>
    <x v="0"/>
    <m/>
    <x v="1"/>
    <x v="3"/>
    <d v="2025-06-16T00:00:00"/>
    <s v="Dólares"/>
    <n v="2000"/>
    <s v="ELIZABETH JIMENEZ JIMENEZ"/>
    <x v="5"/>
    <m/>
    <m/>
  </r>
  <r>
    <x v="0"/>
    <x v="2"/>
    <x v="0"/>
    <m/>
    <x v="1"/>
    <x v="4"/>
    <d v="2025-08-28T00:00:00"/>
    <s v="Colones"/>
    <n v="16552.939999999999"/>
    <s v="EMBOTELLADORA CENTRAL S.A."/>
    <x v="1"/>
    <m/>
    <m/>
  </r>
  <r>
    <x v="0"/>
    <x v="1"/>
    <x v="0"/>
    <n v="10026934"/>
    <x v="1"/>
    <x v="4"/>
    <d v="2025-06-27T00:00:00"/>
    <s v="Dólares"/>
    <n v="16409.650000000001"/>
    <s v="3-101-747864 S.A. - RESERVA MORAVIA"/>
    <x v="5"/>
    <m/>
    <m/>
  </r>
  <r>
    <x v="0"/>
    <x v="3"/>
    <x v="0"/>
    <m/>
    <x v="1"/>
    <x v="0"/>
    <d v="2025-12-05T00:00:00"/>
    <s v="Dólares"/>
    <n v="16404.27"/>
    <s v="EVOLUTION FREE ZONE"/>
    <x v="8"/>
    <m/>
    <m/>
  </r>
  <r>
    <x v="0"/>
    <x v="2"/>
    <x v="0"/>
    <m/>
    <x v="1"/>
    <x v="2"/>
    <d v="2026-01-16T00:00:00"/>
    <s v="Dólares"/>
    <n v="16389.669999999998"/>
    <s v="REPAGRO"/>
    <x v="3"/>
    <m/>
    <m/>
  </r>
  <r>
    <x v="0"/>
    <x v="2"/>
    <x v="1"/>
    <m/>
    <x v="1"/>
    <x v="2"/>
    <d v="2025-10-07T00:00:00"/>
    <s v="Dólares"/>
    <n v="16389.650000000001"/>
    <s v="REPAGRO ADELANTO"/>
    <x v="2"/>
    <m/>
    <m/>
  </r>
  <r>
    <x v="0"/>
    <x v="0"/>
    <x v="0"/>
    <m/>
    <x v="1"/>
    <x v="3"/>
    <d v="2025-06-16T00:00:00"/>
    <s v="Dólares"/>
    <n v="748.6"/>
    <s v="GUANACASTE CARGA JEJ SOCIEDAD ANONIMA"/>
    <x v="5"/>
    <m/>
    <m/>
  </r>
  <r>
    <x v="0"/>
    <x v="0"/>
    <x v="0"/>
    <m/>
    <x v="1"/>
    <x v="3"/>
    <d v="2025-06-16T00:00:00"/>
    <s v="Dólares"/>
    <n v="140"/>
    <s v="ELIZABETH WEBSTER"/>
    <x v="5"/>
    <m/>
    <m/>
  </r>
  <r>
    <x v="2"/>
    <x v="3"/>
    <x v="0"/>
    <m/>
    <x v="1"/>
    <x v="2"/>
    <d v="2025-07-13T00:00:00"/>
    <s v="Dólares"/>
    <n v="16321.65"/>
    <s v="SEMANA 02 JULIO EXPRESS"/>
    <x v="7"/>
    <m/>
    <m/>
  </r>
  <r>
    <x v="0"/>
    <x v="1"/>
    <x v="0"/>
    <n v="10027238"/>
    <x v="1"/>
    <x v="0"/>
    <d v="2025-08-01T00:00:00"/>
    <s v="Dólares"/>
    <n v="16311.86"/>
    <s v="Nova del Este Fa S.A"/>
    <x v="1"/>
    <m/>
    <m/>
  </r>
  <r>
    <x v="0"/>
    <x v="3"/>
    <x v="0"/>
    <m/>
    <x v="1"/>
    <x v="0"/>
    <d v="2025-08-08T00:00:00"/>
    <s v="Dólares"/>
    <n v="16221.52"/>
    <s v="SWAV CR SOCIEDAD DE RESPONSABILIDAD LIMITADA"/>
    <x v="1"/>
    <m/>
    <m/>
  </r>
  <r>
    <x v="4"/>
    <x v="1"/>
    <x v="0"/>
    <n v="36"/>
    <x v="1"/>
    <x v="0"/>
    <d v="2025-08-04T00:00:00"/>
    <s v="Dólares"/>
    <n v="16217.76"/>
    <s v="3-101-721431 S.A."/>
    <x v="1"/>
    <m/>
    <m/>
  </r>
  <r>
    <x v="0"/>
    <x v="2"/>
    <x v="0"/>
    <n v="10026965"/>
    <x v="1"/>
    <x v="4"/>
    <d v="2025-06-21T00:00:00"/>
    <s v="Dólares"/>
    <n v="16213.07"/>
    <s v="INDUSTRIAS GAREND SOCIEDAD ANONIMA"/>
    <x v="5"/>
    <m/>
    <m/>
  </r>
  <r>
    <x v="0"/>
    <x v="0"/>
    <x v="0"/>
    <m/>
    <x v="1"/>
    <x v="4"/>
    <d v="2025-05-22T00:00:00"/>
    <s v="Dólares"/>
    <n v="16200"/>
    <s v="Micaela Ferreira Rebelo"/>
    <x v="0"/>
    <m/>
    <m/>
  </r>
  <r>
    <x v="0"/>
    <x v="2"/>
    <x v="0"/>
    <n v="10026771"/>
    <x v="1"/>
    <x v="0"/>
    <d v="2025-06-06T00:00:00"/>
    <s v="Dólares"/>
    <n v="16143.77"/>
    <s v="PURDY MOTOR SOCIEDAD ANONIMA"/>
    <x v="5"/>
    <m/>
    <m/>
  </r>
  <r>
    <x v="0"/>
    <x v="3"/>
    <x v="2"/>
    <m/>
    <x v="1"/>
    <x v="4"/>
    <d v="2026-01-28T00:00:00"/>
    <s v="Colones"/>
    <n v="16095.864052419356"/>
    <s v="EVOLUTION FREE ZONE"/>
    <x v="3"/>
    <m/>
    <m/>
  </r>
  <r>
    <x v="0"/>
    <x v="3"/>
    <x v="2"/>
    <m/>
    <x v="1"/>
    <x v="0"/>
    <d v="2025-11-07T00:00:00"/>
    <s v="Dólares"/>
    <n v="16041"/>
    <s v="CONSTRUCTORA GONZALO DELGADO SOCIEDAD ANONIMA - PEÑAS BLANCAS"/>
    <x v="4"/>
    <m/>
    <m/>
  </r>
  <r>
    <x v="3"/>
    <x v="3"/>
    <x v="0"/>
    <n v="15176"/>
    <x v="1"/>
    <x v="4"/>
    <d v="2025-06-06T00:00:00"/>
    <s v="Dólares"/>
    <n v="16030.1"/>
    <s v="CONTRACT WORKPLACES COSTA RICA SOCIEDAD ANONIMA"/>
    <x v="5"/>
    <m/>
    <m/>
  </r>
  <r>
    <x v="1"/>
    <x v="0"/>
    <x v="0"/>
    <n v="10763"/>
    <x v="1"/>
    <x v="2"/>
    <d v="2025-08-11T00:00:00"/>
    <s v="Dólares"/>
    <n v="16000"/>
    <s v="GISELLE AGUILAR ARCE"/>
    <x v="1"/>
    <m/>
    <m/>
  </r>
  <r>
    <x v="0"/>
    <x v="0"/>
    <x v="0"/>
    <m/>
    <x v="1"/>
    <x v="2"/>
    <d v="2025-11-13T00:00:00"/>
    <s v="Colones"/>
    <n v="15851.475490196079"/>
    <s v="GREGORIO SEGURA"/>
    <x v="4"/>
    <m/>
    <m/>
  </r>
  <r>
    <x v="3"/>
    <x v="3"/>
    <x v="0"/>
    <m/>
    <x v="1"/>
    <x v="4"/>
    <d v="2026-01-30T00:00:00"/>
    <s v="Dólares"/>
    <n v="15840"/>
    <s v="ULTRAPARK"/>
    <x v="3"/>
    <m/>
    <m/>
  </r>
  <r>
    <x v="0"/>
    <x v="3"/>
    <x v="2"/>
    <m/>
    <x v="1"/>
    <x v="4"/>
    <d v="2025-12-24T00:00:00"/>
    <s v="Colones"/>
    <n v="15793.476176470587"/>
    <s v="CAJA COSTARRICENSE DE SEGURO SOCIAL"/>
    <x v="8"/>
    <m/>
    <m/>
  </r>
  <r>
    <x v="0"/>
    <x v="0"/>
    <x v="1"/>
    <m/>
    <x v="1"/>
    <x v="3"/>
    <d v="2025-06-17T00:00:00"/>
    <s v="Dólares"/>
    <n v="8000"/>
    <s v="CARLOS EDUARDO LEANDRO SOLANO"/>
    <x v="5"/>
    <m/>
    <m/>
  </r>
  <r>
    <x v="0"/>
    <x v="2"/>
    <x v="1"/>
    <n v="10027062"/>
    <x v="1"/>
    <x v="2"/>
    <d v="2025-07-07T00:00:00"/>
    <s v="Dólares"/>
    <n v="15545.96"/>
    <s v="COMERCIALIZADORA Y PRODUCTORA LOS VOLCANES "/>
    <x v="7"/>
    <m/>
    <m/>
  </r>
  <r>
    <x v="0"/>
    <x v="1"/>
    <x v="0"/>
    <m/>
    <x v="1"/>
    <x v="4"/>
    <d v="2025-12-26T00:00:00"/>
    <s v="Dólares"/>
    <n v="15521.11"/>
    <s v="MORAVIA ESTE - NOVOGAR"/>
    <x v="8"/>
    <m/>
    <m/>
  </r>
  <r>
    <x v="0"/>
    <x v="0"/>
    <x v="0"/>
    <m/>
    <x v="1"/>
    <x v="3"/>
    <d v="2025-06-17T00:00:00"/>
    <s v="Dólares"/>
    <n v="4500"/>
    <s v="ADRIANA DEL PILAR VARGAS SANABRIA"/>
    <x v="5"/>
    <m/>
    <m/>
  </r>
  <r>
    <x v="0"/>
    <x v="3"/>
    <x v="0"/>
    <m/>
    <x v="1"/>
    <x v="0"/>
    <d v="2025-11-06T00:00:00"/>
    <s v="Dólares"/>
    <n v="15485.54"/>
    <s v="FONDO DE INVERSION INMOBILIARIO GIBRALTAR"/>
    <x v="4"/>
    <m/>
    <m/>
  </r>
  <r>
    <x v="0"/>
    <x v="2"/>
    <x v="0"/>
    <n v="10026859"/>
    <x v="1"/>
    <x v="3"/>
    <d v="2025-06-17T00:00:00"/>
    <s v="Dólares"/>
    <n v="3250.26"/>
    <s v="CENTROAMERICANA DE COMERCIO CENCO "/>
    <x v="5"/>
    <m/>
    <m/>
  </r>
  <r>
    <x v="2"/>
    <x v="3"/>
    <x v="0"/>
    <m/>
    <x v="1"/>
    <x v="2"/>
    <d v="2025-06-13T00:00:00"/>
    <s v="Dólares"/>
    <n v="15407.73"/>
    <s v="PAGO SEMANA 02 OUTLET JUNIO"/>
    <x v="5"/>
    <m/>
    <m/>
  </r>
  <r>
    <x v="0"/>
    <x v="3"/>
    <x v="1"/>
    <m/>
    <x v="1"/>
    <x v="3"/>
    <d v="2025-06-17T00:00:00"/>
    <s v="Dólares"/>
    <n v="2897"/>
    <s v="CORPORACIÓN COSTARRICENSE DE MERCADEO INTERNACIONAL ENSON S.A."/>
    <x v="5"/>
    <m/>
    <m/>
  </r>
  <r>
    <x v="0"/>
    <x v="0"/>
    <x v="0"/>
    <m/>
    <x v="1"/>
    <x v="4"/>
    <d v="2025-10-22T00:00:00"/>
    <s v="Dólares"/>
    <n v="15280"/>
    <s v="Megan Shetler"/>
    <x v="2"/>
    <m/>
    <m/>
  </r>
  <r>
    <x v="0"/>
    <x v="0"/>
    <x v="0"/>
    <m/>
    <x v="1"/>
    <x v="4"/>
    <d v="2025-10-22T00:00:00"/>
    <s v="Dólares"/>
    <n v="15280"/>
    <s v="Megan Shetler"/>
    <x v="2"/>
    <m/>
    <m/>
  </r>
  <r>
    <x v="0"/>
    <x v="0"/>
    <x v="0"/>
    <m/>
    <x v="1"/>
    <x v="3"/>
    <d v="2025-06-17T00:00:00"/>
    <s v="Dólares"/>
    <n v="2000"/>
    <s v="ALEXANDRA CAMPOS LARA"/>
    <x v="5"/>
    <m/>
    <m/>
  </r>
  <r>
    <x v="0"/>
    <x v="0"/>
    <x v="0"/>
    <m/>
    <x v="1"/>
    <x v="0"/>
    <d v="2026-02-03T00:00:00"/>
    <s v="Dólares"/>
    <n v="425.21"/>
    <s v="Ana Victoria Garro Vargas"/>
    <x v="6"/>
    <m/>
    <m/>
  </r>
  <r>
    <x v="0"/>
    <x v="3"/>
    <x v="1"/>
    <m/>
    <x v="1"/>
    <x v="2"/>
    <d v="2025-10-08T00:00:00"/>
    <s v="Dólares"/>
    <n v="15208.12"/>
    <s v="MARSH ASPROSE CORREDORA DE SEGUROS"/>
    <x v="2"/>
    <m/>
    <m/>
  </r>
  <r>
    <x v="1"/>
    <x v="0"/>
    <x v="0"/>
    <m/>
    <x v="1"/>
    <x v="2"/>
    <d v="2025-12-12T00:00:00"/>
    <s v="Dólares"/>
    <n v="15010"/>
    <s v="Isabella Karczynka"/>
    <x v="8"/>
    <m/>
    <m/>
  </r>
  <r>
    <x v="0"/>
    <x v="1"/>
    <x v="2"/>
    <m/>
    <x v="1"/>
    <x v="0"/>
    <d v="2025-08-08T00:00:00"/>
    <s v="Dólares"/>
    <n v="15000"/>
    <s v="TORRE VELO - EDICA"/>
    <x v="1"/>
    <m/>
    <m/>
  </r>
  <r>
    <x v="0"/>
    <x v="0"/>
    <x v="0"/>
    <n v="10027398"/>
    <x v="1"/>
    <x v="4"/>
    <d v="2025-08-27T00:00:00"/>
    <s v="Dólares"/>
    <n v="15000"/>
    <s v="GRUPO EDUCATIVO GEUSJTCR SOCIEDAD ANONIMA"/>
    <x v="1"/>
    <m/>
    <m/>
  </r>
  <r>
    <x v="0"/>
    <x v="3"/>
    <x v="0"/>
    <n v="10026913"/>
    <x v="1"/>
    <x v="3"/>
    <d v="2025-06-17T00:00:00"/>
    <s v="Dólares"/>
    <n v="1873.72"/>
    <s v="INVERSIONES TURISTICAS ARENAL SOCIEDAD ANONIMA"/>
    <x v="5"/>
    <m/>
    <m/>
  </r>
  <r>
    <x v="1"/>
    <x v="0"/>
    <x v="0"/>
    <n v="10791"/>
    <x v="1"/>
    <x v="4"/>
    <d v="2025-09-23T00:00:00"/>
    <s v="Dólares"/>
    <n v="15000"/>
    <s v="Jesse Shetler"/>
    <x v="9"/>
    <m/>
    <m/>
  </r>
  <r>
    <x v="0"/>
    <x v="2"/>
    <x v="0"/>
    <n v="10026860"/>
    <x v="1"/>
    <x v="3"/>
    <d v="2025-06-17T00:00:00"/>
    <s v="Dólares"/>
    <n v="747.94"/>
    <s v="KINSEI LIMITADA"/>
    <x v="5"/>
    <m/>
    <m/>
  </r>
  <r>
    <x v="3"/>
    <x v="3"/>
    <x v="2"/>
    <n v="15169"/>
    <x v="1"/>
    <x v="3"/>
    <d v="2025-06-17T00:00:00"/>
    <s v="Dólares"/>
    <n v="197.04"/>
    <s v="MUNICIPALIDAD DE PARRITA"/>
    <x v="5"/>
    <m/>
    <m/>
  </r>
  <r>
    <x v="0"/>
    <x v="1"/>
    <x v="1"/>
    <m/>
    <x v="1"/>
    <x v="3"/>
    <d v="2025-06-18T00:00:00"/>
    <s v="Dólares"/>
    <n v="334093.88"/>
    <s v="CIELO NUNCIATURA"/>
    <x v="5"/>
    <m/>
    <m/>
  </r>
  <r>
    <x v="0"/>
    <x v="2"/>
    <x v="1"/>
    <n v="10026922"/>
    <x v="1"/>
    <x v="3"/>
    <d v="2025-06-18T00:00:00"/>
    <s v="Dólares"/>
    <n v="2908.56"/>
    <s v="MUSHROOM FACTORY SOCIEDAD ANONIMA"/>
    <x v="5"/>
    <m/>
    <m/>
  </r>
  <r>
    <x v="0"/>
    <x v="1"/>
    <x v="0"/>
    <n v="10026870"/>
    <x v="1"/>
    <x v="3"/>
    <d v="2025-06-18T00:00:00"/>
    <s v="Dólares"/>
    <n v="1131"/>
    <s v="ROGER ALVAREZ MOYA "/>
    <x v="5"/>
    <m/>
    <m/>
  </r>
  <r>
    <x v="0"/>
    <x v="5"/>
    <x v="0"/>
    <m/>
    <x v="1"/>
    <x v="2"/>
    <d v="2026-01-14T00:00:00"/>
    <s v="Dólares"/>
    <n v="14817.38"/>
    <s v="AUTOSEGUROS"/>
    <x v="3"/>
    <m/>
    <m/>
  </r>
  <r>
    <x v="0"/>
    <x v="0"/>
    <x v="0"/>
    <m/>
    <x v="1"/>
    <x v="0"/>
    <d v="2025-12-05T00:00:00"/>
    <s v="Dólares"/>
    <n v="14798.79"/>
    <s v="CR,NASARA EUROMOBILIA 78522"/>
    <x v="8"/>
    <m/>
    <m/>
  </r>
  <r>
    <x v="2"/>
    <x v="3"/>
    <x v="0"/>
    <m/>
    <x v="1"/>
    <x v="4"/>
    <d v="2025-05-25T00:00:00"/>
    <s v="Dólares"/>
    <n v="14765.62"/>
    <s v="PAGO SEMANA 04 OUTLET MAYO"/>
    <x v="0"/>
    <m/>
    <m/>
  </r>
  <r>
    <x v="0"/>
    <x v="2"/>
    <x v="0"/>
    <m/>
    <x v="1"/>
    <x v="0"/>
    <d v="2026-02-04T00:00:00"/>
    <s v="Dólares"/>
    <n v="112879.11"/>
    <s v="BICSA LEASING"/>
    <x v="6"/>
    <m/>
    <m/>
  </r>
  <r>
    <x v="0"/>
    <x v="0"/>
    <x v="0"/>
    <m/>
    <x v="1"/>
    <x v="1"/>
    <d v="2025-05-27T00:00:00"/>
    <s v="Dólares"/>
    <n v="14700"/>
    <s v="MARION PAMELA ROJAS HERRERA"/>
    <x v="0"/>
    <m/>
    <m/>
  </r>
  <r>
    <x v="0"/>
    <x v="0"/>
    <x v="0"/>
    <m/>
    <x v="1"/>
    <x v="3"/>
    <d v="2025-06-18T00:00:00"/>
    <s v="Colones"/>
    <n v="236.22047244094489"/>
    <s v="EDUARDO MORA AGUILAR"/>
    <x v="5"/>
    <m/>
    <m/>
  </r>
  <r>
    <x v="1"/>
    <x v="0"/>
    <x v="0"/>
    <m/>
    <x v="1"/>
    <x v="4"/>
    <d v="2025-12-23T00:00:00"/>
    <s v="Dólares"/>
    <n v="14650"/>
    <s v="LITTLE 3"/>
    <x v="8"/>
    <m/>
    <m/>
  </r>
  <r>
    <x v="1"/>
    <x v="0"/>
    <x v="0"/>
    <n v="10856"/>
    <x v="1"/>
    <x v="4"/>
    <d v="2025-12-23T00:00:00"/>
    <s v="Dólares"/>
    <n v="14650"/>
    <s v="JESSICA VANESSA JENKINS ARROYO"/>
    <x v="8"/>
    <m/>
    <m/>
  </r>
  <r>
    <x v="0"/>
    <x v="3"/>
    <x v="0"/>
    <m/>
    <x v="1"/>
    <x v="4"/>
    <d v="2025-07-23T00:00:00"/>
    <s v="Dólares"/>
    <n v="14614.8"/>
    <s v="TELEDOLAR"/>
    <x v="7"/>
    <m/>
    <m/>
  </r>
  <r>
    <x v="1"/>
    <x v="0"/>
    <x v="1"/>
    <m/>
    <x v="1"/>
    <x v="0"/>
    <d v="2026-02-04T00:00:00"/>
    <s v="Dólares"/>
    <n v="71677.789999999994"/>
    <s v="CONSTRUCTORA TOTEM"/>
    <x v="6"/>
    <m/>
    <m/>
  </r>
  <r>
    <x v="1"/>
    <x v="0"/>
    <x v="0"/>
    <n v="10886"/>
    <x v="1"/>
    <x v="0"/>
    <d v="2026-02-04T00:00:00"/>
    <s v="Dólares"/>
    <n v="9512"/>
    <s v="Maciej Gustab"/>
    <x v="6"/>
    <m/>
    <m/>
  </r>
  <r>
    <x v="0"/>
    <x v="0"/>
    <x v="0"/>
    <n v="10026530"/>
    <x v="1"/>
    <x v="2"/>
    <d v="2025-05-05T00:00:00"/>
    <s v="Dólares"/>
    <n v="14500"/>
    <s v="MARIANELLA SANCHEZ CAMPOS"/>
    <x v="0"/>
    <m/>
    <m/>
  </r>
  <r>
    <x v="0"/>
    <x v="1"/>
    <x v="0"/>
    <n v="10026868"/>
    <x v="1"/>
    <x v="3"/>
    <d v="2025-06-19T00:00:00"/>
    <s v="Dólares"/>
    <n v="48907.73"/>
    <s v="VOLIO Y TREJOS ASOCIADOS"/>
    <x v="5"/>
    <m/>
    <m/>
  </r>
  <r>
    <x v="0"/>
    <x v="0"/>
    <x v="0"/>
    <n v="10028466"/>
    <x v="1"/>
    <x v="0"/>
    <d v="2026-02-04T00:00:00"/>
    <s v="Dólares"/>
    <n v="4728"/>
    <s v="JOHEL ADONAY MUÑOZ CALDERON"/>
    <x v="6"/>
    <m/>
    <m/>
  </r>
  <r>
    <x v="3"/>
    <x v="3"/>
    <x v="0"/>
    <m/>
    <x v="1"/>
    <x v="0"/>
    <d v="2025-07-04T00:00:00"/>
    <s v="Dólares"/>
    <n v="14442.48"/>
    <s v="VML COSTA RICA SOCIEDAD DE RESPONSABILIDAD LIMITADA"/>
    <x v="7"/>
    <m/>
    <m/>
  </r>
  <r>
    <x v="0"/>
    <x v="0"/>
    <x v="2"/>
    <m/>
    <x v="1"/>
    <x v="3"/>
    <d v="2025-06-19T00:00:00"/>
    <s v="Dólares"/>
    <n v="20350"/>
    <s v="KAREN FIGUERES OLSEN"/>
    <x v="5"/>
    <m/>
    <m/>
  </r>
  <r>
    <x v="2"/>
    <x v="3"/>
    <x v="0"/>
    <m/>
    <x v="1"/>
    <x v="1"/>
    <d v="2025-07-31T00:00:00"/>
    <s v="Dólares"/>
    <n v="14347"/>
    <s v="SEMANA 05 JULIO EXPRESS"/>
    <x v="7"/>
    <m/>
    <m/>
  </r>
  <r>
    <x v="0"/>
    <x v="1"/>
    <x v="2"/>
    <n v="10026659"/>
    <x v="1"/>
    <x v="4"/>
    <d v="2025-05-23T00:00:00"/>
    <s v="Dólares"/>
    <n v="14310"/>
    <s v="Euro Lindora"/>
    <x v="0"/>
    <m/>
    <m/>
  </r>
  <r>
    <x v="0"/>
    <x v="0"/>
    <x v="1"/>
    <m/>
    <x v="1"/>
    <x v="4"/>
    <d v="2025-10-22T00:00:00"/>
    <s v="Dólares"/>
    <n v="14213.8"/>
    <s v="EDUARDO GAZEL"/>
    <x v="2"/>
    <m/>
    <m/>
  </r>
  <r>
    <x v="0"/>
    <x v="4"/>
    <x v="0"/>
    <m/>
    <x v="1"/>
    <x v="0"/>
    <d v="2026-01-05T00:00:00"/>
    <s v="Dólares"/>
    <n v="14193.93"/>
    <s v="ALTEA G Y E SOCIEDAD ANONIMA."/>
    <x v="3"/>
    <m/>
    <m/>
  </r>
  <r>
    <x v="0"/>
    <x v="1"/>
    <x v="0"/>
    <m/>
    <x v="1"/>
    <x v="2"/>
    <d v="2025-09-09T00:00:00"/>
    <s v="Dólares"/>
    <n v="14192.8"/>
    <s v="FDO INV. DESARROLLO PROYECTOS MULTIFONDOS SECRT ESCALANTE"/>
    <x v="9"/>
    <m/>
    <m/>
  </r>
  <r>
    <x v="0"/>
    <x v="2"/>
    <x v="0"/>
    <m/>
    <x v="1"/>
    <x v="0"/>
    <d v="2026-01-08T00:00:00"/>
    <s v="Dólares"/>
    <n v="14131.09"/>
    <s v="SIGMA ALIMENTOS COSTA RICA SOCIEDAD ANONIMA"/>
    <x v="3"/>
    <m/>
    <m/>
  </r>
  <r>
    <x v="0"/>
    <x v="0"/>
    <x v="0"/>
    <n v="10028194"/>
    <x v="1"/>
    <x v="4"/>
    <d v="2025-12-22T00:00:00"/>
    <s v="Dólares"/>
    <n v="14000"/>
    <s v="CARLOS ANDRES VILLALOBOS ARAYA"/>
    <x v="8"/>
    <m/>
    <m/>
  </r>
  <r>
    <x v="0"/>
    <x v="0"/>
    <x v="0"/>
    <m/>
    <x v="1"/>
    <x v="3"/>
    <d v="2025-06-19T00:00:00"/>
    <s v="Colones"/>
    <n v="18609.561023622045"/>
    <s v="GUISELLE MARIA DE LA TRINIDAD UMAÑA UREÑA"/>
    <x v="5"/>
    <m/>
    <m/>
  </r>
  <r>
    <x v="0"/>
    <x v="3"/>
    <x v="0"/>
    <n v="10026927"/>
    <x v="1"/>
    <x v="4"/>
    <d v="2025-06-26T00:00:00"/>
    <s v="Dólares"/>
    <n v="13827.54"/>
    <s v="AUTO REPUESTOS AVENIDA DIEZ S.A. (GUACAMAYA)"/>
    <x v="5"/>
    <m/>
    <m/>
  </r>
  <r>
    <x v="3"/>
    <x v="3"/>
    <x v="0"/>
    <m/>
    <x v="1"/>
    <x v="1"/>
    <d v="2025-10-29T00:00:00"/>
    <s v="Dólares"/>
    <n v="13806.15"/>
    <s v="CONTRACT WORKPLACES COSTA RICA SOCIEDAD ANONIMA "/>
    <x v="2"/>
    <m/>
    <m/>
  </r>
  <r>
    <x v="0"/>
    <x v="0"/>
    <x v="0"/>
    <m/>
    <x v="1"/>
    <x v="0"/>
    <d v="2026-02-04T00:00:00"/>
    <s v="Dólares"/>
    <n v="3900"/>
    <s v="Julio Lizano Rodr[iguez"/>
    <x v="6"/>
    <m/>
    <m/>
  </r>
  <r>
    <x v="0"/>
    <x v="0"/>
    <x v="0"/>
    <n v="10028427"/>
    <x v="1"/>
    <x v="0"/>
    <d v="2026-02-04T00:00:00"/>
    <s v="Dólares"/>
    <n v="2600"/>
    <s v="ROMAN MYJAILOVSKY MYJAILOVSKA"/>
    <x v="6"/>
    <m/>
    <m/>
  </r>
  <r>
    <x v="0"/>
    <x v="1"/>
    <x v="2"/>
    <m/>
    <x v="1"/>
    <x v="4"/>
    <d v="2025-09-26T00:00:00"/>
    <s v="Dólares"/>
    <n v="13627.15"/>
    <s v="CAFETOS"/>
    <x v="9"/>
    <m/>
    <m/>
  </r>
  <r>
    <x v="3"/>
    <x v="3"/>
    <x v="2"/>
    <m/>
    <x v="1"/>
    <x v="4"/>
    <d v="2025-12-23T00:00:00"/>
    <s v="Colones"/>
    <n v="13609.42019607843"/>
    <s v="CAJA COSTARRICENSE DE SEGURO SOCIAL"/>
    <x v="8"/>
    <m/>
    <m/>
  </r>
  <r>
    <x v="2"/>
    <x v="3"/>
    <x v="0"/>
    <m/>
    <x v="1"/>
    <x v="4"/>
    <d v="2025-10-26T00:00:00"/>
    <s v="Dólares"/>
    <n v="13608.96"/>
    <s v="SEMANA 04 OCTUBRE EXPRESS"/>
    <x v="2"/>
    <m/>
    <m/>
  </r>
  <r>
    <x v="0"/>
    <x v="3"/>
    <x v="0"/>
    <n v="10027292"/>
    <x v="1"/>
    <x v="2"/>
    <d v="2025-08-11T00:00:00"/>
    <s v="Dólares"/>
    <n v="13577.82"/>
    <s v="TEGRA MEDICAL COSTA RICA SOCIEDAD ANONIMA"/>
    <x v="1"/>
    <m/>
    <m/>
  </r>
  <r>
    <x v="0"/>
    <x v="4"/>
    <x v="0"/>
    <m/>
    <x v="1"/>
    <x v="4"/>
    <d v="2025-10-24T00:00:00"/>
    <s v="Dólares"/>
    <n v="13560"/>
    <s v="ALQUILER VERTICE"/>
    <x v="2"/>
    <m/>
    <m/>
  </r>
  <r>
    <x v="2"/>
    <x v="3"/>
    <x v="0"/>
    <m/>
    <x v="1"/>
    <x v="2"/>
    <d v="2025-08-16T00:00:00"/>
    <s v="Dólares"/>
    <n v="13540.15"/>
    <s v="SEMANA 02 AGOSTO EXPRESS"/>
    <x v="1"/>
    <m/>
    <m/>
  </r>
  <r>
    <x v="3"/>
    <x v="3"/>
    <x v="0"/>
    <m/>
    <x v="1"/>
    <x v="4"/>
    <d v="2025-07-23T00:00:00"/>
    <s v="Dólares"/>
    <n v="13498.08"/>
    <s v="GRUPO ROBLE - CENTRO COMERCIAL MULTIPLAZA"/>
    <x v="7"/>
    <m/>
    <m/>
  </r>
  <r>
    <x v="0"/>
    <x v="0"/>
    <x v="0"/>
    <m/>
    <x v="1"/>
    <x v="3"/>
    <d v="2025-06-19T00:00:00"/>
    <s v="Dólares"/>
    <n v="11600"/>
    <s v="ELIZABETH JIMENEZ JIMENEZ"/>
    <x v="5"/>
    <m/>
    <m/>
  </r>
  <r>
    <x v="0"/>
    <x v="3"/>
    <x v="0"/>
    <m/>
    <x v="1"/>
    <x v="2"/>
    <d v="2025-07-11T00:00:00"/>
    <s v="Dólares"/>
    <n v="13411.8"/>
    <s v="AUTO REPUESTOS AVENIDA DIEZ S.A."/>
    <x v="7"/>
    <m/>
    <m/>
  </r>
  <r>
    <x v="3"/>
    <x v="3"/>
    <x v="0"/>
    <n v="15170"/>
    <x v="1"/>
    <x v="3"/>
    <d v="2025-06-19T00:00:00"/>
    <s v="Dólares"/>
    <n v="10699.45"/>
    <s v="CORPORACION GRUPO Q COSTA RICA SOCIEDAD ANONIMA"/>
    <x v="5"/>
    <m/>
    <m/>
  </r>
  <r>
    <x v="3"/>
    <x v="3"/>
    <x v="0"/>
    <n v="15201"/>
    <x v="1"/>
    <x v="1"/>
    <d v="2025-07-30T00:00:00"/>
    <s v="Dólares"/>
    <n v="13352.19"/>
    <s v="CONTRACT WORKPLACES COSTA RICA SOCIEDAD ANONIMA"/>
    <x v="7"/>
    <m/>
    <m/>
  </r>
  <r>
    <x v="3"/>
    <x v="3"/>
    <x v="0"/>
    <n v="15170"/>
    <x v="1"/>
    <x v="3"/>
    <d v="2025-06-19T00:00:00"/>
    <s v="Dólares"/>
    <n v="3698.59"/>
    <s v="CORPORACION GRUPO Q COSTA RICA SOCIEDAD ANONIMA"/>
    <x v="5"/>
    <m/>
    <m/>
  </r>
  <r>
    <x v="0"/>
    <x v="0"/>
    <x v="0"/>
    <m/>
    <x v="1"/>
    <x v="4"/>
    <d v="2025-11-24T00:00:00"/>
    <s v="Dólares"/>
    <n v="13200"/>
    <s v="SALUD NEONATAL SOCIEDAD ANONIMA"/>
    <x v="4"/>
    <m/>
    <m/>
  </r>
  <r>
    <x v="0"/>
    <x v="3"/>
    <x v="1"/>
    <m/>
    <x v="1"/>
    <x v="2"/>
    <d v="2025-12-10T00:00:00"/>
    <s v="Dólares"/>
    <n v="13161.07"/>
    <s v="EURO RAMSTACK"/>
    <x v="8"/>
    <m/>
    <m/>
  </r>
  <r>
    <x v="2"/>
    <x v="3"/>
    <x v="0"/>
    <m/>
    <x v="1"/>
    <x v="4"/>
    <d v="2025-09-27T00:00:00"/>
    <s v="Dólares"/>
    <n v="13136.37"/>
    <s v="SEMANA 04 SETIEMBRE EXPRESS"/>
    <x v="9"/>
    <m/>
    <m/>
  </r>
  <r>
    <x v="0"/>
    <x v="2"/>
    <x v="0"/>
    <m/>
    <x v="1"/>
    <x v="4"/>
    <d v="2025-11-26T00:00:00"/>
    <s v="Dólares"/>
    <n v="13073.72"/>
    <s v="MORPHO TRAVEL EXPERIENCE"/>
    <x v="4"/>
    <m/>
    <m/>
  </r>
  <r>
    <x v="0"/>
    <x v="0"/>
    <x v="0"/>
    <m/>
    <x v="1"/>
    <x v="3"/>
    <d v="2025-06-19T00:00:00"/>
    <s v="Dólares"/>
    <n v="2000"/>
    <s v="ELIZABETH JIMENEZ JIMENEZ"/>
    <x v="5"/>
    <m/>
    <m/>
  </r>
  <r>
    <x v="0"/>
    <x v="0"/>
    <x v="0"/>
    <m/>
    <x v="1"/>
    <x v="4"/>
    <d v="2025-08-25T00:00:00"/>
    <s v="Dólares"/>
    <n v="13000"/>
    <s v="MARIA EMILIA FERNANDEZ MORA"/>
    <x v="1"/>
    <m/>
    <m/>
  </r>
  <r>
    <x v="0"/>
    <x v="2"/>
    <x v="0"/>
    <n v="10026869"/>
    <x v="1"/>
    <x v="3"/>
    <d v="2025-06-19T00:00:00"/>
    <s v="Dólares"/>
    <n v="1944.66"/>
    <s v="OKAY INDUSTRIES COSTA RICA SRL"/>
    <x v="5"/>
    <m/>
    <m/>
  </r>
  <r>
    <x v="0"/>
    <x v="0"/>
    <x v="0"/>
    <m/>
    <x v="1"/>
    <x v="4"/>
    <d v="2025-06-28T00:00:00"/>
    <s v="Dólares"/>
    <n v="12992.45"/>
    <s v="CARLOS ANDRES VILLALOBOS ARAYA"/>
    <x v="5"/>
    <m/>
    <m/>
  </r>
  <r>
    <x v="0"/>
    <x v="1"/>
    <x v="1"/>
    <m/>
    <x v="1"/>
    <x v="2"/>
    <d v="2026-01-16T00:00:00"/>
    <s v="Dólares"/>
    <n v="12986.24"/>
    <s v="MARIN GARDEN ADELANTO - EDICA"/>
    <x v="3"/>
    <m/>
    <m/>
  </r>
  <r>
    <x v="2"/>
    <x v="3"/>
    <x v="0"/>
    <m/>
    <x v="1"/>
    <x v="4"/>
    <d v="2025-06-30T00:00:00"/>
    <s v="Dólares"/>
    <n v="12979.89"/>
    <s v="PAGO SEMANA 04 OUTLET JUNIO"/>
    <x v="5"/>
    <m/>
    <m/>
  </r>
  <r>
    <x v="0"/>
    <x v="3"/>
    <x v="0"/>
    <n v="10026652"/>
    <x v="1"/>
    <x v="4"/>
    <d v="2025-05-22T00:00:00"/>
    <s v="Dólares"/>
    <n v="12979.11"/>
    <s v="CASA DE CAMBIO TELEDOLAR"/>
    <x v="0"/>
    <m/>
    <m/>
  </r>
  <r>
    <x v="0"/>
    <x v="2"/>
    <x v="0"/>
    <n v="10026866"/>
    <x v="1"/>
    <x v="3"/>
    <d v="2025-06-19T00:00:00"/>
    <s v="Dólares"/>
    <n v="1747.17"/>
    <s v="DISTRIBUIDORA LA FLORIDA S.A."/>
    <x v="5"/>
    <m/>
    <m/>
  </r>
  <r>
    <x v="0"/>
    <x v="3"/>
    <x v="0"/>
    <m/>
    <x v="1"/>
    <x v="4"/>
    <d v="2025-06-24T00:00:00"/>
    <s v="Dólares"/>
    <n v="12887.31"/>
    <s v="FDO INV. DESARROLLO PROYECTOS MULTIFONDOS SECRT ESCALANTE"/>
    <x v="5"/>
    <m/>
    <m/>
  </r>
  <r>
    <x v="0"/>
    <x v="3"/>
    <x v="1"/>
    <m/>
    <x v="1"/>
    <x v="2"/>
    <d v="2025-06-13T00:00:00"/>
    <s v="Dólares"/>
    <n v="12869.66"/>
    <s v="PLAZA RIVIERA SOCIEDAD ANONIMA"/>
    <x v="5"/>
    <m/>
    <m/>
  </r>
  <r>
    <x v="2"/>
    <x v="3"/>
    <x v="0"/>
    <m/>
    <x v="1"/>
    <x v="0"/>
    <d v="2025-06-07T00:00:00"/>
    <s v="Dólares"/>
    <n v="12829.06"/>
    <s v="PAGO SEMANA 01 OUTLET JUNIO"/>
    <x v="5"/>
    <m/>
    <m/>
  </r>
  <r>
    <x v="0"/>
    <x v="0"/>
    <x v="1"/>
    <m/>
    <x v="1"/>
    <x v="2"/>
    <d v="2025-10-10T00:00:00"/>
    <s v="Dólares"/>
    <n v="12800"/>
    <s v="SALUD NEONATAL SOCIEDAD ANONIMA"/>
    <x v="2"/>
    <m/>
    <m/>
  </r>
  <r>
    <x v="0"/>
    <x v="2"/>
    <x v="0"/>
    <m/>
    <x v="1"/>
    <x v="4"/>
    <d v="2025-09-26T00:00:00"/>
    <s v="Dólares"/>
    <n v="12753.59"/>
    <s v="PURDY MOTOR SOCIEDAD ANONIMA"/>
    <x v="9"/>
    <m/>
    <m/>
  </r>
  <r>
    <x v="0"/>
    <x v="2"/>
    <x v="1"/>
    <m/>
    <x v="1"/>
    <x v="0"/>
    <d v="2025-06-06T00:00:00"/>
    <s v="Dólares"/>
    <n v="12677.56"/>
    <s v="ALMACENES EL REY"/>
    <x v="5"/>
    <m/>
    <m/>
  </r>
  <r>
    <x v="0"/>
    <x v="2"/>
    <x v="1"/>
    <m/>
    <x v="1"/>
    <x v="4"/>
    <d v="2025-10-21T00:00:00"/>
    <s v="Dólares"/>
    <n v="12636.03"/>
    <s v="SERIGRAFICA SURETKA"/>
    <x v="2"/>
    <m/>
    <m/>
  </r>
  <r>
    <x v="0"/>
    <x v="3"/>
    <x v="0"/>
    <n v="10026740"/>
    <x v="1"/>
    <x v="0"/>
    <d v="2025-06-02T00:00:00"/>
    <s v="Dólares"/>
    <n v="12491.51"/>
    <s v="NUCLEO BUSINESS CENTER SOCIEDAD ANONIMA"/>
    <x v="5"/>
    <m/>
    <m/>
  </r>
  <r>
    <x v="2"/>
    <x v="3"/>
    <x v="0"/>
    <m/>
    <x v="1"/>
    <x v="0"/>
    <d v="2025-11-07T00:00:00"/>
    <s v="Dólares"/>
    <n v="12475.638300000001"/>
    <s v="SEMANA 01 NOVIEMBRE EXPRESS"/>
    <x v="4"/>
    <m/>
    <m/>
  </r>
  <r>
    <x v="1"/>
    <x v="0"/>
    <x v="0"/>
    <m/>
    <x v="1"/>
    <x v="1"/>
    <d v="2025-05-26T00:00:00"/>
    <s v="Dólares"/>
    <n v="12454"/>
    <s v="MCV TRANSPORT OF COSTA RICA S.A"/>
    <x v="0"/>
    <m/>
    <m/>
  </r>
  <r>
    <x v="0"/>
    <x v="2"/>
    <x v="2"/>
    <n v="10026485"/>
    <x v="1"/>
    <x v="2"/>
    <d v="2025-05-07T00:00:00"/>
    <s v="Dólares"/>
    <n v="12441.82"/>
    <s v="MAYCA DISTRIBUIDORES, S.A"/>
    <x v="0"/>
    <m/>
    <m/>
  </r>
  <r>
    <x v="3"/>
    <x v="3"/>
    <x v="0"/>
    <n v="15157"/>
    <x v="1"/>
    <x v="0"/>
    <d v="2025-06-02T00:00:00"/>
    <s v="Dólares"/>
    <n v="12392.43"/>
    <s v="HARLAND MEDICAL SYSTEMS COSTA RICA SOCIEDAD DE RESPONSABILIDAD LIMITADA"/>
    <x v="5"/>
    <m/>
    <m/>
  </r>
  <r>
    <x v="0"/>
    <x v="3"/>
    <x v="0"/>
    <m/>
    <x v="1"/>
    <x v="1"/>
    <d v="2025-10-31T00:00:00"/>
    <s v="Dólares"/>
    <n v="12373.56"/>
    <s v="SMC COSTA RICA"/>
    <x v="2"/>
    <m/>
    <m/>
  </r>
  <r>
    <x v="1"/>
    <x v="0"/>
    <x v="1"/>
    <m/>
    <x v="1"/>
    <x v="0"/>
    <d v="2025-07-03T00:00:00"/>
    <s v="Dólares"/>
    <n v="12362"/>
    <s v="SORAYA SOLANO"/>
    <x v="7"/>
    <m/>
    <m/>
  </r>
  <r>
    <x v="0"/>
    <x v="0"/>
    <x v="0"/>
    <m/>
    <x v="1"/>
    <x v="3"/>
    <d v="2025-06-19T00:00:00"/>
    <s v="Dólares"/>
    <n v="1729"/>
    <s v="JOSE FRANCISCO CERVANTES"/>
    <x v="5"/>
    <m/>
    <m/>
  </r>
  <r>
    <x v="3"/>
    <x v="3"/>
    <x v="2"/>
    <n v="15171"/>
    <x v="1"/>
    <x v="3"/>
    <d v="2025-06-19T00:00:00"/>
    <s v="Dólares"/>
    <n v="1287"/>
    <s v="VOLIO &amp; TREJOS ASOCIADOS SOCIEDAD ANONIMA"/>
    <x v="5"/>
    <m/>
    <m/>
  </r>
  <r>
    <x v="1"/>
    <x v="0"/>
    <x v="0"/>
    <m/>
    <x v="1"/>
    <x v="0"/>
    <d v="2026-02-04T00:00:00"/>
    <s v="Dólares"/>
    <n v="379"/>
    <s v="Maciej Gustab"/>
    <x v="6"/>
    <m/>
    <m/>
  </r>
  <r>
    <x v="0"/>
    <x v="0"/>
    <x v="0"/>
    <m/>
    <x v="1"/>
    <x v="0"/>
    <d v="2025-07-01T00:00:00"/>
    <s v="Dólares"/>
    <n v="12300"/>
    <s v="ELKIN ANDRES SUAREZ DURALL"/>
    <x v="7"/>
    <m/>
    <m/>
  </r>
  <r>
    <x v="0"/>
    <x v="1"/>
    <x v="0"/>
    <n v="10026984"/>
    <x v="1"/>
    <x v="0"/>
    <d v="2025-07-01T00:00:00"/>
    <s v="Dólares"/>
    <n v="12288.52"/>
    <s v="DESARROLLOS TECNICOS S.A"/>
    <x v="7"/>
    <m/>
    <m/>
  </r>
  <r>
    <x v="0"/>
    <x v="2"/>
    <x v="1"/>
    <n v="10026906"/>
    <x v="1"/>
    <x v="3"/>
    <d v="2025-06-19T00:00:00"/>
    <s v="Dólares"/>
    <n v="643.13"/>
    <s v="POLYCENTER SOCIEDAD ANONIMA"/>
    <x v="5"/>
    <m/>
    <m/>
  </r>
  <r>
    <x v="0"/>
    <x v="0"/>
    <x v="0"/>
    <m/>
    <x v="1"/>
    <x v="3"/>
    <d v="2025-06-19T00:00:00"/>
    <s v="Dólares"/>
    <n v="150"/>
    <s v="MICHAEL H, PANAH"/>
    <x v="5"/>
    <m/>
    <m/>
  </r>
  <r>
    <x v="2"/>
    <x v="3"/>
    <x v="0"/>
    <m/>
    <x v="1"/>
    <x v="4"/>
    <d v="2026-01-31T00:00:00"/>
    <s v="Dólares"/>
    <n v="12242.15"/>
    <s v="SEMANA 04 EXPRESS"/>
    <x v="3"/>
    <m/>
    <m/>
  </r>
  <r>
    <x v="0"/>
    <x v="2"/>
    <x v="1"/>
    <m/>
    <x v="1"/>
    <x v="2"/>
    <d v="2025-11-13T00:00:00"/>
    <s v="Dólares"/>
    <n v="12203.78"/>
    <s v="RUBINSTEIN"/>
    <x v="4"/>
    <m/>
    <m/>
  </r>
  <r>
    <x v="3"/>
    <x v="3"/>
    <x v="2"/>
    <n v="15171"/>
    <x v="1"/>
    <x v="3"/>
    <d v="2025-06-19T00:00:00"/>
    <s v="Dólares"/>
    <n v="143.43"/>
    <s v="VOLIO &amp; TREJOS ASOCIADOS SOCIEDAD ANONIMA"/>
    <x v="5"/>
    <m/>
    <m/>
  </r>
  <r>
    <x v="0"/>
    <x v="1"/>
    <x v="0"/>
    <m/>
    <x v="1"/>
    <x v="0"/>
    <d v="2025-11-06T00:00:00"/>
    <s v="Dólares"/>
    <n v="12102.69"/>
    <s v="CONSTRUCTORA BRK S.A."/>
    <x v="4"/>
    <m/>
    <m/>
  </r>
  <r>
    <x v="0"/>
    <x v="3"/>
    <x v="2"/>
    <m/>
    <x v="1"/>
    <x v="4"/>
    <d v="2025-11-28T00:00:00"/>
    <s v="Dólares"/>
    <n v="12091.81"/>
    <s v="SAN JOSE INDOOR CLUB SOCIEDAD ANONIMA"/>
    <x v="4"/>
    <m/>
    <m/>
  </r>
  <r>
    <x v="2"/>
    <x v="3"/>
    <x v="0"/>
    <m/>
    <x v="1"/>
    <x v="2"/>
    <d v="2025-12-13T00:00:00"/>
    <s v="Dólares"/>
    <n v="12012"/>
    <s v="SEMANA 02 EXPRESS"/>
    <x v="8"/>
    <m/>
    <m/>
  </r>
  <r>
    <x v="0"/>
    <x v="2"/>
    <x v="0"/>
    <n v="10026878"/>
    <x v="1"/>
    <x v="3"/>
    <d v="2025-06-20T00:00:00"/>
    <s v="Dólares"/>
    <n v="31122.68"/>
    <s v="COVESA COMERCIALIZADORA VELA SOCIEDAD ANONIMA"/>
    <x v="5"/>
    <m/>
    <m/>
  </r>
  <r>
    <x v="0"/>
    <x v="0"/>
    <x v="0"/>
    <n v="10027676"/>
    <x v="1"/>
    <x v="1"/>
    <d v="2025-09-30T00:00:00"/>
    <s v="Dólares"/>
    <n v="12000"/>
    <s v="RAUL ALFREDO VARGAS CAMPOS"/>
    <x v="9"/>
    <m/>
    <m/>
  </r>
  <r>
    <x v="0"/>
    <x v="0"/>
    <x v="0"/>
    <m/>
    <x v="1"/>
    <x v="4"/>
    <d v="2025-10-21T00:00:00"/>
    <s v="Dólares"/>
    <n v="12000"/>
    <s v="MARIA EMILIA FERNANDEZ"/>
    <x v="2"/>
    <m/>
    <m/>
  </r>
  <r>
    <x v="1"/>
    <x v="0"/>
    <x v="0"/>
    <m/>
    <x v="1"/>
    <x v="4"/>
    <d v="2026-01-26T00:00:00"/>
    <s v="Dólares"/>
    <n v="12000"/>
    <s v="IRIS MOORE CARBALLO"/>
    <x v="3"/>
    <m/>
    <m/>
  </r>
  <r>
    <x v="1"/>
    <x v="0"/>
    <x v="0"/>
    <m/>
    <x v="1"/>
    <x v="3"/>
    <d v="2025-06-20T00:00:00"/>
    <s v="Dólares"/>
    <n v="30234.31"/>
    <s v="ECODESARROLLO PAPAGAYO LIMITADA"/>
    <x v="5"/>
    <m/>
    <m/>
  </r>
  <r>
    <x v="0"/>
    <x v="0"/>
    <x v="0"/>
    <m/>
    <x v="1"/>
    <x v="4"/>
    <d v="2025-05-22T00:00:00"/>
    <s v="Dólares"/>
    <n v="11913"/>
    <s v="G Q ARQUITECTURA SOCIEDAD ANONIMA"/>
    <x v="0"/>
    <m/>
    <m/>
  </r>
  <r>
    <x v="0"/>
    <x v="1"/>
    <x v="0"/>
    <n v="10026522"/>
    <x v="1"/>
    <x v="2"/>
    <d v="2025-05-08T00:00:00"/>
    <s v="Dólares"/>
    <n v="11812.03"/>
    <s v="NOVA DEL ESTE FA"/>
    <x v="0"/>
    <m/>
    <m/>
  </r>
  <r>
    <x v="0"/>
    <x v="0"/>
    <x v="0"/>
    <m/>
    <x v="1"/>
    <x v="4"/>
    <d v="2025-06-26T00:00:00"/>
    <s v="Colones"/>
    <n v="11792.125984251968"/>
    <s v="PAMELA SANDOVAL SALAZAR"/>
    <x v="5"/>
    <m/>
    <m/>
  </r>
  <r>
    <x v="3"/>
    <x v="3"/>
    <x v="0"/>
    <m/>
    <x v="1"/>
    <x v="4"/>
    <d v="2025-12-23T00:00:00"/>
    <s v="Dólares"/>
    <n v="11699.4"/>
    <s v="ZETA GBS SOLUTIONS"/>
    <x v="8"/>
    <m/>
    <m/>
  </r>
  <r>
    <x v="0"/>
    <x v="3"/>
    <x v="0"/>
    <m/>
    <x v="1"/>
    <x v="1"/>
    <d v="2025-10-30T00:00:00"/>
    <s v="Dólares"/>
    <n v="11684.9"/>
    <s v="CSI LEASING"/>
    <x v="2"/>
    <m/>
    <m/>
  </r>
  <r>
    <x v="3"/>
    <x v="3"/>
    <x v="2"/>
    <m/>
    <x v="1"/>
    <x v="0"/>
    <d v="2025-10-03T00:00:00"/>
    <s v="Dólares"/>
    <n v="11621.68"/>
    <s v="GOSOCKET"/>
    <x v="2"/>
    <m/>
    <m/>
  </r>
  <r>
    <x v="0"/>
    <x v="2"/>
    <x v="0"/>
    <n v="10026886"/>
    <x v="1"/>
    <x v="3"/>
    <d v="2025-06-20T00:00:00"/>
    <s v="Dólares"/>
    <n v="11925.57"/>
    <s v="CONSTRUCTORA PROYCON SOCIEDAD ANONIMA"/>
    <x v="5"/>
    <m/>
    <m/>
  </r>
  <r>
    <x v="0"/>
    <x v="2"/>
    <x v="0"/>
    <m/>
    <x v="1"/>
    <x v="2"/>
    <d v="2025-10-06T00:00:00"/>
    <s v="Dólares"/>
    <n v="11550"/>
    <s v="HERAEUS MEDICAL COMPONENTS SOCIEDAD DE RESPONSABILIDAD LIMITADA"/>
    <x v="2"/>
    <m/>
    <m/>
  </r>
  <r>
    <x v="0"/>
    <x v="3"/>
    <x v="0"/>
    <n v="10026884"/>
    <x v="1"/>
    <x v="3"/>
    <d v="2025-06-20T00:00:00"/>
    <s v="Dólares"/>
    <n v="6231.58"/>
    <s v="NUCLEO BUSINESS CENTER SOCIEDAD ANONIMA"/>
    <x v="5"/>
    <m/>
    <m/>
  </r>
  <r>
    <x v="0"/>
    <x v="3"/>
    <x v="0"/>
    <m/>
    <x v="1"/>
    <x v="2"/>
    <d v="2026-01-16T00:00:00"/>
    <s v="Dólares"/>
    <n v="11504.93"/>
    <s v="AVENIDA 10 - LA GUACAMAYA"/>
    <x v="3"/>
    <m/>
    <m/>
  </r>
  <r>
    <x v="0"/>
    <x v="0"/>
    <x v="0"/>
    <m/>
    <x v="1"/>
    <x v="2"/>
    <d v="2025-06-11T00:00:00"/>
    <s v="Dólares"/>
    <n v="11500"/>
    <s v="MARIA LAURA MORA RAMIREZ"/>
    <x v="5"/>
    <m/>
    <m/>
  </r>
  <r>
    <x v="0"/>
    <x v="3"/>
    <x v="2"/>
    <n v="10026884"/>
    <x v="1"/>
    <x v="3"/>
    <d v="2025-06-20T00:00:00"/>
    <s v="Dólares"/>
    <n v="2255.5"/>
    <s v="NUCLEO BUSINESS CENTER SOCIEDAD ANONIMA"/>
    <x v="5"/>
    <m/>
    <m/>
  </r>
  <r>
    <x v="1"/>
    <x v="0"/>
    <x v="0"/>
    <n v="10794"/>
    <x v="1"/>
    <x v="4"/>
    <d v="2025-09-26T00:00:00"/>
    <s v="Dólares"/>
    <n v="11462.27"/>
    <s v="JESSE SHETLER (CLIENTE ES STEPHEN WILLIAMS)"/>
    <x v="9"/>
    <m/>
    <m/>
  </r>
  <r>
    <x v="0"/>
    <x v="3"/>
    <x v="0"/>
    <m/>
    <x v="1"/>
    <x v="1"/>
    <d v="2025-12-30T00:00:00"/>
    <s v="Dólares"/>
    <n v="11437.16"/>
    <s v="BANCO PROMERICA DE COSTA RICA SOCIEDAD ANONIMA"/>
    <x v="8"/>
    <m/>
    <m/>
  </r>
  <r>
    <x v="0"/>
    <x v="2"/>
    <x v="2"/>
    <n v="10026754"/>
    <x v="1"/>
    <x v="0"/>
    <d v="2025-06-03T00:00:00"/>
    <s v="Dólares"/>
    <n v="11433.41"/>
    <s v="Cooperativa de Productores de leche Dos PinosR L"/>
    <x v="5"/>
    <m/>
    <m/>
  </r>
  <r>
    <x v="1"/>
    <x v="0"/>
    <x v="0"/>
    <n v="10799"/>
    <x v="1"/>
    <x v="0"/>
    <d v="2025-10-01T00:00:00"/>
    <s v="Dólares"/>
    <n v="11348"/>
    <s v="3-102-672850 SOCIEDAD DE RESPONSABILIDAD LIMITADA"/>
    <x v="2"/>
    <m/>
    <m/>
  </r>
  <r>
    <x v="0"/>
    <x v="3"/>
    <x v="0"/>
    <m/>
    <x v="1"/>
    <x v="1"/>
    <d v="2025-12-30T00:00:00"/>
    <s v="Dólares"/>
    <n v="11345.41"/>
    <s v="BANCO PROMERICA DE COSTA RICA SOCIEDAD ANONIMA"/>
    <x v="8"/>
    <m/>
    <m/>
  </r>
  <r>
    <x v="0"/>
    <x v="3"/>
    <x v="0"/>
    <m/>
    <x v="1"/>
    <x v="1"/>
    <d v="2025-12-30T00:00:00"/>
    <s v="Dólares"/>
    <n v="11342.97"/>
    <s v="BANCO PROMERICA DE COSTA RICA SOCIEDAD ANONIMA"/>
    <x v="8"/>
    <m/>
    <m/>
  </r>
  <r>
    <x v="0"/>
    <x v="0"/>
    <x v="0"/>
    <n v="10028428"/>
    <x v="1"/>
    <x v="0"/>
    <d v="2026-02-04T00:00:00"/>
    <s v="Dólares"/>
    <n v="373.87"/>
    <s v="SANDRA MILAGROS GAMIO ROSELLO"/>
    <x v="6"/>
    <m/>
    <m/>
  </r>
  <r>
    <x v="0"/>
    <x v="2"/>
    <x v="0"/>
    <m/>
    <x v="1"/>
    <x v="4"/>
    <d v="2026-01-29T00:00:00"/>
    <s v="Dólares"/>
    <n v="11288.5"/>
    <s v="BOSTON SCIENTIFIC DE COSTA RICA S.R.L"/>
    <x v="3"/>
    <m/>
    <m/>
  </r>
  <r>
    <x v="0"/>
    <x v="2"/>
    <x v="1"/>
    <m/>
    <x v="1"/>
    <x v="2"/>
    <d v="2025-12-12T00:00:00"/>
    <s v="Dólares"/>
    <n v="11287.11"/>
    <s v="BICSA LEASING SOCIEDAD ANONIMA ( REX CARGO ) "/>
    <x v="8"/>
    <m/>
    <m/>
  </r>
  <r>
    <x v="0"/>
    <x v="1"/>
    <x v="0"/>
    <n v="10026808"/>
    <x v="1"/>
    <x v="2"/>
    <d v="2025-06-13T00:00:00"/>
    <s v="Dólares"/>
    <n v="11250"/>
    <s v="Constructora La Itaba"/>
    <x v="5"/>
    <m/>
    <m/>
  </r>
  <r>
    <x v="3"/>
    <x v="3"/>
    <x v="0"/>
    <m/>
    <x v="1"/>
    <x v="0"/>
    <d v="2025-07-04T00:00:00"/>
    <s v="Dólares"/>
    <n v="11232.75"/>
    <s v="CONTRACT WORKPLACES"/>
    <x v="7"/>
    <m/>
    <m/>
  </r>
  <r>
    <x v="0"/>
    <x v="2"/>
    <x v="0"/>
    <m/>
    <x v="1"/>
    <x v="2"/>
    <d v="2025-11-11T00:00:00"/>
    <s v="Dólares"/>
    <n v="11203.2"/>
    <s v="ELECTROPLAST"/>
    <x v="4"/>
    <m/>
    <m/>
  </r>
  <r>
    <x v="0"/>
    <x v="0"/>
    <x v="0"/>
    <m/>
    <x v="1"/>
    <x v="4"/>
    <d v="2025-11-25T00:00:00"/>
    <s v="Dólares"/>
    <n v="11200"/>
    <s v="GÉNESIS CORDERO BRENES"/>
    <x v="4"/>
    <m/>
    <m/>
  </r>
  <r>
    <x v="0"/>
    <x v="2"/>
    <x v="2"/>
    <m/>
    <x v="1"/>
    <x v="3"/>
    <d v="2025-06-20T00:00:00"/>
    <s v="Colones"/>
    <n v="1367.5361811023622"/>
    <s v="CORPORACION DE COMPAÑIAS AGROINDUSTRIALES CCA SRL"/>
    <x v="5"/>
    <m/>
    <m/>
  </r>
  <r>
    <x v="0"/>
    <x v="2"/>
    <x v="2"/>
    <n v="10026754"/>
    <x v="1"/>
    <x v="0"/>
    <d v="2025-06-03T00:00:00"/>
    <s v="Dólares"/>
    <n v="11147.9"/>
    <s v="Cooperativa de Productores de leche Dos PinosR L"/>
    <x v="5"/>
    <m/>
    <m/>
  </r>
  <r>
    <x v="0"/>
    <x v="0"/>
    <x v="0"/>
    <n v="10027651"/>
    <x v="1"/>
    <x v="4"/>
    <d v="2025-09-26T00:00:00"/>
    <s v="Dólares"/>
    <n v="11050"/>
    <s v="HEIZEL VIVIANNA HERNANDEZ MURILLO"/>
    <x v="9"/>
    <m/>
    <m/>
  </r>
  <r>
    <x v="0"/>
    <x v="3"/>
    <x v="2"/>
    <n v="10026884"/>
    <x v="1"/>
    <x v="3"/>
    <d v="2025-06-20T00:00:00"/>
    <s v="Dólares"/>
    <n v="659.92"/>
    <s v="NUCLEO BUSINESS CENTER SOCIEDAD ANONIMA"/>
    <x v="5"/>
    <m/>
    <m/>
  </r>
  <r>
    <x v="1"/>
    <x v="0"/>
    <x v="0"/>
    <n v="10818"/>
    <x v="1"/>
    <x v="1"/>
    <d v="2025-10-31T00:00:00"/>
    <s v="Dólares"/>
    <n v="11000"/>
    <s v="JESSE SHETLER"/>
    <x v="2"/>
    <m/>
    <m/>
  </r>
  <r>
    <x v="0"/>
    <x v="2"/>
    <x v="0"/>
    <m/>
    <x v="1"/>
    <x v="0"/>
    <d v="2026-12-11T00:00:00"/>
    <s v="Dólares"/>
    <n v="11000"/>
    <s v="HILIX Y COMPAÑÍA"/>
    <x v="8"/>
    <m/>
    <m/>
  </r>
  <r>
    <x v="3"/>
    <x v="3"/>
    <x v="1"/>
    <m/>
    <x v="1"/>
    <x v="4"/>
    <d v="2025-11-24T00:00:00"/>
    <s v="Dólares"/>
    <n v="10965.07"/>
    <s v="CARIARI PREMIUM OUTLET"/>
    <x v="4"/>
    <m/>
    <m/>
  </r>
  <r>
    <x v="0"/>
    <x v="3"/>
    <x v="0"/>
    <n v="10026688"/>
    <x v="1"/>
    <x v="1"/>
    <d v="2025-05-27T00:00:00"/>
    <s v="Dólares"/>
    <n v="10851.96"/>
    <s v="TELEDOLAR SOCIEDAD ANONIMA"/>
    <x v="0"/>
    <m/>
    <m/>
  </r>
  <r>
    <x v="0"/>
    <x v="3"/>
    <x v="0"/>
    <n v="10026986"/>
    <x v="1"/>
    <x v="0"/>
    <d v="2025-07-01T00:00:00"/>
    <s v="Dólares"/>
    <n v="10851.96"/>
    <s v="TELEDOLAR SOCIEDAD ANONIMA"/>
    <x v="7"/>
    <m/>
    <m/>
  </r>
  <r>
    <x v="0"/>
    <x v="0"/>
    <x v="0"/>
    <m/>
    <x v="1"/>
    <x v="4"/>
    <d v="2025-11-25T00:00:00"/>
    <s v="Dólares"/>
    <n v="10834"/>
    <s v="GÉNESIS CORDERO BRENES"/>
    <x v="4"/>
    <m/>
    <m/>
  </r>
  <r>
    <x v="0"/>
    <x v="0"/>
    <x v="0"/>
    <n v="10027360"/>
    <x v="1"/>
    <x v="4"/>
    <d v="2025-08-22T00:00:00"/>
    <s v="Dólares"/>
    <n v="10800"/>
    <s v="MARION PAMELA ROJAS HERRERA"/>
    <x v="1"/>
    <m/>
    <m/>
  </r>
  <r>
    <x v="0"/>
    <x v="1"/>
    <x v="2"/>
    <m/>
    <x v="1"/>
    <x v="1"/>
    <d v="2025-10-31T00:00:00"/>
    <s v="Dólares"/>
    <n v="10787.15"/>
    <s v="MERCADO DE VALORES"/>
    <x v="2"/>
    <m/>
    <m/>
  </r>
  <r>
    <x v="0"/>
    <x v="0"/>
    <x v="0"/>
    <n v="10028048"/>
    <x v="1"/>
    <x v="0"/>
    <d v="2025-12-01T00:00:00"/>
    <s v="Dólares"/>
    <n v="10750"/>
    <s v="HEIZEL VIVIANNA HERNANDEZ MURILLO"/>
    <x v="8"/>
    <m/>
    <m/>
  </r>
  <r>
    <x v="0"/>
    <x v="3"/>
    <x v="2"/>
    <n v="10026821"/>
    <x v="1"/>
    <x v="2"/>
    <d v="2025-06-13T00:00:00"/>
    <s v="Dólares"/>
    <n v="10732.63"/>
    <s v="ASOCIACIÓN DE SERVICIOS MEDICOS COSTARRICENSES"/>
    <x v="5"/>
    <m/>
    <m/>
  </r>
  <r>
    <x v="0"/>
    <x v="0"/>
    <x v="0"/>
    <m/>
    <x v="1"/>
    <x v="3"/>
    <d v="2025-06-20T00:00:00"/>
    <s v="Dólares"/>
    <n v="150"/>
    <s v="ELECTROMECANICA PABLO MURILLO SOCIEDAD ANONIMA"/>
    <x v="5"/>
    <m/>
    <m/>
  </r>
  <r>
    <x v="2"/>
    <x v="3"/>
    <x v="0"/>
    <m/>
    <x v="1"/>
    <x v="2"/>
    <d v="2025-10-12T00:00:00"/>
    <s v="Dólares"/>
    <n v="10688.56"/>
    <s v="SEMANA 02 OCTUBRE EXPRESS"/>
    <x v="2"/>
    <m/>
    <m/>
  </r>
  <r>
    <x v="0"/>
    <x v="2"/>
    <x v="1"/>
    <m/>
    <x v="1"/>
    <x v="1"/>
    <d v="2025-10-30T00:00:00"/>
    <s v="Dólares"/>
    <n v="10625"/>
    <s v="ADELANTO TERRAMIX"/>
    <x v="2"/>
    <m/>
    <m/>
  </r>
  <r>
    <x v="0"/>
    <x v="2"/>
    <x v="0"/>
    <n v="10026889"/>
    <x v="1"/>
    <x v="3"/>
    <d v="2025-06-20T00:00:00"/>
    <s v="Dólares"/>
    <n v="128.87"/>
    <s v="SPORT RETAIL CR SOCIEDAD ANONIMA"/>
    <x v="5"/>
    <m/>
    <m/>
  </r>
  <r>
    <x v="0"/>
    <x v="0"/>
    <x v="0"/>
    <n v="10026532"/>
    <x v="1"/>
    <x v="2"/>
    <d v="2025-05-08T00:00:00"/>
    <s v="Dólares"/>
    <n v="10599"/>
    <s v="CASA DOBLE PLAYA TAMARINDO SOCIEDAD ANONIMA"/>
    <x v="0"/>
    <m/>
    <m/>
  </r>
  <r>
    <x v="0"/>
    <x v="0"/>
    <x v="0"/>
    <m/>
    <x v="1"/>
    <x v="2"/>
    <d v="2025-11-10T00:00:00"/>
    <s v="Dólares"/>
    <n v="10590"/>
    <s v="RAFAEL CASTILLO"/>
    <x v="4"/>
    <m/>
    <m/>
  </r>
  <r>
    <x v="0"/>
    <x v="1"/>
    <x v="2"/>
    <n v="10026673"/>
    <x v="1"/>
    <x v="4"/>
    <d v="2025-05-23T00:00:00"/>
    <s v="Dólares"/>
    <n v="10575"/>
    <s v="Diseño Ingenieria Arquitectura Metropolitana "/>
    <x v="0"/>
    <m/>
    <m/>
  </r>
  <r>
    <x v="0"/>
    <x v="1"/>
    <x v="2"/>
    <n v="10026935"/>
    <x v="1"/>
    <x v="4"/>
    <d v="2025-06-27T00:00:00"/>
    <s v="Dólares"/>
    <n v="10575"/>
    <s v="Diseño Ingenieria Arquitectura Metropolitana "/>
    <x v="5"/>
    <m/>
    <m/>
  </r>
  <r>
    <x v="2"/>
    <x v="3"/>
    <x v="0"/>
    <m/>
    <x v="1"/>
    <x v="3"/>
    <d v="2025-06-21T00:00:00"/>
    <s v="Dólares"/>
    <n v="8971.5300000000007"/>
    <s v="PAGO SEMANA 03 OUTLET JUNIO"/>
    <x v="5"/>
    <m/>
    <m/>
  </r>
  <r>
    <x v="0"/>
    <x v="0"/>
    <x v="0"/>
    <m/>
    <x v="1"/>
    <x v="4"/>
    <d v="2025-11-25T00:00:00"/>
    <s v="Dólares"/>
    <n v="10424"/>
    <s v="GÉNESIS CORDERO BRENES"/>
    <x v="4"/>
    <m/>
    <m/>
  </r>
  <r>
    <x v="0"/>
    <x v="0"/>
    <x v="0"/>
    <m/>
    <x v="1"/>
    <x v="4"/>
    <d v="2025-11-24T00:00:00"/>
    <s v="Dólares"/>
    <n v="10409.43"/>
    <s v="PURA VIDA ESPAIS"/>
    <x v="4"/>
    <m/>
    <m/>
  </r>
  <r>
    <x v="0"/>
    <x v="0"/>
    <x v="0"/>
    <m/>
    <x v="1"/>
    <x v="4"/>
    <d v="2025-11-25T00:00:00"/>
    <s v="Dólares"/>
    <n v="10409.43"/>
    <s v="PURA VIDA ESPAIS"/>
    <x v="4"/>
    <m/>
    <m/>
  </r>
  <r>
    <x v="0"/>
    <x v="1"/>
    <x v="2"/>
    <m/>
    <x v="1"/>
    <x v="4"/>
    <d v="2025-12-24T00:00:00"/>
    <s v="Dólares"/>
    <n v="10407.49"/>
    <s v="FONDO DE DESARROLLO SECRET ESCALANTE"/>
    <x v="8"/>
    <m/>
    <m/>
  </r>
  <r>
    <x v="0"/>
    <x v="1"/>
    <x v="0"/>
    <n v="10026471"/>
    <x v="1"/>
    <x v="0"/>
    <d v="2025-05-02T00:00:00"/>
    <s v="Dólares"/>
    <n v="10373.549999999999"/>
    <s v="EURO BLUE FA S.A"/>
    <x v="0"/>
    <m/>
    <m/>
  </r>
  <r>
    <x v="3"/>
    <x v="3"/>
    <x v="0"/>
    <m/>
    <x v="1"/>
    <x v="4"/>
    <d v="2025-08-28T00:00:00"/>
    <s v="Dólares"/>
    <n v="10307.15"/>
    <s v="FINANCIERA CAFSA SOCIEDAD ANONIMA"/>
    <x v="1"/>
    <m/>
    <m/>
  </r>
  <r>
    <x v="0"/>
    <x v="0"/>
    <x v="0"/>
    <m/>
    <x v="1"/>
    <x v="3"/>
    <d v="2025-06-21T00:00:00"/>
    <s v="Dólares"/>
    <n v="1600"/>
    <s v="Ximena Miranda"/>
    <x v="5"/>
    <m/>
    <m/>
  </r>
  <r>
    <x v="0"/>
    <x v="3"/>
    <x v="1"/>
    <n v="10026987"/>
    <x v="1"/>
    <x v="0"/>
    <d v="2025-07-01T00:00:00"/>
    <s v="Dólares"/>
    <n v="10300"/>
    <s v="TELEDOLAR SOCIEDAD ANONIMA"/>
    <x v="7"/>
    <m/>
    <m/>
  </r>
  <r>
    <x v="0"/>
    <x v="0"/>
    <x v="0"/>
    <m/>
    <x v="1"/>
    <x v="4"/>
    <d v="2025-05-19T00:00:00"/>
    <s v="Dólares"/>
    <n v="10290"/>
    <s v="Trent Justin Reifert"/>
    <x v="0"/>
    <m/>
    <m/>
  </r>
  <r>
    <x v="0"/>
    <x v="3"/>
    <x v="0"/>
    <m/>
    <x v="1"/>
    <x v="2"/>
    <d v="2026-01-12T00:00:00"/>
    <s v="Dólares"/>
    <n v="10271.24"/>
    <s v="TELEDOLAR SOCIEDAD ANONIMA"/>
    <x v="3"/>
    <m/>
    <m/>
  </r>
  <r>
    <x v="0"/>
    <x v="3"/>
    <x v="1"/>
    <m/>
    <x v="1"/>
    <x v="0"/>
    <d v="2025-08-01T00:00:00"/>
    <s v="Dólares"/>
    <n v="10206.16"/>
    <s v="CONSTRIAL SOCIEDAD ANONIMA"/>
    <x v="1"/>
    <m/>
    <m/>
  </r>
  <r>
    <x v="0"/>
    <x v="3"/>
    <x v="0"/>
    <m/>
    <x v="1"/>
    <x v="4"/>
    <d v="2025-09-26T00:00:00"/>
    <s v="Dólares"/>
    <n v="10172.49"/>
    <s v="EVERTEC"/>
    <x v="9"/>
    <m/>
    <m/>
  </r>
  <r>
    <x v="0"/>
    <x v="0"/>
    <x v="1"/>
    <m/>
    <x v="0"/>
    <x v="0"/>
    <d v="2025-07-05T00:00:00"/>
    <s v="Dólares"/>
    <n v="10000"/>
    <s v="Clientes Nuevos"/>
    <x v="7"/>
    <m/>
    <m/>
  </r>
  <r>
    <x v="1"/>
    <x v="0"/>
    <x v="0"/>
    <m/>
    <x v="0"/>
    <x v="0"/>
    <d v="2025-07-05T00:00:00"/>
    <s v="Dólares"/>
    <n v="10000"/>
    <s v="Clientes Nuevos"/>
    <x v="7"/>
    <m/>
    <m/>
  </r>
  <r>
    <x v="0"/>
    <x v="0"/>
    <x v="0"/>
    <m/>
    <x v="0"/>
    <x v="0"/>
    <d v="2025-07-05T00:00:00"/>
    <s v="Dólares"/>
    <n v="15000"/>
    <s v="Clientes Nuevos"/>
    <x v="7"/>
    <m/>
    <m/>
  </r>
  <r>
    <x v="1"/>
    <x v="0"/>
    <x v="1"/>
    <m/>
    <x v="0"/>
    <x v="0"/>
    <d v="2025-07-05T00:00:00"/>
    <s v="Dólares"/>
    <n v="5000"/>
    <s v="Clientes Nuevos"/>
    <x v="7"/>
    <m/>
    <m/>
  </r>
  <r>
    <x v="0"/>
    <x v="2"/>
    <x v="2"/>
    <m/>
    <x v="1"/>
    <x v="4"/>
    <d v="2025-10-20T00:00:00"/>
    <s v="Dólares"/>
    <n v="10123.85"/>
    <s v="VEINSA MOTORS, SOCIEDAD ANONIMA"/>
    <x v="2"/>
    <m/>
    <m/>
  </r>
  <r>
    <x v="0"/>
    <x v="3"/>
    <x v="0"/>
    <m/>
    <x v="1"/>
    <x v="4"/>
    <d v="2025-08-25T00:00:00"/>
    <s v="Colones"/>
    <n v="10059.786274509805"/>
    <s v="INSTITUTO NACIONAL DE SEGUROS - SIN IDENTIFICAR"/>
    <x v="1"/>
    <m/>
    <m/>
  </r>
  <r>
    <x v="3"/>
    <x v="3"/>
    <x v="0"/>
    <m/>
    <x v="1"/>
    <x v="2"/>
    <d v="2025-07-11T00:00:00"/>
    <s v="Colones"/>
    <n v="10047.144350393701"/>
    <s v="COMPAÑIA NACIONAL DE FUERZA Y LUZ SOCIEDAD ANONIMA"/>
    <x v="7"/>
    <m/>
    <m/>
  </r>
  <r>
    <x v="0"/>
    <x v="2"/>
    <x v="1"/>
    <m/>
    <x v="1"/>
    <x v="0"/>
    <d v="2025-09-05T00:00:00"/>
    <s v="Dólares"/>
    <n v="10030.59"/>
    <s v="AVICOLA"/>
    <x v="9"/>
    <m/>
    <m/>
  </r>
  <r>
    <x v="0"/>
    <x v="3"/>
    <x v="0"/>
    <m/>
    <x v="1"/>
    <x v="4"/>
    <d v="2025-10-24T00:00:00"/>
    <s v="Dólares"/>
    <n v="10000.14"/>
    <s v="EDICA - PLAZA RIVIERA"/>
    <x v="2"/>
    <m/>
    <m/>
  </r>
  <r>
    <x v="1"/>
    <x v="0"/>
    <x v="0"/>
    <m/>
    <x v="1"/>
    <x v="2"/>
    <d v="2025-05-09T00:00:00"/>
    <s v="Dólares"/>
    <n v="10000"/>
    <s v="G Q ARQUITECTURA SOCIEDAD ANONIMA"/>
    <x v="0"/>
    <m/>
    <m/>
  </r>
  <r>
    <x v="0"/>
    <x v="0"/>
    <x v="0"/>
    <m/>
    <x v="1"/>
    <x v="1"/>
    <d v="2025-05-27T00:00:00"/>
    <s v="Dólares"/>
    <n v="10000"/>
    <s v="ROY ALFARO BARRANTES"/>
    <x v="0"/>
    <m/>
    <m/>
  </r>
  <r>
    <x v="0"/>
    <x v="0"/>
    <x v="0"/>
    <m/>
    <x v="1"/>
    <x v="4"/>
    <d v="2025-06-30T00:00:00"/>
    <s v="Dólares"/>
    <n v="10000"/>
    <s v="CARLOS ANDRES VILLALOBOS ARAYA"/>
    <x v="5"/>
    <m/>
    <m/>
  </r>
  <r>
    <x v="0"/>
    <x v="0"/>
    <x v="0"/>
    <m/>
    <x v="1"/>
    <x v="4"/>
    <d v="2025-06-30T00:00:00"/>
    <s v="Dólares"/>
    <n v="10000"/>
    <s v="CARLOS ANDRES VILLALOBOS ARAYA"/>
    <x v="5"/>
    <m/>
    <m/>
  </r>
  <r>
    <x v="0"/>
    <x v="0"/>
    <x v="0"/>
    <n v="10027028"/>
    <x v="1"/>
    <x v="2"/>
    <d v="2025-07-08T00:00:00"/>
    <s v="Dólares"/>
    <n v="10000"/>
    <s v="WILLIAM ALBERTO FERNANDEZ PLANAS"/>
    <x v="7"/>
    <m/>
    <m/>
  </r>
  <r>
    <x v="0"/>
    <x v="0"/>
    <x v="0"/>
    <m/>
    <x v="1"/>
    <x v="3"/>
    <d v="2025-06-21T00:00:00"/>
    <s v="Dólares"/>
    <n v="1301.45"/>
    <s v="NICOLE ABARCA JIMENEZ"/>
    <x v="5"/>
    <m/>
    <m/>
  </r>
  <r>
    <x v="0"/>
    <x v="0"/>
    <x v="0"/>
    <n v="10027283"/>
    <x v="1"/>
    <x v="2"/>
    <d v="2025-08-09T00:00:00"/>
    <s v="Dólares"/>
    <n v="10000"/>
    <s v="ELECTROMECANICA PABLO MURILLO SOCIEDAD ANONIMA"/>
    <x v="1"/>
    <m/>
    <m/>
  </r>
  <r>
    <x v="0"/>
    <x v="0"/>
    <x v="0"/>
    <m/>
    <x v="1"/>
    <x v="3"/>
    <d v="2025-06-21T00:00:00"/>
    <s v="Dólares"/>
    <n v="1199"/>
    <s v="Antonio Calvo Carballo"/>
    <x v="5"/>
    <m/>
    <m/>
  </r>
  <r>
    <x v="0"/>
    <x v="0"/>
    <x v="0"/>
    <m/>
    <x v="1"/>
    <x v="3"/>
    <d v="2025-06-21T00:00:00"/>
    <s v="Dólares"/>
    <n v="1000"/>
    <s v="IRIS VERONICA MOORE CARBALLO"/>
    <x v="5"/>
    <m/>
    <m/>
  </r>
  <r>
    <x v="1"/>
    <x v="0"/>
    <x v="0"/>
    <m/>
    <x v="1"/>
    <x v="0"/>
    <d v="2025-09-04T00:00:00"/>
    <s v="Dólares"/>
    <n v="10000"/>
    <s v="PALM REAL STATE"/>
    <x v="9"/>
    <m/>
    <m/>
  </r>
  <r>
    <x v="0"/>
    <x v="0"/>
    <x v="0"/>
    <m/>
    <x v="1"/>
    <x v="2"/>
    <d v="2025-11-12T00:00:00"/>
    <s v="Dólares"/>
    <n v="10000"/>
    <s v="RENE CARDONA GARCIA"/>
    <x v="4"/>
    <m/>
    <m/>
  </r>
  <r>
    <x v="0"/>
    <x v="1"/>
    <x v="0"/>
    <m/>
    <x v="1"/>
    <x v="2"/>
    <d v="2025-11-14T00:00:00"/>
    <s v="Dólares"/>
    <n v="10000"/>
    <s v="CONSTRUCTORA LA ITABA"/>
    <x v="4"/>
    <m/>
    <m/>
  </r>
  <r>
    <x v="0"/>
    <x v="3"/>
    <x v="0"/>
    <m/>
    <x v="1"/>
    <x v="4"/>
    <d v="2025-11-28T00:00:00"/>
    <s v="Dólares"/>
    <n v="10000"/>
    <s v="SUMINISTROS INDUSTRIALES SOTO ESPINOZA"/>
    <x v="4"/>
    <m/>
    <m/>
  </r>
  <r>
    <x v="0"/>
    <x v="0"/>
    <x v="0"/>
    <m/>
    <x v="1"/>
    <x v="0"/>
    <d v="2025-12-05T00:00:00"/>
    <s v="Dólares"/>
    <n v="10000"/>
    <s v="Johnny Huertas Segura"/>
    <x v="8"/>
    <m/>
    <m/>
  </r>
  <r>
    <x v="0"/>
    <x v="0"/>
    <x v="0"/>
    <m/>
    <x v="1"/>
    <x v="0"/>
    <d v="2026-01-01T00:00:00"/>
    <s v="Dólares"/>
    <n v="10000"/>
    <s v="WIELHELM DIERMI"/>
    <x v="3"/>
    <m/>
    <m/>
  </r>
  <r>
    <x v="0"/>
    <x v="0"/>
    <x v="0"/>
    <m/>
    <x v="1"/>
    <x v="3"/>
    <d v="2025-06-21T00:00:00"/>
    <s v="Dólares"/>
    <n v="706.2"/>
    <s v="Federico Castillo"/>
    <x v="5"/>
    <m/>
    <m/>
  </r>
  <r>
    <x v="0"/>
    <x v="0"/>
    <x v="0"/>
    <n v="10028378"/>
    <x v="1"/>
    <x v="4"/>
    <d v="2026-01-28T00:00:00"/>
    <s v="Dólares"/>
    <n v="10000"/>
    <s v="AKV PROJECTS SRL"/>
    <x v="3"/>
    <m/>
    <m/>
  </r>
  <r>
    <x v="0"/>
    <x v="1"/>
    <x v="0"/>
    <m/>
    <x v="1"/>
    <x v="0"/>
    <d v="2025-10-03T00:00:00"/>
    <s v="Dólares"/>
    <n v="9993.98"/>
    <s v="PROYECTO RESERVA MORAVIA"/>
    <x v="2"/>
    <m/>
    <m/>
  </r>
  <r>
    <x v="3"/>
    <x v="3"/>
    <x v="1"/>
    <m/>
    <x v="1"/>
    <x v="4"/>
    <d v="2025-10-20T00:00:00"/>
    <s v="Dólares"/>
    <n v="9865.66"/>
    <s v="ADELANTO RYTHMLINK"/>
    <x v="2"/>
    <m/>
    <m/>
  </r>
  <r>
    <x v="1"/>
    <x v="0"/>
    <x v="1"/>
    <m/>
    <x v="1"/>
    <x v="0"/>
    <d v="2025-09-05T00:00:00"/>
    <s v="Dólares"/>
    <n v="9800"/>
    <s v="SOWEST"/>
    <x v="9"/>
    <m/>
    <m/>
  </r>
  <r>
    <x v="0"/>
    <x v="2"/>
    <x v="0"/>
    <n v="10027594"/>
    <x v="1"/>
    <x v="4"/>
    <d v="2025-09-22T00:00:00"/>
    <s v="Dólares"/>
    <n v="9780.0400000000009"/>
    <s v="CONSTRUPLAZA S.A."/>
    <x v="9"/>
    <m/>
    <m/>
  </r>
  <r>
    <x v="1"/>
    <x v="0"/>
    <x v="0"/>
    <m/>
    <x v="1"/>
    <x v="1"/>
    <d v="2025-05-30T00:00:00"/>
    <s v="Dólares"/>
    <n v="9780"/>
    <s v="Micaela Ferreira Rebelo"/>
    <x v="0"/>
    <m/>
    <m/>
  </r>
  <r>
    <x v="0"/>
    <x v="3"/>
    <x v="0"/>
    <m/>
    <x v="1"/>
    <x v="4"/>
    <d v="2025-09-25T00:00:00"/>
    <s v="Dólares"/>
    <n v="9713.94"/>
    <s v="MCM MIDLAND"/>
    <x v="9"/>
    <m/>
    <m/>
  </r>
  <r>
    <x v="1"/>
    <x v="0"/>
    <x v="0"/>
    <n v="10824"/>
    <x v="1"/>
    <x v="2"/>
    <d v="2025-11-12T00:00:00"/>
    <s v="Dólares"/>
    <n v="9712"/>
    <s v="Jesse Shetler"/>
    <x v="4"/>
    <m/>
    <m/>
  </r>
  <r>
    <x v="0"/>
    <x v="3"/>
    <x v="0"/>
    <m/>
    <x v="1"/>
    <x v="2"/>
    <d v="2026-01-13T00:00:00"/>
    <s v="Colones"/>
    <n v="9677.4193548387102"/>
    <s v="TECNOMED"/>
    <x v="3"/>
    <m/>
    <m/>
  </r>
  <r>
    <x v="0"/>
    <x v="0"/>
    <x v="0"/>
    <m/>
    <x v="1"/>
    <x v="3"/>
    <d v="2025-06-21T00:00:00"/>
    <s v="Colones"/>
    <n v="71.942362204724418"/>
    <s v="VILMA EMILIA SANCHEZ DEL CASTILLO"/>
    <x v="5"/>
    <m/>
    <m/>
  </r>
  <r>
    <x v="0"/>
    <x v="3"/>
    <x v="0"/>
    <m/>
    <x v="1"/>
    <x v="0"/>
    <d v="2025-08-08T00:00:00"/>
    <s v="Dólares"/>
    <n v="9618.67"/>
    <s v="AUTO REPUESTOS AVENIDA 10"/>
    <x v="1"/>
    <m/>
    <m/>
  </r>
  <r>
    <x v="0"/>
    <x v="0"/>
    <x v="0"/>
    <m/>
    <x v="1"/>
    <x v="3"/>
    <d v="2025-06-21T00:00:00"/>
    <s v="Colones"/>
    <n v="71.942362204724418"/>
    <s v="VILMA EMILIA SANCHEZ DEL CASTILLO"/>
    <x v="5"/>
    <m/>
    <m/>
  </r>
  <r>
    <x v="0"/>
    <x v="1"/>
    <x v="0"/>
    <n v="10027210"/>
    <x v="1"/>
    <x v="1"/>
    <d v="2025-07-31T00:00:00"/>
    <s v="Dólares"/>
    <n v="9600"/>
    <s v="RESIDENCIAS VISTAS LA VITA "/>
    <x v="7"/>
    <m/>
    <m/>
  </r>
  <r>
    <x v="0"/>
    <x v="0"/>
    <x v="0"/>
    <m/>
    <x v="1"/>
    <x v="2"/>
    <d v="2026-01-14T00:00:00"/>
    <s v="Dólares"/>
    <n v="9600"/>
    <s v="FRANCESCA MAZZARA"/>
    <x v="3"/>
    <m/>
    <m/>
  </r>
  <r>
    <x v="0"/>
    <x v="3"/>
    <x v="2"/>
    <n v="10026730"/>
    <x v="1"/>
    <x v="1"/>
    <d v="2025-05-30T00:00:00"/>
    <s v="Dólares"/>
    <n v="9554.65"/>
    <s v="DESARROLLOS HOTELEROS GUANACASTE SOCIEDAD ANONIMA"/>
    <x v="0"/>
    <m/>
    <m/>
  </r>
  <r>
    <x v="3"/>
    <x v="3"/>
    <x v="0"/>
    <m/>
    <x v="1"/>
    <x v="0"/>
    <d v="2026-02-05T00:00:00"/>
    <s v="Colones"/>
    <n v="7123.1180846774187"/>
    <s v="DISTRIBUIDORA LA FLORIDA S.A."/>
    <x v="6"/>
    <m/>
    <m/>
  </r>
  <r>
    <x v="0"/>
    <x v="0"/>
    <x v="0"/>
    <m/>
    <x v="1"/>
    <x v="4"/>
    <d v="2025-05-24T00:00:00"/>
    <s v="Dólares"/>
    <n v="9500"/>
    <s v="GLORIANA DE LOS ANGELES GUEVARA SABORIO"/>
    <x v="0"/>
    <m/>
    <m/>
  </r>
  <r>
    <x v="1"/>
    <x v="0"/>
    <x v="0"/>
    <n v="10854"/>
    <x v="1"/>
    <x v="4"/>
    <d v="2025-12-23T00:00:00"/>
    <s v="Dólares"/>
    <n v="9500"/>
    <s v="Stephen Williams"/>
    <x v="8"/>
    <m/>
    <m/>
  </r>
  <r>
    <x v="0"/>
    <x v="2"/>
    <x v="0"/>
    <n v="10026844"/>
    <x v="1"/>
    <x v="3"/>
    <d v="2025-06-30T00:00:00"/>
    <s v="Dólares"/>
    <n v="291.10000000000002"/>
    <s v="GREIVIN VILLALOBOS MENDEZ"/>
    <x v="5"/>
    <m/>
    <m/>
  </r>
  <r>
    <x v="2"/>
    <x v="3"/>
    <x v="0"/>
    <m/>
    <x v="1"/>
    <x v="1"/>
    <d v="2025-10-31T00:00:00"/>
    <s v="Dólares"/>
    <n v="9475.43"/>
    <s v="SEMANA 05 OCTUBRE EXPRESS"/>
    <x v="2"/>
    <m/>
    <m/>
  </r>
  <r>
    <x v="1"/>
    <x v="0"/>
    <x v="1"/>
    <m/>
    <x v="1"/>
    <x v="0"/>
    <d v="2025-06-05T00:00:00"/>
    <s v="Dólares"/>
    <n v="9433"/>
    <s v="JULY GABRIELA SHELEBY SANCHEZ"/>
    <x v="5"/>
    <m/>
    <m/>
  </r>
  <r>
    <x v="1"/>
    <x v="0"/>
    <x v="1"/>
    <m/>
    <x v="1"/>
    <x v="0"/>
    <d v="2025-06-05T00:00:00"/>
    <s v="Dólares"/>
    <n v="9433"/>
    <s v="JULY GABRIELA SHELEBY SANCHEZ"/>
    <x v="5"/>
    <m/>
    <m/>
  </r>
  <r>
    <x v="0"/>
    <x v="0"/>
    <x v="0"/>
    <n v="10026438"/>
    <x v="1"/>
    <x v="3"/>
    <d v="2025-07-01T00:00:00"/>
    <s v="Dólares"/>
    <n v="406.9"/>
    <s v="Marco Rodriguez"/>
    <x v="7"/>
    <m/>
    <m/>
  </r>
  <r>
    <x v="0"/>
    <x v="3"/>
    <x v="0"/>
    <n v="10027095"/>
    <x v="1"/>
    <x v="3"/>
    <d v="2025-07-05T00:00:00"/>
    <s v="Dólares"/>
    <n v="682.86"/>
    <s v="ELEMENTS DECO SOCIEDAD ANONIMA"/>
    <x v="7"/>
    <m/>
    <m/>
  </r>
  <r>
    <x v="2"/>
    <x v="3"/>
    <x v="0"/>
    <m/>
    <x v="1"/>
    <x v="0"/>
    <d v="2025-07-06T00:00:00"/>
    <s v="Dólares"/>
    <n v="9363.7800000000007"/>
    <s v="SEMANA 01 JULIO EXPRESS"/>
    <x v="7"/>
    <m/>
    <m/>
  </r>
  <r>
    <x v="0"/>
    <x v="2"/>
    <x v="0"/>
    <n v="10027075"/>
    <x v="1"/>
    <x v="3"/>
    <d v="2025-07-10T00:00:00"/>
    <s v="Dólares"/>
    <n v="3183.44"/>
    <s v="BETHEL MEDICAL "/>
    <x v="7"/>
    <m/>
    <m/>
  </r>
  <r>
    <x v="1"/>
    <x v="0"/>
    <x v="0"/>
    <m/>
    <x v="1"/>
    <x v="4"/>
    <d v="2025-12-23T00:00:00"/>
    <s v="Dólares"/>
    <n v="9348"/>
    <s v="ELKAWI SOCIEDAD ANONIMA"/>
    <x v="8"/>
    <m/>
    <m/>
  </r>
  <r>
    <x v="0"/>
    <x v="0"/>
    <x v="0"/>
    <m/>
    <x v="1"/>
    <x v="0"/>
    <d v="2025-12-05T00:00:00"/>
    <s v="Dólares"/>
    <n v="9316.7999999999993"/>
    <s v="Johnny Huertas Segura"/>
    <x v="8"/>
    <m/>
    <m/>
  </r>
  <r>
    <x v="0"/>
    <x v="2"/>
    <x v="0"/>
    <m/>
    <x v="1"/>
    <x v="0"/>
    <d v="2025-12-05T00:00:00"/>
    <s v="Dólares"/>
    <n v="9303.91"/>
    <s v="TERADYNE DECOSTA RICA SOCIEDAD DE RESPONSABILIDAD LIMITADA"/>
    <x v="8"/>
    <m/>
    <m/>
  </r>
  <r>
    <x v="0"/>
    <x v="2"/>
    <x v="0"/>
    <n v="10027076"/>
    <x v="1"/>
    <x v="3"/>
    <d v="2025-07-10T00:00:00"/>
    <s v="Dólares"/>
    <n v="57.39"/>
    <s v="BETHEL MEDICAL "/>
    <x v="7"/>
    <m/>
    <m/>
  </r>
  <r>
    <x v="0"/>
    <x v="0"/>
    <x v="0"/>
    <n v="10027066"/>
    <x v="1"/>
    <x v="3"/>
    <d v="2025-07-11T00:00:00"/>
    <s v="Dólares"/>
    <n v="2000"/>
    <s v="DENNIS JOSE RODRIGUEZ ARCE"/>
    <x v="7"/>
    <m/>
    <m/>
  </r>
  <r>
    <x v="0"/>
    <x v="0"/>
    <x v="0"/>
    <m/>
    <x v="1"/>
    <x v="2"/>
    <d v="2025-07-07T00:00:00"/>
    <s v="Colones"/>
    <n v="9117.9133858267724"/>
    <s v="MARICELA MORA MORA"/>
    <x v="7"/>
    <m/>
    <m/>
  </r>
  <r>
    <x v="0"/>
    <x v="2"/>
    <x v="0"/>
    <m/>
    <x v="1"/>
    <x v="4"/>
    <d v="2026-01-30T00:00:00"/>
    <s v="Dólares"/>
    <n v="9081.92"/>
    <s v="BAC SAN JOSE LEASING S.A"/>
    <x v="3"/>
    <m/>
    <m/>
  </r>
  <r>
    <x v="0"/>
    <x v="0"/>
    <x v="0"/>
    <m/>
    <x v="1"/>
    <x v="4"/>
    <d v="2025-06-28T00:00:00"/>
    <s v="Dólares"/>
    <n v="9000"/>
    <s v="CARLOS ANDRES VILLALOBOS ARAYA"/>
    <x v="5"/>
    <m/>
    <m/>
  </r>
  <r>
    <x v="0"/>
    <x v="0"/>
    <x v="0"/>
    <m/>
    <x v="1"/>
    <x v="4"/>
    <d v="2025-06-29T00:00:00"/>
    <s v="Dólares"/>
    <n v="9000"/>
    <s v="ARLENE MARIA ROBERT BONILLA"/>
    <x v="5"/>
    <m/>
    <m/>
  </r>
  <r>
    <x v="1"/>
    <x v="0"/>
    <x v="0"/>
    <m/>
    <x v="1"/>
    <x v="4"/>
    <d v="2025-12-23T00:00:00"/>
    <s v="Dólares"/>
    <n v="9000"/>
    <s v="ALVARO FIGUEROA"/>
    <x v="8"/>
    <m/>
    <m/>
  </r>
  <r>
    <x v="1"/>
    <x v="0"/>
    <x v="0"/>
    <n v="10864"/>
    <x v="1"/>
    <x v="0"/>
    <d v="2026-01-08T00:00:00"/>
    <s v="Dólares"/>
    <n v="9000"/>
    <s v="Stephen Williams"/>
    <x v="3"/>
    <m/>
    <m/>
  </r>
  <r>
    <x v="1"/>
    <x v="0"/>
    <x v="0"/>
    <n v="10865"/>
    <x v="1"/>
    <x v="0"/>
    <d v="2026-01-08T00:00:00"/>
    <s v="Dólares"/>
    <n v="9000"/>
    <s v="Stephen Williams"/>
    <x v="3"/>
    <m/>
    <m/>
  </r>
  <r>
    <x v="0"/>
    <x v="0"/>
    <x v="0"/>
    <m/>
    <x v="1"/>
    <x v="2"/>
    <d v="2025-06-13T00:00:00"/>
    <s v="Dólares"/>
    <n v="8996.08"/>
    <s v="GUANACASTE CARGA JEJ SOCIEDAD ANONIMA"/>
    <x v="5"/>
    <m/>
    <m/>
  </r>
  <r>
    <x v="0"/>
    <x v="0"/>
    <x v="0"/>
    <n v="10027079"/>
    <x v="1"/>
    <x v="3"/>
    <d v="2025-07-11T00:00:00"/>
    <s v="Colones"/>
    <n v="1000.0590551181102"/>
    <s v="KAREN TATIANA DONDI VINDAS"/>
    <x v="7"/>
    <m/>
    <m/>
  </r>
  <r>
    <x v="0"/>
    <x v="0"/>
    <x v="0"/>
    <m/>
    <x v="1"/>
    <x v="2"/>
    <d v="2025-06-09T00:00:00"/>
    <s v="Dólares"/>
    <n v="8969.74"/>
    <s v="FEATHER STARFISH B FOUR SOCIEDAD ANONIMA"/>
    <x v="5"/>
    <m/>
    <m/>
  </r>
  <r>
    <x v="0"/>
    <x v="0"/>
    <x v="0"/>
    <n v="10028461"/>
    <x v="1"/>
    <x v="0"/>
    <d v="2026-02-05T00:00:00"/>
    <s v="Dólares"/>
    <n v="3000"/>
    <s v="KAREN VIVIANA HERNANDEZ PEREZ"/>
    <x v="6"/>
    <m/>
    <m/>
  </r>
  <r>
    <x v="0"/>
    <x v="0"/>
    <x v="0"/>
    <n v="10026554"/>
    <x v="1"/>
    <x v="2"/>
    <d v="2025-05-10T00:00:00"/>
    <s v="Dólares"/>
    <n v="8950"/>
    <s v="STEVE  MICHAEL CAPOCCIA"/>
    <x v="0"/>
    <m/>
    <m/>
  </r>
  <r>
    <x v="3"/>
    <x v="3"/>
    <x v="0"/>
    <m/>
    <x v="1"/>
    <x v="2"/>
    <d v="2025-11-12T00:00:00"/>
    <s v="Dólares"/>
    <n v="8947.2000000000007"/>
    <s v="ULTRAPARK DOS SOCIEDAD ANONIMA"/>
    <x v="4"/>
    <m/>
    <m/>
  </r>
  <r>
    <x v="0"/>
    <x v="0"/>
    <x v="0"/>
    <n v="10027068"/>
    <x v="1"/>
    <x v="3"/>
    <d v="2025-07-11T00:00:00"/>
    <s v="Dólares"/>
    <n v="157.5"/>
    <s v="EXPOTEAK S.A"/>
    <x v="7"/>
    <m/>
    <m/>
  </r>
  <r>
    <x v="0"/>
    <x v="0"/>
    <x v="0"/>
    <n v="10027066"/>
    <x v="1"/>
    <x v="3"/>
    <d v="2025-07-11T00:00:00"/>
    <s v="Dólares"/>
    <n v="140.6"/>
    <s v="PHILLIPE GARNIER"/>
    <x v="7"/>
    <m/>
    <m/>
  </r>
  <r>
    <x v="0"/>
    <x v="0"/>
    <x v="0"/>
    <m/>
    <x v="1"/>
    <x v="0"/>
    <d v="2025-09-04T00:00:00"/>
    <s v="Dólares"/>
    <n v="8893.81"/>
    <s v="Pablo Murillo"/>
    <x v="9"/>
    <m/>
    <m/>
  </r>
  <r>
    <x v="0"/>
    <x v="3"/>
    <x v="0"/>
    <m/>
    <x v="1"/>
    <x v="0"/>
    <d v="2025-12-03T00:00:00"/>
    <s v="Dólares"/>
    <n v="8856.82"/>
    <s v="MARSH ASPROSE CORREDORA DE SEGUROS"/>
    <x v="8"/>
    <m/>
    <m/>
  </r>
  <r>
    <x v="0"/>
    <x v="3"/>
    <x v="2"/>
    <n v="10026666"/>
    <x v="1"/>
    <x v="4"/>
    <d v="2025-05-23T00:00:00"/>
    <s v="Dólares"/>
    <n v="8817.35"/>
    <s v="BANCO CENTROAMERICANO DE INTEGRACION ECONOMICA"/>
    <x v="0"/>
    <m/>
    <m/>
  </r>
  <r>
    <x v="0"/>
    <x v="1"/>
    <x v="2"/>
    <m/>
    <x v="1"/>
    <x v="4"/>
    <d v="2025-10-24T00:00:00"/>
    <s v="Dólares"/>
    <n v="8778.86"/>
    <s v="3101820946 S.A"/>
    <x v="2"/>
    <m/>
    <m/>
  </r>
  <r>
    <x v="0"/>
    <x v="0"/>
    <x v="0"/>
    <n v="10027115"/>
    <x v="1"/>
    <x v="3"/>
    <d v="2025-07-12T00:00:00"/>
    <s v="Dólares"/>
    <n v="10000"/>
    <s v="ELECTROMECANICA PABLO MURILLO SOCIEDAD ANONIMA"/>
    <x v="7"/>
    <m/>
    <m/>
  </r>
  <r>
    <x v="0"/>
    <x v="0"/>
    <x v="0"/>
    <n v="10027074"/>
    <x v="1"/>
    <x v="3"/>
    <d v="2025-07-12T00:00:00"/>
    <s v="Dólares"/>
    <n v="1673.82"/>
    <s v="FRANCISCO JAVIER PEREZ SALGADO"/>
    <x v="7"/>
    <m/>
    <m/>
  </r>
  <r>
    <x v="0"/>
    <x v="2"/>
    <x v="1"/>
    <m/>
    <x v="1"/>
    <x v="4"/>
    <d v="2025-10-22T00:00:00"/>
    <s v="Dólares"/>
    <n v="8758.02"/>
    <s v="CEDI ALAJUELA"/>
    <x v="2"/>
    <m/>
    <m/>
  </r>
  <r>
    <x v="0"/>
    <x v="2"/>
    <x v="0"/>
    <m/>
    <x v="1"/>
    <x v="2"/>
    <d v="2025-12-09T00:00:00"/>
    <s v="Dólares"/>
    <n v="8757"/>
    <s v="ROCHE "/>
    <x v="8"/>
    <m/>
    <m/>
  </r>
  <r>
    <x v="0"/>
    <x v="1"/>
    <x v="0"/>
    <n v="10026964"/>
    <x v="1"/>
    <x v="4"/>
    <d v="2025-06-30T00:00:00"/>
    <s v="Dólares"/>
    <n v="8694.1299999999992"/>
    <s v="DESARROLLO VIVE TIBAS DVT S.A"/>
    <x v="5"/>
    <m/>
    <m/>
  </r>
  <r>
    <x v="0"/>
    <x v="3"/>
    <x v="2"/>
    <n v="10026666"/>
    <x v="1"/>
    <x v="4"/>
    <d v="2025-05-23T00:00:00"/>
    <s v="Dólares"/>
    <n v="8681.4"/>
    <s v="BANCO CENTROAMERICANO DE INTEGRACION ECONOMICA"/>
    <x v="0"/>
    <m/>
    <m/>
  </r>
  <r>
    <x v="0"/>
    <x v="3"/>
    <x v="0"/>
    <m/>
    <x v="1"/>
    <x v="4"/>
    <d v="2025-11-26T00:00:00"/>
    <s v="Dólares"/>
    <n v="8681.1299999999992"/>
    <s v="EVERTEC"/>
    <x v="4"/>
    <m/>
    <m/>
  </r>
  <r>
    <x v="0"/>
    <x v="2"/>
    <x v="0"/>
    <n v="10026930"/>
    <x v="1"/>
    <x v="4"/>
    <d v="2025-06-27T00:00:00"/>
    <s v="Dólares"/>
    <n v="8661.1299999999992"/>
    <s v="SUR QUIMICA SOCIEDAD ANONIMA"/>
    <x v="5"/>
    <m/>
    <m/>
  </r>
  <r>
    <x v="0"/>
    <x v="0"/>
    <x v="0"/>
    <n v="10027059"/>
    <x v="1"/>
    <x v="3"/>
    <d v="2025-07-12T00:00:00"/>
    <s v="Colones"/>
    <n v="233.7903937007874"/>
    <s v="KEVIN RODRIGUEZ ARIAS"/>
    <x v="7"/>
    <m/>
    <m/>
  </r>
  <r>
    <x v="0"/>
    <x v="1"/>
    <x v="0"/>
    <n v="10027072"/>
    <x v="1"/>
    <x v="3"/>
    <d v="2025-07-14T00:00:00"/>
    <s v="Dólares"/>
    <n v="16379.6"/>
    <s v="DESARROLLO VIVE TIBAS DVT S.A"/>
    <x v="7"/>
    <m/>
    <m/>
  </r>
  <r>
    <x v="0"/>
    <x v="3"/>
    <x v="0"/>
    <m/>
    <x v="1"/>
    <x v="4"/>
    <d v="2026-01-30T00:00:00"/>
    <s v="Dólares"/>
    <n v="8627.9"/>
    <s v="EVOLUTION FREE ZONE SOCIEDAD ANONIMA"/>
    <x v="3"/>
    <m/>
    <m/>
  </r>
  <r>
    <x v="3"/>
    <x v="3"/>
    <x v="0"/>
    <n v="15167"/>
    <x v="1"/>
    <x v="2"/>
    <d v="2025-06-12T00:00:00"/>
    <s v="Dólares"/>
    <n v="8625.4500000000007"/>
    <s v="CONTRACT WORKPLACES COSTA RICA SOCIEDAD ANONIMA"/>
    <x v="5"/>
    <m/>
    <m/>
  </r>
  <r>
    <x v="3"/>
    <x v="3"/>
    <x v="0"/>
    <n v="15167"/>
    <x v="1"/>
    <x v="2"/>
    <d v="2025-06-12T00:00:00"/>
    <s v="Dólares"/>
    <n v="8625.4500000000007"/>
    <s v="CONTRACT WORKPLACES COSTA RICA SOCIEDAD ANONIMA"/>
    <x v="5"/>
    <m/>
    <m/>
  </r>
  <r>
    <x v="0"/>
    <x v="2"/>
    <x v="0"/>
    <m/>
    <x v="1"/>
    <x v="3"/>
    <d v="2025-07-14T00:00:00"/>
    <s v="Dólares"/>
    <n v="9603.02"/>
    <s v="INTACO COSTA RICA SOCIEDAD ANONIMA"/>
    <x v="7"/>
    <m/>
    <m/>
  </r>
  <r>
    <x v="0"/>
    <x v="0"/>
    <x v="0"/>
    <n v="10028014"/>
    <x v="1"/>
    <x v="4"/>
    <d v="2025-11-25T00:00:00"/>
    <s v="Colones"/>
    <n v="8575"/>
    <s v="RRHH Metamorfosis SRL"/>
    <x v="4"/>
    <m/>
    <m/>
  </r>
  <r>
    <x v="0"/>
    <x v="0"/>
    <x v="0"/>
    <m/>
    <x v="1"/>
    <x v="4"/>
    <d v="2025-11-25T00:00:00"/>
    <s v="Dólares"/>
    <n v="8559"/>
    <s v="RRHH Metamorfosis SRL"/>
    <x v="4"/>
    <m/>
    <m/>
  </r>
  <r>
    <x v="3"/>
    <x v="3"/>
    <x v="0"/>
    <m/>
    <x v="1"/>
    <x v="3"/>
    <d v="2025-07-14T00:00:00"/>
    <s v="Dólares"/>
    <n v="4651.93"/>
    <s v="FT TECHNOLOGIES"/>
    <x v="7"/>
    <m/>
    <m/>
  </r>
  <r>
    <x v="0"/>
    <x v="0"/>
    <x v="0"/>
    <n v="10027086"/>
    <x v="1"/>
    <x v="3"/>
    <d v="2025-07-14T00:00:00"/>
    <s v="Dólares"/>
    <n v="2000"/>
    <s v="RAFAEL GABRIEL CASRILLO BLANCO"/>
    <x v="7"/>
    <m/>
    <m/>
  </r>
  <r>
    <x v="0"/>
    <x v="0"/>
    <x v="0"/>
    <n v="10027077"/>
    <x v="1"/>
    <x v="3"/>
    <d v="2025-07-14T00:00:00"/>
    <s v="Dólares"/>
    <n v="199.46"/>
    <s v="ÁLVARO CASTRO QUESADA"/>
    <x v="7"/>
    <m/>
    <m/>
  </r>
  <r>
    <x v="0"/>
    <x v="3"/>
    <x v="2"/>
    <m/>
    <x v="1"/>
    <x v="3"/>
    <d v="2025-07-15T00:00:00"/>
    <s v="Colones"/>
    <n v="15471.859251968504"/>
    <s v="ASOCIACION SOLIDARISTA DE EMPLEADOS DE LA CCSS"/>
    <x v="7"/>
    <m/>
    <m/>
  </r>
  <r>
    <x v="0"/>
    <x v="2"/>
    <x v="0"/>
    <m/>
    <x v="1"/>
    <x v="2"/>
    <d v="2025-11-16T00:00:00"/>
    <s v="Dólares"/>
    <n v="8517.67"/>
    <s v="INDUSTRIAS GAREND"/>
    <x v="4"/>
    <m/>
    <m/>
  </r>
  <r>
    <x v="0"/>
    <x v="0"/>
    <x v="0"/>
    <n v="10027188"/>
    <x v="1"/>
    <x v="4"/>
    <d v="2025-07-26T00:00:00"/>
    <s v="Dólares"/>
    <n v="8500"/>
    <s v="ALEXANDRA CAMPOS LARA"/>
    <x v="7"/>
    <m/>
    <m/>
  </r>
  <r>
    <x v="0"/>
    <x v="3"/>
    <x v="2"/>
    <n v="10027081"/>
    <x v="1"/>
    <x v="3"/>
    <d v="2025-07-15T00:00:00"/>
    <s v="Dólares"/>
    <n v="9357.25"/>
    <s v="CONSTRUCTORA GONZALO DELGADO SOCIEDAD ANONIMA"/>
    <x v="7"/>
    <m/>
    <m/>
  </r>
  <r>
    <x v="0"/>
    <x v="1"/>
    <x v="1"/>
    <n v="10027180"/>
    <x v="1"/>
    <x v="3"/>
    <d v="2025-07-15T00:00:00"/>
    <s v="Dólares"/>
    <n v="4778.47"/>
    <s v="MARIO VISONA STORTI"/>
    <x v="7"/>
    <m/>
    <m/>
  </r>
  <r>
    <x v="0"/>
    <x v="2"/>
    <x v="1"/>
    <m/>
    <x v="1"/>
    <x v="2"/>
    <d v="2025-10-08T00:00:00"/>
    <s v="Dólares"/>
    <n v="8462.7199999999993"/>
    <s v="ASOCIACION CAMARA GANADEROS DEL SUR"/>
    <x v="2"/>
    <m/>
    <m/>
  </r>
  <r>
    <x v="0"/>
    <x v="2"/>
    <x v="0"/>
    <m/>
    <x v="1"/>
    <x v="0"/>
    <d v="2026-02-05T00:00:00"/>
    <s v="Dólares"/>
    <n v="1531.6"/>
    <s v="GRUPO NUMAR INDUSTRIAL"/>
    <x v="6"/>
    <m/>
    <m/>
  </r>
  <r>
    <x v="3"/>
    <x v="3"/>
    <x v="0"/>
    <n v="15227"/>
    <x v="1"/>
    <x v="4"/>
    <d v="2025-09-24T00:00:00"/>
    <s v="Dólares"/>
    <n v="8400.92"/>
    <s v="CONTRACT WORKPLACES COSTA RICA SOCIEDAD ANONIMA "/>
    <x v="9"/>
    <m/>
    <m/>
  </r>
  <r>
    <x v="0"/>
    <x v="5"/>
    <x v="0"/>
    <m/>
    <x v="1"/>
    <x v="4"/>
    <d v="2025-11-26T00:00:00"/>
    <s v="Dólares"/>
    <n v="8400"/>
    <s v="PAGO MAQUINARIA"/>
    <x v="4"/>
    <m/>
    <m/>
  </r>
  <r>
    <x v="0"/>
    <x v="3"/>
    <x v="0"/>
    <m/>
    <x v="1"/>
    <x v="2"/>
    <d v="2025-08-14T00:00:00"/>
    <s v="Dólares"/>
    <n v="8383.58"/>
    <s v="Stewart Title Guaranty Company"/>
    <x v="1"/>
    <m/>
    <m/>
  </r>
  <r>
    <x v="0"/>
    <x v="1"/>
    <x v="0"/>
    <n v="10027114"/>
    <x v="1"/>
    <x v="3"/>
    <d v="2025-07-15T00:00:00"/>
    <s v="Dólares"/>
    <n v="681.69"/>
    <s v="EL CORTEZ NEGRO SOCIEDAD ANONIMA"/>
    <x v="7"/>
    <m/>
    <m/>
  </r>
  <r>
    <x v="0"/>
    <x v="3"/>
    <x v="0"/>
    <n v="10026665"/>
    <x v="1"/>
    <x v="4"/>
    <d v="2025-05-23T00:00:00"/>
    <s v="Dólares"/>
    <n v="8324.9"/>
    <s v="C TRES CORPORATE CENTER II SOCIEDAD ANONIMA"/>
    <x v="0"/>
    <m/>
    <m/>
  </r>
  <r>
    <x v="0"/>
    <x v="0"/>
    <x v="0"/>
    <n v="10027082"/>
    <x v="1"/>
    <x v="3"/>
    <d v="2025-07-15T00:00:00"/>
    <s v="Dólares"/>
    <n v="235.6"/>
    <s v="JOSE CHAVES ZARATE"/>
    <x v="7"/>
    <m/>
    <m/>
  </r>
  <r>
    <x v="0"/>
    <x v="0"/>
    <x v="0"/>
    <m/>
    <x v="1"/>
    <x v="1"/>
    <d v="2025-05-27T00:00:00"/>
    <s v="Dólares"/>
    <n v="8300"/>
    <s v="ROY ALFARO BARRANTES"/>
    <x v="0"/>
    <m/>
    <m/>
  </r>
  <r>
    <x v="0"/>
    <x v="0"/>
    <x v="0"/>
    <n v="10027040"/>
    <x v="1"/>
    <x v="2"/>
    <d v="2025-07-08T00:00:00"/>
    <s v="Dólares"/>
    <n v="8300"/>
    <s v="XIMENA MIRANDA"/>
    <x v="7"/>
    <m/>
    <m/>
  </r>
  <r>
    <x v="0"/>
    <x v="0"/>
    <x v="0"/>
    <n v="10027088"/>
    <x v="1"/>
    <x v="3"/>
    <d v="2025-07-15T00:00:00"/>
    <s v="Dólares"/>
    <n v="200"/>
    <s v="ADA ESTHER FIGUEROA CRESPO"/>
    <x v="7"/>
    <m/>
    <m/>
  </r>
  <r>
    <x v="0"/>
    <x v="0"/>
    <x v="0"/>
    <n v="10027315"/>
    <x v="1"/>
    <x v="2"/>
    <d v="2025-08-14T00:00:00"/>
    <s v="Dólares"/>
    <n v="8200"/>
    <s v="BIENES Y SERVICIOS MACRUZCO LIMITADA"/>
    <x v="1"/>
    <m/>
    <m/>
  </r>
  <r>
    <x v="0"/>
    <x v="0"/>
    <x v="0"/>
    <n v="10027858"/>
    <x v="1"/>
    <x v="4"/>
    <d v="2025-10-25T00:00:00"/>
    <s v="Dólares"/>
    <n v="8200"/>
    <s v="GRUPO COSTAVERDE AC SOCIEDAD ANONIMA"/>
    <x v="2"/>
    <m/>
    <m/>
  </r>
  <r>
    <x v="0"/>
    <x v="0"/>
    <x v="1"/>
    <m/>
    <x v="1"/>
    <x v="2"/>
    <d v="2025-10-07T00:00:00"/>
    <s v="Dólares"/>
    <n v="8190"/>
    <s v="TRENT J REIFERT"/>
    <x v="2"/>
    <m/>
    <m/>
  </r>
  <r>
    <x v="0"/>
    <x v="0"/>
    <x v="0"/>
    <n v="10027083"/>
    <x v="1"/>
    <x v="3"/>
    <d v="2025-07-15T00:00:00"/>
    <s v="Dólares"/>
    <n v="150"/>
    <s v="MARGARITA URDANETA BENAVIDEZ"/>
    <x v="7"/>
    <m/>
    <m/>
  </r>
  <r>
    <x v="0"/>
    <x v="0"/>
    <x v="0"/>
    <m/>
    <x v="1"/>
    <x v="2"/>
    <d v="2025-12-11T00:00:00"/>
    <s v="Dólares"/>
    <n v="8135.85"/>
    <s v="RUBINSTEIN Y COMPAÑÍA"/>
    <x v="8"/>
    <m/>
    <m/>
  </r>
  <r>
    <x v="4"/>
    <x v="1"/>
    <x v="2"/>
    <m/>
    <x v="1"/>
    <x v="0"/>
    <d v="2025-09-05T00:00:00"/>
    <s v="Colones"/>
    <n v="8123.886274509804"/>
    <s v="VERTICE_DISEÑO_S.A."/>
    <x v="9"/>
    <m/>
    <m/>
  </r>
  <r>
    <x v="3"/>
    <x v="3"/>
    <x v="0"/>
    <m/>
    <x v="1"/>
    <x v="3"/>
    <d v="2025-07-16T00:00:00"/>
    <s v="Dólares"/>
    <n v="8940"/>
    <s v="GFI PHARMA LOGISTIC S.A"/>
    <x v="7"/>
    <m/>
    <m/>
  </r>
  <r>
    <x v="0"/>
    <x v="3"/>
    <x v="1"/>
    <n v="10026824"/>
    <x v="1"/>
    <x v="2"/>
    <d v="2025-06-13T00:00:00"/>
    <s v="Dólares"/>
    <n v="8084.69"/>
    <s v="San José Indoor Club "/>
    <x v="5"/>
    <m/>
    <m/>
  </r>
  <r>
    <x v="1"/>
    <x v="0"/>
    <x v="1"/>
    <m/>
    <x v="0"/>
    <x v="3"/>
    <d v="2025-07-19T00:00:00"/>
    <s v="Dólares"/>
    <n v="5000"/>
    <s v="Clientes Nuevos"/>
    <x v="7"/>
    <m/>
    <m/>
  </r>
  <r>
    <x v="0"/>
    <x v="0"/>
    <x v="1"/>
    <m/>
    <x v="0"/>
    <x v="3"/>
    <d v="2025-07-19T00:00:00"/>
    <s v="Dólares"/>
    <n v="15000"/>
    <s v="Clientes Nuevos"/>
    <x v="7"/>
    <m/>
    <m/>
  </r>
  <r>
    <x v="1"/>
    <x v="0"/>
    <x v="0"/>
    <m/>
    <x v="0"/>
    <x v="3"/>
    <d v="2025-07-19T00:00:00"/>
    <s v="Dólares"/>
    <n v="30000"/>
    <s v="Clientes Nuevos"/>
    <x v="7"/>
    <m/>
    <m/>
  </r>
  <r>
    <x v="0"/>
    <x v="0"/>
    <x v="0"/>
    <m/>
    <x v="0"/>
    <x v="3"/>
    <d v="2025-07-19T00:00:00"/>
    <s v="Dólares"/>
    <n v="90000"/>
    <s v="Clientes Nuevos"/>
    <x v="7"/>
    <m/>
    <m/>
  </r>
  <r>
    <x v="0"/>
    <x v="2"/>
    <x v="0"/>
    <m/>
    <x v="1"/>
    <x v="4"/>
    <d v="2025-11-26T00:00:00"/>
    <s v="Dólares"/>
    <n v="8027.14"/>
    <s v="MORPHO TRAVEL EXPERIENCE"/>
    <x v="4"/>
    <m/>
    <m/>
  </r>
  <r>
    <x v="1"/>
    <x v="0"/>
    <x v="1"/>
    <m/>
    <x v="1"/>
    <x v="3"/>
    <d v="2025-07-16T00:00:00"/>
    <s v="Dólares"/>
    <n v="7545.12"/>
    <s v="HOTELERA PLAYA SOMBRERO"/>
    <x v="7"/>
    <m/>
    <m/>
  </r>
  <r>
    <x v="0"/>
    <x v="0"/>
    <x v="0"/>
    <n v="10028047"/>
    <x v="1"/>
    <x v="4"/>
    <d v="2025-11-29T00:00:00"/>
    <s v="Dólares"/>
    <n v="8007"/>
    <s v="MARIA JOSE RIVERA CESPEDES"/>
    <x v="4"/>
    <m/>
    <m/>
  </r>
  <r>
    <x v="0"/>
    <x v="0"/>
    <x v="0"/>
    <m/>
    <x v="1"/>
    <x v="4"/>
    <d v="2025-05-25T00:00:00"/>
    <s v="Dólares"/>
    <n v="8000"/>
    <s v="MARIA GABRIELA ESQUIVEL CALVO"/>
    <x v="0"/>
    <m/>
    <m/>
  </r>
  <r>
    <x v="0"/>
    <x v="0"/>
    <x v="0"/>
    <n v="10027131"/>
    <x v="1"/>
    <x v="3"/>
    <d v="2025-07-16T00:00:00"/>
    <s v="Dólares"/>
    <n v="2050"/>
    <s v="BELGICA AIDA HERNANDEZ VIVAS"/>
    <x v="7"/>
    <m/>
    <m/>
  </r>
  <r>
    <x v="0"/>
    <x v="2"/>
    <x v="1"/>
    <m/>
    <x v="1"/>
    <x v="0"/>
    <d v="2025-10-03T00:00:00"/>
    <s v="Dólares"/>
    <n v="8000"/>
    <s v="DESARROLLOS TECNICOS"/>
    <x v="2"/>
    <m/>
    <m/>
  </r>
  <r>
    <x v="0"/>
    <x v="2"/>
    <x v="1"/>
    <m/>
    <x v="1"/>
    <x v="2"/>
    <d v="2025-10-07T00:00:00"/>
    <s v="Dólares"/>
    <n v="8000"/>
    <s v="INDUSTRIAS GAREND"/>
    <x v="2"/>
    <m/>
    <m/>
  </r>
  <r>
    <x v="0"/>
    <x v="3"/>
    <x v="2"/>
    <m/>
    <x v="1"/>
    <x v="0"/>
    <d v="2025-11-07T00:00:00"/>
    <s v="Dólares"/>
    <n v="8000"/>
    <s v="PLAZA RIVIERA SOCIEDAD ANONIMA"/>
    <x v="4"/>
    <m/>
    <m/>
  </r>
  <r>
    <x v="0"/>
    <x v="0"/>
    <x v="0"/>
    <m/>
    <x v="1"/>
    <x v="2"/>
    <d v="2025-11-10T00:00:00"/>
    <s v="Dólares"/>
    <n v="8000"/>
    <s v="WILLIAM FERNANDEZ - COCINA"/>
    <x v="4"/>
    <m/>
    <m/>
  </r>
  <r>
    <x v="0"/>
    <x v="0"/>
    <x v="0"/>
    <n v="10027135"/>
    <x v="1"/>
    <x v="3"/>
    <d v="2025-07-16T00:00:00"/>
    <s v="Colones"/>
    <n v="1476.3779527559054"/>
    <s v="LILLIAM ESCALANTE ARAUZ "/>
    <x v="7"/>
    <m/>
    <m/>
  </r>
  <r>
    <x v="0"/>
    <x v="2"/>
    <x v="0"/>
    <m/>
    <x v="1"/>
    <x v="2"/>
    <d v="2026-01-16T00:00:00"/>
    <s v="Dólares"/>
    <n v="7950.38"/>
    <s v="CONSTRUCTORA PROYCON"/>
    <x v="3"/>
    <m/>
    <m/>
  </r>
  <r>
    <x v="3"/>
    <x v="3"/>
    <x v="0"/>
    <m/>
    <x v="1"/>
    <x v="4"/>
    <d v="2025-12-23T00:00:00"/>
    <s v="Colones"/>
    <n v="7923.9946666666665"/>
    <s v="COMPAÑÍA NACIONAL DE FUERZA Y LUZ"/>
    <x v="8"/>
    <m/>
    <m/>
  </r>
  <r>
    <x v="0"/>
    <x v="2"/>
    <x v="0"/>
    <m/>
    <x v="1"/>
    <x v="4"/>
    <d v="2025-12-24T00:00:00"/>
    <s v="Dólares"/>
    <n v="7921.03"/>
    <s v="GRUPO BM"/>
    <x v="8"/>
    <m/>
    <m/>
  </r>
  <r>
    <x v="0"/>
    <x v="0"/>
    <x v="0"/>
    <m/>
    <x v="1"/>
    <x v="2"/>
    <d v="2025-06-09T00:00:00"/>
    <s v="Dólares"/>
    <n v="7910"/>
    <s v="ALVARO ANTONIO SUAREZ ARIAS"/>
    <x v="5"/>
    <m/>
    <m/>
  </r>
  <r>
    <x v="0"/>
    <x v="2"/>
    <x v="1"/>
    <m/>
    <x v="1"/>
    <x v="1"/>
    <d v="2025-09-30T00:00:00"/>
    <s v="Dólares"/>
    <n v="7908"/>
    <s v="DAVIVIENDA LEASING ( COSMAC ) "/>
    <x v="9"/>
    <m/>
    <m/>
  </r>
  <r>
    <x v="0"/>
    <x v="2"/>
    <x v="0"/>
    <m/>
    <x v="1"/>
    <x v="4"/>
    <d v="2025-10-23T00:00:00"/>
    <s v="Dólares"/>
    <n v="7899.81"/>
    <s v="CARSO CONSTRUCCION"/>
    <x v="2"/>
    <m/>
    <m/>
  </r>
  <r>
    <x v="0"/>
    <x v="1"/>
    <x v="0"/>
    <m/>
    <x v="1"/>
    <x v="4"/>
    <d v="2025-09-26T00:00:00"/>
    <s v="Dólares"/>
    <n v="7892.96"/>
    <s v="Euro Lindora Fa S.A"/>
    <x v="9"/>
    <m/>
    <m/>
  </r>
  <r>
    <x v="3"/>
    <x v="3"/>
    <x v="0"/>
    <n v="15186"/>
    <x v="1"/>
    <x v="3"/>
    <d v="2025-07-16T00:00:00"/>
    <s v="Dólares"/>
    <n v="341.26"/>
    <s v="Universidad de Costa Rica"/>
    <x v="7"/>
    <m/>
    <m/>
  </r>
  <r>
    <x v="0"/>
    <x v="0"/>
    <x v="0"/>
    <n v="10027103"/>
    <x v="1"/>
    <x v="3"/>
    <d v="2025-07-16T00:00:00"/>
    <s v="Dólares"/>
    <n v="100"/>
    <s v="MARIA NINFA TERESA DE JESUS CORDERO TORRES - COCINA DE GAS KUTH"/>
    <x v="7"/>
    <m/>
    <m/>
  </r>
  <r>
    <x v="3"/>
    <x v="3"/>
    <x v="0"/>
    <m/>
    <x v="1"/>
    <x v="3"/>
    <d v="2025-07-17T00:00:00"/>
    <s v="Dólares"/>
    <n v="8138.26"/>
    <s v="NEWMARK REAL DEL ESTE"/>
    <x v="7"/>
    <m/>
    <m/>
  </r>
  <r>
    <x v="0"/>
    <x v="3"/>
    <x v="0"/>
    <m/>
    <x v="1"/>
    <x v="0"/>
    <d v="2025-06-06T00:00:00"/>
    <s v="Dólares"/>
    <n v="7845.14"/>
    <s v="CIELO DE BABILONIA SOCIEDAD ANONIMA"/>
    <x v="5"/>
    <m/>
    <m/>
  </r>
  <r>
    <x v="3"/>
    <x v="3"/>
    <x v="2"/>
    <m/>
    <x v="1"/>
    <x v="3"/>
    <d v="2025-07-17T00:00:00"/>
    <s v="Dólares"/>
    <n v="4204.9699999999993"/>
    <s v="CENTRO COMERCIAL MULTIPLAZA SOCIEDAD ANONIMA"/>
    <x v="7"/>
    <m/>
    <m/>
  </r>
  <r>
    <x v="0"/>
    <x v="0"/>
    <x v="0"/>
    <n v="10028284"/>
    <x v="1"/>
    <x v="2"/>
    <d v="2026-01-15T00:00:00"/>
    <s v="Colones"/>
    <n v="7762.8442943548389"/>
    <s v="ANA ELISA SAENZ NARANJO"/>
    <x v="3"/>
    <m/>
    <m/>
  </r>
  <r>
    <x v="0"/>
    <x v="0"/>
    <x v="0"/>
    <m/>
    <x v="1"/>
    <x v="0"/>
    <d v="2025-12-02T00:00:00"/>
    <s v="Dólares"/>
    <n v="7749"/>
    <s v="ROMAN ADOLFO RODRIGUEZ"/>
    <x v="8"/>
    <m/>
    <m/>
  </r>
  <r>
    <x v="0"/>
    <x v="3"/>
    <x v="2"/>
    <m/>
    <x v="1"/>
    <x v="3"/>
    <d v="2025-07-17T00:00:00"/>
    <s v="Dólares"/>
    <n v="3595.42"/>
    <s v="UNION COMERCIAL DE COSTA RICA, UNICOMER SOCIEDAD ANONIMA"/>
    <x v="7"/>
    <m/>
    <m/>
  </r>
  <r>
    <x v="0"/>
    <x v="2"/>
    <x v="1"/>
    <m/>
    <x v="1"/>
    <x v="3"/>
    <d v="2025-07-17T00:00:00"/>
    <s v="Dólares"/>
    <n v="2581"/>
    <s v="PROYECTOS TAUCA"/>
    <x v="7"/>
    <m/>
    <m/>
  </r>
  <r>
    <x v="3"/>
    <x v="3"/>
    <x v="0"/>
    <m/>
    <x v="1"/>
    <x v="4"/>
    <d v="2025-12-23T00:00:00"/>
    <s v="Colones"/>
    <n v="7674.1395686274509"/>
    <s v="COMPAÑÍA NACIONAL DE FUERZA Y LUZ"/>
    <x v="8"/>
    <m/>
    <m/>
  </r>
  <r>
    <x v="2"/>
    <x v="3"/>
    <x v="0"/>
    <m/>
    <x v="1"/>
    <x v="0"/>
    <d v="2025-12-06T00:00:00"/>
    <s v="Dólares"/>
    <n v="7672"/>
    <s v="SEMANA 01 EXPRESS"/>
    <x v="8"/>
    <m/>
    <m/>
  </r>
  <r>
    <x v="0"/>
    <x v="1"/>
    <x v="0"/>
    <m/>
    <x v="1"/>
    <x v="2"/>
    <d v="2025-10-09T00:00:00"/>
    <s v="Dólares"/>
    <n v="7653.49"/>
    <s v="FDO INV. DESARROLLO PROYECTOS MULTIFONDOS SECRET ESCALANTE"/>
    <x v="2"/>
    <m/>
    <m/>
  </r>
  <r>
    <x v="0"/>
    <x v="0"/>
    <x v="0"/>
    <m/>
    <x v="1"/>
    <x v="0"/>
    <d v="2025-09-02T00:00:00"/>
    <s v="Dólares"/>
    <n v="7640.5"/>
    <s v="SIN IDENTIFICAR - ALTEA PAGO"/>
    <x v="9"/>
    <m/>
    <m/>
  </r>
  <r>
    <x v="0"/>
    <x v="0"/>
    <x v="0"/>
    <m/>
    <x v="1"/>
    <x v="0"/>
    <d v="2026-02-05T00:00:00"/>
    <s v="Dólares"/>
    <n v="910"/>
    <s v="Sandra Alfaro Solís"/>
    <x v="6"/>
    <m/>
    <m/>
  </r>
  <r>
    <x v="0"/>
    <x v="0"/>
    <x v="0"/>
    <m/>
    <x v="1"/>
    <x v="2"/>
    <d v="2025-09-10T00:00:00"/>
    <s v="Dólares"/>
    <n v="7600"/>
    <s v="Jose Pablo Vega ulate"/>
    <x v="9"/>
    <m/>
    <m/>
  </r>
  <r>
    <x v="3"/>
    <x v="3"/>
    <x v="1"/>
    <m/>
    <x v="1"/>
    <x v="3"/>
    <d v="2025-07-17T00:00:00"/>
    <s v="Dólares"/>
    <n v="1063.0999999999999"/>
    <s v="AMERICAN CHAMBERS COMMERCE"/>
    <x v="7"/>
    <m/>
    <m/>
  </r>
  <r>
    <x v="0"/>
    <x v="2"/>
    <x v="1"/>
    <m/>
    <x v="1"/>
    <x v="2"/>
    <d v="2025-11-13T00:00:00"/>
    <s v="Dólares"/>
    <n v="7534.29"/>
    <s v="KINSEI LIMITADA"/>
    <x v="4"/>
    <m/>
    <m/>
  </r>
  <r>
    <x v="0"/>
    <x v="3"/>
    <x v="2"/>
    <n v="10026544"/>
    <x v="1"/>
    <x v="2"/>
    <d v="2025-05-09T00:00:00"/>
    <s v="Dólares"/>
    <n v="7513.82"/>
    <s v="ICEM S. A"/>
    <x v="0"/>
    <m/>
    <m/>
  </r>
  <r>
    <x v="0"/>
    <x v="0"/>
    <x v="0"/>
    <n v="10026504"/>
    <x v="1"/>
    <x v="2"/>
    <d v="2025-05-06T00:00:00"/>
    <s v="Dólares"/>
    <n v="7500"/>
    <s v="FORESTALES PUNTA ISLITA SOCIEDAD ANONIMA"/>
    <x v="0"/>
    <m/>
    <m/>
  </r>
  <r>
    <x v="0"/>
    <x v="3"/>
    <x v="2"/>
    <n v="10026937"/>
    <x v="1"/>
    <x v="4"/>
    <d v="2025-06-27T00:00:00"/>
    <s v="Dólares"/>
    <n v="7500"/>
    <s v="COMPANIA CONSTRUCTORA VAN DER LAAT Y JIMENEZ S.A."/>
    <x v="5"/>
    <m/>
    <m/>
  </r>
  <r>
    <x v="0"/>
    <x v="3"/>
    <x v="2"/>
    <n v="10026937"/>
    <x v="1"/>
    <x v="4"/>
    <d v="2025-06-27T00:00:00"/>
    <s v="Dólares"/>
    <n v="7500"/>
    <s v="COMPANIA CONSTRUCTORA VAN DER LAAT Y JIMENEZ S.A."/>
    <x v="5"/>
    <m/>
    <m/>
  </r>
  <r>
    <x v="0"/>
    <x v="0"/>
    <x v="0"/>
    <n v="10027024"/>
    <x v="1"/>
    <x v="2"/>
    <d v="2025-07-08T00:00:00"/>
    <s v="Dólares"/>
    <n v="7500"/>
    <s v="FORESTALES PUNTA ISLITA SOCIEDAD ANONIMA"/>
    <x v="7"/>
    <m/>
    <m/>
  </r>
  <r>
    <x v="1"/>
    <x v="0"/>
    <x v="0"/>
    <n v="10825"/>
    <x v="1"/>
    <x v="2"/>
    <d v="2025-11-13T00:00:00"/>
    <s v="Dólares"/>
    <n v="7500"/>
    <s v="Donald Carl Giffels"/>
    <x v="4"/>
    <m/>
    <m/>
  </r>
  <r>
    <x v="0"/>
    <x v="2"/>
    <x v="0"/>
    <m/>
    <x v="1"/>
    <x v="4"/>
    <d v="2025-11-27T00:00:00"/>
    <s v="Dólares"/>
    <n v="7500"/>
    <s v="GAREND"/>
    <x v="4"/>
    <m/>
    <m/>
  </r>
  <r>
    <x v="1"/>
    <x v="0"/>
    <x v="0"/>
    <m/>
    <x v="1"/>
    <x v="4"/>
    <d v="2025-12-23T00:00:00"/>
    <s v="Dólares"/>
    <n v="7500"/>
    <s v="ALVARO FIGUEROA"/>
    <x v="8"/>
    <m/>
    <m/>
  </r>
  <r>
    <x v="2"/>
    <x v="3"/>
    <x v="0"/>
    <m/>
    <x v="1"/>
    <x v="2"/>
    <d v="2025-11-14T00:00:00"/>
    <s v="Dólares"/>
    <n v="7493.52"/>
    <s v="SEMANA 02 NOVIEMBRE EXPRESS"/>
    <x v="4"/>
    <m/>
    <m/>
  </r>
  <r>
    <x v="1"/>
    <x v="0"/>
    <x v="0"/>
    <m/>
    <x v="1"/>
    <x v="0"/>
    <d v="2026-02-05T00:00:00"/>
    <s v="Dólares"/>
    <n v="663.06"/>
    <s v="VOLIO Y TREJOS"/>
    <x v="6"/>
    <m/>
    <m/>
  </r>
  <r>
    <x v="0"/>
    <x v="0"/>
    <x v="0"/>
    <n v="10027392"/>
    <x v="1"/>
    <x v="4"/>
    <d v="2025-08-27T00:00:00"/>
    <s v="Dólares"/>
    <n v="7478"/>
    <s v="JOHANA JOSE GABOUREL RODAS"/>
    <x v="1"/>
    <m/>
    <m/>
  </r>
  <r>
    <x v="0"/>
    <x v="0"/>
    <x v="0"/>
    <m/>
    <x v="1"/>
    <x v="2"/>
    <d v="2025-12-12T00:00:00"/>
    <s v="Dólares"/>
    <n v="7442.3"/>
    <s v="Vanessa Palacios Gomez"/>
    <x v="8"/>
    <m/>
    <m/>
  </r>
  <r>
    <x v="0"/>
    <x v="3"/>
    <x v="0"/>
    <n v="10026944"/>
    <x v="1"/>
    <x v="4"/>
    <d v="2025-06-27T00:00:00"/>
    <s v="Dólares"/>
    <n v="7417.04"/>
    <s v="COOPERATIVA NACIONAL DE EDUCADORES R L"/>
    <x v="5"/>
    <m/>
    <m/>
  </r>
  <r>
    <x v="1"/>
    <x v="0"/>
    <x v="1"/>
    <m/>
    <x v="0"/>
    <x v="4"/>
    <d v="2025-07-26T00:00:00"/>
    <s v="Dólares"/>
    <n v="5000"/>
    <s v="Clientes Nuevos"/>
    <x v="7"/>
    <m/>
    <m/>
  </r>
  <r>
    <x v="0"/>
    <x v="0"/>
    <x v="1"/>
    <m/>
    <x v="0"/>
    <x v="4"/>
    <d v="2025-07-26T00:00:00"/>
    <s v="Dólares"/>
    <n v="18000"/>
    <s v="Clientes Nuevos"/>
    <x v="7"/>
    <m/>
    <m/>
  </r>
  <r>
    <x v="1"/>
    <x v="0"/>
    <x v="0"/>
    <m/>
    <x v="0"/>
    <x v="4"/>
    <d v="2025-07-26T00:00:00"/>
    <s v="Dólares"/>
    <n v="25000"/>
    <s v="Clientes Nuevos"/>
    <x v="7"/>
    <m/>
    <m/>
  </r>
  <r>
    <x v="0"/>
    <x v="0"/>
    <x v="0"/>
    <m/>
    <x v="0"/>
    <x v="4"/>
    <d v="2025-07-26T00:00:00"/>
    <s v="Dólares"/>
    <n v="100000"/>
    <s v="Clientes Nuevos"/>
    <x v="7"/>
    <m/>
    <m/>
  </r>
  <r>
    <x v="0"/>
    <x v="0"/>
    <x v="0"/>
    <n v="10026580"/>
    <x v="1"/>
    <x v="2"/>
    <d v="2025-05-10T00:00:00"/>
    <s v="Dólares"/>
    <n v="7400"/>
    <s v="PRISCILLA BENAVIDES AMORES"/>
    <x v="0"/>
    <m/>
    <m/>
  </r>
  <r>
    <x v="0"/>
    <x v="0"/>
    <x v="0"/>
    <m/>
    <x v="1"/>
    <x v="2"/>
    <d v="2026-01-14T00:00:00"/>
    <s v="Dólares"/>
    <n v="7400"/>
    <s v="Johnny Vargas Garita"/>
    <x v="3"/>
    <m/>
    <m/>
  </r>
  <r>
    <x v="0"/>
    <x v="3"/>
    <x v="2"/>
    <m/>
    <x v="1"/>
    <x v="3"/>
    <d v="2025-07-17T00:00:00"/>
    <s v="Dólares"/>
    <n v="897.5"/>
    <s v="FONDO DE INVERSION INMOBILIARIO GIBRALTAR"/>
    <x v="7"/>
    <m/>
    <m/>
  </r>
  <r>
    <x v="0"/>
    <x v="1"/>
    <x v="0"/>
    <m/>
    <x v="1"/>
    <x v="4"/>
    <d v="2025-10-24T00:00:00"/>
    <s v="Dólares"/>
    <n v="7374.76"/>
    <s v="LINDORA EUROMOBILIA 76870"/>
    <x v="2"/>
    <m/>
    <m/>
  </r>
  <r>
    <x v="0"/>
    <x v="2"/>
    <x v="0"/>
    <m/>
    <x v="1"/>
    <x v="0"/>
    <d v="2026-01-09T00:00:00"/>
    <s v="Dólares"/>
    <n v="7371.03"/>
    <s v="EMBOTELLADORA CENTRAL S.A."/>
    <x v="3"/>
    <m/>
    <m/>
  </r>
  <r>
    <x v="0"/>
    <x v="1"/>
    <x v="0"/>
    <m/>
    <x v="1"/>
    <x v="2"/>
    <d v="2025-11-14T00:00:00"/>
    <s v="Dólares"/>
    <n v="7340.48"/>
    <s v="DESARROLLO VIVE TIBAS"/>
    <x v="4"/>
    <m/>
    <m/>
  </r>
  <r>
    <x v="0"/>
    <x v="3"/>
    <x v="0"/>
    <m/>
    <x v="1"/>
    <x v="4"/>
    <d v="2025-11-25T00:00:00"/>
    <s v="Dólares"/>
    <n v="7317.52"/>
    <s v="TEGRA MEDICAL"/>
    <x v="4"/>
    <m/>
    <m/>
  </r>
  <r>
    <x v="0"/>
    <x v="2"/>
    <x v="0"/>
    <m/>
    <x v="1"/>
    <x v="0"/>
    <d v="2026-02-06T00:00:00"/>
    <s v="Dólares"/>
    <n v="268167.21999999997"/>
    <s v="BOSTON SCIENTIFIC DE COSTA RICA S.R.L"/>
    <x v="6"/>
    <m/>
    <m/>
  </r>
  <r>
    <x v="0"/>
    <x v="0"/>
    <x v="0"/>
    <n v="10027092"/>
    <x v="1"/>
    <x v="3"/>
    <d v="2025-07-17T00:00:00"/>
    <s v="Dólares"/>
    <n v="171.5"/>
    <s v="INNOVACION SOLUTIONS TECHNOLOGY"/>
    <x v="7"/>
    <m/>
    <m/>
  </r>
  <r>
    <x v="0"/>
    <x v="3"/>
    <x v="0"/>
    <m/>
    <x v="1"/>
    <x v="2"/>
    <d v="2025-11-14T00:00:00"/>
    <s v="Dólares"/>
    <n v="7289.31"/>
    <s v="EDICA - PLAZA RIVIERA"/>
    <x v="4"/>
    <m/>
    <m/>
  </r>
  <r>
    <x v="0"/>
    <x v="2"/>
    <x v="0"/>
    <n v="10026656"/>
    <x v="1"/>
    <x v="4"/>
    <d v="2025-05-23T00:00:00"/>
    <s v="Dólares"/>
    <n v="7283.79"/>
    <s v="DISTRIBUIDORA MEYA  "/>
    <x v="0"/>
    <m/>
    <m/>
  </r>
  <r>
    <x v="0"/>
    <x v="0"/>
    <x v="0"/>
    <m/>
    <x v="1"/>
    <x v="2"/>
    <d v="2025-11-11T00:00:00"/>
    <s v="Dólares"/>
    <n v="7200"/>
    <s v="ELKIN SUAREZ"/>
    <x v="4"/>
    <m/>
    <m/>
  </r>
  <r>
    <x v="0"/>
    <x v="2"/>
    <x v="2"/>
    <n v="10026754"/>
    <x v="1"/>
    <x v="0"/>
    <d v="2025-06-03T00:00:00"/>
    <s v="Dólares"/>
    <n v="7191.65"/>
    <s v="Cooperativa de Productores de leche Dos PinosR L"/>
    <x v="5"/>
    <m/>
    <m/>
  </r>
  <r>
    <x v="3"/>
    <x v="3"/>
    <x v="0"/>
    <m/>
    <x v="1"/>
    <x v="2"/>
    <d v="2025-12-11T00:00:00"/>
    <s v="Dólares"/>
    <n v="7182.74"/>
    <s v="BLOCK CONSTRUCTORA"/>
    <x v="8"/>
    <m/>
    <m/>
  </r>
  <r>
    <x v="0"/>
    <x v="0"/>
    <x v="0"/>
    <n v="10027618"/>
    <x v="1"/>
    <x v="4"/>
    <d v="2025-09-25T00:00:00"/>
    <s v="Dólares"/>
    <n v="7173.99"/>
    <s v="FEATHER STARFISH B FOUR SOCIEDAD ANONIMA"/>
    <x v="9"/>
    <m/>
    <m/>
  </r>
  <r>
    <x v="0"/>
    <x v="1"/>
    <x v="0"/>
    <m/>
    <x v="1"/>
    <x v="0"/>
    <d v="2026-02-06T00:00:00"/>
    <s v="Dólares"/>
    <n v="68611.17"/>
    <s v="LINDORA VILLAGE - ETAPA 3"/>
    <x v="6"/>
    <m/>
    <m/>
  </r>
  <r>
    <x v="3"/>
    <x v="3"/>
    <x v="0"/>
    <m/>
    <x v="1"/>
    <x v="2"/>
    <d v="2025-12-12T00:00:00"/>
    <s v="Dólares"/>
    <n v="7119"/>
    <s v="BAC SAN JOSE"/>
    <x v="8"/>
    <m/>
    <m/>
  </r>
  <r>
    <x v="0"/>
    <x v="0"/>
    <x v="0"/>
    <m/>
    <x v="1"/>
    <x v="4"/>
    <d v="2025-10-21T00:00:00"/>
    <s v="Dólares"/>
    <n v="7111.12"/>
    <s v="LILIAM ESCALANTE ARAUZ"/>
    <x v="2"/>
    <m/>
    <m/>
  </r>
  <r>
    <x v="1"/>
    <x v="0"/>
    <x v="0"/>
    <m/>
    <x v="1"/>
    <x v="2"/>
    <d v="2025-09-11T00:00:00"/>
    <s v="Dólares"/>
    <n v="7094"/>
    <s v="INVERSORA LEGA SOCIEDAD ANONIMA"/>
    <x v="9"/>
    <m/>
    <m/>
  </r>
  <r>
    <x v="1"/>
    <x v="0"/>
    <x v="0"/>
    <n v="10735"/>
    <x v="1"/>
    <x v="0"/>
    <d v="2025-05-02T00:00:00"/>
    <s v="Dólares"/>
    <n v="7080"/>
    <s v="JOSE MIGUEL DIAZ MIRANDA"/>
    <x v="0"/>
    <m/>
    <m/>
  </r>
  <r>
    <x v="0"/>
    <x v="3"/>
    <x v="0"/>
    <n v="10026728"/>
    <x v="1"/>
    <x v="1"/>
    <d v="2025-05-30T00:00:00"/>
    <s v="Dólares"/>
    <n v="7068.91"/>
    <s v="ATRES ARQUITECTOS SOCIEDAD DE RESPONSABILIDAD LIMI"/>
    <x v="0"/>
    <m/>
    <m/>
  </r>
  <r>
    <x v="0"/>
    <x v="0"/>
    <x v="0"/>
    <n v="10026561"/>
    <x v="1"/>
    <x v="0"/>
    <d v="2025-05-01T00:00:00"/>
    <s v="Dólares"/>
    <n v="7044.93"/>
    <s v="MIKE LUKOWIECKY GRUNHAUS"/>
    <x v="0"/>
    <m/>
    <m/>
  </r>
  <r>
    <x v="0"/>
    <x v="0"/>
    <x v="0"/>
    <n v="10026490"/>
    <x v="1"/>
    <x v="0"/>
    <d v="2025-05-03T00:00:00"/>
    <s v="Dólares"/>
    <n v="7001"/>
    <s v="ERNESTO JOSE GOCHEZ MONGE"/>
    <x v="0"/>
    <m/>
    <m/>
  </r>
  <r>
    <x v="0"/>
    <x v="2"/>
    <x v="0"/>
    <n v="10026524"/>
    <x v="1"/>
    <x v="2"/>
    <d v="2025-05-08T00:00:00"/>
    <s v="Dólares"/>
    <n v="7000"/>
    <s v="MEGALINEAS SOCIEDAD ANONIMA "/>
    <x v="0"/>
    <m/>
    <m/>
  </r>
  <r>
    <x v="0"/>
    <x v="2"/>
    <x v="1"/>
    <m/>
    <x v="1"/>
    <x v="3"/>
    <d v="2025-07-18T00:00:00"/>
    <s v="Dólares"/>
    <n v="133421.23000000001"/>
    <s v="MEGALINEAS"/>
    <x v="7"/>
    <m/>
    <m/>
  </r>
  <r>
    <x v="1"/>
    <x v="0"/>
    <x v="1"/>
    <m/>
    <x v="1"/>
    <x v="1"/>
    <d v="2025-07-29T00:00:00"/>
    <s v="Dólares"/>
    <n v="7000"/>
    <s v="MANUEL ARIAS RUIZ"/>
    <x v="7"/>
    <m/>
    <m/>
  </r>
  <r>
    <x v="0"/>
    <x v="0"/>
    <x v="0"/>
    <n v="10027213"/>
    <x v="1"/>
    <x v="0"/>
    <d v="2025-08-01T00:00:00"/>
    <s v="Dólares"/>
    <n v="7000"/>
    <s v="EDIFITEC CONSTRUCCIONES TECNICAS SOCIEDAD ANONIMA"/>
    <x v="1"/>
    <m/>
    <m/>
  </r>
  <r>
    <x v="0"/>
    <x v="0"/>
    <x v="0"/>
    <m/>
    <x v="1"/>
    <x v="4"/>
    <d v="2025-11-25T00:00:00"/>
    <s v="Dólares"/>
    <n v="7000"/>
    <s v="GRETEL MASIS"/>
    <x v="4"/>
    <m/>
    <m/>
  </r>
  <r>
    <x v="0"/>
    <x v="3"/>
    <x v="0"/>
    <m/>
    <x v="1"/>
    <x v="4"/>
    <d v="2025-10-22T00:00:00"/>
    <s v="Colones"/>
    <n v="6998.0947843137255"/>
    <s v="COMPAÑÍA NACIONAL DE FUERZA Y LUZ"/>
    <x v="2"/>
    <m/>
    <m/>
  </r>
  <r>
    <x v="0"/>
    <x v="2"/>
    <x v="0"/>
    <m/>
    <x v="1"/>
    <x v="4"/>
    <d v="2026-01-30T00:00:00"/>
    <s v="Dólares"/>
    <n v="6969.82"/>
    <s v="HILIX Y COMPA IA SOCIEDAD ANONIMA"/>
    <x v="3"/>
    <m/>
    <m/>
  </r>
  <r>
    <x v="0"/>
    <x v="0"/>
    <x v="0"/>
    <m/>
    <x v="1"/>
    <x v="2"/>
    <d v="2025-06-13T00:00:00"/>
    <s v="Dólares"/>
    <n v="6960"/>
    <s v="ELECTROLUX HOME APPLIANCES INC"/>
    <x v="5"/>
    <m/>
    <m/>
  </r>
  <r>
    <x v="0"/>
    <x v="1"/>
    <x v="0"/>
    <n v="10027091"/>
    <x v="1"/>
    <x v="3"/>
    <d v="2025-07-18T00:00:00"/>
    <s v="Dólares"/>
    <n v="50000"/>
    <s v="PROPIEDADES EL RINCON DE LOS SUEÑOS"/>
    <x v="7"/>
    <m/>
    <m/>
  </r>
  <r>
    <x v="0"/>
    <x v="5"/>
    <x v="0"/>
    <m/>
    <x v="1"/>
    <x v="4"/>
    <d v="2025-12-24T00:00:00"/>
    <s v="Dólares"/>
    <n v="6955.53"/>
    <s v="MEDITEST"/>
    <x v="8"/>
    <m/>
    <m/>
  </r>
  <r>
    <x v="0"/>
    <x v="5"/>
    <x v="0"/>
    <m/>
    <x v="1"/>
    <x v="4"/>
    <d v="2025-11-24T00:00:00"/>
    <s v="Dólares"/>
    <n v="6955.33"/>
    <s v="MEDITEST"/>
    <x v="4"/>
    <m/>
    <m/>
  </r>
  <r>
    <x v="0"/>
    <x v="2"/>
    <x v="0"/>
    <m/>
    <x v="1"/>
    <x v="4"/>
    <d v="2025-11-27T00:00:00"/>
    <s v="Dólares"/>
    <n v="6947.21"/>
    <s v="BANCO PROMERICA"/>
    <x v="4"/>
    <m/>
    <m/>
  </r>
  <r>
    <x v="0"/>
    <x v="0"/>
    <x v="0"/>
    <m/>
    <x v="1"/>
    <x v="2"/>
    <d v="2025-06-12T00:00:00"/>
    <s v="Dólares"/>
    <n v="6900"/>
    <s v="LAURA BONILLA HERRERO"/>
    <x v="5"/>
    <m/>
    <m/>
  </r>
  <r>
    <x v="0"/>
    <x v="3"/>
    <x v="0"/>
    <n v="10027108"/>
    <x v="1"/>
    <x v="3"/>
    <d v="2025-07-18T00:00:00"/>
    <s v="Dólares"/>
    <n v="42582.98"/>
    <s v="AUTO REPUESTOS AVENIDA DIEZ S.A. (GUACAMAYA)"/>
    <x v="7"/>
    <m/>
    <m/>
  </r>
  <r>
    <x v="0"/>
    <x v="3"/>
    <x v="2"/>
    <m/>
    <x v="1"/>
    <x v="2"/>
    <d v="2025-12-12T00:00:00"/>
    <s v="Dólares"/>
    <n v="6836.95"/>
    <s v="RETENCIONES UNED PURISCAL"/>
    <x v="8"/>
    <m/>
    <m/>
  </r>
  <r>
    <x v="0"/>
    <x v="0"/>
    <x v="0"/>
    <n v="10028065"/>
    <x v="1"/>
    <x v="0"/>
    <d v="2025-12-04T00:00:00"/>
    <s v="Dólares"/>
    <n v="6827.16"/>
    <s v="SHIRLENE HERNANDEZ ARCE"/>
    <x v="8"/>
    <m/>
    <m/>
  </r>
  <r>
    <x v="0"/>
    <x v="0"/>
    <x v="0"/>
    <n v="10027454"/>
    <x v="1"/>
    <x v="0"/>
    <d v="2025-09-03T00:00:00"/>
    <s v="Dólares"/>
    <n v="6800"/>
    <s v="NURIA PATRICIA DE LO HERRERA AGUERO"/>
    <x v="9"/>
    <m/>
    <m/>
  </r>
  <r>
    <x v="1"/>
    <x v="0"/>
    <x v="1"/>
    <m/>
    <x v="0"/>
    <x v="1"/>
    <d v="2025-07-31T00:00:00"/>
    <s v="Dólares"/>
    <n v="3000"/>
    <s v="Clientes Nuevos"/>
    <x v="7"/>
    <m/>
    <m/>
  </r>
  <r>
    <x v="0"/>
    <x v="0"/>
    <x v="1"/>
    <m/>
    <x v="0"/>
    <x v="1"/>
    <d v="2025-07-31T00:00:00"/>
    <s v="Dólares"/>
    <n v="10000"/>
    <s v="Clientes Nuevos"/>
    <x v="7"/>
    <m/>
    <m/>
  </r>
  <r>
    <x v="1"/>
    <x v="0"/>
    <x v="0"/>
    <m/>
    <x v="0"/>
    <x v="1"/>
    <d v="2025-07-31T00:00:00"/>
    <s v="Dólares"/>
    <n v="15000"/>
    <s v="Clientes Nuevos"/>
    <x v="7"/>
    <m/>
    <m/>
  </r>
  <r>
    <x v="0"/>
    <x v="0"/>
    <x v="0"/>
    <m/>
    <x v="0"/>
    <x v="1"/>
    <d v="2025-07-31T00:00:00"/>
    <s v="Dólares"/>
    <n v="30000"/>
    <s v="Clientes Nuevos"/>
    <x v="7"/>
    <m/>
    <m/>
  </r>
  <r>
    <x v="0"/>
    <x v="3"/>
    <x v="0"/>
    <n v="10026819"/>
    <x v="1"/>
    <x v="2"/>
    <d v="2025-06-13T00:00:00"/>
    <s v="Dólares"/>
    <n v="6771.03"/>
    <s v="BAMBU EN NACASCOLO SOCIEDAD ANONIMA"/>
    <x v="5"/>
    <m/>
    <m/>
  </r>
  <r>
    <x v="0"/>
    <x v="2"/>
    <x v="1"/>
    <n v="10027065"/>
    <x v="1"/>
    <x v="2"/>
    <d v="2025-07-07T00:00:00"/>
    <s v="Dólares"/>
    <n v="6768.63"/>
    <s v="ALIMENTOS Y BEBIDAS ATLANTIDA S,A"/>
    <x v="7"/>
    <m/>
    <m/>
  </r>
  <r>
    <x v="0"/>
    <x v="3"/>
    <x v="0"/>
    <n v="10027108"/>
    <x v="1"/>
    <x v="3"/>
    <d v="2025-07-18T00:00:00"/>
    <s v="Dólares"/>
    <n v="29175.360000000001"/>
    <s v="AUTO REPUESTOS AVENIDA DIEZ S.A. (GUACAMAYA)"/>
    <x v="7"/>
    <m/>
    <m/>
  </r>
  <r>
    <x v="3"/>
    <x v="3"/>
    <x v="1"/>
    <m/>
    <x v="1"/>
    <x v="2"/>
    <d v="2025-11-14T00:00:00"/>
    <s v="Dólares"/>
    <n v="6733.96"/>
    <s v="ACUÑA Y HANSON"/>
    <x v="4"/>
    <m/>
    <m/>
  </r>
  <r>
    <x v="0"/>
    <x v="3"/>
    <x v="0"/>
    <m/>
    <x v="1"/>
    <x v="4"/>
    <d v="2025-09-26T00:00:00"/>
    <s v="Dólares"/>
    <n v="6720"/>
    <s v="LOS ARALLANES"/>
    <x v="9"/>
    <m/>
    <m/>
  </r>
  <r>
    <x v="3"/>
    <x v="3"/>
    <x v="2"/>
    <n v="15207"/>
    <x v="1"/>
    <x v="2"/>
    <d v="2025-08-11T00:00:00"/>
    <s v="Dólares"/>
    <n v="6719.07"/>
    <s v="ZONA FRANCA COYOL SOCIEDAD ANONIMA"/>
    <x v="1"/>
    <m/>
    <m/>
  </r>
  <r>
    <x v="0"/>
    <x v="2"/>
    <x v="0"/>
    <n v="10027105"/>
    <x v="1"/>
    <x v="3"/>
    <d v="2025-07-18T00:00:00"/>
    <s v="Dólares"/>
    <n v="24150"/>
    <s v="BRIDGESTONE DE COSTA RICA SOCIEDAD ANONIMA"/>
    <x v="7"/>
    <m/>
    <m/>
  </r>
  <r>
    <x v="2"/>
    <x v="3"/>
    <x v="0"/>
    <m/>
    <x v="1"/>
    <x v="2"/>
    <d v="2025-05-09T00:00:00"/>
    <s v="Dólares"/>
    <n v="6695.38"/>
    <s v="PAGO SEMANA 02 OUTLET MAYO"/>
    <x v="0"/>
    <m/>
    <m/>
  </r>
  <r>
    <x v="0"/>
    <x v="2"/>
    <x v="0"/>
    <m/>
    <x v="1"/>
    <x v="0"/>
    <d v="2025-11-07T00:00:00"/>
    <s v="Dólares"/>
    <n v="6687.08"/>
    <s v="AVICOLA GAP"/>
    <x v="4"/>
    <m/>
    <m/>
  </r>
  <r>
    <x v="0"/>
    <x v="3"/>
    <x v="0"/>
    <m/>
    <x v="0"/>
    <x v="0"/>
    <d v="2025-08-01T00:00:00"/>
    <s v="Dólares"/>
    <n v="50000"/>
    <s v="CONTRACT WORKPLACES COSTA RICA SOCIEDAD ANONIMA"/>
    <x v="1"/>
    <m/>
    <m/>
  </r>
  <r>
    <x v="3"/>
    <x v="3"/>
    <x v="0"/>
    <n v="15180"/>
    <x v="1"/>
    <x v="2"/>
    <d v="2025-07-08T00:00:00"/>
    <s v="Dólares"/>
    <n v="6684.12"/>
    <s v="INGENIUM LATIN AMERICA SOCIEDAD DE RESPONSABILIDAD LIMITADA"/>
    <x v="7"/>
    <m/>
    <m/>
  </r>
  <r>
    <x v="0"/>
    <x v="1"/>
    <x v="0"/>
    <m/>
    <x v="0"/>
    <x v="0"/>
    <d v="2025-08-01T00:00:00"/>
    <s v="Dólares"/>
    <n v="16311.86"/>
    <s v="Nova del Este Fa S.A"/>
    <x v="1"/>
    <m/>
    <m/>
  </r>
  <r>
    <x v="0"/>
    <x v="0"/>
    <x v="1"/>
    <m/>
    <x v="1"/>
    <x v="2"/>
    <d v="2025-06-12T00:00:00"/>
    <s v="Dólares"/>
    <n v="6625"/>
    <s v="RESORT LIVING INTERNATIONAL SOCIEDAD ANONIMA"/>
    <x v="5"/>
    <m/>
    <m/>
  </r>
  <r>
    <x v="0"/>
    <x v="1"/>
    <x v="0"/>
    <m/>
    <x v="0"/>
    <x v="0"/>
    <d v="2025-08-01T00:00:00"/>
    <s v="Dólares"/>
    <n v="9718.6299999999992"/>
    <s v="PRODEYCO"/>
    <x v="1"/>
    <m/>
    <m/>
  </r>
  <r>
    <x v="0"/>
    <x v="2"/>
    <x v="0"/>
    <m/>
    <x v="1"/>
    <x v="2"/>
    <d v="2026-01-15T00:00:00"/>
    <s v="Dólares"/>
    <n v="6611.55"/>
    <s v="MAQUINARIA y TRACTORES LIMITADA"/>
    <x v="3"/>
    <m/>
    <m/>
  </r>
  <r>
    <x v="1"/>
    <x v="0"/>
    <x v="1"/>
    <m/>
    <x v="1"/>
    <x v="0"/>
    <d v="2026-02-06T00:00:00"/>
    <s v="Dólares"/>
    <n v="18649"/>
    <s v="P270 CONTRATO"/>
    <x v="6"/>
    <m/>
    <m/>
  </r>
  <r>
    <x v="0"/>
    <x v="0"/>
    <x v="0"/>
    <n v="10027908"/>
    <x v="1"/>
    <x v="0"/>
    <d v="2025-11-07T00:00:00"/>
    <s v="Dólares"/>
    <n v="6600"/>
    <s v="XIMENA MIRANDA"/>
    <x v="4"/>
    <m/>
    <m/>
  </r>
  <r>
    <x v="0"/>
    <x v="2"/>
    <x v="1"/>
    <m/>
    <x v="1"/>
    <x v="1"/>
    <d v="2025-10-27T00:00:00"/>
    <s v="Dólares"/>
    <n v="6559.44"/>
    <s v="STIA COMERCIALIZADORA ANONIMA"/>
    <x v="2"/>
    <m/>
    <m/>
  </r>
  <r>
    <x v="0"/>
    <x v="3"/>
    <x v="0"/>
    <m/>
    <x v="1"/>
    <x v="4"/>
    <d v="2025-11-27T00:00:00"/>
    <s v="Dólares"/>
    <n v="6538.77"/>
    <s v="BOSTON CIENTIFIC"/>
    <x v="4"/>
    <m/>
    <m/>
  </r>
  <r>
    <x v="0"/>
    <x v="0"/>
    <x v="1"/>
    <m/>
    <x v="1"/>
    <x v="3"/>
    <d v="2025-07-18T00:00:00"/>
    <s v="Colones"/>
    <n v="20000"/>
    <s v="RENE CARDONA GARCIA"/>
    <x v="7"/>
    <m/>
    <m/>
  </r>
  <r>
    <x v="2"/>
    <x v="3"/>
    <x v="0"/>
    <m/>
    <x v="1"/>
    <x v="0"/>
    <d v="2025-09-06T00:00:00"/>
    <s v="Dólares"/>
    <n v="6524.11"/>
    <s v="SEMANA 01 SETIEMBRE EXPRESS"/>
    <x v="9"/>
    <m/>
    <m/>
  </r>
  <r>
    <x v="2"/>
    <x v="3"/>
    <x v="0"/>
    <m/>
    <x v="1"/>
    <x v="1"/>
    <d v="2025-09-30T00:00:00"/>
    <s v="Dólares"/>
    <n v="6514.83"/>
    <s v="SEMANA 05 SETIEMBRE EXPRESS"/>
    <x v="9"/>
    <m/>
    <m/>
  </r>
  <r>
    <x v="0"/>
    <x v="0"/>
    <x v="0"/>
    <n v="10027899"/>
    <x v="1"/>
    <x v="0"/>
    <d v="2025-11-05T00:00:00"/>
    <s v="Dólares"/>
    <n v="6504"/>
    <s v="ANDRES RAMOS GUTIERREZ"/>
    <x v="4"/>
    <m/>
    <m/>
  </r>
  <r>
    <x v="0"/>
    <x v="0"/>
    <x v="0"/>
    <m/>
    <x v="1"/>
    <x v="2"/>
    <d v="2025-11-13T00:00:00"/>
    <s v="Dólares"/>
    <n v="6500"/>
    <s v="RENE CARDONA GARCIA"/>
    <x v="4"/>
    <m/>
    <m/>
  </r>
  <r>
    <x v="0"/>
    <x v="3"/>
    <x v="2"/>
    <m/>
    <x v="1"/>
    <x v="0"/>
    <d v="2025-11-06T00:00:00"/>
    <s v="Dólares"/>
    <n v="6428.18"/>
    <s v="MCM Midland Management Costa Rica S.R.L"/>
    <x v="4"/>
    <m/>
    <m/>
  </r>
  <r>
    <x v="0"/>
    <x v="2"/>
    <x v="0"/>
    <m/>
    <x v="1"/>
    <x v="4"/>
    <d v="2025-11-28T00:00:00"/>
    <s v="Dólares"/>
    <n v="6409.89"/>
    <s v="VETIM"/>
    <x v="4"/>
    <m/>
    <m/>
  </r>
  <r>
    <x v="0"/>
    <x v="0"/>
    <x v="0"/>
    <n v="10028369"/>
    <x v="1"/>
    <x v="4"/>
    <d v="2026-01-27T00:00:00"/>
    <s v="Dólares"/>
    <n v="6400"/>
    <s v="JOSE PABLO VEGA ULATE "/>
    <x v="3"/>
    <m/>
    <m/>
  </r>
  <r>
    <x v="0"/>
    <x v="3"/>
    <x v="0"/>
    <m/>
    <x v="1"/>
    <x v="3"/>
    <d v="2025-07-18T00:00:00"/>
    <s v="Dólares"/>
    <n v="15258.73"/>
    <s v="EVERTEC"/>
    <x v="7"/>
    <m/>
    <m/>
  </r>
  <r>
    <x v="2"/>
    <x v="3"/>
    <x v="0"/>
    <m/>
    <x v="1"/>
    <x v="0"/>
    <d v="2026-01-10T00:00:00"/>
    <s v="Dólares"/>
    <n v="6329.01"/>
    <s v="SEMANA 01 EXPRESS"/>
    <x v="3"/>
    <m/>
    <m/>
  </r>
  <r>
    <x v="0"/>
    <x v="0"/>
    <x v="0"/>
    <m/>
    <x v="1"/>
    <x v="0"/>
    <d v="2025-08-08T00:00:00"/>
    <s v="Dólares"/>
    <n v="6300"/>
    <s v="PAOLA ALVARADO LEIVA"/>
    <x v="1"/>
    <m/>
    <m/>
  </r>
  <r>
    <x v="0"/>
    <x v="0"/>
    <x v="0"/>
    <n v="10028171"/>
    <x v="1"/>
    <x v="4"/>
    <d v="2025-12-22T00:00:00"/>
    <s v="Dólares"/>
    <n v="6300"/>
    <s v="BRIAN ENRIQUE DIAZ GIOVANETTI"/>
    <x v="8"/>
    <m/>
    <m/>
  </r>
  <r>
    <x v="0"/>
    <x v="0"/>
    <x v="0"/>
    <n v="10028172"/>
    <x v="1"/>
    <x v="4"/>
    <d v="2025-12-22T00:00:00"/>
    <s v="Dólares"/>
    <n v="6300"/>
    <s v="BRIAN ENRIQUE DIAZ GIOVANETTI"/>
    <x v="8"/>
    <m/>
    <m/>
  </r>
  <r>
    <x v="0"/>
    <x v="2"/>
    <x v="0"/>
    <m/>
    <x v="1"/>
    <x v="3"/>
    <d v="2025-07-18T00:00:00"/>
    <s v="Dólares"/>
    <n v="14997"/>
    <s v="CENTRO DE CIENCIA Y TECNOLOGÍA"/>
    <x v="7"/>
    <m/>
    <m/>
  </r>
  <r>
    <x v="0"/>
    <x v="0"/>
    <x v="0"/>
    <n v="10026526"/>
    <x v="1"/>
    <x v="0"/>
    <d v="2025-05-01T00:00:00"/>
    <s v="Dólares"/>
    <n v="6290"/>
    <s v="JORGE REINALD MORA HERNANDEZ"/>
    <x v="0"/>
    <m/>
    <m/>
  </r>
  <r>
    <x v="0"/>
    <x v="3"/>
    <x v="0"/>
    <m/>
    <x v="1"/>
    <x v="0"/>
    <d v="2025-08-08T00:00:00"/>
    <s v="Dólares"/>
    <n v="6264.34"/>
    <s v="AUTO REPUESTOS AVENIDA 10"/>
    <x v="1"/>
    <m/>
    <m/>
  </r>
  <r>
    <x v="0"/>
    <x v="1"/>
    <x v="0"/>
    <m/>
    <x v="1"/>
    <x v="0"/>
    <d v="2025-06-06T00:00:00"/>
    <s v="Dólares"/>
    <n v="6257.37"/>
    <s v="CIELO DE BABILONIA SOCIEDAD ANONIMA"/>
    <x v="5"/>
    <m/>
    <m/>
  </r>
  <r>
    <x v="0"/>
    <x v="3"/>
    <x v="2"/>
    <n v="10026937"/>
    <x v="1"/>
    <x v="4"/>
    <d v="2025-06-27T00:00:00"/>
    <s v="Dólares"/>
    <n v="6256.97"/>
    <s v="COMPANIA CONSTRUCTORA VAN DER LAAT Y JIMENEZ S.A."/>
    <x v="5"/>
    <m/>
    <m/>
  </r>
  <r>
    <x v="0"/>
    <x v="3"/>
    <x v="1"/>
    <m/>
    <x v="1"/>
    <x v="0"/>
    <d v="2025-10-02T00:00:00"/>
    <s v="Dólares"/>
    <n v="6243.91"/>
    <s v="INNOVA INGENIERIA"/>
    <x v="2"/>
    <m/>
    <m/>
  </r>
  <r>
    <x v="0"/>
    <x v="3"/>
    <x v="0"/>
    <n v="10027108"/>
    <x v="1"/>
    <x v="3"/>
    <d v="2025-07-18T00:00:00"/>
    <s v="Dólares"/>
    <n v="13411.8"/>
    <s v="AUTO REPUESTOS AVENIDA DIEZ S.A. (GUACAMAYA)"/>
    <x v="7"/>
    <m/>
    <m/>
  </r>
  <r>
    <x v="0"/>
    <x v="2"/>
    <x v="1"/>
    <n v="10027109"/>
    <x v="1"/>
    <x v="3"/>
    <d v="2025-07-18T00:00:00"/>
    <s v="Dólares"/>
    <n v="8910.1200000000008"/>
    <s v="COSTACON DE COSTA RICA "/>
    <x v="7"/>
    <m/>
    <m/>
  </r>
  <r>
    <x v="0"/>
    <x v="0"/>
    <x v="0"/>
    <n v="10027186"/>
    <x v="1"/>
    <x v="4"/>
    <d v="2025-07-24T00:00:00"/>
    <s v="Dólares"/>
    <n v="6200"/>
    <s v="Servicios médicos y de gestión KSJ.SRL"/>
    <x v="7"/>
    <m/>
    <m/>
  </r>
  <r>
    <x v="0"/>
    <x v="3"/>
    <x v="2"/>
    <m/>
    <x v="1"/>
    <x v="2"/>
    <d v="2025-12-09T00:00:00"/>
    <s v="Dólares"/>
    <n v="6182.34"/>
    <s v="RETENCIONES GONZALO DELGADO"/>
    <x v="8"/>
    <m/>
    <m/>
  </r>
  <r>
    <x v="0"/>
    <x v="3"/>
    <x v="0"/>
    <m/>
    <x v="1"/>
    <x v="4"/>
    <d v="2025-11-24T00:00:00"/>
    <s v="Dólares"/>
    <n v="6179.42"/>
    <s v="STEWART TITLE GUARANTY COMPANY"/>
    <x v="4"/>
    <m/>
    <m/>
  </r>
  <r>
    <x v="0"/>
    <x v="1"/>
    <x v="0"/>
    <m/>
    <x v="1"/>
    <x v="3"/>
    <d v="2025-07-18T00:00:00"/>
    <s v="Dólares"/>
    <n v="6291.94"/>
    <s v="CONSTRUCTORA BRK S.A"/>
    <x v="7"/>
    <m/>
    <m/>
  </r>
  <r>
    <x v="0"/>
    <x v="0"/>
    <x v="0"/>
    <n v="10028278"/>
    <x v="1"/>
    <x v="2"/>
    <d v="2026-01-14T00:00:00"/>
    <s v="Colones"/>
    <n v="6165.322580645161"/>
    <s v="MARIA ALEJANDRA MORA SEGURA"/>
    <x v="3"/>
    <m/>
    <m/>
  </r>
  <r>
    <x v="0"/>
    <x v="2"/>
    <x v="0"/>
    <n v="10027104"/>
    <x v="1"/>
    <x v="3"/>
    <d v="2025-07-18T00:00:00"/>
    <s v="Dólares"/>
    <n v="5479.55"/>
    <s v="BOSTON SCIENTIFIC DE COSTA RICA S.R.L"/>
    <x v="7"/>
    <m/>
    <m/>
  </r>
  <r>
    <x v="0"/>
    <x v="3"/>
    <x v="2"/>
    <n v="10027665"/>
    <x v="1"/>
    <x v="2"/>
    <d v="2025-09-12T00:00:00"/>
    <s v="Dólares"/>
    <n v="6123.67"/>
    <s v="CONSTRIAL SOCIEDAD ANONIMA"/>
    <x v="9"/>
    <m/>
    <m/>
  </r>
  <r>
    <x v="2"/>
    <x v="3"/>
    <x v="0"/>
    <m/>
    <x v="1"/>
    <x v="2"/>
    <d v="2026-01-17T00:00:00"/>
    <s v="Dólares"/>
    <n v="6114.96"/>
    <s v="SEMANA 02 EXPRESS"/>
    <x v="3"/>
    <m/>
    <m/>
  </r>
  <r>
    <x v="0"/>
    <x v="2"/>
    <x v="2"/>
    <n v="10026519"/>
    <x v="1"/>
    <x v="2"/>
    <d v="2025-05-08T00:00:00"/>
    <s v="Dólares"/>
    <n v="6102.97"/>
    <s v="PRAXAIR COSTA RICA SOCIEDAD ANONIMA"/>
    <x v="0"/>
    <m/>
    <m/>
  </r>
  <r>
    <x v="1"/>
    <x v="0"/>
    <x v="0"/>
    <n v="10790"/>
    <x v="1"/>
    <x v="4"/>
    <d v="2025-09-22T00:00:00"/>
    <s v="Dólares"/>
    <n v="6100"/>
    <s v="GRUPO DEDAL SOCIEDAD ANONIMA"/>
    <x v="9"/>
    <m/>
    <m/>
  </r>
  <r>
    <x v="0"/>
    <x v="0"/>
    <x v="0"/>
    <m/>
    <x v="1"/>
    <x v="4"/>
    <d v="2025-05-20T00:00:00"/>
    <s v="Dólares"/>
    <n v="6088"/>
    <s v="Clientes Nuevos"/>
    <x v="0"/>
    <m/>
    <m/>
  </r>
  <r>
    <x v="0"/>
    <x v="0"/>
    <x v="0"/>
    <n v="10027260"/>
    <x v="1"/>
    <x v="0"/>
    <d v="2025-08-07T00:00:00"/>
    <s v="Dólares"/>
    <n v="6077"/>
    <s v="RAFAEL GABRIEL CASTILLO BLANCO"/>
    <x v="1"/>
    <m/>
    <m/>
  </r>
  <r>
    <x v="0"/>
    <x v="3"/>
    <x v="0"/>
    <m/>
    <x v="1"/>
    <x v="4"/>
    <d v="2025-11-27T00:00:00"/>
    <s v="Colones"/>
    <n v="6076.6394313725486"/>
    <s v="JUNTA ADMINISTRATIVA"/>
    <x v="4"/>
    <m/>
    <m/>
  </r>
  <r>
    <x v="0"/>
    <x v="3"/>
    <x v="0"/>
    <n v="10027108"/>
    <x v="1"/>
    <x v="3"/>
    <d v="2025-07-18T00:00:00"/>
    <s v="Dólares"/>
    <n v="4721.08"/>
    <s v="AUTO REPUESTOS AVENIDA DIEZ S.A. (GUACAMAYA)"/>
    <x v="7"/>
    <m/>
    <m/>
  </r>
  <r>
    <x v="0"/>
    <x v="2"/>
    <x v="0"/>
    <m/>
    <x v="1"/>
    <x v="2"/>
    <d v="2025-12-11T00:00:00"/>
    <s v="Dólares"/>
    <n v="6031.59"/>
    <s v="ALIMENTOS PROSALUD"/>
    <x v="8"/>
    <m/>
    <m/>
  </r>
  <r>
    <x v="3"/>
    <x v="3"/>
    <x v="2"/>
    <m/>
    <x v="1"/>
    <x v="0"/>
    <d v="2026-01-08T00:00:00"/>
    <s v="Dólares"/>
    <n v="6012.5"/>
    <s v="FINANCIERA CAFSA SOCIEDAD ANONIMA"/>
    <x v="3"/>
    <m/>
    <m/>
  </r>
  <r>
    <x v="1"/>
    <x v="0"/>
    <x v="0"/>
    <n v="10762"/>
    <x v="1"/>
    <x v="0"/>
    <d v="2025-08-06T00:00:00"/>
    <s v="Dólares"/>
    <n v="6000"/>
    <s v="JOHN STEPHEN PETER ROFFEY"/>
    <x v="1"/>
    <m/>
    <m/>
  </r>
  <r>
    <x v="0"/>
    <x v="1"/>
    <x v="1"/>
    <m/>
    <x v="0"/>
    <x v="0"/>
    <d v="2025-08-06T00:00:00"/>
    <s v="Dólares"/>
    <n v="46109.22"/>
    <s v="Consultora T Tres"/>
    <x v="1"/>
    <m/>
    <m/>
  </r>
  <r>
    <x v="0"/>
    <x v="0"/>
    <x v="0"/>
    <m/>
    <x v="1"/>
    <x v="0"/>
    <d v="2025-09-05T00:00:00"/>
    <s v="Dólares"/>
    <n v="6000"/>
    <s v="Carlos Madrigal Villalobos"/>
    <x v="9"/>
    <m/>
    <m/>
  </r>
  <r>
    <x v="0"/>
    <x v="2"/>
    <x v="0"/>
    <m/>
    <x v="1"/>
    <x v="3"/>
    <d v="2025-07-18T00:00:00"/>
    <s v="Dólares"/>
    <n v="3635.78"/>
    <s v="SIN IDENTIFICAR "/>
    <x v="7"/>
    <m/>
    <m/>
  </r>
  <r>
    <x v="0"/>
    <x v="0"/>
    <x v="0"/>
    <m/>
    <x v="1"/>
    <x v="0"/>
    <d v="2025-12-05T00:00:00"/>
    <s v="Dólares"/>
    <n v="6000"/>
    <s v="Maria Vanessa Segura"/>
    <x v="8"/>
    <m/>
    <m/>
  </r>
  <r>
    <x v="0"/>
    <x v="2"/>
    <x v="0"/>
    <m/>
    <x v="1"/>
    <x v="0"/>
    <d v="2025-07-03T00:00:00"/>
    <s v="Dólares"/>
    <n v="5985.14"/>
    <s v="EMBOTELLADORA CENTRAL S.A."/>
    <x v="7"/>
    <m/>
    <m/>
  </r>
  <r>
    <x v="0"/>
    <x v="3"/>
    <x v="0"/>
    <n v="10027107"/>
    <x v="1"/>
    <x v="3"/>
    <d v="2025-07-18T00:00:00"/>
    <s v="Dólares"/>
    <n v="3635.78"/>
    <s v="SAMTEC INTERCONNECT ASSEMBLY SIA COSTA RICA S.R.L"/>
    <x v="7"/>
    <m/>
    <m/>
  </r>
  <r>
    <x v="0"/>
    <x v="2"/>
    <x v="0"/>
    <m/>
    <x v="1"/>
    <x v="3"/>
    <d v="2025-07-18T00:00:00"/>
    <s v="Dólares"/>
    <n v="3100"/>
    <s v="AGROINNOVA"/>
    <x v="7"/>
    <m/>
    <m/>
  </r>
  <r>
    <x v="0"/>
    <x v="2"/>
    <x v="0"/>
    <m/>
    <x v="1"/>
    <x v="0"/>
    <d v="2026-02-06T00:00:00"/>
    <s v="Dólares"/>
    <n v="14588.83"/>
    <s v="ALIMENTOS Y BEBIDAS ATLANTIDA S.A."/>
    <x v="6"/>
    <m/>
    <m/>
  </r>
  <r>
    <x v="0"/>
    <x v="3"/>
    <x v="1"/>
    <m/>
    <x v="1"/>
    <x v="0"/>
    <d v="2026-02-06T00:00:00"/>
    <s v="Dólares"/>
    <n v="12302.15"/>
    <s v="BANCO PROMERICA"/>
    <x v="6"/>
    <m/>
    <m/>
  </r>
  <r>
    <x v="0"/>
    <x v="3"/>
    <x v="0"/>
    <n v="10027108"/>
    <x v="1"/>
    <x v="3"/>
    <d v="2025-07-18T00:00:00"/>
    <s v="Dólares"/>
    <n v="1603.06"/>
    <s v="AUTO REPUESTOS AVENIDA DIEZ S.A. (GUACAMAYA)"/>
    <x v="7"/>
    <m/>
    <m/>
  </r>
  <r>
    <x v="0"/>
    <x v="0"/>
    <x v="0"/>
    <n v="10027106"/>
    <x v="1"/>
    <x v="3"/>
    <d v="2025-07-18T00:00:00"/>
    <s v="Dólares"/>
    <n v="1199"/>
    <s v="DAVID MORA"/>
    <x v="7"/>
    <m/>
    <m/>
  </r>
  <r>
    <x v="0"/>
    <x v="2"/>
    <x v="0"/>
    <m/>
    <x v="1"/>
    <x v="3"/>
    <d v="2025-07-18T00:00:00"/>
    <s v="Dólares"/>
    <n v="865.13"/>
    <s v="GRUPO LUTESMA"/>
    <x v="7"/>
    <m/>
    <m/>
  </r>
  <r>
    <x v="0"/>
    <x v="1"/>
    <x v="2"/>
    <m/>
    <x v="1"/>
    <x v="4"/>
    <d v="2025-12-24T00:00:00"/>
    <s v="Dólares"/>
    <n v="5917.4"/>
    <s v="Desarrollos Ecologicos El Canal"/>
    <x v="8"/>
    <m/>
    <m/>
  </r>
  <r>
    <x v="0"/>
    <x v="2"/>
    <x v="0"/>
    <m/>
    <x v="1"/>
    <x v="2"/>
    <d v="2025-08-14T00:00:00"/>
    <s v="Dólares"/>
    <n v="5863.68"/>
    <s v="HERAEUS MEDICAL COMPONENTS SOCIEDAD DE RESPONSABILIDAD LIMITADA"/>
    <x v="1"/>
    <m/>
    <m/>
  </r>
  <r>
    <x v="0"/>
    <x v="2"/>
    <x v="0"/>
    <m/>
    <x v="1"/>
    <x v="4"/>
    <d v="2025-10-22T00:00:00"/>
    <s v="Dólares"/>
    <n v="5820.79"/>
    <s v="GRUPO LOGISTICO SEA INTERNATIONAL"/>
    <x v="2"/>
    <m/>
    <m/>
  </r>
  <r>
    <x v="0"/>
    <x v="0"/>
    <x v="0"/>
    <m/>
    <x v="1"/>
    <x v="1"/>
    <d v="2025-07-30T00:00:00"/>
    <s v="Dólares"/>
    <n v="5800"/>
    <s v="COCINA CINTRON MACHON GUSTAVO"/>
    <x v="7"/>
    <m/>
    <m/>
  </r>
  <r>
    <x v="0"/>
    <x v="1"/>
    <x v="1"/>
    <m/>
    <x v="0"/>
    <x v="0"/>
    <d v="2025-08-08T00:00:00"/>
    <s v="Dólares"/>
    <n v="200000"/>
    <s v="Euro Lindora"/>
    <x v="1"/>
    <m/>
    <m/>
  </r>
  <r>
    <x v="0"/>
    <x v="1"/>
    <x v="0"/>
    <m/>
    <x v="0"/>
    <x v="0"/>
    <d v="2025-08-08T00:00:00"/>
    <s v="Dólares"/>
    <n v="84872.36"/>
    <s v="EURO NASARA"/>
    <x v="1"/>
    <m/>
    <m/>
  </r>
  <r>
    <x v="0"/>
    <x v="1"/>
    <x v="0"/>
    <m/>
    <x v="0"/>
    <x v="0"/>
    <d v="2025-08-08T00:00:00"/>
    <s v="Dólares"/>
    <n v="18750"/>
    <s v="Constructora La Itaba"/>
    <x v="1"/>
    <m/>
    <m/>
  </r>
  <r>
    <x v="0"/>
    <x v="1"/>
    <x v="0"/>
    <m/>
    <x v="0"/>
    <x v="0"/>
    <d v="2025-08-08T00:00:00"/>
    <s v="Dólares"/>
    <n v="9173.27"/>
    <s v="VOLIO Y TREJOS ASOCIADOS S.A"/>
    <x v="1"/>
    <m/>
    <m/>
  </r>
  <r>
    <x v="0"/>
    <x v="0"/>
    <x v="0"/>
    <n v="10026495"/>
    <x v="1"/>
    <x v="0"/>
    <d v="2025-05-01T00:00:00"/>
    <s v="Dólares"/>
    <n v="5755"/>
    <s v="ALEJANDRO ESTEBAN TREJOS GOMEZ"/>
    <x v="0"/>
    <m/>
    <m/>
  </r>
  <r>
    <x v="0"/>
    <x v="1"/>
    <x v="0"/>
    <m/>
    <x v="1"/>
    <x v="0"/>
    <d v="2026-02-06T00:00:00"/>
    <s v="Dólares"/>
    <n v="11327.62"/>
    <s v="TORRE DM PARQUE DEL PERÚ"/>
    <x v="6"/>
    <m/>
    <m/>
  </r>
  <r>
    <x v="0"/>
    <x v="0"/>
    <x v="0"/>
    <n v="10027110"/>
    <x v="1"/>
    <x v="3"/>
    <d v="2025-07-18T00:00:00"/>
    <s v="Colones"/>
    <n v="428.45100393700784"/>
    <s v="ELAM JAVIER FERNANDEZ MUÑOZ"/>
    <x v="7"/>
    <m/>
    <m/>
  </r>
  <r>
    <x v="3"/>
    <x v="3"/>
    <x v="0"/>
    <m/>
    <x v="1"/>
    <x v="4"/>
    <d v="2025-11-26T00:00:00"/>
    <s v="Dólares"/>
    <n v="5716.82"/>
    <s v="FERRETERIA EPA"/>
    <x v="4"/>
    <m/>
    <m/>
  </r>
  <r>
    <x v="0"/>
    <x v="3"/>
    <x v="2"/>
    <n v="10026937"/>
    <x v="1"/>
    <x v="4"/>
    <d v="2025-06-27T00:00:00"/>
    <s v="Dólares"/>
    <n v="5678.07"/>
    <s v="COMPANIA CONSTRUCTORA VAN DER LAAT Y JIMENEZ S.A."/>
    <x v="5"/>
    <m/>
    <m/>
  </r>
  <r>
    <x v="0"/>
    <x v="1"/>
    <x v="0"/>
    <m/>
    <x v="1"/>
    <x v="0"/>
    <d v="2026-01-09T00:00:00"/>
    <s v="Dólares"/>
    <n v="5675.21"/>
    <s v="CAFETOS"/>
    <x v="3"/>
    <m/>
    <m/>
  </r>
  <r>
    <x v="0"/>
    <x v="2"/>
    <x v="0"/>
    <m/>
    <x v="1"/>
    <x v="2"/>
    <d v="2026-01-16T00:00:00"/>
    <s v="Dólares"/>
    <n v="5666.87"/>
    <s v="BOSTON SCIENTIFIC DE COSTA RICA S.R.L"/>
    <x v="3"/>
    <m/>
    <m/>
  </r>
  <r>
    <x v="0"/>
    <x v="1"/>
    <x v="0"/>
    <n v="10027094"/>
    <x v="1"/>
    <x v="3"/>
    <d v="2025-07-18T00:00:00"/>
    <s v="Dólares"/>
    <n v="136.22"/>
    <s v="CARLOS LUIS GERARDO RODRIGUEZ"/>
    <x v="7"/>
    <m/>
    <m/>
  </r>
  <r>
    <x v="0"/>
    <x v="3"/>
    <x v="2"/>
    <n v="10026652"/>
    <x v="1"/>
    <x v="1"/>
    <d v="2025-07-30T00:00:00"/>
    <s v="Dólares"/>
    <n v="5643.02"/>
    <s v="CASA DE CAMBIO TELEDOLAR"/>
    <x v="7"/>
    <m/>
    <m/>
  </r>
  <r>
    <x v="0"/>
    <x v="0"/>
    <x v="0"/>
    <m/>
    <x v="1"/>
    <x v="2"/>
    <d v="2025-06-13T00:00:00"/>
    <s v="Dólares"/>
    <n v="5600"/>
    <s v="ARRENDADORA COMERCIAL R &amp; H SOCIEDAD ANONIMA"/>
    <x v="5"/>
    <m/>
    <m/>
  </r>
  <r>
    <x v="0"/>
    <x v="0"/>
    <x v="0"/>
    <m/>
    <x v="1"/>
    <x v="4"/>
    <d v="2025-08-23T00:00:00"/>
    <s v="Colones"/>
    <n v="5600"/>
    <s v="PRISCILA BENAVIDES"/>
    <x v="1"/>
    <m/>
    <m/>
  </r>
  <r>
    <x v="0"/>
    <x v="0"/>
    <x v="0"/>
    <n v="10027393"/>
    <x v="1"/>
    <x v="4"/>
    <d v="2025-08-26T00:00:00"/>
    <s v="Dólares"/>
    <n v="5600"/>
    <s v="LEDA DEL CARMEN MORA NAVARRO"/>
    <x v="1"/>
    <m/>
    <m/>
  </r>
  <r>
    <x v="0"/>
    <x v="2"/>
    <x v="0"/>
    <m/>
    <x v="1"/>
    <x v="0"/>
    <d v="2026-02-06T00:00:00"/>
    <s v="Dólares"/>
    <n v="8451.7199999999993"/>
    <s v="ALMACENES EL REY"/>
    <x v="6"/>
    <m/>
    <m/>
  </r>
  <r>
    <x v="0"/>
    <x v="2"/>
    <x v="0"/>
    <m/>
    <x v="1"/>
    <x v="0"/>
    <d v="2025-09-03T00:00:00"/>
    <s v="Dólares"/>
    <n v="5548.23"/>
    <s v="ROMA PRINCE SOCIEDAD ANONIMA"/>
    <x v="9"/>
    <m/>
    <m/>
  </r>
  <r>
    <x v="0"/>
    <x v="3"/>
    <x v="0"/>
    <m/>
    <x v="1"/>
    <x v="2"/>
    <d v="2026-01-16T00:00:00"/>
    <s v="Dólares"/>
    <n v="5509.48"/>
    <s v="LOS ARALLANES"/>
    <x v="3"/>
    <m/>
    <m/>
  </r>
  <r>
    <x v="0"/>
    <x v="0"/>
    <x v="0"/>
    <m/>
    <x v="1"/>
    <x v="4"/>
    <d v="2025-06-30T00:00:00"/>
    <s v="Dólares"/>
    <n v="5500"/>
    <s v="CARLOS ANDRES VILLALOBOS ARAYA"/>
    <x v="5"/>
    <m/>
    <m/>
  </r>
  <r>
    <x v="0"/>
    <x v="2"/>
    <x v="0"/>
    <n v="10026717"/>
    <x v="1"/>
    <x v="1"/>
    <d v="2025-05-29T00:00:00"/>
    <s v="Dólares"/>
    <n v="5479.55"/>
    <s v="BOSTON SCIENTIFIC DE COSTA RICA S.R.L"/>
    <x v="0"/>
    <m/>
    <m/>
  </r>
  <r>
    <x v="2"/>
    <x v="3"/>
    <x v="0"/>
    <m/>
    <x v="1"/>
    <x v="3"/>
    <d v="2025-07-19T00:00:00"/>
    <s v="Dólares"/>
    <n v="25096.5"/>
    <s v="SEMANA 03 JULIO EXPRESS"/>
    <x v="7"/>
    <m/>
    <m/>
  </r>
  <r>
    <x v="0"/>
    <x v="0"/>
    <x v="0"/>
    <m/>
    <x v="1"/>
    <x v="0"/>
    <d v="2025-09-02T00:00:00"/>
    <s v="Dólares"/>
    <n v="5475"/>
    <s v="Steven M Capoccia"/>
    <x v="9"/>
    <m/>
    <m/>
  </r>
  <r>
    <x v="0"/>
    <x v="0"/>
    <x v="0"/>
    <m/>
    <x v="1"/>
    <x v="4"/>
    <d v="2025-05-22T00:00:00"/>
    <s v="Dólares"/>
    <n v="5460.72"/>
    <s v="BRAULIO JESUS PEREZ ZELEDON"/>
    <x v="0"/>
    <m/>
    <m/>
  </r>
  <r>
    <x v="0"/>
    <x v="1"/>
    <x v="0"/>
    <m/>
    <x v="1"/>
    <x v="0"/>
    <d v="2026-02-06T00:00:00"/>
    <s v="Dólares"/>
    <n v="7631.34"/>
    <s v="NASARA - ETAPA 2"/>
    <x v="6"/>
    <m/>
    <m/>
  </r>
  <r>
    <x v="0"/>
    <x v="3"/>
    <x v="1"/>
    <m/>
    <x v="1"/>
    <x v="4"/>
    <d v="2025-07-23T00:00:00"/>
    <s v="Dólares"/>
    <n v="5434.18"/>
    <s v="DESARROLLOS BAHÍA PAPAGAYO, S.A."/>
    <x v="7"/>
    <m/>
    <m/>
  </r>
  <r>
    <x v="0"/>
    <x v="2"/>
    <x v="2"/>
    <m/>
    <x v="0"/>
    <x v="0"/>
    <d v="2025-08-09T00:00:00"/>
    <s v="Dólares"/>
    <n v="109032.52"/>
    <s v="CSI LEASING DE CENTROAMERICA SOCIEDAD DE RESPONSAB"/>
    <x v="1"/>
    <m/>
    <m/>
  </r>
  <r>
    <x v="0"/>
    <x v="2"/>
    <x v="1"/>
    <m/>
    <x v="0"/>
    <x v="0"/>
    <d v="2025-08-09T00:00:00"/>
    <s v="Dólares"/>
    <n v="68970"/>
    <s v="CAFE BRITT"/>
    <x v="1"/>
    <m/>
    <m/>
  </r>
  <r>
    <x v="0"/>
    <x v="2"/>
    <x v="1"/>
    <m/>
    <x v="0"/>
    <x v="0"/>
    <d v="2025-08-09T00:00:00"/>
    <s v="Dólares"/>
    <n v="50000"/>
    <s v="ALMACENES EL REY"/>
    <x v="1"/>
    <m/>
    <m/>
  </r>
  <r>
    <x v="0"/>
    <x v="0"/>
    <x v="0"/>
    <m/>
    <x v="0"/>
    <x v="0"/>
    <d v="2025-08-09T00:00:00"/>
    <s v="Dólares"/>
    <n v="60000"/>
    <s v="Clientes Nuevos"/>
    <x v="1"/>
    <m/>
    <m/>
  </r>
  <r>
    <x v="0"/>
    <x v="3"/>
    <x v="0"/>
    <m/>
    <x v="0"/>
    <x v="0"/>
    <d v="2025-08-09T00:00:00"/>
    <s v="Dólares"/>
    <n v="100000"/>
    <s v="P Y P CONSTRUCCIONES SOCIEDAD ANONIMA"/>
    <x v="1"/>
    <m/>
    <m/>
  </r>
  <r>
    <x v="0"/>
    <x v="3"/>
    <x v="0"/>
    <m/>
    <x v="0"/>
    <x v="0"/>
    <d v="2025-08-09T00:00:00"/>
    <s v="Dólares"/>
    <n v="75848"/>
    <s v="LOS ARALLANES"/>
    <x v="1"/>
    <m/>
    <m/>
  </r>
  <r>
    <x v="0"/>
    <x v="3"/>
    <x v="2"/>
    <m/>
    <x v="0"/>
    <x v="0"/>
    <d v="2025-08-09T00:00:00"/>
    <s v="Dólares"/>
    <n v="70000"/>
    <s v="CONSTRUCTORA GONZALO DELGADO SOCIEDAD ANONIMA"/>
    <x v="1"/>
    <m/>
    <m/>
  </r>
  <r>
    <x v="3"/>
    <x v="3"/>
    <x v="2"/>
    <m/>
    <x v="0"/>
    <x v="0"/>
    <d v="2025-08-09T00:00:00"/>
    <s v="Dólares"/>
    <n v="29035"/>
    <s v="CONICO, CONSULTORIA INTEGRAL DE LA CONSTRUCCION, SOCIEDAD ANONIMA"/>
    <x v="1"/>
    <m/>
    <m/>
  </r>
  <r>
    <x v="2"/>
    <x v="3"/>
    <x v="0"/>
    <m/>
    <x v="0"/>
    <x v="0"/>
    <d v="2025-08-09T00:00:00"/>
    <s v="Dólares"/>
    <n v="20000"/>
    <s v="PROYECCION SEMANA 01 OUTLET AGOSTO"/>
    <x v="1"/>
    <m/>
    <m/>
  </r>
  <r>
    <x v="0"/>
    <x v="3"/>
    <x v="2"/>
    <m/>
    <x v="0"/>
    <x v="0"/>
    <d v="2025-08-09T00:00:00"/>
    <s v="Dólares"/>
    <n v="13577.82"/>
    <s v="TEGRA MEDICAL COSTA RICA SOCIEDAD ANONIMA"/>
    <x v="1"/>
    <m/>
    <m/>
  </r>
  <r>
    <x v="0"/>
    <x v="3"/>
    <x v="1"/>
    <m/>
    <x v="0"/>
    <x v="0"/>
    <d v="2025-08-09T00:00:00"/>
    <s v="Dólares"/>
    <n v="9362"/>
    <s v="LA GUACAMAYA "/>
    <x v="1"/>
    <m/>
    <m/>
  </r>
  <r>
    <x v="0"/>
    <x v="3"/>
    <x v="0"/>
    <m/>
    <x v="0"/>
    <x v="0"/>
    <d v="2025-08-09T00:00:00"/>
    <s v="Dólares"/>
    <n v="7457.99"/>
    <s v="NUCLEO BUSINESS CENTER SOCIEDAD ANONIMA"/>
    <x v="1"/>
    <m/>
    <m/>
  </r>
  <r>
    <x v="0"/>
    <x v="3"/>
    <x v="0"/>
    <m/>
    <x v="0"/>
    <x v="0"/>
    <d v="2025-08-09T00:00:00"/>
    <s v="Dólares"/>
    <n v="5273.04"/>
    <s v="NUCLEO BUSINESS CENTER SOCIEDAD ANONIMA"/>
    <x v="1"/>
    <m/>
    <m/>
  </r>
  <r>
    <x v="0"/>
    <x v="3"/>
    <x v="0"/>
    <m/>
    <x v="0"/>
    <x v="0"/>
    <d v="2025-08-09T00:00:00"/>
    <s v="Dólares"/>
    <n v="1682.46"/>
    <s v="NUCLEO BUSINESS CENTER SOCIEDAD ANONIMA"/>
    <x v="1"/>
    <m/>
    <m/>
  </r>
  <r>
    <x v="1"/>
    <x v="0"/>
    <x v="0"/>
    <m/>
    <x v="1"/>
    <x v="0"/>
    <d v="2025-12-05T00:00:00"/>
    <s v="Dólares"/>
    <n v="5430"/>
    <s v="MANUEL STEVEN ARAYA GARRO"/>
    <x v="8"/>
    <m/>
    <m/>
  </r>
  <r>
    <x v="0"/>
    <x v="0"/>
    <x v="0"/>
    <m/>
    <x v="1"/>
    <x v="2"/>
    <d v="2026-01-13T00:00:00"/>
    <s v="Dólares"/>
    <n v="5411.74"/>
    <s v="Marvin Peraza Morales"/>
    <x v="3"/>
    <m/>
    <m/>
  </r>
  <r>
    <x v="0"/>
    <x v="0"/>
    <x v="0"/>
    <n v="10027116"/>
    <x v="1"/>
    <x v="3"/>
    <d v="2025-07-19T00:00:00"/>
    <s v="Dólares"/>
    <n v="2263.13"/>
    <s v="REINER STEVEN SANCHEZ CARBALLO"/>
    <x v="7"/>
    <m/>
    <m/>
  </r>
  <r>
    <x v="0"/>
    <x v="0"/>
    <x v="0"/>
    <m/>
    <x v="1"/>
    <x v="0"/>
    <d v="2025-07-03T00:00:00"/>
    <s v="Dólares"/>
    <n v="5404"/>
    <s v="SYLVIA ZAMORA CHAVES"/>
    <x v="7"/>
    <m/>
    <m/>
  </r>
  <r>
    <x v="1"/>
    <x v="0"/>
    <x v="1"/>
    <m/>
    <x v="1"/>
    <x v="0"/>
    <d v="2025-11-07T00:00:00"/>
    <s v="Dólares"/>
    <n v="5400"/>
    <s v="GRUPO DEDAL SOCIEDAD ANONIMA"/>
    <x v="4"/>
    <m/>
    <m/>
  </r>
  <r>
    <x v="0"/>
    <x v="3"/>
    <x v="0"/>
    <s v=" "/>
    <x v="1"/>
    <x v="2"/>
    <d v="2025-09-12T00:00:00"/>
    <s v="Dólares"/>
    <n v="5389.78"/>
    <s v="San José Indoor Club "/>
    <x v="9"/>
    <m/>
    <m/>
  </r>
  <r>
    <x v="0"/>
    <x v="0"/>
    <x v="0"/>
    <n v="10027126"/>
    <x v="1"/>
    <x v="3"/>
    <d v="2025-07-19T00:00:00"/>
    <s v="Dólares"/>
    <n v="630"/>
    <s v="MARJORIE DE LOS ANGELES ROMERO ODIO"/>
    <x v="7"/>
    <m/>
    <m/>
  </r>
  <r>
    <x v="3"/>
    <x v="3"/>
    <x v="1"/>
    <n v="15233"/>
    <x v="1"/>
    <x v="1"/>
    <d v="2025-09-29T00:00:00"/>
    <s v="Dólares"/>
    <n v="5360.48"/>
    <s v="PARQUE CENTRAL SOCIEDAD ANONIMA"/>
    <x v="9"/>
    <m/>
    <m/>
  </r>
  <r>
    <x v="1"/>
    <x v="0"/>
    <x v="0"/>
    <n v="10832"/>
    <x v="1"/>
    <x v="0"/>
    <d v="2025-11-06T00:00:00"/>
    <s v="Dólares"/>
    <n v="5355"/>
    <s v="JOSE MARTI FIGUERES ALVAREZ"/>
    <x v="4"/>
    <m/>
    <m/>
  </r>
  <r>
    <x v="0"/>
    <x v="0"/>
    <x v="0"/>
    <n v="10027117"/>
    <x v="1"/>
    <x v="3"/>
    <d v="2025-07-19T00:00:00"/>
    <s v="Dólares"/>
    <n v="199"/>
    <s v="MARIEL CLAVO"/>
    <x v="7"/>
    <m/>
    <m/>
  </r>
  <r>
    <x v="0"/>
    <x v="0"/>
    <x v="0"/>
    <m/>
    <x v="1"/>
    <x v="3"/>
    <d v="2025-08-17T00:00:00"/>
    <s v="Colones"/>
    <n v="199.46"/>
    <s v="SEBASTIAN QUESADA"/>
    <x v="1"/>
    <m/>
    <m/>
  </r>
  <r>
    <x v="0"/>
    <x v="0"/>
    <x v="0"/>
    <m/>
    <x v="1"/>
    <x v="2"/>
    <d v="2025-09-12T00:00:00"/>
    <s v="Dólares"/>
    <n v="5270"/>
    <s v="JORGE ALBERTO ZAMORA CADET"/>
    <x v="9"/>
    <m/>
    <m/>
  </r>
  <r>
    <x v="0"/>
    <x v="0"/>
    <x v="0"/>
    <m/>
    <x v="1"/>
    <x v="0"/>
    <d v="2025-07-04T00:00:00"/>
    <s v="Dólares"/>
    <n v="5269"/>
    <s v="ILEANA ROJAS SABORIO"/>
    <x v="7"/>
    <m/>
    <m/>
  </r>
  <r>
    <x v="2"/>
    <x v="3"/>
    <x v="0"/>
    <m/>
    <x v="1"/>
    <x v="0"/>
    <d v="2025-10-05T00:00:00"/>
    <s v="Dólares"/>
    <n v="5223.75"/>
    <s v="SEMANA 01 OCTUBRE EXPRESS"/>
    <x v="2"/>
    <m/>
    <m/>
  </r>
  <r>
    <x v="0"/>
    <x v="0"/>
    <x v="0"/>
    <m/>
    <x v="1"/>
    <x v="4"/>
    <d v="2025-08-29T00:00:00"/>
    <s v="Dólares"/>
    <n v="5200"/>
    <s v="JESSICA LECHTER"/>
    <x v="1"/>
    <m/>
    <m/>
  </r>
  <r>
    <x v="0"/>
    <x v="0"/>
    <x v="0"/>
    <n v="10027614"/>
    <x v="1"/>
    <x v="4"/>
    <d v="2025-09-24T00:00:00"/>
    <s v="Dólares"/>
    <n v="5200"/>
    <s v="GUSTAVO GERARDO CINTRON MACHON"/>
    <x v="9"/>
    <m/>
    <m/>
  </r>
  <r>
    <x v="0"/>
    <x v="0"/>
    <x v="0"/>
    <n v="10027678"/>
    <x v="1"/>
    <x v="0"/>
    <d v="2025-10-01T00:00:00"/>
    <s v="Dólares"/>
    <n v="5200"/>
    <s v="REAL STONE DEPOT DEKOSTONE SOCIEDAD ANONIMA"/>
    <x v="2"/>
    <m/>
    <m/>
  </r>
  <r>
    <x v="0"/>
    <x v="0"/>
    <x v="0"/>
    <n v="10027879"/>
    <x v="1"/>
    <x v="0"/>
    <d v="2025-11-02T00:00:00"/>
    <s v="Dólares"/>
    <n v="5200"/>
    <s v="REAL STONE DEPOT DEKOSTONE SOCIEDAD ANONIMA"/>
    <x v="4"/>
    <m/>
    <m/>
  </r>
  <r>
    <x v="0"/>
    <x v="3"/>
    <x v="0"/>
    <m/>
    <x v="1"/>
    <x v="2"/>
    <d v="2025-12-11T00:00:00"/>
    <s v="Dólares"/>
    <n v="5159.1099999999997"/>
    <s v="BILCO COSTA RICA S.A - INARI MEDICAL"/>
    <x v="8"/>
    <m/>
    <m/>
  </r>
  <r>
    <x v="0"/>
    <x v="2"/>
    <x v="0"/>
    <m/>
    <x v="1"/>
    <x v="1"/>
    <d v="2025-10-31T00:00:00"/>
    <s v="Dólares"/>
    <n v="5150"/>
    <s v="COMPAÑÍA VETERINARIA VETIM"/>
    <x v="2"/>
    <m/>
    <m/>
  </r>
  <r>
    <x v="0"/>
    <x v="2"/>
    <x v="0"/>
    <m/>
    <x v="1"/>
    <x v="4"/>
    <d v="2025-10-21T00:00:00"/>
    <s v="Dólares"/>
    <n v="5147.3500000000004"/>
    <s v="EXPOCERAMICA"/>
    <x v="2"/>
    <m/>
    <m/>
  </r>
  <r>
    <x v="0"/>
    <x v="2"/>
    <x v="0"/>
    <m/>
    <x v="1"/>
    <x v="3"/>
    <d v="2025-08-18T00:00:00"/>
    <s v="Colones"/>
    <n v="103250.23333333334"/>
    <s v="ALPEMUSA - PEQUEÑO MUNDO"/>
    <x v="1"/>
    <m/>
    <m/>
  </r>
  <r>
    <x v="0"/>
    <x v="0"/>
    <x v="0"/>
    <m/>
    <x v="1"/>
    <x v="2"/>
    <d v="2025-12-10T00:00:00"/>
    <s v="Dólares"/>
    <n v="5120"/>
    <s v="ACIDES GRANADOS ORTIZ"/>
    <x v="8"/>
    <m/>
    <m/>
  </r>
  <r>
    <x v="1"/>
    <x v="0"/>
    <x v="0"/>
    <n v="10819"/>
    <x v="1"/>
    <x v="0"/>
    <d v="2025-11-06T00:00:00"/>
    <s v="Dólares"/>
    <n v="5102.8999999999996"/>
    <s v="Mark Smoljanovic"/>
    <x v="4"/>
    <m/>
    <m/>
  </r>
  <r>
    <x v="0"/>
    <x v="1"/>
    <x v="0"/>
    <m/>
    <x v="1"/>
    <x v="0"/>
    <d v="2026-02-06T00:00:00"/>
    <s v="Dólares"/>
    <n v="4200.33"/>
    <s v="CAFETOS"/>
    <x v="6"/>
    <m/>
    <m/>
  </r>
  <r>
    <x v="0"/>
    <x v="1"/>
    <x v="0"/>
    <m/>
    <x v="0"/>
    <x v="2"/>
    <d v="2025-08-14T00:00:00"/>
    <s v="Dólares"/>
    <n v="21839.46"/>
    <s v="DESARROLLO VIVE TIBAS DVT S.A"/>
    <x v="1"/>
    <m/>
    <m/>
  </r>
  <r>
    <x v="0"/>
    <x v="2"/>
    <x v="2"/>
    <m/>
    <x v="1"/>
    <x v="3"/>
    <d v="2025-08-18T00:00:00"/>
    <s v="Dólares"/>
    <n v="30000"/>
    <s v="PRIME LOGISTICS GAG SOCIEDAD ANONIMA"/>
    <x v="1"/>
    <m/>
    <m/>
  </r>
  <r>
    <x v="0"/>
    <x v="3"/>
    <x v="1"/>
    <n v="10027179"/>
    <x v="1"/>
    <x v="1"/>
    <d v="2025-07-29T00:00:00"/>
    <s v="Dólares"/>
    <n v="5056.58"/>
    <s v="EUROCENTER INMOBILIARIA DE COSTA RICA ECR SOCIEDAD"/>
    <x v="7"/>
    <m/>
    <m/>
  </r>
  <r>
    <x v="0"/>
    <x v="2"/>
    <x v="1"/>
    <n v="10026928"/>
    <x v="1"/>
    <x v="4"/>
    <d v="2025-06-26T00:00:00"/>
    <s v="Dólares"/>
    <n v="5025.72"/>
    <s v="COMERCIAL ALEMORA "/>
    <x v="5"/>
    <m/>
    <m/>
  </r>
  <r>
    <x v="0"/>
    <x v="3"/>
    <x v="0"/>
    <n v="10026653"/>
    <x v="1"/>
    <x v="4"/>
    <d v="2025-05-22T00:00:00"/>
    <s v="Dólares"/>
    <n v="5024.2"/>
    <s v="CASA DE CAMBIO TELEDOLAR"/>
    <x v="0"/>
    <m/>
    <m/>
  </r>
  <r>
    <x v="0"/>
    <x v="2"/>
    <x v="1"/>
    <m/>
    <x v="1"/>
    <x v="0"/>
    <d v="2025-07-03T00:00:00"/>
    <s v="Dólares"/>
    <n v="5017.6899999999996"/>
    <s v="CTC INVESTGROUP"/>
    <x v="7"/>
    <m/>
    <m/>
  </r>
  <r>
    <x v="1"/>
    <x v="0"/>
    <x v="1"/>
    <m/>
    <x v="1"/>
    <x v="3"/>
    <d v="2025-08-18T00:00:00"/>
    <s v="Dólares"/>
    <n v="10000"/>
    <s v="ESTEBAN ARAYA"/>
    <x v="1"/>
    <m/>
    <m/>
  </r>
  <r>
    <x v="1"/>
    <x v="0"/>
    <x v="0"/>
    <n v="10765"/>
    <x v="1"/>
    <x v="3"/>
    <d v="2025-08-18T00:00:00"/>
    <s v="Dólares"/>
    <n v="10000"/>
    <s v="SOWEST SOCIEDAD DE RESPONSABILIDAD LIMITADA"/>
    <x v="1"/>
    <m/>
    <m/>
  </r>
  <r>
    <x v="0"/>
    <x v="0"/>
    <x v="0"/>
    <n v="10027381"/>
    <x v="1"/>
    <x v="3"/>
    <d v="2025-08-18T00:00:00"/>
    <s v="Dólares"/>
    <n v="5380"/>
    <s v="JUAN JOSE ALTMANN GARNIER"/>
    <x v="1"/>
    <m/>
    <m/>
  </r>
  <r>
    <x v="3"/>
    <x v="3"/>
    <x v="2"/>
    <m/>
    <x v="1"/>
    <x v="4"/>
    <d v="2025-05-25T00:00:00"/>
    <s v="Dólares"/>
    <n v="5000"/>
    <s v="CONICO, CONSULTORIA INTEGRAL DE LA CONSTRUCCION, SOCIEDAD ANONIMA (CULTIVARTE)"/>
    <x v="0"/>
    <m/>
    <m/>
  </r>
  <r>
    <x v="0"/>
    <x v="0"/>
    <x v="0"/>
    <m/>
    <x v="1"/>
    <x v="4"/>
    <d v="2025-05-25T00:00:00"/>
    <s v="Dólares"/>
    <n v="5000"/>
    <s v="HUGO ANDRES MORA CHAVES"/>
    <x v="0"/>
    <m/>
    <m/>
  </r>
  <r>
    <x v="0"/>
    <x v="0"/>
    <x v="1"/>
    <m/>
    <x v="1"/>
    <x v="1"/>
    <d v="2025-05-26T00:00:00"/>
    <s v="Dólares"/>
    <n v="5000"/>
    <s v="HUGO ANDRES MORA CHAVES"/>
    <x v="0"/>
    <m/>
    <m/>
  </r>
  <r>
    <x v="0"/>
    <x v="0"/>
    <x v="0"/>
    <m/>
    <x v="1"/>
    <x v="1"/>
    <d v="2025-05-27T00:00:00"/>
    <s v="Dólares"/>
    <n v="5000"/>
    <s v="HUGO ANDRES MORA CHAVES"/>
    <x v="0"/>
    <m/>
    <m/>
  </r>
  <r>
    <x v="0"/>
    <x v="0"/>
    <x v="1"/>
    <m/>
    <x v="1"/>
    <x v="2"/>
    <d v="2025-06-11T00:00:00"/>
    <s v="Dólares"/>
    <n v="5000"/>
    <s v="MARIA LAURA MORA RAMIREZ"/>
    <x v="5"/>
    <m/>
    <m/>
  </r>
  <r>
    <x v="0"/>
    <x v="0"/>
    <x v="1"/>
    <m/>
    <x v="1"/>
    <x v="2"/>
    <d v="2025-06-13T00:00:00"/>
    <s v="Dólares"/>
    <n v="5000"/>
    <s v="GREENWAY COCINA"/>
    <x v="5"/>
    <m/>
    <m/>
  </r>
  <r>
    <x v="0"/>
    <x v="0"/>
    <x v="0"/>
    <m/>
    <x v="1"/>
    <x v="2"/>
    <d v="2025-06-13T00:00:00"/>
    <s v="Dólares"/>
    <n v="5000"/>
    <s v="JOHN HENRY RONALD"/>
    <x v="5"/>
    <m/>
    <m/>
  </r>
  <r>
    <x v="0"/>
    <x v="0"/>
    <x v="0"/>
    <m/>
    <x v="1"/>
    <x v="2"/>
    <d v="2025-06-14T00:00:00"/>
    <s v="Dólares"/>
    <n v="5000"/>
    <s v="MARIA ANDREA MOLIGNANO"/>
    <x v="5"/>
    <m/>
    <m/>
  </r>
  <r>
    <x v="0"/>
    <x v="0"/>
    <x v="0"/>
    <m/>
    <x v="1"/>
    <x v="2"/>
    <d v="2025-06-15T00:00:00"/>
    <s v="Dólares"/>
    <n v="5000"/>
    <s v="MARIA ANDREA MOLIGNANO"/>
    <x v="5"/>
    <m/>
    <m/>
  </r>
  <r>
    <x v="0"/>
    <x v="2"/>
    <x v="1"/>
    <m/>
    <x v="0"/>
    <x v="2"/>
    <d v="2025-08-16T00:00:00"/>
    <s v="Dólares"/>
    <n v="474858"/>
    <s v="CEMACO GUATEMALA"/>
    <x v="1"/>
    <m/>
    <m/>
  </r>
  <r>
    <x v="0"/>
    <x v="0"/>
    <x v="0"/>
    <m/>
    <x v="0"/>
    <x v="2"/>
    <d v="2025-08-16T00:00:00"/>
    <s v="Dólares"/>
    <n v="60000"/>
    <s v="Clientes Nuevos"/>
    <x v="1"/>
    <m/>
    <m/>
  </r>
  <r>
    <x v="0"/>
    <x v="2"/>
    <x v="0"/>
    <m/>
    <x v="0"/>
    <x v="2"/>
    <d v="2025-08-16T00:00:00"/>
    <s v="Dólares"/>
    <n v="88267"/>
    <s v="PRIME LOGISTICS GAG SOCIEDAD ANONIMA"/>
    <x v="1"/>
    <m/>
    <m/>
  </r>
  <r>
    <x v="0"/>
    <x v="2"/>
    <x v="0"/>
    <m/>
    <x v="0"/>
    <x v="2"/>
    <d v="2025-08-16T00:00:00"/>
    <s v="Dólares"/>
    <n v="51078.28"/>
    <s v="ZONA FRANCA PARQUE COYOL TRES SOCIEDAD DE RESPONSABILIDAD LIMITADA"/>
    <x v="1"/>
    <m/>
    <m/>
  </r>
  <r>
    <x v="0"/>
    <x v="2"/>
    <x v="1"/>
    <m/>
    <x v="0"/>
    <x v="2"/>
    <d v="2025-08-16T00:00:00"/>
    <s v="Dólares"/>
    <n v="47250"/>
    <s v="PriceSmart, Inc. - T&amp;T"/>
    <x v="1"/>
    <m/>
    <m/>
  </r>
  <r>
    <x v="0"/>
    <x v="2"/>
    <x v="0"/>
    <m/>
    <x v="0"/>
    <x v="2"/>
    <d v="2025-08-16T00:00:00"/>
    <s v="Dólares"/>
    <n v="34334.339999999997"/>
    <s v="COMPAÑIA NACIONAL DE FUERZA Y LUZ SOCIEDAD ANONIMA"/>
    <x v="1"/>
    <m/>
    <m/>
  </r>
  <r>
    <x v="0"/>
    <x v="2"/>
    <x v="0"/>
    <m/>
    <x v="0"/>
    <x v="2"/>
    <d v="2025-08-16T00:00:00"/>
    <s v="Dólares"/>
    <n v="32848.32"/>
    <s v="PriceSmart, Inc. - Guatemala"/>
    <x v="1"/>
    <m/>
    <m/>
  </r>
  <r>
    <x v="1"/>
    <x v="0"/>
    <x v="0"/>
    <m/>
    <x v="0"/>
    <x v="2"/>
    <d v="2025-08-16T00:00:00"/>
    <s v="Dólares"/>
    <n v="40000"/>
    <s v="Clientes Nuevos"/>
    <x v="1"/>
    <m/>
    <m/>
  </r>
  <r>
    <x v="0"/>
    <x v="2"/>
    <x v="2"/>
    <m/>
    <x v="0"/>
    <x v="2"/>
    <d v="2025-08-16T00:00:00"/>
    <s v="Dólares"/>
    <n v="20212"/>
    <s v="EMBOTELLADORA CENTRAL S.A."/>
    <x v="1"/>
    <m/>
    <m/>
  </r>
  <r>
    <x v="0"/>
    <x v="2"/>
    <x v="0"/>
    <m/>
    <x v="0"/>
    <x v="2"/>
    <d v="2025-08-16T00:00:00"/>
    <s v="Dólares"/>
    <n v="10336"/>
    <s v="CAPRIS SERVICES AND ENGINEERING CO SOCIEDAD ANONIMA"/>
    <x v="1"/>
    <m/>
    <m/>
  </r>
  <r>
    <x v="0"/>
    <x v="2"/>
    <x v="0"/>
    <m/>
    <x v="0"/>
    <x v="2"/>
    <d v="2025-08-16T00:00:00"/>
    <s v="Dólares"/>
    <n v="5024.7"/>
    <s v="COMERCIAL ALEMORA SOCIEDAD ANONIMA"/>
    <x v="1"/>
    <m/>
    <m/>
  </r>
  <r>
    <x v="0"/>
    <x v="2"/>
    <x v="0"/>
    <m/>
    <x v="0"/>
    <x v="2"/>
    <d v="2025-08-16T00:00:00"/>
    <s v="Dólares"/>
    <n v="1851"/>
    <s v="GRUPO AGROINDUSTRIAL NUMAR S.A."/>
    <x v="1"/>
    <m/>
    <m/>
  </r>
  <r>
    <x v="3"/>
    <x v="3"/>
    <x v="2"/>
    <m/>
    <x v="0"/>
    <x v="2"/>
    <d v="2025-08-16T00:00:00"/>
    <s v="Dólares"/>
    <n v="62962.07"/>
    <s v="CAJA COSTARRICENSE DE SEGURO SOCIAL"/>
    <x v="1"/>
    <m/>
    <m/>
  </r>
  <r>
    <x v="3"/>
    <x v="3"/>
    <x v="0"/>
    <m/>
    <x v="0"/>
    <x v="2"/>
    <d v="2025-08-16T00:00:00"/>
    <s v="Dólares"/>
    <n v="22442.14"/>
    <s v="CONTRACT WORKPLACES COSTA RICA SOCIEDAD ANONIMA"/>
    <x v="1"/>
    <m/>
    <m/>
  </r>
  <r>
    <x v="3"/>
    <x v="3"/>
    <x v="0"/>
    <m/>
    <x v="0"/>
    <x v="2"/>
    <d v="2025-08-16T00:00:00"/>
    <s v="Dólares"/>
    <n v="21002.31"/>
    <s v="CONTRACT WORKPLACES COSTA RICA SOCIEDAD ANONIMA"/>
    <x v="1"/>
    <m/>
    <m/>
  </r>
  <r>
    <x v="2"/>
    <x v="3"/>
    <x v="0"/>
    <m/>
    <x v="0"/>
    <x v="2"/>
    <d v="2025-08-16T00:00:00"/>
    <s v="Dólares"/>
    <n v="20000"/>
    <s v="PROYECCION SEMANA 02 OUTLET AGOSTO"/>
    <x v="1"/>
    <m/>
    <m/>
  </r>
  <r>
    <x v="0"/>
    <x v="3"/>
    <x v="1"/>
    <m/>
    <x v="0"/>
    <x v="2"/>
    <d v="2025-08-16T00:00:00"/>
    <s v="Dólares"/>
    <n v="17155"/>
    <s v="BANCO PROMERICA"/>
    <x v="1"/>
    <m/>
    <m/>
  </r>
  <r>
    <x v="0"/>
    <x v="3"/>
    <x v="0"/>
    <m/>
    <x v="0"/>
    <x v="2"/>
    <d v="2025-08-16T00:00:00"/>
    <s v="Dólares"/>
    <n v="16221.52"/>
    <s v="SWAV CR SOCIEDAD DE RESPONSABILIDAD LIMITADA"/>
    <x v="1"/>
    <m/>
    <m/>
  </r>
  <r>
    <x v="0"/>
    <x v="3"/>
    <x v="0"/>
    <m/>
    <x v="0"/>
    <x v="2"/>
    <d v="2025-08-16T00:00:00"/>
    <s v="Dólares"/>
    <n v="11550"/>
    <s v="HERAEUS MEDICAL COMPONENTS SOCIEDAD DE RESPONSABILIDAD LIMITADA"/>
    <x v="1"/>
    <m/>
    <m/>
  </r>
  <r>
    <x v="0"/>
    <x v="3"/>
    <x v="0"/>
    <m/>
    <x v="0"/>
    <x v="2"/>
    <d v="2025-08-16T00:00:00"/>
    <s v="Dólares"/>
    <n v="10206.16"/>
    <s v="CONSTRIAL SOCIEDAD ANONIMA"/>
    <x v="1"/>
    <m/>
    <m/>
  </r>
  <r>
    <x v="3"/>
    <x v="3"/>
    <x v="0"/>
    <m/>
    <x v="0"/>
    <x v="2"/>
    <d v="2025-08-16T00:00:00"/>
    <s v="Dólares"/>
    <n v="1699.1"/>
    <s v="CONTRACT WORKPLACES COSTA RICA SOCIEDAD ANONIMA"/>
    <x v="1"/>
    <m/>
    <m/>
  </r>
  <r>
    <x v="1"/>
    <x v="0"/>
    <x v="1"/>
    <m/>
    <x v="1"/>
    <x v="3"/>
    <d v="2025-08-18T00:00:00"/>
    <s v="Dólares"/>
    <n v="4500"/>
    <s v="SOWEST SOCIEDAD DE RESPONSABILIDAD LIMITADA "/>
    <x v="1"/>
    <m/>
    <m/>
  </r>
  <r>
    <x v="0"/>
    <x v="2"/>
    <x v="0"/>
    <n v="10027422"/>
    <x v="1"/>
    <x v="3"/>
    <d v="2025-08-18T00:00:00"/>
    <s v="Dólares"/>
    <n v="2112.5"/>
    <s v="ALIMENTOS Y BEBIDAS ATLANTIDA S.A"/>
    <x v="1"/>
    <m/>
    <m/>
  </r>
  <r>
    <x v="0"/>
    <x v="0"/>
    <x v="0"/>
    <m/>
    <x v="1"/>
    <x v="3"/>
    <d v="2025-08-18T00:00:00"/>
    <s v="Dólares"/>
    <n v="2000"/>
    <s v="ELKIN ANDRES SUAREZ"/>
    <x v="1"/>
    <m/>
    <m/>
  </r>
  <r>
    <x v="0"/>
    <x v="0"/>
    <x v="1"/>
    <m/>
    <x v="1"/>
    <x v="4"/>
    <d v="2025-07-21T00:00:00"/>
    <s v="Colones"/>
    <n v="5000"/>
    <s v="RENE CARDONA GARCIA"/>
    <x v="7"/>
    <m/>
    <m/>
  </r>
  <r>
    <x v="0"/>
    <x v="2"/>
    <x v="2"/>
    <m/>
    <x v="0"/>
    <x v="3"/>
    <d v="2025-08-16T00:00:00"/>
    <s v="Dólares"/>
    <n v="164036.76999999999"/>
    <s v="ARRENDADORA CAFSA SOCIEDAD ANONIMA"/>
    <x v="1"/>
    <m/>
    <m/>
  </r>
  <r>
    <x v="0"/>
    <x v="0"/>
    <x v="0"/>
    <n v="10027149"/>
    <x v="1"/>
    <x v="4"/>
    <d v="2025-07-24T00:00:00"/>
    <s v="Dólares"/>
    <n v="5000"/>
    <s v="ANA ELISA SAENZ NARANJO"/>
    <x v="7"/>
    <m/>
    <m/>
  </r>
  <r>
    <x v="0"/>
    <x v="3"/>
    <x v="2"/>
    <n v="10027192"/>
    <x v="1"/>
    <x v="1"/>
    <d v="2025-07-31T00:00:00"/>
    <s v="Dólares"/>
    <n v="5000"/>
    <s v="FEDERACION COSTARRICENSE DE FUTBOL"/>
    <x v="7"/>
    <m/>
    <m/>
  </r>
  <r>
    <x v="0"/>
    <x v="0"/>
    <x v="0"/>
    <n v="10027214"/>
    <x v="1"/>
    <x v="0"/>
    <d v="2025-08-01T00:00:00"/>
    <s v="Dólares"/>
    <n v="5000"/>
    <s v="EDIFITEC CONSTRUCCIONES TECNICAS SOCIEDAD ANONIMA"/>
    <x v="1"/>
    <m/>
    <m/>
  </r>
  <r>
    <x v="0"/>
    <x v="0"/>
    <x v="0"/>
    <n v="10027272"/>
    <x v="1"/>
    <x v="0"/>
    <d v="2025-08-08T00:00:00"/>
    <s v="Dólares"/>
    <n v="5000"/>
    <s v="MARIA EMILIA FERNANDEZ MORA"/>
    <x v="1"/>
    <m/>
    <m/>
  </r>
  <r>
    <x v="0"/>
    <x v="0"/>
    <x v="0"/>
    <n v="10027288"/>
    <x v="1"/>
    <x v="2"/>
    <d v="2025-08-09T00:00:00"/>
    <s v="Dólares"/>
    <n v="5000"/>
    <s v="JERRY STEVENSON SANCHEZ MURILLO"/>
    <x v="1"/>
    <m/>
    <m/>
  </r>
  <r>
    <x v="0"/>
    <x v="0"/>
    <x v="0"/>
    <n v="10027327"/>
    <x v="1"/>
    <x v="3"/>
    <d v="2025-08-18T00:00:00"/>
    <s v="Dólares"/>
    <n v="2000"/>
    <s v="CESAR GIOVANNY CRUZ SALAMANCA"/>
    <x v="1"/>
    <m/>
    <m/>
  </r>
  <r>
    <x v="1"/>
    <x v="0"/>
    <x v="0"/>
    <m/>
    <x v="1"/>
    <x v="2"/>
    <d v="2025-09-12T00:00:00"/>
    <s v="Dólares"/>
    <n v="5000"/>
    <s v="SOCIEDAD CACERES MILLER COSTA RICA LIMITADA"/>
    <x v="9"/>
    <m/>
    <m/>
  </r>
  <r>
    <x v="1"/>
    <x v="0"/>
    <x v="0"/>
    <m/>
    <x v="1"/>
    <x v="2"/>
    <d v="2025-09-13T00:00:00"/>
    <s v="Dólares"/>
    <n v="5000"/>
    <s v="SOCIEDAD CACERES MILLER COSTA RICA LIMITADA"/>
    <x v="9"/>
    <m/>
    <m/>
  </r>
  <r>
    <x v="3"/>
    <x v="3"/>
    <x v="2"/>
    <n v="15213"/>
    <x v="1"/>
    <x v="3"/>
    <d v="2025-08-18T00:00:00"/>
    <s v="Dólares"/>
    <n v="1770.35"/>
    <s v="HARLAND MEDICAL SYSTEMS COSTA RICA SOCIEDAD DE RESPONSABILIDAD LIMITADA"/>
    <x v="1"/>
    <m/>
    <m/>
  </r>
  <r>
    <x v="0"/>
    <x v="0"/>
    <x v="0"/>
    <m/>
    <x v="1"/>
    <x v="3"/>
    <d v="2025-08-18T00:00:00"/>
    <s v="Colones"/>
    <n v="1740"/>
    <s v="PAUL PLEBER"/>
    <x v="1"/>
    <m/>
    <m/>
  </r>
  <r>
    <x v="0"/>
    <x v="0"/>
    <x v="0"/>
    <m/>
    <x v="1"/>
    <x v="3"/>
    <d v="2025-08-18T00:00:00"/>
    <s v="Colones"/>
    <n v="1028.48"/>
    <s v="PAUL PLEBER"/>
    <x v="1"/>
    <m/>
    <m/>
  </r>
  <r>
    <x v="0"/>
    <x v="0"/>
    <x v="1"/>
    <m/>
    <x v="1"/>
    <x v="1"/>
    <d v="2025-09-29T00:00:00"/>
    <s v="Dólares"/>
    <n v="5000"/>
    <s v="HUGO MORA"/>
    <x v="9"/>
    <m/>
    <m/>
  </r>
  <r>
    <x v="0"/>
    <x v="0"/>
    <x v="1"/>
    <m/>
    <x v="1"/>
    <x v="1"/>
    <d v="2025-09-29T00:00:00"/>
    <s v="Dólares"/>
    <n v="5000"/>
    <s v="HUGO MORA"/>
    <x v="9"/>
    <m/>
    <m/>
  </r>
  <r>
    <x v="0"/>
    <x v="0"/>
    <x v="0"/>
    <n v="10027691"/>
    <x v="1"/>
    <x v="0"/>
    <d v="2025-10-01T00:00:00"/>
    <s v="Dólares"/>
    <n v="5000"/>
    <s v="SALUD NEONATAL SOCIEDAD ANONIMA"/>
    <x v="2"/>
    <m/>
    <m/>
  </r>
  <r>
    <x v="0"/>
    <x v="0"/>
    <x v="0"/>
    <m/>
    <x v="1"/>
    <x v="2"/>
    <d v="2025-10-10T00:00:00"/>
    <s v="Dólares"/>
    <n v="5000"/>
    <s v="ERNESTO JOSE GOCHEZ MONGE"/>
    <x v="2"/>
    <m/>
    <m/>
  </r>
  <r>
    <x v="1"/>
    <x v="0"/>
    <x v="1"/>
    <m/>
    <x v="1"/>
    <x v="1"/>
    <d v="2025-10-30T00:00:00"/>
    <s v="Dólares"/>
    <n v="5000"/>
    <s v="Max Gustab"/>
    <x v="2"/>
    <m/>
    <m/>
  </r>
  <r>
    <x v="1"/>
    <x v="0"/>
    <x v="1"/>
    <m/>
    <x v="1"/>
    <x v="1"/>
    <d v="2025-10-30T00:00:00"/>
    <s v="Dólares"/>
    <n v="5000"/>
    <s v="Max Gustab"/>
    <x v="2"/>
    <m/>
    <m/>
  </r>
  <r>
    <x v="0"/>
    <x v="0"/>
    <x v="0"/>
    <m/>
    <x v="1"/>
    <x v="0"/>
    <d v="2026-01-08T00:00:00"/>
    <s v="Dólares"/>
    <n v="5000"/>
    <s v="WIELHELM DIERMISSEN ORTIZ"/>
    <x v="3"/>
    <m/>
    <m/>
  </r>
  <r>
    <x v="0"/>
    <x v="1"/>
    <x v="0"/>
    <m/>
    <x v="1"/>
    <x v="2"/>
    <d v="2026-01-12T00:00:00"/>
    <s v="Dólares"/>
    <n v="5000"/>
    <s v="DESARROLLOS TECNICOS"/>
    <x v="3"/>
    <m/>
    <m/>
  </r>
  <r>
    <x v="0"/>
    <x v="0"/>
    <x v="0"/>
    <m/>
    <x v="1"/>
    <x v="2"/>
    <d v="2026-01-13T00:00:00"/>
    <s v="Dólares"/>
    <n v="5000"/>
    <s v="Marvin Peraza Morales"/>
    <x v="3"/>
    <m/>
    <m/>
  </r>
  <r>
    <x v="0"/>
    <x v="0"/>
    <x v="0"/>
    <m/>
    <x v="1"/>
    <x v="2"/>
    <d v="2026-01-15T00:00:00"/>
    <s v="Dólares"/>
    <n v="5000"/>
    <s v="RAUL ALFREDO VARGAS"/>
    <x v="3"/>
    <m/>
    <m/>
  </r>
  <r>
    <x v="1"/>
    <x v="0"/>
    <x v="0"/>
    <m/>
    <x v="1"/>
    <x v="2"/>
    <d v="2026-01-17T00:00:00"/>
    <s v="Dólares"/>
    <n v="5000"/>
    <s v="VIRGINIA STEINVORTH KOBERG"/>
    <x v="3"/>
    <m/>
    <m/>
  </r>
  <r>
    <x v="0"/>
    <x v="0"/>
    <x v="0"/>
    <n v="10027345"/>
    <x v="1"/>
    <x v="3"/>
    <d v="2025-08-18T00:00:00"/>
    <s v="Dólares"/>
    <n v="954.53"/>
    <s v="JUAN IGNACIO JIMENEZ REY"/>
    <x v="1"/>
    <m/>
    <m/>
  </r>
  <r>
    <x v="0"/>
    <x v="0"/>
    <x v="0"/>
    <n v="10027382"/>
    <x v="1"/>
    <x v="3"/>
    <d v="2025-08-18T00:00:00"/>
    <s v="Dólares"/>
    <n v="620.42999999999995"/>
    <s v="GINES HOGAR SOCIEDAD ANONIMA"/>
    <x v="1"/>
    <m/>
    <m/>
  </r>
  <r>
    <x v="0"/>
    <x v="0"/>
    <x v="0"/>
    <m/>
    <x v="1"/>
    <x v="3"/>
    <d v="2025-08-18T00:00:00"/>
    <s v="Dólares"/>
    <n v="372.45"/>
    <s v="ELIZABETH MELENDEZ"/>
    <x v="1"/>
    <m/>
    <m/>
  </r>
  <r>
    <x v="0"/>
    <x v="0"/>
    <x v="0"/>
    <m/>
    <x v="1"/>
    <x v="3"/>
    <d v="2025-08-18T00:00:00"/>
    <s v="Dólares"/>
    <n v="253"/>
    <s v="MARÍA MARGARITA URDANETA"/>
    <x v="1"/>
    <m/>
    <m/>
  </r>
  <r>
    <x v="0"/>
    <x v="0"/>
    <x v="0"/>
    <n v="10027328"/>
    <x v="1"/>
    <x v="3"/>
    <d v="2025-08-18T00:00:00"/>
    <s v="Colones"/>
    <n v="196.07843137254903"/>
    <s v="ERICK FABIAN CAMPOS CHAVES"/>
    <x v="1"/>
    <m/>
    <m/>
  </r>
  <r>
    <x v="3"/>
    <x v="3"/>
    <x v="0"/>
    <m/>
    <x v="1"/>
    <x v="0"/>
    <d v="2026-02-06T00:00:00"/>
    <s v="Dólares"/>
    <n v="3928.14"/>
    <s v="ACUÑA Y HANSON INCA"/>
    <x v="6"/>
    <m/>
    <m/>
  </r>
  <r>
    <x v="0"/>
    <x v="2"/>
    <x v="0"/>
    <n v="10027662"/>
    <x v="1"/>
    <x v="0"/>
    <d v="2025-08-07T00:00:00"/>
    <s v="Dólares"/>
    <n v="4940.7"/>
    <s v="ALIMENTOS Y BEBIDAS REGIONALES S,A"/>
    <x v="1"/>
    <m/>
    <m/>
  </r>
  <r>
    <x v="1"/>
    <x v="0"/>
    <x v="0"/>
    <m/>
    <x v="1"/>
    <x v="0"/>
    <d v="2025-11-06T00:00:00"/>
    <s v="Dólares"/>
    <n v="4940"/>
    <s v="Joseline Solano Morales"/>
    <x v="4"/>
    <m/>
    <m/>
  </r>
  <r>
    <x v="0"/>
    <x v="3"/>
    <x v="0"/>
    <n v="10027662"/>
    <x v="1"/>
    <x v="1"/>
    <d v="2025-09-29T00:00:00"/>
    <s v="Dólares"/>
    <n v="4936.47"/>
    <s v="SMC COSTA RICA DIVISION S.R.L"/>
    <x v="9"/>
    <m/>
    <m/>
  </r>
  <r>
    <x v="0"/>
    <x v="3"/>
    <x v="1"/>
    <m/>
    <x v="1"/>
    <x v="0"/>
    <d v="2025-11-03T00:00:00"/>
    <s v="Dólares"/>
    <n v="4921.26"/>
    <s v="IMS CONSTRUCCIONES"/>
    <x v="4"/>
    <m/>
    <m/>
  </r>
  <r>
    <x v="0"/>
    <x v="0"/>
    <x v="0"/>
    <n v="10027331"/>
    <x v="1"/>
    <x v="3"/>
    <d v="2025-08-18T00:00:00"/>
    <s v="Dólares"/>
    <n v="125"/>
    <s v="COLD AND HOT SOPORTE TECNICO SRL"/>
    <x v="1"/>
    <m/>
    <m/>
  </r>
  <r>
    <x v="0"/>
    <x v="0"/>
    <x v="0"/>
    <m/>
    <x v="1"/>
    <x v="0"/>
    <d v="2025-11-01T00:00:00"/>
    <s v="Dólares"/>
    <n v="4902.8999999999996"/>
    <s v="DORAL OVERSEAS"/>
    <x v="4"/>
    <m/>
    <m/>
  </r>
  <r>
    <x v="1"/>
    <x v="0"/>
    <x v="1"/>
    <m/>
    <x v="1"/>
    <x v="1"/>
    <d v="2025-10-30T00:00:00"/>
    <s v="Dólares"/>
    <n v="4900"/>
    <s v="Max Gustab"/>
    <x v="2"/>
    <m/>
    <m/>
  </r>
  <r>
    <x v="3"/>
    <x v="3"/>
    <x v="1"/>
    <m/>
    <x v="1"/>
    <x v="0"/>
    <d v="2025-11-04T00:00:00"/>
    <s v="Dólares"/>
    <n v="4899.83"/>
    <s v="PARTES ELECTROMECANICAS"/>
    <x v="4"/>
    <m/>
    <m/>
  </r>
  <r>
    <x v="3"/>
    <x v="3"/>
    <x v="1"/>
    <m/>
    <x v="1"/>
    <x v="0"/>
    <d v="2025-10-04T00:00:00"/>
    <s v="Dólares"/>
    <n v="4897.43"/>
    <s v="CLEANCO - ADELANTO"/>
    <x v="2"/>
    <m/>
    <m/>
  </r>
  <r>
    <x v="3"/>
    <x v="3"/>
    <x v="1"/>
    <m/>
    <x v="1"/>
    <x v="0"/>
    <d v="2025-11-03T00:00:00"/>
    <s v="Dólares"/>
    <n v="4897.43"/>
    <s v="RHYTMLINK"/>
    <x v="4"/>
    <m/>
    <m/>
  </r>
  <r>
    <x v="3"/>
    <x v="3"/>
    <x v="1"/>
    <m/>
    <x v="1"/>
    <x v="2"/>
    <d v="2025-11-11T00:00:00"/>
    <s v="Dólares"/>
    <n v="4814.87"/>
    <s v="ELISEO VARGAS"/>
    <x v="4"/>
    <m/>
    <m/>
  </r>
  <r>
    <x v="0"/>
    <x v="3"/>
    <x v="0"/>
    <m/>
    <x v="1"/>
    <x v="2"/>
    <d v="2026-01-12T00:00:00"/>
    <s v="Colones"/>
    <n v="4801.8634274193546"/>
    <s v="JONES LANG LASALLE LIMITADA"/>
    <x v="3"/>
    <m/>
    <m/>
  </r>
  <r>
    <x v="0"/>
    <x v="0"/>
    <x v="0"/>
    <m/>
    <x v="1"/>
    <x v="3"/>
    <d v="2025-08-18T00:00:00"/>
    <s v="Dólares"/>
    <n v="30"/>
    <s v="ELIZABETH MELENDEZ"/>
    <x v="1"/>
    <m/>
    <m/>
  </r>
  <r>
    <x v="0"/>
    <x v="0"/>
    <x v="0"/>
    <m/>
    <x v="1"/>
    <x v="4"/>
    <d v="2025-05-21T00:00:00"/>
    <s v="Dólares"/>
    <n v="4800"/>
    <s v="SOLORZANO Y ZUMBADO ASOCIADOS C C I SOCIEDAD ANONIMA"/>
    <x v="0"/>
    <m/>
    <m/>
  </r>
  <r>
    <x v="0"/>
    <x v="0"/>
    <x v="1"/>
    <m/>
    <x v="1"/>
    <x v="1"/>
    <d v="2025-09-29T00:00:00"/>
    <s v="Dólares"/>
    <n v="4800"/>
    <s v="HUGO MORA"/>
    <x v="9"/>
    <m/>
    <m/>
  </r>
  <r>
    <x v="0"/>
    <x v="0"/>
    <x v="0"/>
    <m/>
    <x v="1"/>
    <x v="1"/>
    <d v="2025-05-29T00:00:00"/>
    <s v="Dólares"/>
    <n v="4788"/>
    <s v="DISTRIBUIDORES E IMPORTADORES TEK SOLUCIONES DE COSTA RICA SOCIEDAD ANONIMA"/>
    <x v="0"/>
    <m/>
    <m/>
  </r>
  <r>
    <x v="0"/>
    <x v="0"/>
    <x v="0"/>
    <n v="10027333"/>
    <x v="1"/>
    <x v="3"/>
    <d v="2025-08-19T00:00:00"/>
    <s v="Dólares"/>
    <n v="4000"/>
    <s v="RRHH METAMORFOSIS SRL"/>
    <x v="1"/>
    <m/>
    <m/>
  </r>
  <r>
    <x v="0"/>
    <x v="0"/>
    <x v="0"/>
    <n v="10027334"/>
    <x v="1"/>
    <x v="3"/>
    <d v="2025-08-19T00:00:00"/>
    <s v="Dólares"/>
    <n v="4000"/>
    <s v="RRHH METAMORFOSIS SRL"/>
    <x v="1"/>
    <m/>
    <m/>
  </r>
  <r>
    <x v="0"/>
    <x v="0"/>
    <x v="0"/>
    <m/>
    <x v="1"/>
    <x v="4"/>
    <d v="2025-05-23T00:00:00"/>
    <s v="Dólares"/>
    <n v="4755"/>
    <s v="MARIA FERNANDA TELLO DELGADO"/>
    <x v="0"/>
    <m/>
    <m/>
  </r>
  <r>
    <x v="0"/>
    <x v="2"/>
    <x v="0"/>
    <n v="10026826"/>
    <x v="1"/>
    <x v="2"/>
    <d v="2025-06-13T00:00:00"/>
    <s v="Dólares"/>
    <n v="4728.8599999999997"/>
    <s v="PORTAFOLIO AM SIETE SOCIEDAD ANONIMA"/>
    <x v="5"/>
    <m/>
    <m/>
  </r>
  <r>
    <x v="0"/>
    <x v="2"/>
    <x v="0"/>
    <m/>
    <x v="1"/>
    <x v="0"/>
    <d v="2026-02-06T00:00:00"/>
    <s v="Dólares"/>
    <n v="1104"/>
    <s v="VERITAS BUREAU"/>
    <x v="6"/>
    <m/>
    <m/>
  </r>
  <r>
    <x v="3"/>
    <x v="3"/>
    <x v="1"/>
    <m/>
    <x v="1"/>
    <x v="0"/>
    <d v="2026-02-06T00:00:00"/>
    <s v="Dólares"/>
    <n v="959.47"/>
    <s v="BD Consultores SA"/>
    <x v="6"/>
    <m/>
    <m/>
  </r>
  <r>
    <x v="0"/>
    <x v="3"/>
    <x v="0"/>
    <m/>
    <x v="1"/>
    <x v="2"/>
    <d v="2025-07-11T00:00:00"/>
    <s v="Dólares"/>
    <n v="4721.08"/>
    <s v="AUTO REPUESTOS AVENIDA DIEZ S.A."/>
    <x v="7"/>
    <m/>
    <m/>
  </r>
  <r>
    <x v="0"/>
    <x v="1"/>
    <x v="0"/>
    <m/>
    <x v="0"/>
    <x v="3"/>
    <d v="2025-08-22T00:00:00"/>
    <s v="Dólares"/>
    <n v="14309.19"/>
    <s v="Residencias de Santa Ana"/>
    <x v="1"/>
    <m/>
    <m/>
  </r>
  <r>
    <x v="0"/>
    <x v="0"/>
    <x v="0"/>
    <n v="10027335"/>
    <x v="1"/>
    <x v="3"/>
    <d v="2025-08-19T00:00:00"/>
    <s v="Dólares"/>
    <n v="4000"/>
    <s v="RRHH METAMORFOSIS SRL"/>
    <x v="1"/>
    <m/>
    <m/>
  </r>
  <r>
    <x v="1"/>
    <x v="0"/>
    <x v="0"/>
    <m/>
    <x v="1"/>
    <x v="4"/>
    <d v="2025-09-25T00:00:00"/>
    <s v="Dólares"/>
    <n v="4720"/>
    <s v="JOSE DIAZ MIRANDA"/>
    <x v="9"/>
    <m/>
    <m/>
  </r>
  <r>
    <x v="0"/>
    <x v="0"/>
    <x v="1"/>
    <m/>
    <x v="1"/>
    <x v="2"/>
    <d v="2025-06-11T00:00:00"/>
    <s v="Dólares"/>
    <n v="4712.76"/>
    <s v="BRYAN GERARDO RODRIGUEZ ARAYA"/>
    <x v="5"/>
    <m/>
    <m/>
  </r>
  <r>
    <x v="0"/>
    <x v="3"/>
    <x v="0"/>
    <m/>
    <x v="1"/>
    <x v="2"/>
    <d v="2025-12-09T00:00:00"/>
    <s v="Dólares"/>
    <n v="4709.12"/>
    <s v="BAC SAN JOSE"/>
    <x v="8"/>
    <m/>
    <m/>
  </r>
  <r>
    <x v="0"/>
    <x v="2"/>
    <x v="0"/>
    <n v="10027342"/>
    <x v="1"/>
    <x v="3"/>
    <d v="2025-08-19T00:00:00"/>
    <s v="Dólares"/>
    <n v="4000"/>
    <s v="VERTICAL SOLUCIONES INDUSTRIALES SOCIEDAD ANONIMA"/>
    <x v="1"/>
    <m/>
    <m/>
  </r>
  <r>
    <x v="0"/>
    <x v="0"/>
    <x v="0"/>
    <m/>
    <x v="1"/>
    <x v="4"/>
    <d v="2025-05-21T00:00:00"/>
    <s v="Dólares"/>
    <n v="4680"/>
    <s v="MARIA FERNANDA SANCHEZ HIDALGO"/>
    <x v="0"/>
    <m/>
    <m/>
  </r>
  <r>
    <x v="0"/>
    <x v="0"/>
    <x v="0"/>
    <m/>
    <x v="1"/>
    <x v="3"/>
    <d v="2025-08-19T00:00:00"/>
    <s v="Dólares"/>
    <n v="2111.84"/>
    <s v="NATASHA ESCALANTE AGUILAR"/>
    <x v="1"/>
    <m/>
    <m/>
  </r>
  <r>
    <x v="3"/>
    <x v="3"/>
    <x v="0"/>
    <m/>
    <x v="1"/>
    <x v="4"/>
    <d v="2025-09-26T00:00:00"/>
    <s v="Dólares"/>
    <n v="4651.93"/>
    <s v="FT TECHNOLOGIES"/>
    <x v="9"/>
    <m/>
    <m/>
  </r>
  <r>
    <x v="0"/>
    <x v="1"/>
    <x v="0"/>
    <m/>
    <x v="1"/>
    <x v="2"/>
    <d v="2025-09-12T00:00:00"/>
    <s v="Dólares"/>
    <n v="4640.4399999999996"/>
    <s v="NOVA DEL ESTE FA S.A"/>
    <x v="9"/>
    <m/>
    <m/>
  </r>
  <r>
    <x v="0"/>
    <x v="0"/>
    <x v="0"/>
    <n v="10027336"/>
    <x v="1"/>
    <x v="3"/>
    <d v="2025-08-19T00:00:00"/>
    <s v="Dólares"/>
    <n v="1475"/>
    <s v="RRHH METAMORFOSIS SRL"/>
    <x v="1"/>
    <m/>
    <m/>
  </r>
  <r>
    <x v="0"/>
    <x v="0"/>
    <x v="1"/>
    <m/>
    <x v="1"/>
    <x v="0"/>
    <d v="2025-11-04T00:00:00"/>
    <s v="Dólares"/>
    <n v="4620"/>
    <s v="FABIO CASALVOLONE"/>
    <x v="4"/>
    <m/>
    <m/>
  </r>
  <r>
    <x v="0"/>
    <x v="2"/>
    <x v="2"/>
    <m/>
    <x v="1"/>
    <x v="2"/>
    <d v="2025-09-11T00:00:00"/>
    <s v="Dólares"/>
    <n v="4607.96"/>
    <s v="EMBOTELLADORA CENTRAL S.A."/>
    <x v="9"/>
    <m/>
    <m/>
  </r>
  <r>
    <x v="0"/>
    <x v="0"/>
    <x v="0"/>
    <n v="10026511"/>
    <x v="1"/>
    <x v="2"/>
    <d v="2025-05-07T00:00:00"/>
    <s v="Dólares"/>
    <n v="4600"/>
    <s v="ANDREA DE LOS ANGELES CARBALLO VINDAS"/>
    <x v="0"/>
    <m/>
    <m/>
  </r>
  <r>
    <x v="0"/>
    <x v="0"/>
    <x v="0"/>
    <n v="10027035"/>
    <x v="1"/>
    <x v="2"/>
    <d v="2025-07-09T00:00:00"/>
    <s v="Dólares"/>
    <n v="4600"/>
    <s v="R M INDUSTRIAL SOLIN SOCIEDAD ANONIMA"/>
    <x v="7"/>
    <m/>
    <m/>
  </r>
  <r>
    <x v="0"/>
    <x v="0"/>
    <x v="0"/>
    <m/>
    <x v="1"/>
    <x v="0"/>
    <d v="2025-09-01T00:00:00"/>
    <s v="Dólares"/>
    <n v="4600"/>
    <s v="SANDRA LIZETT PERLA CAMPOS DE MELARA DEL CID"/>
    <x v="9"/>
    <m/>
    <m/>
  </r>
  <r>
    <x v="0"/>
    <x v="0"/>
    <x v="0"/>
    <n v="10027854"/>
    <x v="1"/>
    <x v="1"/>
    <d v="2025-10-28T00:00:00"/>
    <s v="Dólares"/>
    <n v="4600"/>
    <s v="EDIFITEC CONSTRUCCIONES TECNICAS SOCIEDAD ANONIMA"/>
    <x v="2"/>
    <m/>
    <m/>
  </r>
  <r>
    <x v="0"/>
    <x v="0"/>
    <x v="0"/>
    <m/>
    <x v="1"/>
    <x v="0"/>
    <d v="2026-01-07T00:00:00"/>
    <s v="Dólares"/>
    <n v="4600"/>
    <s v="Jerry Sanchez"/>
    <x v="3"/>
    <m/>
    <m/>
  </r>
  <r>
    <x v="0"/>
    <x v="2"/>
    <x v="0"/>
    <m/>
    <x v="1"/>
    <x v="1"/>
    <d v="2025-10-29T00:00:00"/>
    <s v="Dólares"/>
    <n v="4598.21"/>
    <s v="MULTICLIMA S,A"/>
    <x v="2"/>
    <m/>
    <m/>
  </r>
  <r>
    <x v="0"/>
    <x v="0"/>
    <x v="0"/>
    <m/>
    <x v="0"/>
    <x v="3"/>
    <d v="2025-08-23T00:00:00"/>
    <s v="Dólares"/>
    <n v="60000"/>
    <s v="Clientes Nuevos"/>
    <x v="1"/>
    <m/>
    <m/>
  </r>
  <r>
    <x v="0"/>
    <x v="2"/>
    <x v="0"/>
    <m/>
    <x v="0"/>
    <x v="3"/>
    <d v="2025-08-23T00:00:00"/>
    <s v="Dólares"/>
    <n v="48831.45"/>
    <s v="LANCO PAINTS GUATEMALA,  S.A."/>
    <x v="1"/>
    <m/>
    <m/>
  </r>
  <r>
    <x v="0"/>
    <x v="2"/>
    <x v="0"/>
    <m/>
    <x v="0"/>
    <x v="3"/>
    <d v="2025-08-23T00:00:00"/>
    <s v="Dólares"/>
    <n v="15777.5"/>
    <s v="ILG SUPPLY CHAIN SERVICES, SOCIEDAD ANONIMA"/>
    <x v="1"/>
    <m/>
    <m/>
  </r>
  <r>
    <x v="0"/>
    <x v="1"/>
    <x v="2"/>
    <m/>
    <x v="0"/>
    <x v="3"/>
    <d v="2025-08-23T00:00:00"/>
    <s v="Dólares"/>
    <n v="10575"/>
    <s v="Diseño Ingenieria Arquitectura Metropolitana "/>
    <x v="1"/>
    <m/>
    <m/>
  </r>
  <r>
    <x v="0"/>
    <x v="2"/>
    <x v="0"/>
    <m/>
    <x v="0"/>
    <x v="3"/>
    <d v="2025-08-23T00:00:00"/>
    <s v="Dólares"/>
    <n v="6321"/>
    <s v="GRUPO SERVICA COSTA RICA SOCIEDAD ANONIMA"/>
    <x v="1"/>
    <m/>
    <m/>
  </r>
  <r>
    <x v="0"/>
    <x v="3"/>
    <x v="0"/>
    <m/>
    <x v="0"/>
    <x v="3"/>
    <d v="2025-08-23T00:00:00"/>
    <s v="Dólares"/>
    <n v="38608.980000000003"/>
    <s v="PLAZA RIVIERA SOCIEDAD ANONIMA"/>
    <x v="1"/>
    <m/>
    <m/>
  </r>
  <r>
    <x v="0"/>
    <x v="2"/>
    <x v="2"/>
    <m/>
    <x v="0"/>
    <x v="3"/>
    <d v="2025-08-23T00:00:00"/>
    <s v="Dólares"/>
    <n v="5955.72"/>
    <s v="SELECT SOLUTIONS LTDA DE C.V."/>
    <x v="1"/>
    <m/>
    <m/>
  </r>
  <r>
    <x v="3"/>
    <x v="3"/>
    <x v="0"/>
    <m/>
    <x v="0"/>
    <x v="3"/>
    <d v="2025-08-23T00:00:00"/>
    <s v="Dólares"/>
    <n v="22882.5"/>
    <s v="DISTRIBUIDORA LA FLORIDA S.A."/>
    <x v="1"/>
    <m/>
    <m/>
  </r>
  <r>
    <x v="2"/>
    <x v="3"/>
    <x v="0"/>
    <m/>
    <x v="0"/>
    <x v="3"/>
    <d v="2025-08-23T00:00:00"/>
    <s v="Dólares"/>
    <n v="20000"/>
    <s v="PROYECCION SEMANA 03 OUTLET AGOSTO"/>
    <x v="1"/>
    <m/>
    <m/>
  </r>
  <r>
    <x v="3"/>
    <x v="3"/>
    <x v="1"/>
    <m/>
    <x v="0"/>
    <x v="3"/>
    <d v="2025-08-23T00:00:00"/>
    <s v="Dólares"/>
    <n v="13078"/>
    <s v="BILCO COSTA RICA S.A. - EPSILON"/>
    <x v="1"/>
    <m/>
    <m/>
  </r>
  <r>
    <x v="0"/>
    <x v="3"/>
    <x v="2"/>
    <m/>
    <x v="0"/>
    <x v="3"/>
    <d v="2025-08-23T00:00:00"/>
    <s v="Dólares"/>
    <n v="9695.56"/>
    <s v="TRIBUNAL SUPREMO DE ELECCIONES"/>
    <x v="1"/>
    <m/>
    <m/>
  </r>
  <r>
    <x v="0"/>
    <x v="3"/>
    <x v="2"/>
    <m/>
    <x v="0"/>
    <x v="3"/>
    <d v="2025-08-23T00:00:00"/>
    <s v="Dólares"/>
    <n v="6719.07"/>
    <s v="ZONA FRANCA COYOL SOCIEDAD ANONIMA"/>
    <x v="1"/>
    <m/>
    <m/>
  </r>
  <r>
    <x v="3"/>
    <x v="3"/>
    <x v="2"/>
    <m/>
    <x v="0"/>
    <x v="3"/>
    <d v="2025-08-23T00:00:00"/>
    <s v="Dólares"/>
    <n v="6000"/>
    <s v="GOSOCKET SHARED SERVICES S.A"/>
    <x v="1"/>
    <m/>
    <m/>
  </r>
  <r>
    <x v="3"/>
    <x v="3"/>
    <x v="0"/>
    <m/>
    <x v="0"/>
    <x v="3"/>
    <d v="2025-08-23T00:00:00"/>
    <s v="Dólares"/>
    <n v="5347.16"/>
    <s v="DISTRIBUIDORA LA FLORIDA S.A."/>
    <x v="1"/>
    <m/>
    <m/>
  </r>
  <r>
    <x v="0"/>
    <x v="3"/>
    <x v="1"/>
    <m/>
    <x v="0"/>
    <x v="3"/>
    <d v="2025-08-23T00:00:00"/>
    <s v="Dólares"/>
    <n v="3620"/>
    <s v="ACCUDYN - CODE"/>
    <x v="1"/>
    <m/>
    <m/>
  </r>
  <r>
    <x v="3"/>
    <x v="3"/>
    <x v="1"/>
    <m/>
    <x v="0"/>
    <x v="3"/>
    <d v="2025-08-23T00:00:00"/>
    <s v="Dólares"/>
    <n v="3269"/>
    <s v="BILCO COSTA RICA S.A. - EPSILON"/>
    <x v="1"/>
    <m/>
    <m/>
  </r>
  <r>
    <x v="3"/>
    <x v="3"/>
    <x v="1"/>
    <m/>
    <x v="0"/>
    <x v="3"/>
    <d v="2025-08-23T00:00:00"/>
    <s v="Dólares"/>
    <n v="3174"/>
    <s v="BILCO COSTA RICA S.A. - EPSILON"/>
    <x v="1"/>
    <m/>
    <m/>
  </r>
  <r>
    <x v="0"/>
    <x v="1"/>
    <x v="0"/>
    <n v="10026733"/>
    <x v="1"/>
    <x v="0"/>
    <d v="2025-06-02T00:00:00"/>
    <s v="Dólares"/>
    <n v="4586.7299999999996"/>
    <s v="CONSTRUCTORA BRK S.A"/>
    <x v="5"/>
    <m/>
    <m/>
  </r>
  <r>
    <x v="3"/>
    <x v="3"/>
    <x v="2"/>
    <m/>
    <x v="1"/>
    <x v="1"/>
    <d v="2025-12-30T00:00:00"/>
    <s v="Dólares"/>
    <n v="4574.8599999999997"/>
    <s v="MOISHELE"/>
    <x v="8"/>
    <m/>
    <m/>
  </r>
  <r>
    <x v="0"/>
    <x v="1"/>
    <x v="0"/>
    <n v="10026806"/>
    <x v="1"/>
    <x v="2"/>
    <d v="2025-06-12T00:00:00"/>
    <s v="Dólares"/>
    <n v="4573.71"/>
    <s v="INVERSIONES FUTURA ANDINO S.A"/>
    <x v="5"/>
    <m/>
    <m/>
  </r>
  <r>
    <x v="3"/>
    <x v="3"/>
    <x v="0"/>
    <m/>
    <x v="1"/>
    <x v="4"/>
    <d v="2026-01-26T00:00:00"/>
    <s v="Dólares"/>
    <n v="4562.1000000000004"/>
    <s v="RHYTMLINK - GRUPO DESARROLLADOR DE PARQUES INDUSTRIALES SOCIED"/>
    <x v="3"/>
    <m/>
    <m/>
  </r>
  <r>
    <x v="3"/>
    <x v="3"/>
    <x v="2"/>
    <n v="70156"/>
    <x v="1"/>
    <x v="0"/>
    <d v="2025-06-01T00:00:00"/>
    <s v="Dólares"/>
    <n v="4550"/>
    <s v="CONICO, CONSULTORIA INTEGRAL DE LA CONSTRUCCION, SOCIEDAD ANONIMA (CULTIVARTE)"/>
    <x v="5"/>
    <m/>
    <m/>
  </r>
  <r>
    <x v="0"/>
    <x v="0"/>
    <x v="0"/>
    <m/>
    <x v="1"/>
    <x v="4"/>
    <d v="2025-05-23T00:00:00"/>
    <s v="Dólares"/>
    <n v="4500"/>
    <s v="MARIA ANDREA MOLIGNANO"/>
    <x v="0"/>
    <m/>
    <m/>
  </r>
  <r>
    <x v="0"/>
    <x v="0"/>
    <x v="0"/>
    <m/>
    <x v="1"/>
    <x v="3"/>
    <d v="2025-08-19T00:00:00"/>
    <s v="Colones"/>
    <n v="900"/>
    <s v="JERRY SANCHEZ"/>
    <x v="1"/>
    <m/>
    <m/>
  </r>
  <r>
    <x v="0"/>
    <x v="3"/>
    <x v="1"/>
    <n v="10026900"/>
    <x v="1"/>
    <x v="4"/>
    <d v="2025-06-23T00:00:00"/>
    <s v="Dólares"/>
    <n v="4500"/>
    <s v="REPUBLIC WORKSPACE"/>
    <x v="5"/>
    <m/>
    <m/>
  </r>
  <r>
    <x v="0"/>
    <x v="0"/>
    <x v="0"/>
    <m/>
    <x v="1"/>
    <x v="3"/>
    <d v="2025-08-19T00:00:00"/>
    <s v="Dólares"/>
    <n v="100"/>
    <s v="JUAN RAVEN WITHFORD"/>
    <x v="1"/>
    <m/>
    <m/>
  </r>
  <r>
    <x v="1"/>
    <x v="0"/>
    <x v="0"/>
    <n v="10816"/>
    <x v="1"/>
    <x v="4"/>
    <d v="2025-10-22T00:00:00"/>
    <s v="Dólares"/>
    <n v="4500"/>
    <s v="Stephanie Kennedy"/>
    <x v="2"/>
    <m/>
    <m/>
  </r>
  <r>
    <x v="1"/>
    <x v="0"/>
    <x v="0"/>
    <n v="10859"/>
    <x v="1"/>
    <x v="4"/>
    <d v="2025-12-26T00:00:00"/>
    <s v="Dólares"/>
    <n v="4500"/>
    <s v="SORAYA SOLANO ACUÑA"/>
    <x v="8"/>
    <m/>
    <m/>
  </r>
  <r>
    <x v="0"/>
    <x v="2"/>
    <x v="2"/>
    <m/>
    <x v="1"/>
    <x v="0"/>
    <d v="2025-11-06T00:00:00"/>
    <s v="Dólares"/>
    <n v="4496.04"/>
    <s v="CAPRIS SERVICES AND ENGINEERING CO SOCIEDAD ANONIMA"/>
    <x v="4"/>
    <m/>
    <m/>
  </r>
  <r>
    <x v="0"/>
    <x v="3"/>
    <x v="2"/>
    <m/>
    <x v="1"/>
    <x v="3"/>
    <d v="2025-08-20T00:00:00"/>
    <s v="Dólares"/>
    <n v="75000"/>
    <s v="CONSTRUCTORA GONZALO DELGADO SOCIEDAD ANONIMA"/>
    <x v="1"/>
    <m/>
    <m/>
  </r>
  <r>
    <x v="0"/>
    <x v="3"/>
    <x v="0"/>
    <m/>
    <x v="1"/>
    <x v="0"/>
    <d v="2025-11-04T00:00:00"/>
    <s v="Colones"/>
    <n v="4478.2942352941182"/>
    <s v="UNIVERSIDAD COSTA RICA"/>
    <x v="4"/>
    <m/>
    <m/>
  </r>
  <r>
    <x v="0"/>
    <x v="0"/>
    <x v="0"/>
    <m/>
    <x v="1"/>
    <x v="0"/>
    <d v="2025-09-05T00:00:00"/>
    <s v="Dólares"/>
    <n v="4466"/>
    <s v="DERSU DIAZ VALVERDE"/>
    <x v="9"/>
    <m/>
    <m/>
  </r>
  <r>
    <x v="0"/>
    <x v="2"/>
    <x v="0"/>
    <m/>
    <x v="1"/>
    <x v="0"/>
    <d v="2025-08-08T00:00:00"/>
    <s v="Dólares"/>
    <n v="4455"/>
    <s v="COSTACON"/>
    <x v="1"/>
    <m/>
    <m/>
  </r>
  <r>
    <x v="3"/>
    <x v="3"/>
    <x v="0"/>
    <n v="15159"/>
    <x v="1"/>
    <x v="0"/>
    <d v="2025-06-03T00:00:00"/>
    <s v="Dólares"/>
    <n v="4453.04"/>
    <s v="DHL CUSTOMS (COSTA RICA) SOCIEDAD ANONIMA"/>
    <x v="5"/>
    <m/>
    <m/>
  </r>
  <r>
    <x v="0"/>
    <x v="3"/>
    <x v="0"/>
    <m/>
    <x v="1"/>
    <x v="4"/>
    <d v="2025-09-25T00:00:00"/>
    <s v="Dólares"/>
    <n v="4447.6000000000004"/>
    <s v="MICROVENTION"/>
    <x v="9"/>
    <m/>
    <m/>
  </r>
  <r>
    <x v="0"/>
    <x v="0"/>
    <x v="0"/>
    <m/>
    <x v="1"/>
    <x v="4"/>
    <d v="2025-08-27T00:00:00"/>
    <s v="Colones"/>
    <n v="4445"/>
    <s v="JOHNNY VEGA BRENES"/>
    <x v="1"/>
    <m/>
    <m/>
  </r>
  <r>
    <x v="3"/>
    <x v="3"/>
    <x v="0"/>
    <m/>
    <x v="1"/>
    <x v="2"/>
    <d v="2025-12-09T00:00:00"/>
    <s v="Dólares"/>
    <n v="4435.9799999999996"/>
    <s v="RHYTMLINK"/>
    <x v="8"/>
    <m/>
    <m/>
  </r>
  <r>
    <x v="0"/>
    <x v="1"/>
    <x v="2"/>
    <m/>
    <x v="1"/>
    <x v="3"/>
    <d v="2025-08-20T00:00:00"/>
    <s v="Dólares"/>
    <n v="59500.44"/>
    <s v="DESARROLLO ECOLOGICO EL CANAL"/>
    <x v="1"/>
    <m/>
    <m/>
  </r>
  <r>
    <x v="0"/>
    <x v="1"/>
    <x v="2"/>
    <m/>
    <x v="1"/>
    <x v="3"/>
    <d v="2025-08-20T00:00:00"/>
    <s v="Dólares"/>
    <n v="32759.22"/>
    <s v="DESARROLLO VIVE TIBAS DVT S.A"/>
    <x v="1"/>
    <m/>
    <m/>
  </r>
  <r>
    <x v="0"/>
    <x v="0"/>
    <x v="0"/>
    <m/>
    <x v="1"/>
    <x v="2"/>
    <d v="2026-01-12T00:00:00"/>
    <s v="Dólares"/>
    <n v="4400"/>
    <s v="SANDRA LIZETT PERLA CAMPOS DE MELARA"/>
    <x v="3"/>
    <m/>
    <m/>
  </r>
  <r>
    <x v="0"/>
    <x v="2"/>
    <x v="1"/>
    <n v="10026909"/>
    <x v="1"/>
    <x v="2"/>
    <d v="2025-06-10T00:00:00"/>
    <s v="Dólares"/>
    <n v="4383.99"/>
    <s v="NUTRICARE S,A "/>
    <x v="5"/>
    <m/>
    <m/>
  </r>
  <r>
    <x v="3"/>
    <x v="3"/>
    <x v="0"/>
    <n v="15160"/>
    <x v="1"/>
    <x v="0"/>
    <d v="2025-06-05T00:00:00"/>
    <s v="Dólares"/>
    <n v="4382.63"/>
    <s v="CONTRACT WORKPLACES COSTA RICA SOCIEDAD ANONIMA"/>
    <x v="5"/>
    <m/>
    <m/>
  </r>
  <r>
    <x v="0"/>
    <x v="0"/>
    <x v="0"/>
    <m/>
    <x v="1"/>
    <x v="3"/>
    <d v="2025-08-20T00:00:00"/>
    <s v="Colones"/>
    <n v="1830"/>
    <s v="ELIZABETH ADAM"/>
    <x v="1"/>
    <m/>
    <m/>
  </r>
  <r>
    <x v="3"/>
    <x v="3"/>
    <x v="0"/>
    <m/>
    <x v="1"/>
    <x v="3"/>
    <d v="2025-08-20T00:00:00"/>
    <s v="Dólares"/>
    <n v="1699.1"/>
    <s v="CONTRACT WORKPLACES"/>
    <x v="1"/>
    <m/>
    <m/>
  </r>
  <r>
    <x v="0"/>
    <x v="2"/>
    <x v="0"/>
    <m/>
    <x v="1"/>
    <x v="0"/>
    <d v="2025-12-05T00:00:00"/>
    <s v="Dólares"/>
    <n v="4353.53"/>
    <s v="CONSTRUCTORA GONZALO DELGADO"/>
    <x v="8"/>
    <m/>
    <m/>
  </r>
  <r>
    <x v="3"/>
    <x v="3"/>
    <x v="0"/>
    <n v="15200"/>
    <x v="1"/>
    <x v="1"/>
    <d v="2025-07-30T00:00:00"/>
    <s v="Dólares"/>
    <n v="4348.8100000000004"/>
    <s v="CONTRACT WORKPLACES COSTA RICA SOCIEDAD ANONIMA"/>
    <x v="7"/>
    <m/>
    <m/>
  </r>
  <r>
    <x v="0"/>
    <x v="2"/>
    <x v="0"/>
    <m/>
    <x v="1"/>
    <x v="3"/>
    <d v="2025-08-20T00:00:00"/>
    <s v="Dólares"/>
    <n v="1186.27"/>
    <s v="GRUPO TLA"/>
    <x v="1"/>
    <m/>
    <m/>
  </r>
  <r>
    <x v="0"/>
    <x v="2"/>
    <x v="0"/>
    <m/>
    <x v="1"/>
    <x v="4"/>
    <d v="2025-11-28T00:00:00"/>
    <s v="Dólares"/>
    <n v="4301.91"/>
    <s v="BM CEDI"/>
    <x v="4"/>
    <m/>
    <m/>
  </r>
  <r>
    <x v="0"/>
    <x v="0"/>
    <x v="0"/>
    <m/>
    <x v="1"/>
    <x v="3"/>
    <d v="2025-08-20T00:00:00"/>
    <s v="Colones"/>
    <n v="975"/>
    <s v="NANCY CAMPOS NAVARRO"/>
    <x v="1"/>
    <m/>
    <m/>
  </r>
  <r>
    <x v="0"/>
    <x v="0"/>
    <x v="0"/>
    <n v="10027697"/>
    <x v="1"/>
    <x v="0"/>
    <d v="2025-10-02T00:00:00"/>
    <s v="Dólares"/>
    <n v="4280"/>
    <s v="EMMANUEL CHAVARRIA ALFARO"/>
    <x v="2"/>
    <m/>
    <m/>
  </r>
  <r>
    <x v="0"/>
    <x v="2"/>
    <x v="0"/>
    <m/>
    <x v="1"/>
    <x v="2"/>
    <d v="2025-06-13T00:00:00"/>
    <s v="Dólares"/>
    <n v="4279.5200000000004"/>
    <s v="SPORT RETAIL COSTA RICA"/>
    <x v="5"/>
    <m/>
    <m/>
  </r>
  <r>
    <x v="0"/>
    <x v="1"/>
    <x v="2"/>
    <m/>
    <x v="1"/>
    <x v="4"/>
    <d v="2025-08-27T00:00:00"/>
    <s v="Dólares"/>
    <n v="4253.2"/>
    <s v="3-101-843088"/>
    <x v="1"/>
    <m/>
    <m/>
  </r>
  <r>
    <x v="0"/>
    <x v="0"/>
    <x v="0"/>
    <n v="10027172"/>
    <x v="1"/>
    <x v="4"/>
    <d v="2025-07-26T00:00:00"/>
    <s v="Dólares"/>
    <n v="4250"/>
    <s v="ADRIANA DEL PILAR VARGAS SANABRIA"/>
    <x v="7"/>
    <m/>
    <m/>
  </r>
  <r>
    <x v="2"/>
    <x v="3"/>
    <x v="0"/>
    <m/>
    <x v="1"/>
    <x v="4"/>
    <d v="2025-12-27T00:00:00"/>
    <s v="Dólares"/>
    <n v="4234.83"/>
    <s v="SEMANA 04 EXPRESS"/>
    <x v="8"/>
    <m/>
    <m/>
  </r>
  <r>
    <x v="0"/>
    <x v="0"/>
    <x v="0"/>
    <m/>
    <x v="1"/>
    <x v="3"/>
    <d v="2025-08-20T00:00:00"/>
    <s v="Colones"/>
    <n v="946.54"/>
    <s v="DIEGO VALERIO"/>
    <x v="1"/>
    <m/>
    <m/>
  </r>
  <r>
    <x v="0"/>
    <x v="1"/>
    <x v="0"/>
    <m/>
    <x v="0"/>
    <x v="4"/>
    <d v="2025-08-29T00:00:00"/>
    <s v="Dólares"/>
    <n v="333000"/>
    <s v="EDICA - SKY GARDEN MUEBLES"/>
    <x v="1"/>
    <m/>
    <m/>
  </r>
  <r>
    <x v="0"/>
    <x v="1"/>
    <x v="2"/>
    <m/>
    <x v="0"/>
    <x v="4"/>
    <d v="2025-08-29T00:00:00"/>
    <s v="Dólares"/>
    <n v="65703.81"/>
    <s v="BILCO COSTA RICA SA"/>
    <x v="1"/>
    <m/>
    <m/>
  </r>
  <r>
    <x v="0"/>
    <x v="1"/>
    <x v="2"/>
    <m/>
    <x v="0"/>
    <x v="4"/>
    <d v="2025-08-29T00:00:00"/>
    <s v="Dólares"/>
    <n v="19513.990000000002"/>
    <s v="BILCO COSTA RICA SA"/>
    <x v="1"/>
    <m/>
    <m/>
  </r>
  <r>
    <x v="0"/>
    <x v="1"/>
    <x v="0"/>
    <m/>
    <x v="0"/>
    <x v="4"/>
    <d v="2025-08-29T00:00:00"/>
    <s v="Dólares"/>
    <n v="12152.58"/>
    <s v="BILCO COSTA RICA SA"/>
    <x v="1"/>
    <m/>
    <m/>
  </r>
  <r>
    <x v="0"/>
    <x v="1"/>
    <x v="2"/>
    <m/>
    <x v="0"/>
    <x v="4"/>
    <d v="2025-08-29T00:00:00"/>
    <s v="Dólares"/>
    <n v="11787.33"/>
    <s v="VOLIO Y TREJOS ASOCIADOS S.A"/>
    <x v="1"/>
    <m/>
    <m/>
  </r>
  <r>
    <x v="0"/>
    <x v="1"/>
    <x v="2"/>
    <m/>
    <x v="0"/>
    <x v="4"/>
    <d v="2025-08-29T00:00:00"/>
    <s v="Dólares"/>
    <n v="10000"/>
    <s v="PRODEYCO"/>
    <x v="1"/>
    <m/>
    <m/>
  </r>
  <r>
    <x v="1"/>
    <x v="0"/>
    <x v="0"/>
    <n v="10767"/>
    <x v="1"/>
    <x v="3"/>
    <d v="2025-08-20T00:00:00"/>
    <s v="Dólares"/>
    <n v="375"/>
    <s v="JOSE LEON FROIMZON ROCHWERGER"/>
    <x v="1"/>
    <m/>
    <m/>
  </r>
  <r>
    <x v="3"/>
    <x v="3"/>
    <x v="0"/>
    <n v="15161"/>
    <x v="1"/>
    <x v="0"/>
    <d v="2025-06-05T00:00:00"/>
    <s v="Dólares"/>
    <n v="4200.46"/>
    <s v="CONTRACT WORKPLACES COSTA RICA SOCIEDAD ANONIMA"/>
    <x v="5"/>
    <m/>
    <m/>
  </r>
  <r>
    <x v="0"/>
    <x v="0"/>
    <x v="0"/>
    <n v="10028468"/>
    <x v="1"/>
    <x v="0"/>
    <d v="2026-02-06T00:00:00"/>
    <s v="Colones"/>
    <n v="872.53729838709683"/>
    <s v="SYLVIA MARTINEZ MONTOYA"/>
    <x v="6"/>
    <m/>
    <m/>
  </r>
  <r>
    <x v="0"/>
    <x v="0"/>
    <x v="0"/>
    <n v="10027033"/>
    <x v="1"/>
    <x v="2"/>
    <d v="2025-07-09T00:00:00"/>
    <s v="Dólares"/>
    <n v="4200"/>
    <s v="EDUARDO ANDRES JILIBERTO FRITIS"/>
    <x v="7"/>
    <m/>
    <m/>
  </r>
  <r>
    <x v="0"/>
    <x v="0"/>
    <x v="0"/>
    <m/>
    <x v="1"/>
    <x v="2"/>
    <d v="2025-10-07T00:00:00"/>
    <s v="Dólares"/>
    <n v="4200"/>
    <s v="NILSON SOLIS GODINEZ"/>
    <x v="2"/>
    <m/>
    <m/>
  </r>
  <r>
    <x v="0"/>
    <x v="0"/>
    <x v="0"/>
    <m/>
    <x v="1"/>
    <x v="3"/>
    <d v="2025-08-20T00:00:00"/>
    <s v="Colones"/>
    <n v="347.05882352941177"/>
    <s v="SIN IDENTIFICAR"/>
    <x v="1"/>
    <m/>
    <m/>
  </r>
  <r>
    <x v="0"/>
    <x v="2"/>
    <x v="0"/>
    <n v="10027572"/>
    <x v="1"/>
    <x v="4"/>
    <d v="2025-09-18T00:00:00"/>
    <s v="Dólares"/>
    <n v="4172.5600000000004"/>
    <s v="VWR INTERNATIONAL LIMITADA"/>
    <x v="9"/>
    <m/>
    <m/>
  </r>
  <r>
    <x v="0"/>
    <x v="2"/>
    <x v="0"/>
    <n v="10026696"/>
    <x v="1"/>
    <x v="1"/>
    <d v="2025-05-27T00:00:00"/>
    <s v="Dólares"/>
    <n v="4159.71"/>
    <s v="DISTRIBUIDORA LA FLORIDA S.A."/>
    <x v="0"/>
    <m/>
    <m/>
  </r>
  <r>
    <x v="0"/>
    <x v="3"/>
    <x v="0"/>
    <m/>
    <x v="1"/>
    <x v="2"/>
    <d v="2025-10-10T00:00:00"/>
    <s v="Dólares"/>
    <n v="4154.76"/>
    <s v="RAU PRECISION METALS S.A."/>
    <x v="2"/>
    <m/>
    <m/>
  </r>
  <r>
    <x v="0"/>
    <x v="0"/>
    <x v="0"/>
    <m/>
    <x v="1"/>
    <x v="3"/>
    <d v="2025-08-20T00:00:00"/>
    <s v="Colones"/>
    <n v="103.92156862745098"/>
    <s v="JEFFERSON STIVEN CAMACHO"/>
    <x v="1"/>
    <m/>
    <m/>
  </r>
  <r>
    <x v="0"/>
    <x v="0"/>
    <x v="0"/>
    <m/>
    <x v="1"/>
    <x v="3"/>
    <d v="2025-08-20T00:00:00"/>
    <s v="Colones"/>
    <n v="79.099999999999994"/>
    <s v="JONATHAN STEVEN SANCHEZ"/>
    <x v="1"/>
    <m/>
    <m/>
  </r>
  <r>
    <x v="0"/>
    <x v="0"/>
    <x v="0"/>
    <m/>
    <x v="1"/>
    <x v="0"/>
    <d v="2025-09-03T00:00:00"/>
    <s v="Dólares"/>
    <n v="4100"/>
    <s v="Paola Cuero"/>
    <x v="9"/>
    <m/>
    <m/>
  </r>
  <r>
    <x v="0"/>
    <x v="0"/>
    <x v="0"/>
    <n v="10028266"/>
    <x v="1"/>
    <x v="2"/>
    <d v="2026-01-12T00:00:00"/>
    <s v="Dólares"/>
    <n v="4091"/>
    <s v="VILMA PATRICIA OCONITRILLO ORTIZ"/>
    <x v="3"/>
    <m/>
    <m/>
  </r>
  <r>
    <x v="0"/>
    <x v="0"/>
    <x v="0"/>
    <n v="10027147"/>
    <x v="1"/>
    <x v="4"/>
    <d v="2025-07-23T00:00:00"/>
    <s v="Colones"/>
    <n v="4065.1559055118109"/>
    <s v="MONICA PEREZ MARTINEZ"/>
    <x v="7"/>
    <m/>
    <m/>
  </r>
  <r>
    <x v="0"/>
    <x v="2"/>
    <x v="0"/>
    <m/>
    <x v="1"/>
    <x v="0"/>
    <d v="2025-09-02T00:00:00"/>
    <s v="Dólares"/>
    <n v="4057.56"/>
    <s v="NESTLE EL SALVADOR, S.A. DE C.V."/>
    <x v="9"/>
    <m/>
    <m/>
  </r>
  <r>
    <x v="0"/>
    <x v="2"/>
    <x v="0"/>
    <m/>
    <x v="1"/>
    <x v="4"/>
    <d v="2025-08-28T00:00:00"/>
    <s v="Dólares"/>
    <n v="4048.46"/>
    <s v="SMC COSTA RICA"/>
    <x v="1"/>
    <m/>
    <m/>
  </r>
  <r>
    <x v="0"/>
    <x v="3"/>
    <x v="0"/>
    <m/>
    <x v="1"/>
    <x v="2"/>
    <d v="2025-09-08T00:00:00"/>
    <s v="Dólares"/>
    <n v="4045.27"/>
    <s v="EUROCENTER INMOBILIARIA"/>
    <x v="9"/>
    <m/>
    <m/>
  </r>
  <r>
    <x v="0"/>
    <x v="0"/>
    <x v="0"/>
    <m/>
    <x v="0"/>
    <x v="4"/>
    <d v="2025-08-30T00:00:00"/>
    <s v="Dólares"/>
    <n v="60000"/>
    <s v="Clientes Nuevos"/>
    <x v="1"/>
    <m/>
    <m/>
  </r>
  <r>
    <x v="1"/>
    <x v="0"/>
    <x v="0"/>
    <m/>
    <x v="0"/>
    <x v="4"/>
    <d v="2025-08-30T00:00:00"/>
    <s v="Dólares"/>
    <n v="40000"/>
    <s v="Clientes Nuevos"/>
    <x v="1"/>
    <m/>
    <m/>
  </r>
  <r>
    <x v="0"/>
    <x v="2"/>
    <x v="0"/>
    <m/>
    <x v="0"/>
    <x v="4"/>
    <d v="2025-08-30T00:00:00"/>
    <s v="Dólares"/>
    <n v="39546.9"/>
    <s v="CORPORACION DE SUMINISTROS Y MATERIALES DE CONSTRUCCION SOCIEDAD ANONIMA"/>
    <x v="1"/>
    <m/>
    <m/>
  </r>
  <r>
    <x v="0"/>
    <x v="2"/>
    <x v="0"/>
    <m/>
    <x v="0"/>
    <x v="4"/>
    <d v="2025-08-30T00:00:00"/>
    <s v="Dólares"/>
    <n v="15891"/>
    <s v="SWAV CR SOCIEDAD DE RESPONSABILIDAD LIMITADA"/>
    <x v="1"/>
    <m/>
    <m/>
  </r>
  <r>
    <x v="0"/>
    <x v="2"/>
    <x v="0"/>
    <m/>
    <x v="0"/>
    <x v="4"/>
    <d v="2025-08-30T00:00:00"/>
    <s v="Dólares"/>
    <n v="15891"/>
    <s v="TERADYNE DECOSTA RICA SOCIEDAD DE RESPONSABILIDAD LIMITADA"/>
    <x v="1"/>
    <m/>
    <m/>
  </r>
  <r>
    <x v="0"/>
    <x v="3"/>
    <x v="0"/>
    <m/>
    <x v="0"/>
    <x v="4"/>
    <d v="2025-08-30T00:00:00"/>
    <s v="Dólares"/>
    <n v="94400"/>
    <s v="P Y P CONSTRUCCIONES SOCIEDAD ANONIMA"/>
    <x v="1"/>
    <m/>
    <m/>
  </r>
  <r>
    <x v="0"/>
    <x v="3"/>
    <x v="2"/>
    <m/>
    <x v="0"/>
    <x v="4"/>
    <d v="2025-08-30T00:00:00"/>
    <s v="Dólares"/>
    <n v="50887"/>
    <s v="UNIVERSIDAD ESTATAL A DISTANCIA"/>
    <x v="1"/>
    <m/>
    <m/>
  </r>
  <r>
    <x v="3"/>
    <x v="3"/>
    <x v="0"/>
    <m/>
    <x v="0"/>
    <x v="4"/>
    <d v="2025-08-30T00:00:00"/>
    <s v="Dólares"/>
    <n v="42500"/>
    <s v="ULTRAPARK"/>
    <x v="1"/>
    <m/>
    <m/>
  </r>
  <r>
    <x v="0"/>
    <x v="3"/>
    <x v="2"/>
    <m/>
    <x v="0"/>
    <x v="4"/>
    <d v="2025-08-30T00:00:00"/>
    <s v="Dólares"/>
    <n v="24520.39"/>
    <s v="EDIFICADORA CENTROAMERICANA RAPIPAREDES S.A."/>
    <x v="1"/>
    <m/>
    <m/>
  </r>
  <r>
    <x v="2"/>
    <x v="3"/>
    <x v="0"/>
    <m/>
    <x v="0"/>
    <x v="4"/>
    <d v="2025-08-30T00:00:00"/>
    <s v="Dólares"/>
    <n v="20000"/>
    <s v="PROYECCION SEMANA 04 OUTLET AGOSTO"/>
    <x v="1"/>
    <m/>
    <m/>
  </r>
  <r>
    <x v="0"/>
    <x v="3"/>
    <x v="2"/>
    <m/>
    <x v="0"/>
    <x v="4"/>
    <d v="2025-08-30T00:00:00"/>
    <s v="Dólares"/>
    <n v="8000"/>
    <s v="FEDERACION COSTARRICENSE DE FUTBOL"/>
    <x v="1"/>
    <m/>
    <m/>
  </r>
  <r>
    <x v="0"/>
    <x v="0"/>
    <x v="0"/>
    <m/>
    <x v="1"/>
    <x v="3"/>
    <d v="2025-08-20T00:00:00"/>
    <s v="Colones"/>
    <n v="79.099999999999994"/>
    <s v="CAROLINA MADRIGAL OROZCO"/>
    <x v="1"/>
    <m/>
    <m/>
  </r>
  <r>
    <x v="0"/>
    <x v="2"/>
    <x v="0"/>
    <m/>
    <x v="1"/>
    <x v="1"/>
    <d v="2025-10-27T00:00:00"/>
    <s v="Colones"/>
    <n v="4034.2492156862745"/>
    <s v="WISOL AMERICANA"/>
    <x v="2"/>
    <m/>
    <m/>
  </r>
  <r>
    <x v="0"/>
    <x v="0"/>
    <x v="0"/>
    <n v="10026493"/>
    <x v="1"/>
    <x v="0"/>
    <d v="2025-05-02T00:00:00"/>
    <s v="Dólares"/>
    <n v="4000"/>
    <s v="YARKONI ORLANDO ROJAS ALVARADO"/>
    <x v="0"/>
    <m/>
    <m/>
  </r>
  <r>
    <x v="0"/>
    <x v="0"/>
    <x v="0"/>
    <n v="10026491"/>
    <x v="1"/>
    <x v="2"/>
    <d v="2025-05-05T00:00:00"/>
    <s v="Dólares"/>
    <n v="4000"/>
    <s v="MILTON BALTODANO BALTODANO"/>
    <x v="0"/>
    <m/>
    <m/>
  </r>
  <r>
    <x v="0"/>
    <x v="0"/>
    <x v="0"/>
    <m/>
    <x v="1"/>
    <x v="4"/>
    <d v="2025-05-23T00:00:00"/>
    <s v="Dólares"/>
    <n v="4000"/>
    <s v="3-102-742005 SOCIEDAD DE RESPONSABILIDAD LIMITADA"/>
    <x v="0"/>
    <m/>
    <m/>
  </r>
  <r>
    <x v="0"/>
    <x v="2"/>
    <x v="1"/>
    <m/>
    <x v="1"/>
    <x v="0"/>
    <d v="2025-06-06T00:00:00"/>
    <s v="Dólares"/>
    <n v="4000"/>
    <s v="IMPESA - SIN IDENTIFICAR"/>
    <x v="5"/>
    <m/>
    <m/>
  </r>
  <r>
    <x v="0"/>
    <x v="2"/>
    <x v="1"/>
    <m/>
    <x v="1"/>
    <x v="0"/>
    <d v="2025-06-06T00:00:00"/>
    <s v="Dólares"/>
    <n v="4000"/>
    <s v="IMPESA - SIN IDENTIFICAR"/>
    <x v="5"/>
    <m/>
    <m/>
  </r>
  <r>
    <x v="3"/>
    <x v="3"/>
    <x v="2"/>
    <m/>
    <x v="1"/>
    <x v="0"/>
    <d v="2025-06-08T00:00:00"/>
    <s v="Dólares"/>
    <n v="4000"/>
    <s v="CONICO, CONSULTORIA INTEGRAL DE LA CONSTRUCCION, SOCIEDAD ANONIMA"/>
    <x v="5"/>
    <m/>
    <m/>
  </r>
  <r>
    <x v="0"/>
    <x v="2"/>
    <x v="0"/>
    <m/>
    <x v="1"/>
    <x v="3"/>
    <d v="2025-08-21T00:00:00"/>
    <s v="Dólares"/>
    <n v="109032.52"/>
    <s v="CSI LEASING DE CENTROAMERICA SOCIEDAD DE RESPONSAB"/>
    <x v="1"/>
    <m/>
    <m/>
  </r>
  <r>
    <x v="0"/>
    <x v="0"/>
    <x v="0"/>
    <n v="10027129"/>
    <x v="1"/>
    <x v="4"/>
    <d v="2025-07-21T00:00:00"/>
    <s v="Dólares"/>
    <n v="4000"/>
    <s v="RUTH MARIA MORA RUIZ"/>
    <x v="7"/>
    <m/>
    <m/>
  </r>
  <r>
    <x v="0"/>
    <x v="0"/>
    <x v="1"/>
    <m/>
    <x v="1"/>
    <x v="4"/>
    <d v="2025-07-24T00:00:00"/>
    <s v="Dólares"/>
    <n v="4000"/>
    <s v="ADELANTO COCINA - CARLOS GERARDO CARVAJAL"/>
    <x v="7"/>
    <m/>
    <m/>
  </r>
  <r>
    <x v="0"/>
    <x v="0"/>
    <x v="0"/>
    <n v="10024204"/>
    <x v="1"/>
    <x v="4"/>
    <d v="2025-07-24T00:00:00"/>
    <s v="Dólares"/>
    <n v="4000"/>
    <s v="CENTRO DE ESTACIONAMIENTO SAN PEDRO M O SOCIEDAD ANONIMA"/>
    <x v="7"/>
    <m/>
    <m/>
  </r>
  <r>
    <x v="0"/>
    <x v="0"/>
    <x v="0"/>
    <n v="10027205"/>
    <x v="1"/>
    <x v="1"/>
    <d v="2025-07-28T00:00:00"/>
    <s v="Dólares"/>
    <n v="4000"/>
    <s v="INVERSIONES EL ZARPE LIMITADA"/>
    <x v="7"/>
    <m/>
    <m/>
  </r>
  <r>
    <x v="0"/>
    <x v="0"/>
    <x v="0"/>
    <n v="10027226"/>
    <x v="1"/>
    <x v="0"/>
    <d v="2025-08-01T00:00:00"/>
    <s v="Dólares"/>
    <n v="4000"/>
    <s v="MELANIA CASTRO ANDERSON"/>
    <x v="1"/>
    <m/>
    <m/>
  </r>
  <r>
    <x v="0"/>
    <x v="0"/>
    <x v="0"/>
    <n v="10027236"/>
    <x v="1"/>
    <x v="0"/>
    <d v="2025-08-04T00:00:00"/>
    <s v="Dólares"/>
    <n v="4000"/>
    <s v="EULLEN GIMENA CHAVARRIA ELIZONDO"/>
    <x v="1"/>
    <m/>
    <m/>
  </r>
  <r>
    <x v="0"/>
    <x v="2"/>
    <x v="0"/>
    <m/>
    <x v="1"/>
    <x v="3"/>
    <d v="2025-08-21T00:00:00"/>
    <s v="Dólares"/>
    <n v="15777.5"/>
    <s v="ILG SUPPLY CHAIN SERVICES, SOCIEDAD ANONIMA"/>
    <x v="1"/>
    <m/>
    <m/>
  </r>
  <r>
    <x v="0"/>
    <x v="3"/>
    <x v="0"/>
    <m/>
    <x v="1"/>
    <x v="3"/>
    <d v="2025-08-21T00:00:00"/>
    <s v="Dólares"/>
    <n v="12197.51"/>
    <s v="COINCA COMUNICACIONES"/>
    <x v="1"/>
    <m/>
    <m/>
  </r>
  <r>
    <x v="3"/>
    <x v="3"/>
    <x v="0"/>
    <m/>
    <x v="1"/>
    <x v="3"/>
    <d v="2025-08-21T00:00:00"/>
    <s v="Colones"/>
    <n v="5310.1509019607838"/>
    <s v="FLORIDA BEBIDAS"/>
    <x v="1"/>
    <m/>
    <m/>
  </r>
  <r>
    <x v="0"/>
    <x v="3"/>
    <x v="2"/>
    <m/>
    <x v="1"/>
    <x v="3"/>
    <d v="2025-08-21T00:00:00"/>
    <s v="Dólares"/>
    <n v="3000"/>
    <s v="FEDERACION COSTARRICENSE DE FUTBOL"/>
    <x v="1"/>
    <m/>
    <m/>
  </r>
  <r>
    <x v="0"/>
    <x v="0"/>
    <x v="0"/>
    <m/>
    <x v="1"/>
    <x v="0"/>
    <d v="2025-09-03T00:00:00"/>
    <s v="Dólares"/>
    <n v="4000"/>
    <s v="Carlos Madrigal"/>
    <x v="9"/>
    <m/>
    <m/>
  </r>
  <r>
    <x v="0"/>
    <x v="0"/>
    <x v="0"/>
    <n v="10027855"/>
    <x v="1"/>
    <x v="1"/>
    <d v="2025-10-28T00:00:00"/>
    <s v="Dólares"/>
    <n v="4000"/>
    <s v="EDIFITEC CONSTRUCCIONES TECNICAS SOCIEDAD ANONIMA"/>
    <x v="2"/>
    <m/>
    <m/>
  </r>
  <r>
    <x v="1"/>
    <x v="0"/>
    <x v="0"/>
    <m/>
    <x v="1"/>
    <x v="2"/>
    <d v="2025-12-12T00:00:00"/>
    <s v="Dólares"/>
    <n v="4000"/>
    <s v="Isabella Karczynka"/>
    <x v="8"/>
    <m/>
    <m/>
  </r>
  <r>
    <x v="0"/>
    <x v="0"/>
    <x v="0"/>
    <m/>
    <x v="1"/>
    <x v="3"/>
    <d v="2025-08-21T00:00:00"/>
    <s v="Dólares"/>
    <n v="565.41999999999996"/>
    <s v="INVERSIONES QT "/>
    <x v="1"/>
    <m/>
    <m/>
  </r>
  <r>
    <x v="0"/>
    <x v="0"/>
    <x v="0"/>
    <m/>
    <x v="1"/>
    <x v="4"/>
    <d v="2025-12-24T00:00:00"/>
    <s v="Dólares"/>
    <n v="4000"/>
    <s v="DENNIS JOSE RODRIGUEZ ARCE"/>
    <x v="8"/>
    <m/>
    <m/>
  </r>
  <r>
    <x v="0"/>
    <x v="2"/>
    <x v="0"/>
    <m/>
    <x v="1"/>
    <x v="0"/>
    <d v="2025-11-07T00:00:00"/>
    <s v="Dólares"/>
    <n v="3996.95"/>
    <s v="SABO INTERNACIONAL SOCIEDAD ANONIMA"/>
    <x v="4"/>
    <m/>
    <m/>
  </r>
  <r>
    <x v="0"/>
    <x v="0"/>
    <x v="0"/>
    <m/>
    <x v="1"/>
    <x v="4"/>
    <d v="2025-05-19T00:00:00"/>
    <s v="Dólares"/>
    <n v="3988.1889763779527"/>
    <s v="GREGORIO SEGURA COTO"/>
    <x v="0"/>
    <m/>
    <m/>
  </r>
  <r>
    <x v="0"/>
    <x v="0"/>
    <x v="0"/>
    <n v="10026505"/>
    <x v="1"/>
    <x v="2"/>
    <d v="2025-05-06T00:00:00"/>
    <s v="Dólares"/>
    <n v="3975"/>
    <s v="NORD NORTE SRL"/>
    <x v="0"/>
    <m/>
    <m/>
  </r>
  <r>
    <x v="0"/>
    <x v="0"/>
    <x v="0"/>
    <n v="10027675"/>
    <x v="1"/>
    <x v="1"/>
    <d v="2025-09-30T00:00:00"/>
    <s v="Dólares"/>
    <n v="3975"/>
    <s v="RESORT LIVING INTERNATIONAL SOCIEDAD ANONIMA"/>
    <x v="9"/>
    <m/>
    <m/>
  </r>
  <r>
    <x v="1"/>
    <x v="0"/>
    <x v="0"/>
    <m/>
    <x v="1"/>
    <x v="4"/>
    <d v="2026-01-27T00:00:00"/>
    <s v="Dólares"/>
    <n v="3960"/>
    <s v="JUAN PABLO FERNANDEZ DE LA HERRAN"/>
    <x v="3"/>
    <m/>
    <m/>
  </r>
  <r>
    <x v="0"/>
    <x v="3"/>
    <x v="0"/>
    <m/>
    <x v="1"/>
    <x v="4"/>
    <d v="2025-05-22T00:00:00"/>
    <s v="Dólares"/>
    <n v="3957.79"/>
    <s v="FONDO DE INVERSION INMOBILIARIO GIBRALTAR"/>
    <x v="0"/>
    <m/>
    <m/>
  </r>
  <r>
    <x v="0"/>
    <x v="2"/>
    <x v="0"/>
    <n v="10026793"/>
    <x v="1"/>
    <x v="2"/>
    <d v="2025-06-11T00:00:00"/>
    <s v="Dólares"/>
    <n v="3956.91"/>
    <s v="COMERCIAL INDUSTRIAL Y DE SERVICIOS COSTA RICA ,CISCOSA SOCIEDAD"/>
    <x v="5"/>
    <m/>
    <m/>
  </r>
  <r>
    <x v="0"/>
    <x v="0"/>
    <x v="0"/>
    <m/>
    <x v="1"/>
    <x v="3"/>
    <d v="2025-08-21T00:00:00"/>
    <s v="Dólares"/>
    <n v="452"/>
    <s v="BEACH HOUSE PINILLA - LOS ALMENDROS"/>
    <x v="1"/>
    <m/>
    <m/>
  </r>
  <r>
    <x v="0"/>
    <x v="0"/>
    <x v="0"/>
    <m/>
    <x v="1"/>
    <x v="4"/>
    <d v="2025-06-30T00:00:00"/>
    <s v="Colones"/>
    <n v="3937.0078740157483"/>
    <s v="LILLIAM ESCALANTE ARAUZ"/>
    <x v="5"/>
    <m/>
    <m/>
  </r>
  <r>
    <x v="0"/>
    <x v="0"/>
    <x v="0"/>
    <m/>
    <x v="1"/>
    <x v="4"/>
    <d v="2025-06-30T00:00:00"/>
    <s v="Colones"/>
    <n v="3937.0078740157483"/>
    <s v="LILLIAM ESCALANTE ARAUZ"/>
    <x v="5"/>
    <m/>
    <m/>
  </r>
  <r>
    <x v="0"/>
    <x v="2"/>
    <x v="2"/>
    <m/>
    <x v="1"/>
    <x v="0"/>
    <d v="2026-02-06T00:00:00"/>
    <s v="Dólares"/>
    <n v="801.66"/>
    <s v="CAFÉ BRITT"/>
    <x v="6"/>
    <m/>
    <m/>
  </r>
  <r>
    <x v="0"/>
    <x v="2"/>
    <x v="0"/>
    <m/>
    <x v="1"/>
    <x v="1"/>
    <d v="2025-09-30T00:00:00"/>
    <s v="Dólares"/>
    <n v="3926.56"/>
    <s v="Corporación Malmo"/>
    <x v="9"/>
    <m/>
    <m/>
  </r>
  <r>
    <x v="0"/>
    <x v="2"/>
    <x v="0"/>
    <n v="10027706"/>
    <x v="1"/>
    <x v="0"/>
    <d v="2025-10-03T00:00:00"/>
    <s v="Dólares"/>
    <n v="3926.56"/>
    <s v="CORPORACION MALMO SOCIEDAD DE RESPONSABILIDAD LIMITADA"/>
    <x v="2"/>
    <m/>
    <m/>
  </r>
  <r>
    <x v="0"/>
    <x v="3"/>
    <x v="0"/>
    <m/>
    <x v="1"/>
    <x v="0"/>
    <d v="2026-02-06T00:00:00"/>
    <s v="Dólares"/>
    <n v="542.4"/>
    <s v="PURDY MOTOR"/>
    <x v="6"/>
    <m/>
    <m/>
  </r>
  <r>
    <x v="0"/>
    <x v="0"/>
    <x v="0"/>
    <n v="10027964"/>
    <x v="1"/>
    <x v="2"/>
    <d v="2025-11-10T00:00:00"/>
    <s v="Dólares"/>
    <n v="3900"/>
    <s v="JULIO RICARDO LIZANO RODRIGUEZ"/>
    <x v="4"/>
    <m/>
    <m/>
  </r>
  <r>
    <x v="3"/>
    <x v="3"/>
    <x v="2"/>
    <m/>
    <x v="1"/>
    <x v="2"/>
    <d v="2025-12-13T00:00:00"/>
    <s v="Dólares"/>
    <n v="3877.21"/>
    <s v="CORE DESARROLLADORA"/>
    <x v="8"/>
    <m/>
    <m/>
  </r>
  <r>
    <x v="0"/>
    <x v="2"/>
    <x v="0"/>
    <m/>
    <x v="1"/>
    <x v="2"/>
    <d v="2025-07-09T00:00:00"/>
    <s v="Dólares"/>
    <n v="3874.32"/>
    <s v="GRUPO CORPORATIVO SM"/>
    <x v="7"/>
    <m/>
    <m/>
  </r>
  <r>
    <x v="0"/>
    <x v="2"/>
    <x v="0"/>
    <m/>
    <x v="1"/>
    <x v="3"/>
    <d v="2025-08-21T00:00:00"/>
    <s v="Dólares"/>
    <n v="343.86"/>
    <s v="VERTICAL SOLUCIONES INDUSTRIALES SOCIEDAD ANONIMA"/>
    <x v="1"/>
    <m/>
    <m/>
  </r>
  <r>
    <x v="0"/>
    <x v="0"/>
    <x v="0"/>
    <n v="10028467"/>
    <x v="1"/>
    <x v="0"/>
    <d v="2026-02-06T00:00:00"/>
    <s v="Dólares"/>
    <n v="523.02"/>
    <s v="Liz Doris MORERA  Lopez"/>
    <x v="6"/>
    <m/>
    <m/>
  </r>
  <r>
    <x v="1"/>
    <x v="0"/>
    <x v="0"/>
    <m/>
    <x v="1"/>
    <x v="2"/>
    <d v="2025-11-13T00:00:00"/>
    <s v="Dólares"/>
    <n v="3835"/>
    <s v="DESA SENI LIMITADA"/>
    <x v="4"/>
    <m/>
    <m/>
  </r>
  <r>
    <x v="1"/>
    <x v="0"/>
    <x v="0"/>
    <n v="10828"/>
    <x v="1"/>
    <x v="2"/>
    <d v="2025-11-13T00:00:00"/>
    <s v="Dólares"/>
    <n v="3835"/>
    <s v="DESA SENI LIMITADA"/>
    <x v="4"/>
    <m/>
    <m/>
  </r>
  <r>
    <x v="0"/>
    <x v="2"/>
    <x v="0"/>
    <m/>
    <x v="1"/>
    <x v="0"/>
    <d v="2025-09-05T00:00:00"/>
    <s v="Dólares"/>
    <n v="3816.51"/>
    <s v="BOSTON"/>
    <x v="9"/>
    <m/>
    <m/>
  </r>
  <r>
    <x v="0"/>
    <x v="0"/>
    <x v="0"/>
    <m/>
    <x v="1"/>
    <x v="3"/>
    <d v="2025-08-21T00:00:00"/>
    <s v="Colones"/>
    <n v="101.7"/>
    <s v="OSCAR SAENZ"/>
    <x v="1"/>
    <m/>
    <m/>
  </r>
  <r>
    <x v="4"/>
    <x v="1"/>
    <x v="2"/>
    <m/>
    <x v="1"/>
    <x v="3"/>
    <d v="2025-08-22T00:00:00"/>
    <s v="Dólares"/>
    <n v="86942.91"/>
    <s v="NUCLEO BUSINESS CENTER SOCIEDAD ANONIMA"/>
    <x v="1"/>
    <m/>
    <m/>
  </r>
  <r>
    <x v="0"/>
    <x v="0"/>
    <x v="0"/>
    <m/>
    <x v="1"/>
    <x v="0"/>
    <d v="2025-09-02T00:00:00"/>
    <s v="Dólares"/>
    <n v="3793"/>
    <s v="3-102-781565 SOCIEDAD DE RESPONSABILIDAD LIMITADA"/>
    <x v="9"/>
    <m/>
    <m/>
  </r>
  <r>
    <x v="0"/>
    <x v="0"/>
    <x v="0"/>
    <m/>
    <x v="1"/>
    <x v="2"/>
    <d v="2025-10-09T00:00:00"/>
    <s v="Dólares"/>
    <n v="3785.82"/>
    <s v="ADRIAN LEITON ZUÑIGA"/>
    <x v="2"/>
    <m/>
    <m/>
  </r>
  <r>
    <x v="0"/>
    <x v="1"/>
    <x v="2"/>
    <m/>
    <x v="1"/>
    <x v="3"/>
    <d v="2025-08-22T00:00:00"/>
    <s v="Dólares"/>
    <n v="50750"/>
    <s v="NUCLEO BUSINESS CENTER SOCIEDAD ANONIMA"/>
    <x v="1"/>
    <m/>
    <m/>
  </r>
  <r>
    <x v="3"/>
    <x v="3"/>
    <x v="0"/>
    <m/>
    <x v="1"/>
    <x v="3"/>
    <d v="2025-08-22T00:00:00"/>
    <s v="Dólares"/>
    <n v="21002.32"/>
    <s v="CONTRACT WORKPLACES"/>
    <x v="1"/>
    <m/>
    <m/>
  </r>
  <r>
    <x v="0"/>
    <x v="3"/>
    <x v="0"/>
    <m/>
    <x v="1"/>
    <x v="0"/>
    <d v="2026-02-06T00:00:00"/>
    <s v="Dólares"/>
    <n v="339"/>
    <s v="PURDY MOTOR"/>
    <x v="6"/>
    <m/>
    <m/>
  </r>
  <r>
    <x v="0"/>
    <x v="0"/>
    <x v="0"/>
    <m/>
    <x v="1"/>
    <x v="4"/>
    <d v="2025-05-17T00:00:00"/>
    <s v="Dólares"/>
    <n v="3700"/>
    <s v="HUGO ANDRES MORA CHAVES"/>
    <x v="0"/>
    <m/>
    <m/>
  </r>
  <r>
    <x v="0"/>
    <x v="2"/>
    <x v="0"/>
    <m/>
    <x v="1"/>
    <x v="3"/>
    <d v="2025-08-22T00:00:00"/>
    <s v="Dólares"/>
    <n v="17535.98"/>
    <s v="DAVIVIENDA LEASING - NUTRICARE"/>
    <x v="1"/>
    <m/>
    <m/>
  </r>
  <r>
    <x v="0"/>
    <x v="0"/>
    <x v="0"/>
    <m/>
    <x v="1"/>
    <x v="4"/>
    <d v="2025-10-21T00:00:00"/>
    <s v="Dólares"/>
    <n v="3692.9"/>
    <s v="ALFONSO MAIRENA"/>
    <x v="2"/>
    <m/>
    <m/>
  </r>
  <r>
    <x v="0"/>
    <x v="0"/>
    <x v="0"/>
    <m/>
    <x v="1"/>
    <x v="0"/>
    <d v="2025-10-01T00:00:00"/>
    <s v="Dólares"/>
    <n v="3669"/>
    <s v="Hugo Brenes Chacon"/>
    <x v="2"/>
    <m/>
    <m/>
  </r>
  <r>
    <x v="0"/>
    <x v="3"/>
    <x v="0"/>
    <m/>
    <x v="1"/>
    <x v="2"/>
    <d v="2026-01-12T00:00:00"/>
    <s v="Dólares"/>
    <n v="3668.21"/>
    <s v="TELEDOLAR SOCIEDAD ANONIMA"/>
    <x v="3"/>
    <m/>
    <m/>
  </r>
  <r>
    <x v="1"/>
    <x v="0"/>
    <x v="0"/>
    <m/>
    <x v="1"/>
    <x v="4"/>
    <d v="2025-08-27T00:00:00"/>
    <s v="Dólares"/>
    <n v="3659"/>
    <s v="GQ ARQUITECTOS"/>
    <x v="1"/>
    <m/>
    <m/>
  </r>
  <r>
    <x v="0"/>
    <x v="2"/>
    <x v="0"/>
    <n v="10026719"/>
    <x v="1"/>
    <x v="1"/>
    <d v="2025-05-30T00:00:00"/>
    <s v="Dólares"/>
    <n v="3647.92"/>
    <s v="ELECTRIC VEHICLES EV COSTA RICA SOCIEDAD DE RESPONSABILIDAD LIMITADA"/>
    <x v="0"/>
    <m/>
    <m/>
  </r>
  <r>
    <x v="0"/>
    <x v="3"/>
    <x v="0"/>
    <m/>
    <x v="1"/>
    <x v="4"/>
    <d v="2025-11-24T00:00:00"/>
    <s v="Dólares"/>
    <n v="3643"/>
    <s v="INNOVA INGENIERIA"/>
    <x v="4"/>
    <m/>
    <m/>
  </r>
  <r>
    <x v="0"/>
    <x v="3"/>
    <x v="0"/>
    <m/>
    <x v="1"/>
    <x v="3"/>
    <d v="2025-08-22T00:00:00"/>
    <s v="Dólares"/>
    <n v="14413.49"/>
    <s v="NUCLEO BUSINESS CENTER SOCIEDAD ANONIMA"/>
    <x v="1"/>
    <m/>
    <m/>
  </r>
  <r>
    <x v="0"/>
    <x v="2"/>
    <x v="1"/>
    <n v="10027394"/>
    <x v="1"/>
    <x v="3"/>
    <d v="2025-08-22T00:00:00"/>
    <s v="Dólares"/>
    <n v="7721.02"/>
    <s v="EXPOCERAMICA "/>
    <x v="1"/>
    <m/>
    <m/>
  </r>
  <r>
    <x v="0"/>
    <x v="1"/>
    <x v="2"/>
    <m/>
    <x v="1"/>
    <x v="3"/>
    <d v="2025-08-22T00:00:00"/>
    <s v="Dólares"/>
    <n v="5000"/>
    <s v="EDICA - TORRE VELO"/>
    <x v="1"/>
    <m/>
    <m/>
  </r>
  <r>
    <x v="0"/>
    <x v="3"/>
    <x v="2"/>
    <n v="10026807"/>
    <x v="1"/>
    <x v="2"/>
    <d v="2025-06-12T00:00:00"/>
    <s v="Dólares"/>
    <n v="3618.7"/>
    <s v="SMC COSTA RICA DIVISION S.R.L"/>
    <x v="5"/>
    <m/>
    <m/>
  </r>
  <r>
    <x v="1"/>
    <x v="0"/>
    <x v="0"/>
    <m/>
    <x v="1"/>
    <x v="0"/>
    <d v="2026-01-01T00:00:00"/>
    <s v="Dólares"/>
    <n v="3609.54"/>
    <s v="IVON DELGADO"/>
    <x v="3"/>
    <m/>
    <m/>
  </r>
  <r>
    <x v="0"/>
    <x v="0"/>
    <x v="0"/>
    <m/>
    <x v="1"/>
    <x v="0"/>
    <d v="2025-06-05T00:00:00"/>
    <s v="Dólares"/>
    <n v="3600"/>
    <s v="BERNARDITA DEL ROSARIO SANDI RETANA"/>
    <x v="5"/>
    <m/>
    <m/>
  </r>
  <r>
    <x v="0"/>
    <x v="0"/>
    <x v="0"/>
    <n v="10027240"/>
    <x v="1"/>
    <x v="0"/>
    <d v="2025-08-04T00:00:00"/>
    <s v="Dólares"/>
    <n v="3600"/>
    <s v="PAOLA ANDREA CUERO  ANGULO"/>
    <x v="1"/>
    <m/>
    <m/>
  </r>
  <r>
    <x v="0"/>
    <x v="0"/>
    <x v="0"/>
    <m/>
    <x v="1"/>
    <x v="0"/>
    <d v="2025-12-05T00:00:00"/>
    <s v="Dólares"/>
    <n v="3600"/>
    <s v="UNION INTERNACIONAL"/>
    <x v="8"/>
    <m/>
    <m/>
  </r>
  <r>
    <x v="3"/>
    <x v="3"/>
    <x v="1"/>
    <m/>
    <x v="1"/>
    <x v="3"/>
    <d v="2025-08-22T00:00:00"/>
    <s v="Dólares"/>
    <n v="4800.6000000000004"/>
    <s v="BILCO - EPSILON"/>
    <x v="1"/>
    <m/>
    <m/>
  </r>
  <r>
    <x v="0"/>
    <x v="3"/>
    <x v="1"/>
    <m/>
    <x v="1"/>
    <x v="2"/>
    <d v="2025-08-14T00:00:00"/>
    <s v="Dólares"/>
    <n v="3581.9"/>
    <s v="DESARROLLOS BAHÍA PAPAGAYO, S.A."/>
    <x v="1"/>
    <m/>
    <m/>
  </r>
  <r>
    <x v="0"/>
    <x v="0"/>
    <x v="0"/>
    <m/>
    <x v="1"/>
    <x v="3"/>
    <d v="2025-08-22T00:00:00"/>
    <s v="Dólares"/>
    <n v="2849"/>
    <s v="STEFANNIE DEL OSANG"/>
    <x v="1"/>
    <m/>
    <m/>
  </r>
  <r>
    <x v="0"/>
    <x v="1"/>
    <x v="0"/>
    <n v="10027212"/>
    <x v="1"/>
    <x v="1"/>
    <d v="2025-07-31T00:00:00"/>
    <s v="Dólares"/>
    <n v="3562.33"/>
    <s v="RESIDENCIAS VISTAS LA VITA "/>
    <x v="7"/>
    <m/>
    <m/>
  </r>
  <r>
    <x v="2"/>
    <x v="3"/>
    <x v="0"/>
    <m/>
    <x v="1"/>
    <x v="0"/>
    <d v="2026-02-07T00:00:00"/>
    <s v="Dólares"/>
    <n v="5975.66"/>
    <s v="SEMANA 01 EXPRESS"/>
    <x v="6"/>
    <m/>
    <m/>
  </r>
  <r>
    <x v="3"/>
    <x v="3"/>
    <x v="0"/>
    <m/>
    <x v="1"/>
    <x v="2"/>
    <d v="2026-02-09T00:00:00"/>
    <s v="Dólares"/>
    <n v="15258.15"/>
    <s v="ACCUDYN - PNT"/>
    <x v="6"/>
    <m/>
    <m/>
  </r>
  <r>
    <x v="1"/>
    <x v="0"/>
    <x v="0"/>
    <n v="10792"/>
    <x v="1"/>
    <x v="4"/>
    <d v="2025-09-24T00:00:00"/>
    <s v="Dólares"/>
    <n v="3556.26"/>
    <s v="Tropical Jocko CR Limitado"/>
    <x v="9"/>
    <m/>
    <m/>
  </r>
  <r>
    <x v="0"/>
    <x v="0"/>
    <x v="0"/>
    <m/>
    <x v="1"/>
    <x v="3"/>
    <d v="2025-08-22T00:00:00"/>
    <s v="Dólares"/>
    <n v="2790"/>
    <s v="LA CUISIENE INTERNACIONAL"/>
    <x v="1"/>
    <m/>
    <m/>
  </r>
  <r>
    <x v="0"/>
    <x v="1"/>
    <x v="0"/>
    <n v="10027599"/>
    <x v="1"/>
    <x v="4"/>
    <d v="2025-09-22T00:00:00"/>
    <s v="Dólares"/>
    <n v="3533.14"/>
    <s v="3-101-781386 "/>
    <x v="9"/>
    <m/>
    <m/>
  </r>
  <r>
    <x v="0"/>
    <x v="2"/>
    <x v="0"/>
    <m/>
    <x v="1"/>
    <x v="3"/>
    <d v="2025-08-22T00:00:00"/>
    <s v="Dólares"/>
    <n v="1343.73"/>
    <s v="SERVICIOS DE CONSULTORÍA RPM"/>
    <x v="1"/>
    <m/>
    <m/>
  </r>
  <r>
    <x v="0"/>
    <x v="3"/>
    <x v="0"/>
    <m/>
    <x v="1"/>
    <x v="2"/>
    <d v="2025-12-08T00:00:00"/>
    <s v="Dólares"/>
    <n v="3513.06"/>
    <s v="EMBAJADA DE LOS ESTADOS UNIDOS DE AMERICA"/>
    <x v="8"/>
    <m/>
    <m/>
  </r>
  <r>
    <x v="0"/>
    <x v="0"/>
    <x v="0"/>
    <m/>
    <x v="1"/>
    <x v="1"/>
    <d v="2025-05-28T00:00:00"/>
    <s v="Dólares"/>
    <n v="3500"/>
    <s v="HUGO ANDRES MORA CHAVES"/>
    <x v="0"/>
    <m/>
    <m/>
  </r>
  <r>
    <x v="0"/>
    <x v="0"/>
    <x v="0"/>
    <n v="10028087"/>
    <x v="1"/>
    <x v="2"/>
    <d v="2025-12-08T00:00:00"/>
    <s v="Dólares"/>
    <n v="3500"/>
    <s v="CESAR GIOVANNY CRUZ SALAMANCA "/>
    <x v="8"/>
    <m/>
    <m/>
  </r>
  <r>
    <x v="0"/>
    <x v="0"/>
    <x v="0"/>
    <m/>
    <x v="1"/>
    <x v="2"/>
    <d v="2026-02-09T00:00:00"/>
    <s v="Dólares"/>
    <n v="1269"/>
    <s v="Alejandro Villanueva Ramírez"/>
    <x v="6"/>
    <m/>
    <m/>
  </r>
  <r>
    <x v="0"/>
    <x v="2"/>
    <x v="1"/>
    <n v="10026844"/>
    <x v="1"/>
    <x v="2"/>
    <d v="2025-06-12T00:00:00"/>
    <s v="Dólares"/>
    <n v="3472"/>
    <s v="GREIVIN VILLALOBOS MENDEZ"/>
    <x v="5"/>
    <m/>
    <m/>
  </r>
  <r>
    <x v="0"/>
    <x v="0"/>
    <x v="0"/>
    <m/>
    <x v="1"/>
    <x v="0"/>
    <d v="2026-01-08T00:00:00"/>
    <s v="Dólares"/>
    <n v="3454"/>
    <s v="ELECTROS PAGO"/>
    <x v="3"/>
    <m/>
    <m/>
  </r>
  <r>
    <x v="3"/>
    <x v="3"/>
    <x v="0"/>
    <n v="15167"/>
    <x v="1"/>
    <x v="2"/>
    <d v="2025-06-12T00:00:00"/>
    <s v="Dólares"/>
    <n v="3450.19"/>
    <s v="CONTRACT WORKPLACES COSTA RICA SOCIEDAD ANONIMA"/>
    <x v="5"/>
    <m/>
    <m/>
  </r>
  <r>
    <x v="3"/>
    <x v="3"/>
    <x v="0"/>
    <n v="15200"/>
    <x v="1"/>
    <x v="1"/>
    <d v="2025-07-30T00:00:00"/>
    <s v="Dólares"/>
    <n v="3450.19"/>
    <s v="CONTRACT WORKPLACES COSTA RICA SOCIEDAD ANONIMA"/>
    <x v="7"/>
    <m/>
    <m/>
  </r>
  <r>
    <x v="0"/>
    <x v="2"/>
    <x v="0"/>
    <m/>
    <x v="1"/>
    <x v="2"/>
    <d v="2025-11-14T00:00:00"/>
    <s v="Dólares"/>
    <n v="3442.47"/>
    <s v="VETIM"/>
    <x v="4"/>
    <m/>
    <m/>
  </r>
  <r>
    <x v="0"/>
    <x v="3"/>
    <x v="1"/>
    <m/>
    <x v="1"/>
    <x v="0"/>
    <d v="2025-11-03T00:00:00"/>
    <s v="Dólares"/>
    <n v="3439.09"/>
    <s v="EVOLUTION FREE ZONE SOCIEDAD ANONIMA - ACCUDYN"/>
    <x v="4"/>
    <m/>
    <m/>
  </r>
  <r>
    <x v="3"/>
    <x v="3"/>
    <x v="0"/>
    <n v="15198"/>
    <x v="1"/>
    <x v="1"/>
    <d v="2025-07-28T00:00:00"/>
    <s v="Dólares"/>
    <n v="3414.58"/>
    <s v="FERRETERIA EPA, SOCIEDAD ANONIMA"/>
    <x v="7"/>
    <m/>
    <m/>
  </r>
  <r>
    <x v="3"/>
    <x v="3"/>
    <x v="0"/>
    <m/>
    <x v="1"/>
    <x v="4"/>
    <d v="2025-07-23T00:00:00"/>
    <s v="Dólares"/>
    <n v="3412.13"/>
    <s v="CONTRACT WORKPLACES"/>
    <x v="7"/>
    <m/>
    <m/>
  </r>
  <r>
    <x v="0"/>
    <x v="0"/>
    <x v="0"/>
    <m/>
    <x v="1"/>
    <x v="2"/>
    <d v="2025-10-10T00:00:00"/>
    <s v="Dólares"/>
    <n v="3400"/>
    <s v="Cesar Cruz Salamanca"/>
    <x v="2"/>
    <m/>
    <m/>
  </r>
  <r>
    <x v="0"/>
    <x v="0"/>
    <x v="0"/>
    <m/>
    <x v="1"/>
    <x v="4"/>
    <d v="2025-11-27T00:00:00"/>
    <s v="Dólares"/>
    <n v="3389.11"/>
    <s v="Camila Jurado"/>
    <x v="4"/>
    <m/>
    <m/>
  </r>
  <r>
    <x v="0"/>
    <x v="0"/>
    <x v="0"/>
    <m/>
    <x v="1"/>
    <x v="4"/>
    <d v="2025-07-24T00:00:00"/>
    <s v="Dólares"/>
    <n v="3376.8602362204724"/>
    <s v="RUTH MARIA MORA RUIZ"/>
    <x v="7"/>
    <m/>
    <m/>
  </r>
  <r>
    <x v="0"/>
    <x v="2"/>
    <x v="0"/>
    <m/>
    <x v="1"/>
    <x v="2"/>
    <d v="2025-11-12T00:00:00"/>
    <s v="Dólares"/>
    <n v="3368.11"/>
    <s v="H Y M FUSION CONSULTORIA"/>
    <x v="4"/>
    <m/>
    <m/>
  </r>
  <r>
    <x v="0"/>
    <x v="3"/>
    <x v="0"/>
    <m/>
    <x v="1"/>
    <x v="3"/>
    <d v="2025-08-22T00:00:00"/>
    <s v="Dólares"/>
    <n v="446.35"/>
    <s v="FERNANDEZ FERNANDEZ - SILLA"/>
    <x v="1"/>
    <m/>
    <m/>
  </r>
  <r>
    <x v="0"/>
    <x v="1"/>
    <x v="0"/>
    <m/>
    <x v="1"/>
    <x v="0"/>
    <d v="2025-12-02T00:00:00"/>
    <s v="Dólares"/>
    <n v="3340.12"/>
    <s v="INVERSIONES DE CINEMA"/>
    <x v="8"/>
    <m/>
    <m/>
  </r>
  <r>
    <x v="0"/>
    <x v="0"/>
    <x v="0"/>
    <m/>
    <x v="1"/>
    <x v="4"/>
    <d v="2025-05-19T00:00:00"/>
    <s v="Dólares"/>
    <n v="3339"/>
    <s v="Ernesto Ortega Hegg"/>
    <x v="0"/>
    <m/>
    <m/>
  </r>
  <r>
    <x v="0"/>
    <x v="2"/>
    <x v="2"/>
    <n v="10026754"/>
    <x v="1"/>
    <x v="0"/>
    <d v="2025-06-03T00:00:00"/>
    <s v="Dólares"/>
    <n v="3338.62"/>
    <s v="Cooperativa de Productores de leche Dos PinosR L"/>
    <x v="5"/>
    <m/>
    <m/>
  </r>
  <r>
    <x v="0"/>
    <x v="0"/>
    <x v="0"/>
    <m/>
    <x v="1"/>
    <x v="3"/>
    <d v="2025-08-22T00:00:00"/>
    <s v="Dólares"/>
    <n v="150"/>
    <s v="JORGE SOTO PEREZ"/>
    <x v="1"/>
    <m/>
    <m/>
  </r>
  <r>
    <x v="0"/>
    <x v="3"/>
    <x v="1"/>
    <n v="10027909"/>
    <x v="1"/>
    <x v="0"/>
    <d v="2025-11-07T00:00:00"/>
    <s v="Dólares"/>
    <n v="3305.25"/>
    <s v="REPUBLIC OFFICE S.A"/>
    <x v="4"/>
    <m/>
    <m/>
  </r>
  <r>
    <x v="0"/>
    <x v="0"/>
    <x v="0"/>
    <m/>
    <x v="1"/>
    <x v="2"/>
    <d v="2025-12-09T00:00:00"/>
    <s v="Dólares"/>
    <n v="3305.19"/>
    <s v="MARIANNE JOLIE"/>
    <x v="8"/>
    <m/>
    <m/>
  </r>
  <r>
    <x v="1"/>
    <x v="0"/>
    <x v="0"/>
    <n v="10771"/>
    <x v="1"/>
    <x v="0"/>
    <d v="2025-09-01T00:00:00"/>
    <s v="Dólares"/>
    <n v="3300"/>
    <s v="AMPHORA WINES E SPIRITS S.A"/>
    <x v="9"/>
    <m/>
    <m/>
  </r>
  <r>
    <x v="0"/>
    <x v="0"/>
    <x v="0"/>
    <m/>
    <x v="1"/>
    <x v="2"/>
    <d v="2025-10-07T00:00:00"/>
    <s v="Dólares"/>
    <n v="3300"/>
    <s v="DIEGO MEJIA"/>
    <x v="2"/>
    <m/>
    <m/>
  </r>
  <r>
    <x v="3"/>
    <x v="3"/>
    <x v="0"/>
    <m/>
    <x v="1"/>
    <x v="2"/>
    <d v="2025-11-20T00:00:00"/>
    <s v="Colones"/>
    <n v="3294.4209215686274"/>
    <s v="FLORIDA BEBIDAS"/>
    <x v="8"/>
    <m/>
    <m/>
  </r>
  <r>
    <x v="3"/>
    <x v="3"/>
    <x v="0"/>
    <m/>
    <x v="1"/>
    <x v="4"/>
    <d v="2025-12-23T00:00:00"/>
    <s v="Colones"/>
    <n v="3288.9155882352939"/>
    <s v="COMPAÑÍA NACIONAL DE FUERZA Y LUZ"/>
    <x v="8"/>
    <m/>
    <m/>
  </r>
  <r>
    <x v="1"/>
    <x v="0"/>
    <x v="0"/>
    <n v="10817"/>
    <x v="1"/>
    <x v="2"/>
    <d v="2025-10-06T00:00:00"/>
    <s v="Dólares"/>
    <n v="3281"/>
    <s v="JESSE SHETLER"/>
    <x v="2"/>
    <m/>
    <m/>
  </r>
  <r>
    <x v="0"/>
    <x v="3"/>
    <x v="0"/>
    <s v=" "/>
    <x v="1"/>
    <x v="2"/>
    <d v="2025-09-12T00:00:00"/>
    <s v="Dólares"/>
    <n v="3279.58"/>
    <s v="San José Indoor Club "/>
    <x v="9"/>
    <m/>
    <m/>
  </r>
  <r>
    <x v="0"/>
    <x v="0"/>
    <x v="0"/>
    <n v="10028463"/>
    <x v="1"/>
    <x v="2"/>
    <d v="2026-02-09T00:00:00"/>
    <s v="Dólares"/>
    <n v="1160"/>
    <s v="CAROLINA MARIA GARCIA ROJAS"/>
    <x v="6"/>
    <m/>
    <m/>
  </r>
  <r>
    <x v="0"/>
    <x v="1"/>
    <x v="0"/>
    <m/>
    <x v="1"/>
    <x v="0"/>
    <d v="2025-09-04T00:00:00"/>
    <s v="Dólares"/>
    <n v="3260.3"/>
    <s v="VOLIO Y TREJOS ASOCIADOS S.A"/>
    <x v="9"/>
    <m/>
    <m/>
  </r>
  <r>
    <x v="0"/>
    <x v="0"/>
    <x v="0"/>
    <m/>
    <x v="1"/>
    <x v="3"/>
    <d v="2025-08-22T00:00:00"/>
    <s v="Dólares"/>
    <n v="16.95"/>
    <s v="CAROLINA MADRIGAL OROZCO"/>
    <x v="1"/>
    <m/>
    <m/>
  </r>
  <r>
    <x v="2"/>
    <x v="3"/>
    <x v="0"/>
    <m/>
    <x v="1"/>
    <x v="3"/>
    <d v="2025-08-23T00:00:00"/>
    <s v="Dólares"/>
    <n v="14684.59"/>
    <s v="SEMANA 03 AGOSTO EXPRESS"/>
    <x v="1"/>
    <m/>
    <m/>
  </r>
  <r>
    <x v="0"/>
    <x v="0"/>
    <x v="0"/>
    <m/>
    <x v="1"/>
    <x v="3"/>
    <d v="2025-08-24T00:00:00"/>
    <s v="Dólares"/>
    <n v="491.96"/>
    <s v="DESARROLLO CIELO INFINITO ESCAZU S.A"/>
    <x v="1"/>
    <m/>
    <m/>
  </r>
  <r>
    <x v="3"/>
    <x v="3"/>
    <x v="1"/>
    <m/>
    <x v="1"/>
    <x v="3"/>
    <d v="2025-09-12T00:00:00"/>
    <s v="Dólares"/>
    <n v="25952.91"/>
    <s v="TTA PROJECT "/>
    <x v="9"/>
    <m/>
    <m/>
  </r>
  <r>
    <x v="0"/>
    <x v="2"/>
    <x v="0"/>
    <m/>
    <x v="1"/>
    <x v="2"/>
    <d v="2026-02-09T00:00:00"/>
    <s v="Dólares"/>
    <n v="790"/>
    <s v="LABORATORIOS QUIMICOS"/>
    <x v="6"/>
    <m/>
    <m/>
  </r>
  <r>
    <x v="3"/>
    <x v="3"/>
    <x v="1"/>
    <m/>
    <x v="1"/>
    <x v="3"/>
    <d v="2025-09-12T00:00:00"/>
    <s v="Colones"/>
    <n v="3870.9509803921569"/>
    <s v="Sin información"/>
    <x v="9"/>
    <m/>
    <m/>
  </r>
  <r>
    <x v="0"/>
    <x v="2"/>
    <x v="0"/>
    <m/>
    <x v="1"/>
    <x v="4"/>
    <d v="2025-07-23T00:00:00"/>
    <s v="Dólares"/>
    <n v="3213.47"/>
    <s v="VERTICAL SOLUTIONS"/>
    <x v="7"/>
    <m/>
    <m/>
  </r>
  <r>
    <x v="0"/>
    <x v="2"/>
    <x v="0"/>
    <m/>
    <x v="1"/>
    <x v="1"/>
    <d v="2025-07-28T00:00:00"/>
    <s v="Dólares"/>
    <n v="3213.47"/>
    <s v="VERTICAL SOLUTIONS"/>
    <x v="7"/>
    <m/>
    <m/>
  </r>
  <r>
    <x v="0"/>
    <x v="3"/>
    <x v="0"/>
    <n v="10026809"/>
    <x v="1"/>
    <x v="2"/>
    <d v="2025-06-12T00:00:00"/>
    <s v="Dólares"/>
    <n v="3210"/>
    <s v="TERADYNE DECOSTA RICA SOCIEDAD DE RESPONSABILIDAD LIMITADA"/>
    <x v="5"/>
    <m/>
    <m/>
  </r>
  <r>
    <x v="0"/>
    <x v="0"/>
    <x v="0"/>
    <m/>
    <x v="1"/>
    <x v="4"/>
    <d v="2025-06-27T00:00:00"/>
    <s v="Dólares"/>
    <n v="3200"/>
    <s v="SUSAN ISASKU DURAN PRADO"/>
    <x v="5"/>
    <m/>
    <m/>
  </r>
  <r>
    <x v="1"/>
    <x v="0"/>
    <x v="0"/>
    <n v="10826"/>
    <x v="1"/>
    <x v="2"/>
    <d v="2025-11-15T00:00:00"/>
    <s v="Dólares"/>
    <n v="3200"/>
    <s v="Isabella Karczynka"/>
    <x v="4"/>
    <m/>
    <m/>
  </r>
  <r>
    <x v="0"/>
    <x v="2"/>
    <x v="0"/>
    <m/>
    <x v="1"/>
    <x v="2"/>
    <d v="2026-02-09T00:00:00"/>
    <s v="Dólares"/>
    <n v="711.9"/>
    <s v="CARFUL, S.A"/>
    <x v="6"/>
    <m/>
    <m/>
  </r>
  <r>
    <x v="0"/>
    <x v="0"/>
    <x v="0"/>
    <n v="10027598"/>
    <x v="1"/>
    <x v="4"/>
    <d v="2025-09-22T00:00:00"/>
    <s v="Dólares"/>
    <n v="3187"/>
    <s v="JUDIANA PAMELA ALVARADO CANTILLANO"/>
    <x v="9"/>
    <m/>
    <m/>
  </r>
  <r>
    <x v="0"/>
    <x v="3"/>
    <x v="0"/>
    <m/>
    <x v="1"/>
    <x v="0"/>
    <d v="2025-12-04T00:00:00"/>
    <s v="Dólares"/>
    <n v="3184.96"/>
    <s v="BENEMERITO CUERPO DE BOMBEROS"/>
    <x v="8"/>
    <m/>
    <m/>
  </r>
  <r>
    <x v="0"/>
    <x v="1"/>
    <x v="2"/>
    <m/>
    <x v="1"/>
    <x v="3"/>
    <d v="2025-09-15T00:00:00"/>
    <s v="Dólares"/>
    <n v="14921.76"/>
    <s v="CIELO DE BABILONIA"/>
    <x v="9"/>
    <m/>
    <m/>
  </r>
  <r>
    <x v="0"/>
    <x v="2"/>
    <x v="0"/>
    <m/>
    <x v="1"/>
    <x v="4"/>
    <d v="2025-07-18T00:00:00"/>
    <s v="Dólares"/>
    <n v="3164"/>
    <s v="SIN IDENTIFICAR "/>
    <x v="7"/>
    <m/>
    <m/>
  </r>
  <r>
    <x v="0"/>
    <x v="2"/>
    <x v="0"/>
    <n v="10027219"/>
    <x v="1"/>
    <x v="0"/>
    <d v="2025-08-01T00:00:00"/>
    <s v="Dólares"/>
    <n v="3164"/>
    <s v="GRUPO SERVICA COSTA RICA SOCIEDAD ANONIMA"/>
    <x v="1"/>
    <m/>
    <m/>
  </r>
  <r>
    <x v="1"/>
    <x v="0"/>
    <x v="0"/>
    <m/>
    <x v="1"/>
    <x v="3"/>
    <d v="2025-09-15T00:00:00"/>
    <s v="Dólares"/>
    <n v="5000"/>
    <s v="SOCIEDAD CACERES MILLER COSTA RICA LIMITADA"/>
    <x v="9"/>
    <m/>
    <m/>
  </r>
  <r>
    <x v="0"/>
    <x v="0"/>
    <x v="0"/>
    <m/>
    <x v="1"/>
    <x v="4"/>
    <d v="2025-10-20T00:00:00"/>
    <s v="Dólares"/>
    <n v="3157.25"/>
    <s v="MARJORIE ROMERO ODIO"/>
    <x v="2"/>
    <m/>
    <m/>
  </r>
  <r>
    <x v="0"/>
    <x v="5"/>
    <x v="0"/>
    <m/>
    <x v="1"/>
    <x v="4"/>
    <d v="2025-11-24T00:00:00"/>
    <s v="Dólares"/>
    <n v="3148"/>
    <s v="ADUANA KATTY"/>
    <x v="4"/>
    <m/>
    <m/>
  </r>
  <r>
    <x v="0"/>
    <x v="2"/>
    <x v="1"/>
    <n v="10026712"/>
    <x v="1"/>
    <x v="1"/>
    <d v="2025-05-26T00:00:00"/>
    <s v="Dólares"/>
    <n v="3140"/>
    <s v="COMERCIAL INDUSTRIAL Y DE SERVICIOS  "/>
    <x v="0"/>
    <m/>
    <m/>
  </r>
  <r>
    <x v="1"/>
    <x v="0"/>
    <x v="0"/>
    <m/>
    <x v="1"/>
    <x v="3"/>
    <d v="2025-09-15T00:00:00"/>
    <s v="Dólares"/>
    <n v="4149"/>
    <s v="Jesse Shetler"/>
    <x v="9"/>
    <m/>
    <m/>
  </r>
  <r>
    <x v="3"/>
    <x v="3"/>
    <x v="0"/>
    <m/>
    <x v="1"/>
    <x v="2"/>
    <d v="2025-11-10T00:00:00"/>
    <s v="Colones"/>
    <n v="3103.1232352941179"/>
    <s v="UNIVERSIDAD DE COSTA RICA"/>
    <x v="4"/>
    <m/>
    <m/>
  </r>
  <r>
    <x v="0"/>
    <x v="1"/>
    <x v="0"/>
    <n v="10027197"/>
    <x v="1"/>
    <x v="1"/>
    <d v="2025-07-30T00:00:00"/>
    <s v="Dólares"/>
    <n v="3101.22"/>
    <s v="MARIA JULIA VALVERDE SUAREZ"/>
    <x v="7"/>
    <m/>
    <m/>
  </r>
  <r>
    <x v="0"/>
    <x v="0"/>
    <x v="0"/>
    <m/>
    <x v="1"/>
    <x v="3"/>
    <d v="2025-09-15T00:00:00"/>
    <s v="Dólares"/>
    <n v="2313"/>
    <s v="KRYSTEL HOROWITZ MORERA"/>
    <x v="9"/>
    <m/>
    <m/>
  </r>
  <r>
    <x v="0"/>
    <x v="1"/>
    <x v="0"/>
    <m/>
    <x v="1"/>
    <x v="3"/>
    <d v="2025-09-16T00:00:00"/>
    <s v="Dólares"/>
    <n v="20000"/>
    <s v="Desarrollos Ecologicos El Canal"/>
    <x v="9"/>
    <m/>
    <m/>
  </r>
  <r>
    <x v="0"/>
    <x v="2"/>
    <x v="0"/>
    <n v="10026994"/>
    <x v="1"/>
    <x v="0"/>
    <d v="2025-07-03T00:00:00"/>
    <s v="Dólares"/>
    <n v="3096.87"/>
    <s v="FAVE MANTENIMIENTOS SOCIEDAD ANONIMA"/>
    <x v="7"/>
    <m/>
    <m/>
  </r>
  <r>
    <x v="0"/>
    <x v="3"/>
    <x v="0"/>
    <m/>
    <x v="1"/>
    <x v="2"/>
    <d v="2026-01-12T00:00:00"/>
    <s v="Dólares"/>
    <n v="3085.04"/>
    <s v="SIN IDENTIFICAR"/>
    <x v="3"/>
    <m/>
    <m/>
  </r>
  <r>
    <x v="3"/>
    <x v="3"/>
    <x v="0"/>
    <m/>
    <x v="1"/>
    <x v="4"/>
    <d v="2025-12-23T00:00:00"/>
    <s v="Colones"/>
    <n v="3042.8783333333331"/>
    <s v="COMPAÑÍA NACIONAL DE FUERZA Y LUZ"/>
    <x v="8"/>
    <m/>
    <m/>
  </r>
  <r>
    <x v="0"/>
    <x v="0"/>
    <x v="0"/>
    <m/>
    <x v="1"/>
    <x v="1"/>
    <d v="2025-09-30T00:00:00"/>
    <s v="Colones"/>
    <n v="3037"/>
    <s v="Hanjoo Hwang"/>
    <x v="9"/>
    <m/>
    <m/>
  </r>
  <r>
    <x v="0"/>
    <x v="0"/>
    <x v="0"/>
    <n v="10027609"/>
    <x v="1"/>
    <x v="3"/>
    <d v="2025-09-16T00:00:00"/>
    <s v="Dólares"/>
    <n v="17020"/>
    <s v="PURA VIDA ESPAIS PVE SRL"/>
    <x v="9"/>
    <m/>
    <m/>
  </r>
  <r>
    <x v="0"/>
    <x v="1"/>
    <x v="0"/>
    <n v="10027054"/>
    <x v="1"/>
    <x v="2"/>
    <d v="2025-07-11T00:00:00"/>
    <s v="Dólares"/>
    <n v="3024.13"/>
    <s v="CONSTRUCTORA BRK S.A"/>
    <x v="7"/>
    <m/>
    <m/>
  </r>
  <r>
    <x v="1"/>
    <x v="0"/>
    <x v="0"/>
    <n v="10734"/>
    <x v="1"/>
    <x v="0"/>
    <d v="2025-05-01T00:00:00"/>
    <s v="Dólares"/>
    <n v="3020"/>
    <s v="Casa Linda Vista de Flamingo LLC Sociedad de Responsabilidad Limitada"/>
    <x v="0"/>
    <m/>
    <m/>
  </r>
  <r>
    <x v="0"/>
    <x v="3"/>
    <x v="0"/>
    <m/>
    <x v="1"/>
    <x v="4"/>
    <d v="2026-01-29T00:00:00"/>
    <s v="Colones"/>
    <n v="3014.0505040322582"/>
    <s v="UNIVERSIDAD DE COSTA RICA"/>
    <x v="3"/>
    <m/>
    <m/>
  </r>
  <r>
    <x v="0"/>
    <x v="0"/>
    <x v="0"/>
    <m/>
    <x v="1"/>
    <x v="2"/>
    <d v="2026-01-14T00:00:00"/>
    <s v="Dólares"/>
    <n v="3010"/>
    <s v="MANUEL ERIC BICQUELLE"/>
    <x v="3"/>
    <m/>
    <m/>
  </r>
  <r>
    <x v="0"/>
    <x v="2"/>
    <x v="0"/>
    <m/>
    <x v="1"/>
    <x v="0"/>
    <d v="2025-08-01T00:00:00"/>
    <s v="Dólares"/>
    <n v="3009.29"/>
    <s v="VERTICAL SOLUCIONES INDUSTRIALES SOCIEDAD ANONIMA"/>
    <x v="1"/>
    <m/>
    <m/>
  </r>
  <r>
    <x v="0"/>
    <x v="2"/>
    <x v="1"/>
    <n v="10027294"/>
    <x v="1"/>
    <x v="2"/>
    <d v="2025-08-11T00:00:00"/>
    <s v="Dólares"/>
    <n v="3009.29"/>
    <s v="VERTICAL SOLUCIONES INDUSTRIALES SOCIEDAD ANONIMA"/>
    <x v="1"/>
    <m/>
    <m/>
  </r>
  <r>
    <x v="0"/>
    <x v="0"/>
    <x v="0"/>
    <m/>
    <x v="1"/>
    <x v="0"/>
    <d v="2025-06-03T00:00:00"/>
    <s v="Dólares"/>
    <n v="3002.58"/>
    <s v="WALLACE GERARDO COVER SERRANO"/>
    <x v="5"/>
    <m/>
    <m/>
  </r>
  <r>
    <x v="3"/>
    <x v="3"/>
    <x v="0"/>
    <m/>
    <x v="1"/>
    <x v="2"/>
    <d v="2026-02-09T00:00:00"/>
    <s v="Dólares"/>
    <n v="660.5"/>
    <s v="SIN IDENTIFICAR"/>
    <x v="6"/>
    <m/>
    <m/>
  </r>
  <r>
    <x v="0"/>
    <x v="0"/>
    <x v="0"/>
    <n v="10026535"/>
    <x v="1"/>
    <x v="2"/>
    <d v="2025-05-09T00:00:00"/>
    <s v="Dólares"/>
    <n v="3000"/>
    <s v="BERNARDITA DEL ROSARIO SANDI RETANA"/>
    <x v="0"/>
    <m/>
    <m/>
  </r>
  <r>
    <x v="0"/>
    <x v="1"/>
    <x v="0"/>
    <m/>
    <x v="1"/>
    <x v="3"/>
    <d v="2025-09-16T00:00:00"/>
    <s v="Dólares"/>
    <n v="15000"/>
    <s v="DESARROLLOS TECNICOS S.A"/>
    <x v="9"/>
    <m/>
    <m/>
  </r>
  <r>
    <x v="1"/>
    <x v="0"/>
    <x v="0"/>
    <m/>
    <x v="1"/>
    <x v="3"/>
    <d v="2025-09-16T00:00:00"/>
    <s v="Dólares"/>
    <n v="12362"/>
    <s v="Camarco Heat Group S.R.L"/>
    <x v="9"/>
    <m/>
    <m/>
  </r>
  <r>
    <x v="0"/>
    <x v="0"/>
    <x v="0"/>
    <m/>
    <x v="1"/>
    <x v="3"/>
    <d v="2025-09-16T00:00:00"/>
    <s v="Dólares"/>
    <n v="5000"/>
    <s v="NURIA PATRICIA DE LO HERRERA AGUERO"/>
    <x v="9"/>
    <m/>
    <m/>
  </r>
  <r>
    <x v="0"/>
    <x v="0"/>
    <x v="0"/>
    <m/>
    <x v="1"/>
    <x v="3"/>
    <d v="2025-09-16T00:00:00"/>
    <s v="Dólares"/>
    <n v="1000"/>
    <s v="ROBERTO JESUS GAMBOA AREND"/>
    <x v="9"/>
    <m/>
    <m/>
  </r>
  <r>
    <x v="0"/>
    <x v="0"/>
    <x v="0"/>
    <m/>
    <x v="1"/>
    <x v="4"/>
    <d v="2025-06-30T00:00:00"/>
    <s v="Dólares"/>
    <n v="3000"/>
    <s v="nuevo horizonte pye s.a"/>
    <x v="5"/>
    <m/>
    <m/>
  </r>
  <r>
    <x v="0"/>
    <x v="0"/>
    <x v="0"/>
    <n v="10027153"/>
    <x v="1"/>
    <x v="4"/>
    <d v="2025-07-24T00:00:00"/>
    <s v="Dólares"/>
    <n v="3000"/>
    <s v="BERNARDITA DEL ROSARIO SANDI RETANA"/>
    <x v="7"/>
    <m/>
    <m/>
  </r>
  <r>
    <x v="0"/>
    <x v="0"/>
    <x v="1"/>
    <m/>
    <x v="1"/>
    <x v="0"/>
    <d v="2025-08-01T00:00:00"/>
    <s v="Dólares"/>
    <n v="3000"/>
    <s v="MELANIA CASTRO"/>
    <x v="1"/>
    <m/>
    <m/>
  </r>
  <r>
    <x v="1"/>
    <x v="0"/>
    <x v="0"/>
    <m/>
    <x v="1"/>
    <x v="3"/>
    <d v="2025-09-16T00:00:00"/>
    <s v="Dólares"/>
    <n v="920"/>
    <s v="SOCIEDAD CACERES MILLER COSTA RICA LIMITADA"/>
    <x v="9"/>
    <m/>
    <m/>
  </r>
  <r>
    <x v="0"/>
    <x v="0"/>
    <x v="0"/>
    <m/>
    <x v="1"/>
    <x v="4"/>
    <d v="2025-08-27T00:00:00"/>
    <s v="Dólares"/>
    <n v="3000"/>
    <s v="ADRIAN LEITON"/>
    <x v="1"/>
    <m/>
    <m/>
  </r>
  <r>
    <x v="0"/>
    <x v="0"/>
    <x v="0"/>
    <m/>
    <x v="1"/>
    <x v="4"/>
    <d v="2025-08-28T00:00:00"/>
    <s v="Dólares"/>
    <n v="3000"/>
    <s v="ADRIAN LEITON"/>
    <x v="1"/>
    <m/>
    <m/>
  </r>
  <r>
    <x v="0"/>
    <x v="0"/>
    <x v="0"/>
    <m/>
    <x v="1"/>
    <x v="4"/>
    <d v="2025-08-29T00:00:00"/>
    <s v="Dólares"/>
    <n v="3000"/>
    <s v="ADRIAN LEITON"/>
    <x v="1"/>
    <m/>
    <m/>
  </r>
  <r>
    <x v="0"/>
    <x v="0"/>
    <x v="0"/>
    <m/>
    <x v="1"/>
    <x v="2"/>
    <d v="2025-09-10T00:00:00"/>
    <s v="Dólares"/>
    <n v="3000"/>
    <s v="ROSA EUGENIA PICADO SOLIS"/>
    <x v="9"/>
    <m/>
    <m/>
  </r>
  <r>
    <x v="0"/>
    <x v="3"/>
    <x v="2"/>
    <m/>
    <x v="1"/>
    <x v="2"/>
    <d v="2025-09-10T00:00:00"/>
    <s v="Dólares"/>
    <n v="3000"/>
    <s v="FEDERACION COSTARRICENSE DE FUTBOL"/>
    <x v="9"/>
    <m/>
    <m/>
  </r>
  <r>
    <x v="0"/>
    <x v="3"/>
    <x v="2"/>
    <m/>
    <x v="1"/>
    <x v="4"/>
    <d v="2025-09-25T00:00:00"/>
    <s v="Dólares"/>
    <n v="3000"/>
    <s v="FEDERACION COSTARRICENSE DE FUTBOL"/>
    <x v="9"/>
    <m/>
    <m/>
  </r>
  <r>
    <x v="0"/>
    <x v="0"/>
    <x v="0"/>
    <m/>
    <x v="1"/>
    <x v="2"/>
    <d v="2025-10-07T00:00:00"/>
    <s v="Dólares"/>
    <n v="3000"/>
    <s v="ADRIAN LEITON ZUÑIGA"/>
    <x v="2"/>
    <m/>
    <m/>
  </r>
  <r>
    <x v="0"/>
    <x v="0"/>
    <x v="0"/>
    <m/>
    <x v="1"/>
    <x v="2"/>
    <d v="2025-10-08T00:00:00"/>
    <s v="Dólares"/>
    <n v="3000"/>
    <s v="ADRIAN LEITON ZUÑIGA"/>
    <x v="2"/>
    <m/>
    <m/>
  </r>
  <r>
    <x v="1"/>
    <x v="0"/>
    <x v="0"/>
    <n v="10808"/>
    <x v="1"/>
    <x v="2"/>
    <d v="2025-10-11T00:00:00"/>
    <s v="Dólares"/>
    <n v="3000"/>
    <s v="DESA SENI LIMITADA"/>
    <x v="2"/>
    <m/>
    <m/>
  </r>
  <r>
    <x v="0"/>
    <x v="0"/>
    <x v="0"/>
    <m/>
    <x v="1"/>
    <x v="3"/>
    <d v="2025-09-16T00:00:00"/>
    <s v="Dólares"/>
    <n v="277"/>
    <s v="MARCO GONZALEZ GUTIERREZ"/>
    <x v="9"/>
    <m/>
    <m/>
  </r>
  <r>
    <x v="0"/>
    <x v="0"/>
    <x v="0"/>
    <m/>
    <x v="1"/>
    <x v="3"/>
    <d v="2025-09-17T00:00:00"/>
    <s v="Dólares"/>
    <n v="8111"/>
    <s v="PIERRE ALEXIS DEPESTRE GRATEROL"/>
    <x v="9"/>
    <m/>
    <m/>
  </r>
  <r>
    <x v="3"/>
    <x v="3"/>
    <x v="2"/>
    <m/>
    <x v="1"/>
    <x v="3"/>
    <d v="2025-09-17T00:00:00"/>
    <s v="Dólares"/>
    <n v="6167.36"/>
    <s v="DUWEST CAFESA SOCIEDAD ANONIMA"/>
    <x v="9"/>
    <m/>
    <m/>
  </r>
  <r>
    <x v="1"/>
    <x v="0"/>
    <x v="0"/>
    <n v="10837"/>
    <x v="1"/>
    <x v="4"/>
    <d v="2025-11-25T00:00:00"/>
    <s v="Dólares"/>
    <n v="3000"/>
    <s v="VIRGINIA STEINVORTH KOBERG"/>
    <x v="4"/>
    <m/>
    <m/>
  </r>
  <r>
    <x v="0"/>
    <x v="0"/>
    <x v="0"/>
    <m/>
    <x v="1"/>
    <x v="3"/>
    <d v="2025-09-17T00:00:00"/>
    <s v="Dólares"/>
    <n v="3579.05"/>
    <s v="ELECTROMECANICA PABLO MURILLO SOCIEDAD ANONIMA"/>
    <x v="9"/>
    <m/>
    <m/>
  </r>
  <r>
    <x v="0"/>
    <x v="0"/>
    <x v="0"/>
    <m/>
    <x v="1"/>
    <x v="4"/>
    <d v="2026-01-27T00:00:00"/>
    <s v="Dólares"/>
    <n v="3000"/>
    <s v="YIGAL ABRAHAM BENZAQUEN"/>
    <x v="3"/>
    <m/>
    <m/>
  </r>
  <r>
    <x v="1"/>
    <x v="0"/>
    <x v="0"/>
    <n v="10881"/>
    <x v="1"/>
    <x v="4"/>
    <d v="2026-01-28T00:00:00"/>
    <s v="Dólares"/>
    <n v="3000"/>
    <s v="LISA ROSE FARREL"/>
    <x v="3"/>
    <m/>
    <m/>
  </r>
  <r>
    <x v="0"/>
    <x v="3"/>
    <x v="2"/>
    <n v="10026543"/>
    <x v="1"/>
    <x v="2"/>
    <d v="2025-05-09T00:00:00"/>
    <s v="Dólares"/>
    <n v="2996.77"/>
    <s v="ICEM S. A"/>
    <x v="0"/>
    <m/>
    <m/>
  </r>
  <r>
    <x v="0"/>
    <x v="3"/>
    <x v="0"/>
    <m/>
    <x v="1"/>
    <x v="2"/>
    <d v="2026-01-13T00:00:00"/>
    <s v="Dólares"/>
    <n v="2976.45"/>
    <s v="VALLE DORADO"/>
    <x v="3"/>
    <m/>
    <m/>
  </r>
  <r>
    <x v="1"/>
    <x v="0"/>
    <x v="0"/>
    <n v="10798"/>
    <x v="1"/>
    <x v="1"/>
    <d v="2025-09-30T00:00:00"/>
    <s v="Dólares"/>
    <n v="2975"/>
    <s v="SORAYA SOLANO ACUÑA"/>
    <x v="9"/>
    <m/>
    <m/>
  </r>
  <r>
    <x v="0"/>
    <x v="3"/>
    <x v="0"/>
    <m/>
    <x v="1"/>
    <x v="4"/>
    <d v="2025-12-23T00:00:00"/>
    <s v="Colones"/>
    <n v="2972.5436470588234"/>
    <s v="COMPAÑÍA NACIONAL DE FUERZA Y LUZ"/>
    <x v="8"/>
    <m/>
    <m/>
  </r>
  <r>
    <x v="0"/>
    <x v="0"/>
    <x v="0"/>
    <n v="10027739"/>
    <x v="1"/>
    <x v="2"/>
    <d v="2025-10-10T00:00:00"/>
    <s v="Dólares"/>
    <n v="2963"/>
    <s v="Johnny Vega Brenes"/>
    <x v="2"/>
    <m/>
    <m/>
  </r>
  <r>
    <x v="0"/>
    <x v="2"/>
    <x v="0"/>
    <m/>
    <x v="1"/>
    <x v="0"/>
    <d v="2025-10-03T00:00:00"/>
    <s v="Dólares"/>
    <n v="2959.26"/>
    <s v="AGROINNOVA"/>
    <x v="2"/>
    <m/>
    <m/>
  </r>
  <r>
    <x v="0"/>
    <x v="0"/>
    <x v="0"/>
    <m/>
    <x v="1"/>
    <x v="2"/>
    <d v="2025-08-16T00:00:00"/>
    <s v="Dólares"/>
    <n v="2941.1764705882351"/>
    <s v="LILLIAM ESCALANTE ARAUZ "/>
    <x v="1"/>
    <m/>
    <m/>
  </r>
  <r>
    <x v="0"/>
    <x v="0"/>
    <x v="0"/>
    <n v="10027674"/>
    <x v="1"/>
    <x v="1"/>
    <d v="2025-09-30T00:00:00"/>
    <s v="Colones"/>
    <n v="2941.1764705882351"/>
    <s v="LILLIAM ESCALANTE ARAUZ "/>
    <x v="9"/>
    <m/>
    <m/>
  </r>
  <r>
    <x v="0"/>
    <x v="3"/>
    <x v="2"/>
    <n v="10026582"/>
    <x v="1"/>
    <x v="2"/>
    <d v="2025-05-06T00:00:00"/>
    <s v="Dólares"/>
    <n v="2927.88"/>
    <s v="ITEK SOLUCIONES INTEGRALES S.A."/>
    <x v="0"/>
    <m/>
    <m/>
  </r>
  <r>
    <x v="1"/>
    <x v="0"/>
    <x v="0"/>
    <m/>
    <x v="1"/>
    <x v="3"/>
    <d v="2025-09-17T00:00:00"/>
    <s v="Dólares"/>
    <n v="2600"/>
    <s v="BLOQUES PEDREGAL SOCIEDAD ANONIMA"/>
    <x v="9"/>
    <m/>
    <m/>
  </r>
  <r>
    <x v="0"/>
    <x v="3"/>
    <x v="1"/>
    <n v="10026901"/>
    <x v="1"/>
    <x v="4"/>
    <d v="2025-06-23T00:00:00"/>
    <s v="Dólares"/>
    <n v="2900"/>
    <s v="REPUBLIC WORKSPACE"/>
    <x v="5"/>
    <m/>
    <m/>
  </r>
  <r>
    <x v="0"/>
    <x v="2"/>
    <x v="0"/>
    <m/>
    <x v="1"/>
    <x v="0"/>
    <d v="2025-09-02T00:00:00"/>
    <s v="Dólares"/>
    <n v="2898.28"/>
    <s v="COLOPLAST"/>
    <x v="9"/>
    <m/>
    <m/>
  </r>
  <r>
    <x v="1"/>
    <x v="0"/>
    <x v="0"/>
    <m/>
    <x v="1"/>
    <x v="3"/>
    <d v="2025-09-17T00:00:00"/>
    <s v="Dólares"/>
    <n v="2600"/>
    <s v="BLOQUES PEDREGAL SOCIEDAD ANONIMA"/>
    <x v="9"/>
    <m/>
    <m/>
  </r>
  <r>
    <x v="0"/>
    <x v="0"/>
    <x v="0"/>
    <m/>
    <x v="1"/>
    <x v="3"/>
    <d v="2025-09-17T00:00:00"/>
    <s v="Dólares"/>
    <n v="2600"/>
    <s v="JOHNNY FRANCISCO GERARDO CAMPOS MURILLO"/>
    <x v="9"/>
    <m/>
    <m/>
  </r>
  <r>
    <x v="0"/>
    <x v="0"/>
    <x v="0"/>
    <m/>
    <x v="1"/>
    <x v="4"/>
    <d v="2025-05-23T00:00:00"/>
    <s v="Dólares"/>
    <n v="2880"/>
    <s v="JAIME ANDRES ESCALONA RODRIGUEZ"/>
    <x v="0"/>
    <m/>
    <m/>
  </r>
  <r>
    <x v="0"/>
    <x v="0"/>
    <x v="0"/>
    <m/>
    <x v="1"/>
    <x v="3"/>
    <d v="2025-09-17T00:00:00"/>
    <s v="Dólares"/>
    <n v="2045.46"/>
    <s v="Anaïs Muller"/>
    <x v="9"/>
    <m/>
    <m/>
  </r>
  <r>
    <x v="0"/>
    <x v="0"/>
    <x v="0"/>
    <m/>
    <x v="1"/>
    <x v="3"/>
    <d v="2025-09-17T00:00:00"/>
    <s v="Dólares"/>
    <n v="1062.3499999999999"/>
    <s v="IVAN CASTRO MUÑOZ"/>
    <x v="9"/>
    <m/>
    <m/>
  </r>
  <r>
    <x v="0"/>
    <x v="3"/>
    <x v="2"/>
    <m/>
    <x v="1"/>
    <x v="3"/>
    <d v="2025-09-17T00:00:00"/>
    <s v="Dólares"/>
    <n v="616.16"/>
    <s v="ARTHROCARE COSTA RICA, S.R.L"/>
    <x v="9"/>
    <m/>
    <m/>
  </r>
  <r>
    <x v="0"/>
    <x v="0"/>
    <x v="0"/>
    <n v="10027289"/>
    <x v="1"/>
    <x v="2"/>
    <d v="2025-08-08T00:00:00"/>
    <s v="Dólares"/>
    <n v="2824"/>
    <s v="ADRIANA MARIA CAMPOS FUMERO"/>
    <x v="1"/>
    <m/>
    <m/>
  </r>
  <r>
    <x v="0"/>
    <x v="0"/>
    <x v="0"/>
    <m/>
    <x v="1"/>
    <x v="2"/>
    <d v="2026-01-13T00:00:00"/>
    <s v="Dólares"/>
    <n v="2804"/>
    <s v="MARIANNE LA JOLIE"/>
    <x v="3"/>
    <m/>
    <m/>
  </r>
  <r>
    <x v="0"/>
    <x v="0"/>
    <x v="0"/>
    <m/>
    <x v="1"/>
    <x v="3"/>
    <d v="2025-09-17T00:00:00"/>
    <s v="Dólares"/>
    <n v="525"/>
    <s v="REALTY MANAGEMENT PACIFIC S.A"/>
    <x v="9"/>
    <m/>
    <m/>
  </r>
  <r>
    <x v="1"/>
    <x v="0"/>
    <x v="0"/>
    <m/>
    <x v="1"/>
    <x v="3"/>
    <d v="2025-09-17T00:00:00"/>
    <s v="Dólares"/>
    <n v="506.53"/>
    <s v="JOHANA JOSE GABOUREL RODAS"/>
    <x v="9"/>
    <m/>
    <m/>
  </r>
  <r>
    <x v="0"/>
    <x v="0"/>
    <x v="0"/>
    <m/>
    <x v="1"/>
    <x v="4"/>
    <d v="2025-11-27T00:00:00"/>
    <s v="Dólares"/>
    <n v="2795"/>
    <s v="Ezequías Rodríguez Jirón"/>
    <x v="4"/>
    <m/>
    <m/>
  </r>
  <r>
    <x v="0"/>
    <x v="0"/>
    <x v="0"/>
    <m/>
    <x v="1"/>
    <x v="3"/>
    <d v="2025-09-17T00:00:00"/>
    <s v="Dólares"/>
    <n v="250"/>
    <s v="VILLA MONTE LLC LIMITADA"/>
    <x v="9"/>
    <m/>
    <m/>
  </r>
  <r>
    <x v="0"/>
    <x v="0"/>
    <x v="0"/>
    <m/>
    <x v="1"/>
    <x v="3"/>
    <d v="2025-09-17T00:00:00"/>
    <s v="Dólares"/>
    <n v="100"/>
    <s v="DORA EMILIA BENAVIDES MURILLO"/>
    <x v="9"/>
    <m/>
    <m/>
  </r>
  <r>
    <x v="0"/>
    <x v="0"/>
    <x v="0"/>
    <m/>
    <x v="1"/>
    <x v="4"/>
    <d v="2025-11-27T00:00:00"/>
    <s v="Dólares"/>
    <n v="2768.84"/>
    <s v="PABLO LUIS PERNAS"/>
    <x v="4"/>
    <m/>
    <m/>
  </r>
  <r>
    <x v="0"/>
    <x v="0"/>
    <x v="0"/>
    <m/>
    <x v="1"/>
    <x v="3"/>
    <d v="2025-09-18T00:00:00"/>
    <s v="Dólares"/>
    <n v="21900"/>
    <s v="KAREN CHRISTIANA FIGUERES OLSEN"/>
    <x v="9"/>
    <m/>
    <m/>
  </r>
  <r>
    <x v="0"/>
    <x v="2"/>
    <x v="2"/>
    <m/>
    <x v="1"/>
    <x v="4"/>
    <d v="2026-01-28T00:00:00"/>
    <s v="Dólares"/>
    <n v="2755.75"/>
    <s v="MEGA LINEAS SOCIEDAD ANONIMA"/>
    <x v="3"/>
    <m/>
    <m/>
  </r>
  <r>
    <x v="0"/>
    <x v="3"/>
    <x v="2"/>
    <m/>
    <x v="1"/>
    <x v="0"/>
    <d v="2026-01-09T00:00:00"/>
    <s v="Dólares"/>
    <n v="2755.6"/>
    <s v="SAMTEC"/>
    <x v="3"/>
    <m/>
    <m/>
  </r>
  <r>
    <x v="3"/>
    <x v="3"/>
    <x v="0"/>
    <m/>
    <x v="1"/>
    <x v="4"/>
    <d v="2025-12-23T00:00:00"/>
    <s v="Dólares"/>
    <n v="2754.37"/>
    <s v="REFINADORA COSTARRICENSE DE PETROLEO"/>
    <x v="8"/>
    <m/>
    <m/>
  </r>
  <r>
    <x v="0"/>
    <x v="0"/>
    <x v="0"/>
    <m/>
    <x v="1"/>
    <x v="2"/>
    <d v="2025-12-06T00:00:00"/>
    <s v="Dólares"/>
    <n v="2751"/>
    <s v="HAILYN ESQUIVEL PEREZ"/>
    <x v="8"/>
    <m/>
    <m/>
  </r>
  <r>
    <x v="0"/>
    <x v="0"/>
    <x v="0"/>
    <m/>
    <x v="1"/>
    <x v="0"/>
    <d v="2025-12-05T00:00:00"/>
    <s v="Dólares"/>
    <n v="2750"/>
    <s v="HAILYN ESQUIVEL PEREZ"/>
    <x v="8"/>
    <m/>
    <m/>
  </r>
  <r>
    <x v="0"/>
    <x v="2"/>
    <x v="0"/>
    <m/>
    <x v="1"/>
    <x v="2"/>
    <d v="2026-02-10T00:00:00"/>
    <s v="Dólares"/>
    <n v="47797.24"/>
    <s v="LANCO PAINTS GUATEMALA,  S.A."/>
    <x v="6"/>
    <m/>
    <m/>
  </r>
  <r>
    <x v="0"/>
    <x v="0"/>
    <x v="0"/>
    <n v="10028372"/>
    <x v="1"/>
    <x v="4"/>
    <d v="2026-01-28T00:00:00"/>
    <s v="Dólares"/>
    <n v="2746.05"/>
    <s v="ALFONSO ENRIQUE MAIRENA ESPINOZA"/>
    <x v="3"/>
    <m/>
    <m/>
  </r>
  <r>
    <x v="0"/>
    <x v="0"/>
    <x v="0"/>
    <m/>
    <x v="1"/>
    <x v="3"/>
    <d v="2025-09-18T00:00:00"/>
    <s v="Dólares"/>
    <n v="15500"/>
    <s v="OSWALDO JOSE ALVAREZ VELASQUEZ "/>
    <x v="9"/>
    <m/>
    <m/>
  </r>
  <r>
    <x v="0"/>
    <x v="2"/>
    <x v="1"/>
    <m/>
    <x v="1"/>
    <x v="3"/>
    <d v="2025-09-18T00:00:00"/>
    <s v="Dólares"/>
    <n v="12969.68"/>
    <s v="BILCO COSTA RICA S.A."/>
    <x v="9"/>
    <m/>
    <m/>
  </r>
  <r>
    <x v="0"/>
    <x v="0"/>
    <x v="0"/>
    <m/>
    <x v="1"/>
    <x v="0"/>
    <d v="2025-12-04T00:00:00"/>
    <s v="Dólares"/>
    <n v="2720"/>
    <s v="GABRIEL QUESADA"/>
    <x v="8"/>
    <m/>
    <m/>
  </r>
  <r>
    <x v="0"/>
    <x v="0"/>
    <x v="0"/>
    <m/>
    <x v="1"/>
    <x v="4"/>
    <d v="2025-06-24T00:00:00"/>
    <s v="Dólares"/>
    <n v="2718"/>
    <s v="MARCELA MARIA CARBALLO CRUZ"/>
    <x v="5"/>
    <m/>
    <m/>
  </r>
  <r>
    <x v="0"/>
    <x v="2"/>
    <x v="0"/>
    <n v="10026470"/>
    <x v="1"/>
    <x v="0"/>
    <d v="2025-05-02T00:00:00"/>
    <s v="Dólares"/>
    <n v="2694.47"/>
    <s v="GRUPO LOGISTICO JMA SOCIEDAD ANONIMA "/>
    <x v="0"/>
    <m/>
    <m/>
  </r>
  <r>
    <x v="0"/>
    <x v="0"/>
    <x v="0"/>
    <n v="10027415"/>
    <x v="1"/>
    <x v="4"/>
    <d v="2025-08-29T00:00:00"/>
    <s v="Colones"/>
    <n v="2690.6294117647058"/>
    <s v="KAREN TATIANA DONDI VINDAS"/>
    <x v="1"/>
    <m/>
    <m/>
  </r>
  <r>
    <x v="0"/>
    <x v="2"/>
    <x v="0"/>
    <m/>
    <x v="1"/>
    <x v="2"/>
    <d v="2025-11-13T00:00:00"/>
    <s v="Dólares"/>
    <n v="2689.2"/>
    <s v="TAUCA"/>
    <x v="4"/>
    <m/>
    <m/>
  </r>
  <r>
    <x v="0"/>
    <x v="0"/>
    <x v="0"/>
    <m/>
    <x v="1"/>
    <x v="3"/>
    <d v="2025-09-18T00:00:00"/>
    <s v="Dólares"/>
    <n v="4400"/>
    <s v="ANDREA DE LOS ANGELES CARBALLO VINDAS"/>
    <x v="9"/>
    <m/>
    <m/>
  </r>
  <r>
    <x v="0"/>
    <x v="3"/>
    <x v="2"/>
    <n v="10027037"/>
    <x v="1"/>
    <x v="2"/>
    <d v="2025-07-09T00:00:00"/>
    <s v="Colones"/>
    <n v="2682.1870078740158"/>
    <s v="EDWIN LUILLY MADRIGAL HERNANDEZ"/>
    <x v="7"/>
    <m/>
    <m/>
  </r>
  <r>
    <x v="0"/>
    <x v="2"/>
    <x v="0"/>
    <n v="10026647"/>
    <x v="1"/>
    <x v="4"/>
    <d v="2025-05-22T00:00:00"/>
    <s v="Dólares"/>
    <n v="2652.09"/>
    <s v="MEGALINEAS SOCIEDAD ANONIMA "/>
    <x v="0"/>
    <m/>
    <m/>
  </r>
  <r>
    <x v="0"/>
    <x v="0"/>
    <x v="0"/>
    <m/>
    <x v="1"/>
    <x v="0"/>
    <d v="2025-07-04T00:00:00"/>
    <s v="Dólares"/>
    <n v="2640"/>
    <s v="ILEANA ROJAS SABORIO"/>
    <x v="7"/>
    <m/>
    <m/>
  </r>
  <r>
    <x v="1"/>
    <x v="0"/>
    <x v="0"/>
    <m/>
    <x v="1"/>
    <x v="3"/>
    <d v="2025-09-18T00:00:00"/>
    <s v="Dólares"/>
    <n v="4283.47"/>
    <s v="G Q ARQUITECTURA SOCIEDAD ANONIMA "/>
    <x v="9"/>
    <m/>
    <m/>
  </r>
  <r>
    <x v="0"/>
    <x v="0"/>
    <x v="0"/>
    <m/>
    <x v="1"/>
    <x v="4"/>
    <d v="2025-10-21T00:00:00"/>
    <s v="Dólares"/>
    <n v="2636.08"/>
    <s v="Annia Soto Torres"/>
    <x v="2"/>
    <m/>
    <m/>
  </r>
  <r>
    <x v="0"/>
    <x v="2"/>
    <x v="2"/>
    <m/>
    <x v="1"/>
    <x v="2"/>
    <d v="2026-02-10T00:00:00"/>
    <s v="Dólares"/>
    <n v="19112.32"/>
    <s v="INVERSIONES 9.9013 S.A."/>
    <x v="6"/>
    <m/>
    <m/>
  </r>
  <r>
    <x v="0"/>
    <x v="2"/>
    <x v="1"/>
    <m/>
    <x v="1"/>
    <x v="3"/>
    <d v="2025-09-18T00:00:00"/>
    <s v="Colones"/>
    <n v="3215.4450980392157"/>
    <s v="WISOL AMERICANA SOCIEDAD ANONIMA"/>
    <x v="9"/>
    <m/>
    <m/>
  </r>
  <r>
    <x v="0"/>
    <x v="0"/>
    <x v="0"/>
    <m/>
    <x v="1"/>
    <x v="3"/>
    <d v="2025-09-18T00:00:00"/>
    <s v="Dólares"/>
    <n v="2000"/>
    <s v="MARIA DE MONSERRAT GUITART PIGUILLEM"/>
    <x v="9"/>
    <m/>
    <m/>
  </r>
  <r>
    <x v="0"/>
    <x v="2"/>
    <x v="1"/>
    <m/>
    <x v="1"/>
    <x v="3"/>
    <d v="2025-09-18T00:00:00"/>
    <s v="Dólares"/>
    <n v="778.63"/>
    <s v="MOBILE PRO"/>
    <x v="9"/>
    <m/>
    <m/>
  </r>
  <r>
    <x v="0"/>
    <x v="2"/>
    <x v="0"/>
    <n v="10027458"/>
    <x v="1"/>
    <x v="0"/>
    <d v="2025-09-03T00:00:00"/>
    <s v="Dólares"/>
    <n v="2581.94"/>
    <s v="GRUPO CORPORATIVO SMCR NORTE SOCIEDAD ANONIMA"/>
    <x v="9"/>
    <m/>
    <m/>
  </r>
  <r>
    <x v="0"/>
    <x v="0"/>
    <x v="0"/>
    <m/>
    <x v="1"/>
    <x v="3"/>
    <d v="2025-09-18T00:00:00"/>
    <s v="Dólares"/>
    <n v="100"/>
    <s v="IVANNIA HASBUM FERNANDEZ"/>
    <x v="9"/>
    <m/>
    <m/>
  </r>
  <r>
    <x v="0"/>
    <x v="2"/>
    <x v="0"/>
    <m/>
    <x v="1"/>
    <x v="2"/>
    <d v="2025-09-12T00:00:00"/>
    <s v="Dólares"/>
    <n v="2566.3000000000002"/>
    <s v="THE FLOWZONE SOCIEDAD DE RESPONSABILIDAD LIMITADA"/>
    <x v="9"/>
    <m/>
    <m/>
  </r>
  <r>
    <x v="2"/>
    <x v="3"/>
    <x v="0"/>
    <m/>
    <x v="1"/>
    <x v="4"/>
    <d v="2026-12-31T00:00:00"/>
    <s v="Dólares"/>
    <n v="2547.66"/>
    <s v="SEMANA 05 EXPRESS"/>
    <x v="8"/>
    <m/>
    <m/>
  </r>
  <r>
    <x v="0"/>
    <x v="0"/>
    <x v="0"/>
    <n v="10028402"/>
    <x v="1"/>
    <x v="4"/>
    <d v="2026-01-30T00:00:00"/>
    <s v="Colones"/>
    <n v="2547.4798387096776"/>
    <s v="Liberaterra Inmobiliaria SRL"/>
    <x v="3"/>
    <m/>
    <m/>
  </r>
  <r>
    <x v="0"/>
    <x v="2"/>
    <x v="1"/>
    <n v="10027234"/>
    <x v="1"/>
    <x v="2"/>
    <d v="2025-07-07T00:00:00"/>
    <s v="Dólares"/>
    <n v="2528.35"/>
    <s v="FARMA VALUE "/>
    <x v="7"/>
    <m/>
    <m/>
  </r>
  <r>
    <x v="0"/>
    <x v="0"/>
    <x v="0"/>
    <m/>
    <x v="1"/>
    <x v="4"/>
    <d v="2025-06-20T00:00:00"/>
    <s v="Colones"/>
    <n v="2511.4181102362204"/>
    <s v="MARIA NINFA TERESA DE JESUS CORDERO TORRES"/>
    <x v="5"/>
    <m/>
    <m/>
  </r>
  <r>
    <x v="0"/>
    <x v="0"/>
    <x v="0"/>
    <m/>
    <x v="1"/>
    <x v="4"/>
    <d v="2025-11-24T00:00:00"/>
    <s v="Dólares"/>
    <n v="2500"/>
    <s v="REAL DAY"/>
    <x v="4"/>
    <m/>
    <m/>
  </r>
  <r>
    <x v="1"/>
    <x v="0"/>
    <x v="0"/>
    <n v="10836"/>
    <x v="1"/>
    <x v="4"/>
    <d v="2025-11-25T00:00:00"/>
    <s v="Dólares"/>
    <n v="2500"/>
    <s v="VIRGINIA STEINVORTH KOBERG"/>
    <x v="4"/>
    <m/>
    <m/>
  </r>
  <r>
    <x v="0"/>
    <x v="3"/>
    <x v="0"/>
    <m/>
    <x v="1"/>
    <x v="0"/>
    <d v="2025-10-03T00:00:00"/>
    <s v="Dólares"/>
    <n v="2496.69"/>
    <s v="GUACAMAYA "/>
    <x v="2"/>
    <m/>
    <m/>
  </r>
  <r>
    <x v="0"/>
    <x v="1"/>
    <x v="1"/>
    <m/>
    <x v="1"/>
    <x v="3"/>
    <d v="2025-09-19T00:00:00"/>
    <s v="Dólares"/>
    <n v="97677.34"/>
    <s v="Euro Lindora Fa S.A"/>
    <x v="9"/>
    <m/>
    <m/>
  </r>
  <r>
    <x v="0"/>
    <x v="0"/>
    <x v="0"/>
    <n v="10027154"/>
    <x v="1"/>
    <x v="4"/>
    <d v="2025-07-24T00:00:00"/>
    <s v="Dólares"/>
    <n v="2475"/>
    <s v="BERNARDITA DEL ROSARIO SANDI RETANA"/>
    <x v="7"/>
    <m/>
    <m/>
  </r>
  <r>
    <x v="0"/>
    <x v="0"/>
    <x v="0"/>
    <n v="10027269"/>
    <x v="1"/>
    <x v="0"/>
    <d v="2025-08-08T00:00:00"/>
    <s v="Dólares"/>
    <n v="2466.66"/>
    <s v="MILTON BALTODANO"/>
    <x v="1"/>
    <m/>
    <m/>
  </r>
  <r>
    <x v="0"/>
    <x v="0"/>
    <x v="0"/>
    <n v="10027270"/>
    <x v="1"/>
    <x v="0"/>
    <d v="2025-08-08T00:00:00"/>
    <s v="Dólares"/>
    <n v="2466.66"/>
    <s v="MILTON BALTODANO"/>
    <x v="1"/>
    <m/>
    <m/>
  </r>
  <r>
    <x v="0"/>
    <x v="0"/>
    <x v="0"/>
    <n v="10027282"/>
    <x v="1"/>
    <x v="2"/>
    <d v="2025-08-11T00:00:00"/>
    <s v="Dólares"/>
    <n v="2466.66"/>
    <s v="MILTON BALTODANO BALTODANO"/>
    <x v="1"/>
    <m/>
    <m/>
  </r>
  <r>
    <x v="0"/>
    <x v="1"/>
    <x v="1"/>
    <m/>
    <x v="1"/>
    <x v="3"/>
    <d v="2025-09-19T00:00:00"/>
    <s v="Dólares"/>
    <n v="90000"/>
    <s v="EDICA - SKY GARDEN MUEBLES"/>
    <x v="9"/>
    <m/>
    <m/>
  </r>
  <r>
    <x v="0"/>
    <x v="0"/>
    <x v="0"/>
    <m/>
    <x v="1"/>
    <x v="0"/>
    <d v="2025-08-05T00:00:00"/>
    <s v="Dólares"/>
    <n v="2465.3200000000002"/>
    <s v="MAURICIO MENA GUTIERREZ"/>
    <x v="1"/>
    <m/>
    <m/>
  </r>
  <r>
    <x v="0"/>
    <x v="1"/>
    <x v="0"/>
    <n v="10027285"/>
    <x v="1"/>
    <x v="0"/>
    <d v="2025-08-05T00:00:00"/>
    <s v="Dólares"/>
    <n v="2465.3200000000002"/>
    <s v="CASA MENA PRIVATE COLLECTION SOCIEDAD DE RESPONSABILIDAD LIMITADA"/>
    <x v="1"/>
    <m/>
    <m/>
  </r>
  <r>
    <x v="0"/>
    <x v="0"/>
    <x v="0"/>
    <m/>
    <x v="1"/>
    <x v="3"/>
    <d v="2025-09-19T00:00:00"/>
    <s v="Dólares"/>
    <n v="50500"/>
    <s v="LUXE GREEN PARADISE INC SOCIEDAD DE RESPONSABILIDAD LIMITADA"/>
    <x v="9"/>
    <m/>
    <m/>
  </r>
  <r>
    <x v="0"/>
    <x v="2"/>
    <x v="0"/>
    <m/>
    <x v="1"/>
    <x v="2"/>
    <d v="2025-09-10T00:00:00"/>
    <s v="Dólares"/>
    <n v="2452.9699999999998"/>
    <s v="TERMINALES SANTA MARÍA"/>
    <x v="9"/>
    <m/>
    <m/>
  </r>
  <r>
    <x v="0"/>
    <x v="1"/>
    <x v="0"/>
    <n v="10027582"/>
    <x v="1"/>
    <x v="3"/>
    <d v="2025-09-19T00:00:00"/>
    <s v="Dólares"/>
    <n v="20171.150000000001"/>
    <s v="Constructora BRK"/>
    <x v="9"/>
    <m/>
    <m/>
  </r>
  <r>
    <x v="0"/>
    <x v="0"/>
    <x v="0"/>
    <m/>
    <x v="1"/>
    <x v="4"/>
    <d v="2025-10-21T00:00:00"/>
    <s v="Dólares"/>
    <n v="2436.4"/>
    <s v="ELKE MARIA STEIVORTH"/>
    <x v="2"/>
    <m/>
    <m/>
  </r>
  <r>
    <x v="0"/>
    <x v="1"/>
    <x v="0"/>
    <n v="10027583"/>
    <x v="1"/>
    <x v="3"/>
    <d v="2025-09-19T00:00:00"/>
    <s v="Dólares"/>
    <n v="4778.47"/>
    <s v="MARIO VISONA STORTI"/>
    <x v="9"/>
    <m/>
    <m/>
  </r>
  <r>
    <x v="0"/>
    <x v="2"/>
    <x v="0"/>
    <m/>
    <x v="1"/>
    <x v="2"/>
    <d v="2026-01-15T00:00:00"/>
    <s v="Dólares"/>
    <n v="2421.41"/>
    <s v="MAQUINARIA y TRACTORES LIMITADA"/>
    <x v="3"/>
    <m/>
    <m/>
  </r>
  <r>
    <x v="0"/>
    <x v="0"/>
    <x v="2"/>
    <m/>
    <x v="1"/>
    <x v="3"/>
    <d v="2025-09-19T00:00:00"/>
    <s v="Dólares"/>
    <n v="2000"/>
    <s v="SILVIA ARIAS ESPINOZA"/>
    <x v="9"/>
    <m/>
    <m/>
  </r>
  <r>
    <x v="2"/>
    <x v="3"/>
    <x v="0"/>
    <m/>
    <x v="1"/>
    <x v="0"/>
    <d v="2025-05-02T00:00:00"/>
    <s v="Dólares"/>
    <n v="2409.04"/>
    <s v="PAGO SEMANA 01 OUTLET MAYO"/>
    <x v="0"/>
    <m/>
    <m/>
  </r>
  <r>
    <x v="0"/>
    <x v="0"/>
    <x v="0"/>
    <m/>
    <x v="1"/>
    <x v="4"/>
    <d v="2025-06-25T00:00:00"/>
    <s v="Dólares"/>
    <n v="2407.63"/>
    <s v="SIN IDENTIFICAR "/>
    <x v="5"/>
    <m/>
    <m/>
  </r>
  <r>
    <x v="0"/>
    <x v="3"/>
    <x v="0"/>
    <m/>
    <x v="1"/>
    <x v="1"/>
    <d v="2025-12-30T00:00:00"/>
    <s v="Dólares"/>
    <n v="2405.3200000000002"/>
    <s v="BANCO PROMERICA DE COSTA RICA SOCIEDAD ANONIMA"/>
    <x v="8"/>
    <m/>
    <m/>
  </r>
  <r>
    <x v="0"/>
    <x v="2"/>
    <x v="0"/>
    <m/>
    <x v="1"/>
    <x v="2"/>
    <d v="2025-11-13T00:00:00"/>
    <s v="Dólares"/>
    <n v="2401.61"/>
    <s v="DHL "/>
    <x v="4"/>
    <m/>
    <m/>
  </r>
  <r>
    <x v="1"/>
    <x v="0"/>
    <x v="0"/>
    <m/>
    <x v="1"/>
    <x v="2"/>
    <d v="2025-05-09T00:00:00"/>
    <s v="Dólares"/>
    <n v="2400"/>
    <s v="ivon Delgado Bringa"/>
    <x v="0"/>
    <m/>
    <m/>
  </r>
  <r>
    <x v="0"/>
    <x v="0"/>
    <x v="0"/>
    <m/>
    <x v="1"/>
    <x v="1"/>
    <d v="2025-10-28T00:00:00"/>
    <s v="Dólares"/>
    <n v="2400"/>
    <s v="JOHN CAMPOS MURILLO"/>
    <x v="2"/>
    <m/>
    <m/>
  </r>
  <r>
    <x v="1"/>
    <x v="0"/>
    <x v="0"/>
    <m/>
    <x v="1"/>
    <x v="4"/>
    <d v="2025-07-22T00:00:00"/>
    <s v="Dólares"/>
    <n v="2365"/>
    <n v="3101481379"/>
    <x v="7"/>
    <m/>
    <m/>
  </r>
  <r>
    <x v="0"/>
    <x v="2"/>
    <x v="0"/>
    <n v="10026933"/>
    <x v="1"/>
    <x v="4"/>
    <d v="2025-06-27T00:00:00"/>
    <s v="Dólares"/>
    <n v="2338.0700000000002"/>
    <s v="EATON ELECTRICAL SRL"/>
    <x v="5"/>
    <m/>
    <m/>
  </r>
  <r>
    <x v="0"/>
    <x v="2"/>
    <x v="0"/>
    <n v="10026628"/>
    <x v="1"/>
    <x v="4"/>
    <d v="2025-05-19T00:00:00"/>
    <s v="Dólares"/>
    <n v="2335.25"/>
    <s v="SELECT SOLUTIONS LTDA DE C.V."/>
    <x v="0"/>
    <m/>
    <m/>
  </r>
  <r>
    <x v="0"/>
    <x v="2"/>
    <x v="0"/>
    <m/>
    <x v="1"/>
    <x v="4"/>
    <d v="2025-08-25T00:00:00"/>
    <s v="Dólares"/>
    <n v="2329.1999999999998"/>
    <s v="TERADYNE DECOSTA RICA SOCIEDAD DE RESPONSABILIDAD LIMITADA"/>
    <x v="1"/>
    <m/>
    <m/>
  </r>
  <r>
    <x v="1"/>
    <x v="0"/>
    <x v="0"/>
    <n v="10850"/>
    <x v="1"/>
    <x v="4"/>
    <d v="2025-12-23T00:00:00"/>
    <s v="Dólares"/>
    <n v="2323"/>
    <s v="Stephanie Kennedy"/>
    <x v="8"/>
    <m/>
    <m/>
  </r>
  <r>
    <x v="0"/>
    <x v="0"/>
    <x v="0"/>
    <n v="10027580"/>
    <x v="1"/>
    <x v="3"/>
    <d v="2025-09-19T00:00:00"/>
    <s v="Dólares"/>
    <n v="2000"/>
    <s v="RAUL ALFREDO VARGAS CAMPOS"/>
    <x v="9"/>
    <m/>
    <m/>
  </r>
  <r>
    <x v="0"/>
    <x v="2"/>
    <x v="0"/>
    <m/>
    <x v="1"/>
    <x v="3"/>
    <d v="2025-09-19T00:00:00"/>
    <s v="Dólares"/>
    <n v="1923.732"/>
    <s v="GREIF COSTA RICA"/>
    <x v="9"/>
    <m/>
    <m/>
  </r>
  <r>
    <x v="0"/>
    <x v="2"/>
    <x v="0"/>
    <m/>
    <x v="1"/>
    <x v="0"/>
    <d v="2026-01-09T00:00:00"/>
    <s v="Dólares"/>
    <n v="2318.5300000000002"/>
    <s v="EMPRESAS CLEVELAND"/>
    <x v="3"/>
    <m/>
    <m/>
  </r>
  <r>
    <x v="0"/>
    <x v="0"/>
    <x v="0"/>
    <n v="10027592"/>
    <x v="1"/>
    <x v="3"/>
    <d v="2025-09-19T00:00:00"/>
    <s v="Dólares"/>
    <n v="1339"/>
    <s v="jeffrey G salamone"/>
    <x v="9"/>
    <m/>
    <m/>
  </r>
  <r>
    <x v="0"/>
    <x v="0"/>
    <x v="0"/>
    <m/>
    <x v="1"/>
    <x v="0"/>
    <d v="2025-11-05T00:00:00"/>
    <s v="Dólares"/>
    <n v="2313"/>
    <s v="DORIS MORERA LOPEZ"/>
    <x v="4"/>
    <m/>
    <m/>
  </r>
  <r>
    <x v="0"/>
    <x v="0"/>
    <x v="0"/>
    <n v="10027233"/>
    <x v="1"/>
    <x v="2"/>
    <d v="2025-07-09T00:00:00"/>
    <s v="Dólares"/>
    <n v="2302"/>
    <s v="GUSTAVO CEDEÑO ELIZONDO"/>
    <x v="7"/>
    <m/>
    <m/>
  </r>
  <r>
    <x v="0"/>
    <x v="0"/>
    <x v="0"/>
    <n v="10027255"/>
    <x v="1"/>
    <x v="0"/>
    <d v="2025-08-07T00:00:00"/>
    <s v="Dólares"/>
    <n v="2300"/>
    <s v="CARLOS EDUARDO LEANDRO SOLANO"/>
    <x v="1"/>
    <m/>
    <m/>
  </r>
  <r>
    <x v="0"/>
    <x v="0"/>
    <x v="0"/>
    <m/>
    <x v="1"/>
    <x v="0"/>
    <d v="2025-08-08T00:00:00"/>
    <s v="Dólares"/>
    <n v="2300"/>
    <s v="CARLOS EDUARDO LEANDRO SOLANO"/>
    <x v="1"/>
    <m/>
    <m/>
  </r>
  <r>
    <x v="1"/>
    <x v="0"/>
    <x v="0"/>
    <n v="10795"/>
    <x v="1"/>
    <x v="4"/>
    <d v="2025-09-26T00:00:00"/>
    <s v="Dólares"/>
    <n v="2292.4499999999998"/>
    <s v="JESSE SHETLER (CLIENTE ES STEPHEN WILLIAMS)"/>
    <x v="9"/>
    <m/>
    <m/>
  </r>
  <r>
    <x v="0"/>
    <x v="3"/>
    <x v="2"/>
    <n v="10026475"/>
    <x v="1"/>
    <x v="0"/>
    <d v="2025-05-02T00:00:00"/>
    <s v="Dólares"/>
    <n v="2286.04"/>
    <s v="ZENIT SPORTS AND WELLNESS SOCIEDAD ANONIMA"/>
    <x v="0"/>
    <m/>
    <m/>
  </r>
  <r>
    <x v="0"/>
    <x v="0"/>
    <x v="0"/>
    <n v="10027577"/>
    <x v="1"/>
    <x v="3"/>
    <d v="2025-09-19T00:00:00"/>
    <s v="Dólares"/>
    <n v="568"/>
    <s v="ADRIANA MARIA CAMPOS FUMERO "/>
    <x v="9"/>
    <m/>
    <m/>
  </r>
  <r>
    <x v="0"/>
    <x v="3"/>
    <x v="0"/>
    <m/>
    <x v="1"/>
    <x v="1"/>
    <d v="2025-10-30T00:00:00"/>
    <s v="Colones"/>
    <n v="2279.5150392156861"/>
    <s v="UNIVERSIDAD DE COSTA RICA"/>
    <x v="2"/>
    <m/>
    <m/>
  </r>
  <r>
    <x v="0"/>
    <x v="0"/>
    <x v="0"/>
    <n v="10027356"/>
    <x v="1"/>
    <x v="3"/>
    <d v="2025-09-19T00:00:00"/>
    <s v="Dólares"/>
    <n v="233.68"/>
    <s v="LUIS FDO HERNANDEZ RODRIGUEZ"/>
    <x v="9"/>
    <m/>
    <m/>
  </r>
  <r>
    <x v="0"/>
    <x v="0"/>
    <x v="0"/>
    <m/>
    <x v="1"/>
    <x v="3"/>
    <d v="2025-09-19T00:00:00"/>
    <s v="Dólares"/>
    <n v="125"/>
    <s v="JUAN RAFAEL RAVEN WITHFORD"/>
    <x v="9"/>
    <m/>
    <m/>
  </r>
  <r>
    <x v="0"/>
    <x v="0"/>
    <x v="0"/>
    <n v="10027590"/>
    <x v="1"/>
    <x v="3"/>
    <d v="2025-09-20T00:00:00"/>
    <s v="Dólares"/>
    <n v="5722.07"/>
    <s v="SOWEST SOCIEDAD DE RESPONSABILIDAD LIMITADA"/>
    <x v="9"/>
    <m/>
    <m/>
  </r>
  <r>
    <x v="0"/>
    <x v="0"/>
    <x v="0"/>
    <n v="10027588"/>
    <x v="1"/>
    <x v="3"/>
    <d v="2025-09-20T00:00:00"/>
    <s v="Dólares"/>
    <n v="5000"/>
    <s v="HEIZEL VIVIANNA HERNANDEZ MURILLO"/>
    <x v="9"/>
    <m/>
    <m/>
  </r>
  <r>
    <x v="0"/>
    <x v="0"/>
    <x v="0"/>
    <n v="10027597"/>
    <x v="1"/>
    <x v="4"/>
    <d v="2025-09-22T00:00:00"/>
    <s v="Dólares"/>
    <n v="2263.15"/>
    <s v="REINER STEVEN SANCHEZ CARBALLO"/>
    <x v="9"/>
    <m/>
    <m/>
  </r>
  <r>
    <x v="2"/>
    <x v="3"/>
    <x v="0"/>
    <m/>
    <x v="1"/>
    <x v="3"/>
    <d v="2025-09-20T00:00:00"/>
    <s v="Dólares"/>
    <n v="3747.79"/>
    <s v="SEMANA 03 SETIEMBRE EXPRESS"/>
    <x v="9"/>
    <m/>
    <m/>
  </r>
  <r>
    <x v="0"/>
    <x v="0"/>
    <x v="1"/>
    <m/>
    <x v="1"/>
    <x v="2"/>
    <d v="2025-06-13T00:00:00"/>
    <s v="Dólares"/>
    <n v="2263.13"/>
    <s v="REINER STEVEN SANCHEZ CARBALLO"/>
    <x v="5"/>
    <m/>
    <m/>
  </r>
  <r>
    <x v="0"/>
    <x v="0"/>
    <x v="0"/>
    <n v="10027591"/>
    <x v="1"/>
    <x v="3"/>
    <d v="2025-09-20T00:00:00"/>
    <s v="Dólares"/>
    <n v="2000"/>
    <s v="HAILYN ESQUIVEL PEREZ"/>
    <x v="9"/>
    <m/>
    <m/>
  </r>
  <r>
    <x v="0"/>
    <x v="0"/>
    <x v="0"/>
    <n v="10026499"/>
    <x v="1"/>
    <x v="0"/>
    <d v="2025-05-03T00:00:00"/>
    <s v="Dólares"/>
    <n v="2263"/>
    <s v="REINER STEVEN SANCHEZ CARBALLO"/>
    <x v="0"/>
    <m/>
    <m/>
  </r>
  <r>
    <x v="0"/>
    <x v="0"/>
    <x v="0"/>
    <n v="10027308"/>
    <x v="1"/>
    <x v="2"/>
    <d v="2025-08-14T00:00:00"/>
    <s v="Dólares"/>
    <n v="2263"/>
    <s v="REINER STEVEN SANCHEZ CARBALLO"/>
    <x v="1"/>
    <m/>
    <m/>
  </r>
  <r>
    <x v="0"/>
    <x v="0"/>
    <x v="0"/>
    <n v="10027589"/>
    <x v="1"/>
    <x v="3"/>
    <d v="2025-09-20T00:00:00"/>
    <s v="Dólares"/>
    <n v="1000"/>
    <s v="SOWEST SOCIEDAD DE RESPONSABILIDAD LIMITADA"/>
    <x v="9"/>
    <m/>
    <m/>
  </r>
  <r>
    <x v="0"/>
    <x v="0"/>
    <x v="0"/>
    <n v="10026501"/>
    <x v="1"/>
    <x v="2"/>
    <d v="2025-05-05T00:00:00"/>
    <s v="Dólares"/>
    <n v="2246.19"/>
    <s v="JOSE ANTONIO ORTEGA ORLICH"/>
    <x v="0"/>
    <m/>
    <m/>
  </r>
  <r>
    <x v="0"/>
    <x v="0"/>
    <x v="0"/>
    <n v="10027169"/>
    <x v="1"/>
    <x v="4"/>
    <d v="2025-07-26T00:00:00"/>
    <s v="Dólares"/>
    <n v="2245"/>
    <s v="ANA ELISA SAENZ"/>
    <x v="7"/>
    <m/>
    <m/>
  </r>
  <r>
    <x v="0"/>
    <x v="1"/>
    <x v="0"/>
    <m/>
    <x v="1"/>
    <x v="2"/>
    <d v="2025-10-06T00:00:00"/>
    <s v="Dólares"/>
    <n v="2239.7199999999998"/>
    <s v="3 101 861274 SOCIEDAD ANONIMA"/>
    <x v="2"/>
    <m/>
    <m/>
  </r>
  <r>
    <x v="0"/>
    <x v="3"/>
    <x v="1"/>
    <n v="10026757"/>
    <x v="1"/>
    <x v="0"/>
    <d v="2025-06-04T00:00:00"/>
    <s v="Dólares"/>
    <n v="2237.4"/>
    <s v="WORKINGS ESCAZU LIMITADA"/>
    <x v="5"/>
    <m/>
    <m/>
  </r>
  <r>
    <x v="1"/>
    <x v="0"/>
    <x v="0"/>
    <m/>
    <x v="1"/>
    <x v="2"/>
    <d v="2025-10-11T00:00:00"/>
    <s v="Dólares"/>
    <n v="2237"/>
    <s v="Isabel Fornaguera"/>
    <x v="2"/>
    <m/>
    <m/>
  </r>
  <r>
    <x v="3"/>
    <x v="3"/>
    <x v="0"/>
    <m/>
    <x v="1"/>
    <x v="2"/>
    <d v="2025-07-11T00:00:00"/>
    <s v="Colones"/>
    <n v="2232.6998228346456"/>
    <s v="COMPAÑIA NACIONAL DE FUERZA Y LUZ SOCIEDAD ANONIMA"/>
    <x v="7"/>
    <m/>
    <m/>
  </r>
  <r>
    <x v="0"/>
    <x v="1"/>
    <x v="0"/>
    <m/>
    <x v="1"/>
    <x v="1"/>
    <d v="2025-09-30T00:00:00"/>
    <s v="Dólares"/>
    <n v="2224.29"/>
    <s v="SIN IDENTIFICAR"/>
    <x v="9"/>
    <m/>
    <m/>
  </r>
  <r>
    <x v="0"/>
    <x v="0"/>
    <x v="0"/>
    <n v="10027150"/>
    <x v="1"/>
    <x v="4"/>
    <d v="2025-07-24T00:00:00"/>
    <s v="Dólares"/>
    <n v="2211.67"/>
    <s v="ANA ELISA SAENZ NARANJO"/>
    <x v="7"/>
    <m/>
    <m/>
  </r>
  <r>
    <x v="0"/>
    <x v="0"/>
    <x v="0"/>
    <m/>
    <x v="1"/>
    <x v="2"/>
    <d v="2025-10-08T00:00:00"/>
    <s v="Dólares"/>
    <n v="2205.67"/>
    <s v="ERIC RAUL MURILLO"/>
    <x v="2"/>
    <m/>
    <m/>
  </r>
  <r>
    <x v="0"/>
    <x v="3"/>
    <x v="0"/>
    <n v="10026744"/>
    <x v="1"/>
    <x v="0"/>
    <d v="2025-06-03T00:00:00"/>
    <s v="Dólares"/>
    <n v="2203.5"/>
    <s v="TELEDOLAR SOCIEDAD ANONIMA"/>
    <x v="5"/>
    <m/>
    <m/>
  </r>
  <r>
    <x v="0"/>
    <x v="0"/>
    <x v="0"/>
    <m/>
    <x v="1"/>
    <x v="4"/>
    <d v="2025-09-25T00:00:00"/>
    <s v="Dólares"/>
    <n v="2203.5"/>
    <s v="JERLANY VANNESA RAMIREZ"/>
    <x v="9"/>
    <m/>
    <m/>
  </r>
  <r>
    <x v="0"/>
    <x v="1"/>
    <x v="0"/>
    <n v="10026642"/>
    <x v="1"/>
    <x v="4"/>
    <d v="2025-05-22T00:00:00"/>
    <s v="Dólares"/>
    <n v="2198.12"/>
    <s v="PROPIEDADES EL RINCON DE LOS SUEÑOS S.A"/>
    <x v="0"/>
    <m/>
    <m/>
  </r>
  <r>
    <x v="0"/>
    <x v="0"/>
    <x v="0"/>
    <m/>
    <x v="1"/>
    <x v="2"/>
    <d v="2025-06-11T00:00:00"/>
    <s v="Dólares"/>
    <n v="2192"/>
    <s v="GINES HOGAR SOCIEDAD ANONIMA"/>
    <x v="5"/>
    <m/>
    <m/>
  </r>
  <r>
    <x v="0"/>
    <x v="0"/>
    <x v="0"/>
    <m/>
    <x v="1"/>
    <x v="0"/>
    <d v="2025-12-05T00:00:00"/>
    <s v="Dólares"/>
    <n v="2192"/>
    <s v="Juan Pablo Munoz"/>
    <x v="8"/>
    <m/>
    <m/>
  </r>
  <r>
    <x v="0"/>
    <x v="0"/>
    <x v="0"/>
    <m/>
    <x v="1"/>
    <x v="0"/>
    <d v="2025-12-05T00:00:00"/>
    <s v="Dólares"/>
    <n v="2183"/>
    <s v="Douglas Román Díaz"/>
    <x v="8"/>
    <m/>
    <m/>
  </r>
  <r>
    <x v="0"/>
    <x v="0"/>
    <x v="0"/>
    <n v="10028286"/>
    <x v="1"/>
    <x v="0"/>
    <d v="2025-12-05T00:00:00"/>
    <s v="Dólares"/>
    <n v="2183"/>
    <s v="Douglas Román Díaz"/>
    <x v="8"/>
    <m/>
    <m/>
  </r>
  <r>
    <x v="0"/>
    <x v="0"/>
    <x v="0"/>
    <m/>
    <x v="1"/>
    <x v="1"/>
    <d v="2025-05-28T00:00:00"/>
    <s v="Dólares"/>
    <n v="2177"/>
    <s v="VICTOR ALBERTO DE LA TRINIDAD JIMENEZ NAVARRO"/>
    <x v="0"/>
    <m/>
    <m/>
  </r>
  <r>
    <x v="0"/>
    <x v="0"/>
    <x v="0"/>
    <m/>
    <x v="1"/>
    <x v="0"/>
    <d v="2025-12-03T00:00:00"/>
    <s v="Dólares"/>
    <n v="2177"/>
    <s v="Eyra Medina alvarez"/>
    <x v="8"/>
    <m/>
    <m/>
  </r>
  <r>
    <x v="0"/>
    <x v="2"/>
    <x v="0"/>
    <m/>
    <x v="1"/>
    <x v="0"/>
    <d v="2025-12-04T00:00:00"/>
    <s v="Dólares"/>
    <n v="2169.1"/>
    <s v="SWAV MEDICAL"/>
    <x v="8"/>
    <m/>
    <m/>
  </r>
  <r>
    <x v="0"/>
    <x v="3"/>
    <x v="0"/>
    <m/>
    <x v="1"/>
    <x v="2"/>
    <d v="2025-12-11T00:00:00"/>
    <s v="Colones"/>
    <n v="2157.2166078431374"/>
    <s v="ESTADO-MINISTERIO DE OBRAS PUBLICAS Y TRANSPORTE"/>
    <x v="8"/>
    <m/>
    <m/>
  </r>
  <r>
    <x v="0"/>
    <x v="1"/>
    <x v="0"/>
    <n v="10026898"/>
    <x v="1"/>
    <x v="4"/>
    <d v="2025-06-21T00:00:00"/>
    <s v="Dólares"/>
    <n v="2151.85"/>
    <s v="MARIA JOSE ABREGO MACHADO"/>
    <x v="5"/>
    <m/>
    <m/>
  </r>
  <r>
    <x v="0"/>
    <x v="2"/>
    <x v="0"/>
    <n v="10027658"/>
    <x v="1"/>
    <x v="3"/>
    <d v="2025-09-26T00:00:00"/>
    <s v="Dólares"/>
    <n v="5977.91"/>
    <s v="AE LOGISTICS SEL SOCIEDAD ANONIMA"/>
    <x v="9"/>
    <m/>
    <m/>
  </r>
  <r>
    <x v="0"/>
    <x v="0"/>
    <x v="0"/>
    <m/>
    <x v="1"/>
    <x v="4"/>
    <d v="2025-10-21T00:00:00"/>
    <s v="Dólares"/>
    <n v="2146"/>
    <s v="Wendy Zumbado"/>
    <x v="2"/>
    <m/>
    <m/>
  </r>
  <r>
    <x v="0"/>
    <x v="0"/>
    <x v="0"/>
    <n v="10026529"/>
    <x v="1"/>
    <x v="2"/>
    <d v="2025-05-08T00:00:00"/>
    <s v="Dólares"/>
    <n v="2145"/>
    <s v="MARIA VICTORIA LOPEZ ROBLES"/>
    <x v="0"/>
    <m/>
    <m/>
  </r>
  <r>
    <x v="0"/>
    <x v="3"/>
    <x v="0"/>
    <n v="10027736"/>
    <x v="1"/>
    <x v="3"/>
    <d v="2025-10-09T00:00:00"/>
    <s v="Dólares"/>
    <n v="5977.49"/>
    <s v="FDO INV. DESARROLLO PROYECTOS MULTIFONDOS SECRET ESCALANTE"/>
    <x v="2"/>
    <m/>
    <m/>
  </r>
  <r>
    <x v="0"/>
    <x v="0"/>
    <x v="0"/>
    <n v="10027800"/>
    <x v="1"/>
    <x v="2"/>
    <d v="2025-07-11T00:00:00"/>
    <s v="Dólares"/>
    <n v="2120.38"/>
    <s v="Carlos Villalobos"/>
    <x v="7"/>
    <m/>
    <m/>
  </r>
  <r>
    <x v="0"/>
    <x v="1"/>
    <x v="0"/>
    <n v="10027127"/>
    <x v="1"/>
    <x v="4"/>
    <d v="2025-07-21T00:00:00"/>
    <s v="Dólares"/>
    <n v="2118.75"/>
    <s v="CONOBRA LIMITADA"/>
    <x v="7"/>
    <m/>
    <m/>
  </r>
  <r>
    <x v="3"/>
    <x v="3"/>
    <x v="2"/>
    <m/>
    <x v="1"/>
    <x v="4"/>
    <d v="2025-06-25T00:00:00"/>
    <s v="Colones"/>
    <n v="2116.0342322834645"/>
    <s v="Universidad de Costa Rica"/>
    <x v="5"/>
    <m/>
    <m/>
  </r>
  <r>
    <x v="3"/>
    <x v="3"/>
    <x v="2"/>
    <m/>
    <x v="1"/>
    <x v="3"/>
    <d v="2025-10-13T00:00:00"/>
    <s v="Colones"/>
    <n v="61338.660921568626"/>
    <s v="CAJA COSTARRICENSE DE SEGURO SOCIAL - CALDERON GUARDIA"/>
    <x v="2"/>
    <m/>
    <m/>
  </r>
  <r>
    <x v="0"/>
    <x v="2"/>
    <x v="1"/>
    <m/>
    <x v="0"/>
    <x v="0"/>
    <d v="2025-10-03T00:00:00"/>
    <s v="Dólares"/>
    <n v="474858"/>
    <s v="NUEVOS ALMACENES S.A."/>
    <x v="2"/>
    <m/>
    <m/>
  </r>
  <r>
    <x v="0"/>
    <x v="3"/>
    <x v="2"/>
    <m/>
    <x v="0"/>
    <x v="0"/>
    <d v="2025-10-03T00:00:00"/>
    <s v="Dólares"/>
    <n v="75000"/>
    <s v="P Y P CONSTRUCCIONES SOCIEDAD ANONIMA"/>
    <x v="2"/>
    <m/>
    <m/>
  </r>
  <r>
    <x v="2"/>
    <x v="3"/>
    <x v="0"/>
    <m/>
    <x v="0"/>
    <x v="0"/>
    <d v="2025-10-03T00:00:00"/>
    <s v="Dólares"/>
    <n v="10000"/>
    <s v="SEMANA 01 OCTUBRE EXPRESS"/>
    <x v="2"/>
    <m/>
    <m/>
  </r>
  <r>
    <x v="0"/>
    <x v="0"/>
    <x v="0"/>
    <m/>
    <x v="0"/>
    <x v="0"/>
    <d v="2025-10-03T00:00:00"/>
    <s v="Dólares"/>
    <n v="60000"/>
    <s v="Clientes Nuevos"/>
    <x v="2"/>
    <m/>
    <m/>
  </r>
  <r>
    <x v="1"/>
    <x v="0"/>
    <x v="0"/>
    <m/>
    <x v="0"/>
    <x v="0"/>
    <d v="2025-10-03T00:00:00"/>
    <s v="Dólares"/>
    <n v="25000"/>
    <s v="Clientes Nuevos"/>
    <x v="2"/>
    <m/>
    <m/>
  </r>
  <r>
    <x v="0"/>
    <x v="1"/>
    <x v="0"/>
    <m/>
    <x v="0"/>
    <x v="0"/>
    <d v="2025-10-03T00:00:00"/>
    <s v="Dólares"/>
    <n v="23399"/>
    <s v="EUROHOGAR"/>
    <x v="2"/>
    <m/>
    <m/>
  </r>
  <r>
    <x v="0"/>
    <x v="1"/>
    <x v="2"/>
    <m/>
    <x v="0"/>
    <x v="0"/>
    <d v="2025-10-03T00:00:00"/>
    <s v="Dólares"/>
    <n v="13426.31"/>
    <s v="PRODEYCO"/>
    <x v="2"/>
    <m/>
    <m/>
  </r>
  <r>
    <x v="0"/>
    <x v="1"/>
    <x v="0"/>
    <m/>
    <x v="0"/>
    <x v="0"/>
    <d v="2025-10-03T00:00:00"/>
    <s v="Dólares"/>
    <n v="12152.58"/>
    <s v="BILCO COSTA RICA SA"/>
    <x v="2"/>
    <m/>
    <m/>
  </r>
  <r>
    <x v="0"/>
    <x v="1"/>
    <x v="2"/>
    <m/>
    <x v="0"/>
    <x v="0"/>
    <d v="2025-10-03T00:00:00"/>
    <s v="Dólares"/>
    <n v="11787.33"/>
    <s v="VOLIO Y TREJOS ASOCIADOS S.A"/>
    <x v="2"/>
    <m/>
    <m/>
  </r>
  <r>
    <x v="0"/>
    <x v="2"/>
    <x v="0"/>
    <m/>
    <x v="0"/>
    <x v="0"/>
    <d v="2025-10-03T00:00:00"/>
    <s v="Dólares"/>
    <n v="10123"/>
    <s v="VEINSA MOTORS, SOCIEDAD ANONIMA"/>
    <x v="2"/>
    <m/>
    <m/>
  </r>
  <r>
    <x v="0"/>
    <x v="1"/>
    <x v="0"/>
    <m/>
    <x v="0"/>
    <x v="0"/>
    <d v="2025-10-03T00:00:00"/>
    <s v="Dólares"/>
    <n v="9173.27"/>
    <s v="VOLIO Y TREJOS ASOCIADOS S.A"/>
    <x v="2"/>
    <m/>
    <m/>
  </r>
  <r>
    <x v="0"/>
    <x v="1"/>
    <x v="0"/>
    <m/>
    <x v="0"/>
    <x v="0"/>
    <d v="2025-10-03T00:00:00"/>
    <s v="Dólares"/>
    <n v="7892"/>
    <s v="EUROHOGAR"/>
    <x v="2"/>
    <m/>
    <m/>
  </r>
  <r>
    <x v="0"/>
    <x v="2"/>
    <x v="0"/>
    <m/>
    <x v="0"/>
    <x v="0"/>
    <d v="2025-10-03T00:00:00"/>
    <s v="Dólares"/>
    <n v="7881"/>
    <s v="ECODESARROLLO PAPAGAYO LIMITADA"/>
    <x v="2"/>
    <m/>
    <m/>
  </r>
  <r>
    <x v="0"/>
    <x v="1"/>
    <x v="0"/>
    <m/>
    <x v="0"/>
    <x v="0"/>
    <d v="2025-10-03T00:00:00"/>
    <s v="Dólares"/>
    <n v="91.2"/>
    <s v="EUROHOGAR"/>
    <x v="2"/>
    <m/>
    <m/>
  </r>
  <r>
    <x v="0"/>
    <x v="0"/>
    <x v="0"/>
    <m/>
    <x v="1"/>
    <x v="3"/>
    <d v="2025-10-13T00:00:00"/>
    <s v="Dólares"/>
    <n v="7840"/>
    <s v="NURIA HERRERA AGÜERO"/>
    <x v="2"/>
    <m/>
    <m/>
  </r>
  <r>
    <x v="0"/>
    <x v="0"/>
    <x v="0"/>
    <n v="10027187"/>
    <x v="1"/>
    <x v="4"/>
    <d v="2025-07-26T00:00:00"/>
    <s v="Dólares"/>
    <n v="2100"/>
    <s v="DESARROLLOS TEHELEN SOCIEDAD ANONIMA"/>
    <x v="7"/>
    <m/>
    <m/>
  </r>
  <r>
    <x v="0"/>
    <x v="1"/>
    <x v="0"/>
    <m/>
    <x v="1"/>
    <x v="3"/>
    <d v="2025-10-13T00:00:00"/>
    <s v="Dólares"/>
    <n v="6152.57"/>
    <s v="GN TWCR"/>
    <x v="2"/>
    <m/>
    <m/>
  </r>
  <r>
    <x v="3"/>
    <x v="3"/>
    <x v="2"/>
    <m/>
    <x v="1"/>
    <x v="4"/>
    <d v="2025-10-22T00:00:00"/>
    <s v="Dólares"/>
    <n v="2068.2399999999998"/>
    <s v="CONTRACT WORKPLACES COSTA RICA SOCIEDAD ANONIMA "/>
    <x v="2"/>
    <m/>
    <m/>
  </r>
  <r>
    <x v="0"/>
    <x v="0"/>
    <x v="0"/>
    <n v="10027761"/>
    <x v="1"/>
    <x v="3"/>
    <d v="2025-10-13T00:00:00"/>
    <s v="Dólares"/>
    <n v="1700"/>
    <s v="ILEANA MARIA ALVAREZ PEREZ"/>
    <x v="2"/>
    <m/>
    <m/>
  </r>
  <r>
    <x v="0"/>
    <x v="2"/>
    <x v="2"/>
    <m/>
    <x v="1"/>
    <x v="1"/>
    <d v="2025-10-28T00:00:00"/>
    <s v="Dólares"/>
    <n v="2056.6"/>
    <s v="SEAR"/>
    <x v="2"/>
    <m/>
    <m/>
  </r>
  <r>
    <x v="0"/>
    <x v="4"/>
    <x v="0"/>
    <m/>
    <x v="1"/>
    <x v="3"/>
    <d v="2025-10-13T00:00:00"/>
    <s v="Colones"/>
    <n v="1028.0784313725489"/>
    <s v="SIN IDENTIFICAR  -LOCAL"/>
    <x v="2"/>
    <m/>
    <m/>
  </r>
  <r>
    <x v="0"/>
    <x v="0"/>
    <x v="0"/>
    <m/>
    <x v="1"/>
    <x v="4"/>
    <d v="2025-11-27T00:00:00"/>
    <s v="Dólares"/>
    <n v="2046"/>
    <s v="NIDAROS HOLDINGS"/>
    <x v="4"/>
    <m/>
    <m/>
  </r>
  <r>
    <x v="0"/>
    <x v="2"/>
    <x v="0"/>
    <m/>
    <x v="1"/>
    <x v="3"/>
    <d v="2025-10-14T00:00:00"/>
    <s v="Dólares"/>
    <n v="57356.97"/>
    <s v="INVERSIONES 9.9013 - SARITA"/>
    <x v="2"/>
    <m/>
    <m/>
  </r>
  <r>
    <x v="0"/>
    <x v="2"/>
    <x v="2"/>
    <m/>
    <x v="1"/>
    <x v="3"/>
    <d v="2025-10-14T00:00:00"/>
    <s v="Colones"/>
    <n v="25594.770764705881"/>
    <s v="Cooperativa de Productores de leche Dos PinosR L"/>
    <x v="2"/>
    <m/>
    <m/>
  </r>
  <r>
    <x v="0"/>
    <x v="0"/>
    <x v="0"/>
    <m/>
    <x v="1"/>
    <x v="0"/>
    <d v="2025-11-04T00:00:00"/>
    <s v="Dólares"/>
    <n v="2037"/>
    <s v="EDUARDO GAZEL"/>
    <x v="4"/>
    <m/>
    <m/>
  </r>
  <r>
    <x v="0"/>
    <x v="3"/>
    <x v="0"/>
    <m/>
    <x v="1"/>
    <x v="3"/>
    <d v="2025-10-14T00:00:00"/>
    <s v="Dólares"/>
    <n v="13438.45"/>
    <s v="RAE INGENIEROS SOCIEDAD ANONIMA"/>
    <x v="2"/>
    <m/>
    <m/>
  </r>
  <r>
    <x v="0"/>
    <x v="2"/>
    <x v="0"/>
    <m/>
    <x v="1"/>
    <x v="2"/>
    <d v="2025-10-07T00:00:00"/>
    <s v="Dólares"/>
    <n v="2027.9"/>
    <s v="TERMINALES SANTA MARÍA"/>
    <x v="2"/>
    <m/>
    <m/>
  </r>
  <r>
    <x v="1"/>
    <x v="0"/>
    <x v="0"/>
    <n v="10867"/>
    <x v="1"/>
    <x v="4"/>
    <d v="2025-11-25T00:00:00"/>
    <s v="Dólares"/>
    <n v="2025"/>
    <s v="GRETHEL MAGALY DE LO MASIS GUTIERREZ"/>
    <x v="4"/>
    <m/>
    <m/>
  </r>
  <r>
    <x v="0"/>
    <x v="2"/>
    <x v="0"/>
    <m/>
    <x v="0"/>
    <x v="2"/>
    <d v="2025-10-05T00:00:00"/>
    <s v="Dólares"/>
    <n v="31638"/>
    <s v="DAVIVIENDA LEASING S.A."/>
    <x v="2"/>
    <m/>
    <m/>
  </r>
  <r>
    <x v="0"/>
    <x v="2"/>
    <x v="0"/>
    <m/>
    <x v="0"/>
    <x v="2"/>
    <d v="2025-10-05T00:00:00"/>
    <s v="Dólares"/>
    <n v="25632"/>
    <s v="Cooperativa de Productores de leche Dos PinosR L"/>
    <x v="2"/>
    <m/>
    <m/>
  </r>
  <r>
    <x v="0"/>
    <x v="2"/>
    <x v="0"/>
    <m/>
    <x v="0"/>
    <x v="2"/>
    <d v="2025-10-05T00:00:00"/>
    <s v="Dólares"/>
    <n v="22495.37"/>
    <s v="CENTRO DE CIENCIA Y TECNOLOGIA ULTRAPARK SOCIEDAD ANONIMA"/>
    <x v="2"/>
    <m/>
    <m/>
  </r>
  <r>
    <x v="0"/>
    <x v="2"/>
    <x v="0"/>
    <n v="10027661"/>
    <x v="1"/>
    <x v="1"/>
    <d v="2025-09-30T00:00:00"/>
    <s v="Dólares"/>
    <n v="2021.46"/>
    <s v="SUR QUIMICA SOCIEDAD ANONIMA"/>
    <x v="9"/>
    <m/>
    <m/>
  </r>
  <r>
    <x v="0"/>
    <x v="3"/>
    <x v="0"/>
    <m/>
    <x v="1"/>
    <x v="2"/>
    <d v="2026-01-14T00:00:00"/>
    <s v="Colones"/>
    <n v="2016.1290322580646"/>
    <s v="TECNOMED"/>
    <x v="3"/>
    <m/>
    <m/>
  </r>
  <r>
    <x v="0"/>
    <x v="0"/>
    <x v="0"/>
    <n v="10026487"/>
    <x v="1"/>
    <x v="0"/>
    <d v="2025-05-01T00:00:00"/>
    <s v="Dólares"/>
    <n v="2000"/>
    <s v="MARICELA MORA MORA"/>
    <x v="0"/>
    <m/>
    <m/>
  </r>
  <r>
    <x v="0"/>
    <x v="0"/>
    <x v="0"/>
    <n v="10026509"/>
    <x v="1"/>
    <x v="2"/>
    <d v="2025-05-08T00:00:00"/>
    <s v="Dólares"/>
    <n v="2000"/>
    <s v="Trent Justin Reifert"/>
    <x v="0"/>
    <m/>
    <m/>
  </r>
  <r>
    <x v="1"/>
    <x v="0"/>
    <x v="0"/>
    <m/>
    <x v="1"/>
    <x v="2"/>
    <d v="2025-05-08T00:00:00"/>
    <s v="Dólares"/>
    <n v="2000"/>
    <s v="GRUPO DEDAL SOCIEDAD ANONIMA"/>
    <x v="0"/>
    <m/>
    <m/>
  </r>
  <r>
    <x v="0"/>
    <x v="3"/>
    <x v="0"/>
    <n v="10026539"/>
    <x v="1"/>
    <x v="2"/>
    <d v="2025-05-09T00:00:00"/>
    <s v="Dólares"/>
    <n v="2000"/>
    <s v="IMS CONTRUCCIONES"/>
    <x v="0"/>
    <m/>
    <m/>
  </r>
  <r>
    <x v="0"/>
    <x v="0"/>
    <x v="0"/>
    <n v="10027756"/>
    <x v="1"/>
    <x v="3"/>
    <d v="2025-10-14T00:00:00"/>
    <s v="Dólares"/>
    <n v="9670.4"/>
    <s v="ROBERTO JESUS GAMBOA AREND"/>
    <x v="2"/>
    <m/>
    <m/>
  </r>
  <r>
    <x v="0"/>
    <x v="0"/>
    <x v="0"/>
    <m/>
    <x v="1"/>
    <x v="4"/>
    <d v="2025-05-17T00:00:00"/>
    <s v="Dólares"/>
    <n v="2000"/>
    <s v="MILTON BALTODANO BALTODANO"/>
    <x v="0"/>
    <m/>
    <m/>
  </r>
  <r>
    <x v="0"/>
    <x v="0"/>
    <x v="0"/>
    <m/>
    <x v="1"/>
    <x v="4"/>
    <d v="2025-05-22T00:00:00"/>
    <s v="Dólares"/>
    <n v="2000"/>
    <s v="PATRICIA VILLALOBOS "/>
    <x v="0"/>
    <m/>
    <m/>
  </r>
  <r>
    <x v="0"/>
    <x v="0"/>
    <x v="1"/>
    <m/>
    <x v="1"/>
    <x v="2"/>
    <d v="2025-06-10T00:00:00"/>
    <s v="Dólares"/>
    <n v="2000"/>
    <s v="WILLIAM ALBERTO FERNANDEZ PLANAS"/>
    <x v="5"/>
    <m/>
    <m/>
  </r>
  <r>
    <x v="0"/>
    <x v="0"/>
    <x v="0"/>
    <n v="10026710"/>
    <x v="1"/>
    <x v="2"/>
    <d v="2025-06-10T00:00:00"/>
    <s v="Dólares"/>
    <n v="2000"/>
    <s v="VICTOR ALBERTO DE LA TRINIDAD JIMENEZ NAVARRO"/>
    <x v="5"/>
    <m/>
    <m/>
  </r>
  <r>
    <x v="0"/>
    <x v="0"/>
    <x v="0"/>
    <m/>
    <x v="1"/>
    <x v="2"/>
    <d v="2025-06-13T00:00:00"/>
    <s v="Dólares"/>
    <n v="2000"/>
    <s v="ELIZABETH JIMENEZ JIMENEZ"/>
    <x v="5"/>
    <m/>
    <m/>
  </r>
  <r>
    <x v="0"/>
    <x v="0"/>
    <x v="1"/>
    <m/>
    <x v="1"/>
    <x v="3"/>
    <d v="2025-10-14T00:00:00"/>
    <s v="Dólares"/>
    <n v="7880"/>
    <s v="DUNIA AGUILAR"/>
    <x v="2"/>
    <m/>
    <m/>
  </r>
  <r>
    <x v="0"/>
    <x v="0"/>
    <x v="0"/>
    <m/>
    <x v="1"/>
    <x v="3"/>
    <d v="2025-10-14T00:00:00"/>
    <s v="Dólares"/>
    <n v="3000"/>
    <s v="IRENE CORDERO SANCHO"/>
    <x v="2"/>
    <m/>
    <m/>
  </r>
  <r>
    <x v="1"/>
    <x v="0"/>
    <x v="0"/>
    <n v="10807"/>
    <x v="1"/>
    <x v="3"/>
    <d v="2025-10-14T00:00:00"/>
    <s v="Dólares"/>
    <n v="1000"/>
    <s v="JUAN PABLO FERNANDEZ DE LA HERRAN"/>
    <x v="2"/>
    <m/>
    <m/>
  </r>
  <r>
    <x v="0"/>
    <x v="0"/>
    <x v="0"/>
    <m/>
    <x v="1"/>
    <x v="4"/>
    <d v="2025-06-26T00:00:00"/>
    <s v="Dólares"/>
    <n v="2000"/>
    <s v="JOSE PABLO VEGA ULATE"/>
    <x v="5"/>
    <m/>
    <m/>
  </r>
  <r>
    <x v="0"/>
    <x v="0"/>
    <x v="0"/>
    <m/>
    <x v="1"/>
    <x v="4"/>
    <d v="2025-06-27T00:00:00"/>
    <s v="Dólares"/>
    <n v="2000"/>
    <s v="MILTON BALTODANO BALTODANO"/>
    <x v="5"/>
    <m/>
    <m/>
  </r>
  <r>
    <x v="0"/>
    <x v="0"/>
    <x v="0"/>
    <n v="10027022"/>
    <x v="1"/>
    <x v="2"/>
    <d v="2025-07-04T00:00:00"/>
    <s v="Dólares"/>
    <n v="2000"/>
    <s v="ANA ELISA SAENZ NARANJO"/>
    <x v="7"/>
    <m/>
    <m/>
  </r>
  <r>
    <x v="0"/>
    <x v="0"/>
    <x v="0"/>
    <n v="10027023"/>
    <x v="1"/>
    <x v="2"/>
    <d v="2025-07-05T00:00:00"/>
    <s v="Dólares"/>
    <n v="2000"/>
    <s v="SANDRA LIZETT PERLA CAMPOS DE MELARA DEL CID"/>
    <x v="7"/>
    <m/>
    <m/>
  </r>
  <r>
    <x v="0"/>
    <x v="0"/>
    <x v="0"/>
    <n v="10027029"/>
    <x v="1"/>
    <x v="2"/>
    <d v="2025-07-07T00:00:00"/>
    <s v="Dólares"/>
    <n v="2000"/>
    <s v="RENE CARDONA GARCIA"/>
    <x v="7"/>
    <m/>
    <m/>
  </r>
  <r>
    <x v="0"/>
    <x v="0"/>
    <x v="0"/>
    <n v="10027036"/>
    <x v="1"/>
    <x v="2"/>
    <d v="2025-07-09T00:00:00"/>
    <s v="Dólares"/>
    <n v="2000"/>
    <s v="JUAN JOSE ALTAMANN GARNIER"/>
    <x v="7"/>
    <m/>
    <m/>
  </r>
  <r>
    <x v="0"/>
    <x v="0"/>
    <x v="0"/>
    <n v="10027127"/>
    <x v="1"/>
    <x v="2"/>
    <d v="2025-07-09T00:00:00"/>
    <s v="Dólares"/>
    <n v="2000"/>
    <s v="EDIFITEC CONSTRUCCIONES TECNICAS SOCIEDAD ANONIMA"/>
    <x v="7"/>
    <m/>
    <m/>
  </r>
  <r>
    <x v="0"/>
    <x v="0"/>
    <x v="0"/>
    <n v="10027332"/>
    <x v="1"/>
    <x v="2"/>
    <d v="2025-07-10T00:00:00"/>
    <s v="Dólares"/>
    <n v="2000"/>
    <s v="GUSTAVO CEDEÑO ELIZONDO"/>
    <x v="7"/>
    <m/>
    <m/>
  </r>
  <r>
    <x v="0"/>
    <x v="1"/>
    <x v="0"/>
    <m/>
    <x v="1"/>
    <x v="3"/>
    <d v="2025-10-14T00:00:00"/>
    <s v="Dólares"/>
    <n v="892.4"/>
    <s v="Lydia Chacón Susan"/>
    <x v="2"/>
    <m/>
    <m/>
  </r>
  <r>
    <x v="0"/>
    <x v="0"/>
    <x v="0"/>
    <n v="10027174"/>
    <x v="1"/>
    <x v="4"/>
    <d v="2025-07-26T00:00:00"/>
    <s v="Dólares"/>
    <n v="2000"/>
    <s v="ESTEBAN MANUEL MORA ACUÑA"/>
    <x v="7"/>
    <m/>
    <m/>
  </r>
  <r>
    <x v="0"/>
    <x v="0"/>
    <x v="0"/>
    <n v="10027203"/>
    <x v="1"/>
    <x v="1"/>
    <d v="2025-07-26T00:00:00"/>
    <s v="Dólares"/>
    <n v="2000"/>
    <s v="RAUL ALFREDO VARGAS CAMPOS"/>
    <x v="7"/>
    <m/>
    <m/>
  </r>
  <r>
    <x v="0"/>
    <x v="0"/>
    <x v="0"/>
    <m/>
    <x v="1"/>
    <x v="1"/>
    <d v="2025-07-28T00:00:00"/>
    <s v="Dólares"/>
    <n v="2000"/>
    <s v="SILVIA ARIAS ESPINOZA"/>
    <x v="7"/>
    <m/>
    <m/>
  </r>
  <r>
    <x v="0"/>
    <x v="0"/>
    <x v="0"/>
    <n v="10027173"/>
    <x v="1"/>
    <x v="1"/>
    <d v="2025-07-28T00:00:00"/>
    <s v="Dólares"/>
    <n v="2000"/>
    <s v="CESAR GIOVANNY CRUZ SALAMANCA"/>
    <x v="7"/>
    <m/>
    <m/>
  </r>
  <r>
    <x v="0"/>
    <x v="0"/>
    <x v="1"/>
    <m/>
    <x v="1"/>
    <x v="1"/>
    <d v="2025-07-29T00:00:00"/>
    <s v="Dólares"/>
    <n v="2000"/>
    <s v="ADRIANA MORALES"/>
    <x v="7"/>
    <m/>
    <m/>
  </r>
  <r>
    <x v="0"/>
    <x v="2"/>
    <x v="0"/>
    <m/>
    <x v="1"/>
    <x v="3"/>
    <d v="2025-10-14T00:00:00"/>
    <s v="Dólares"/>
    <n v="419.56"/>
    <s v="TERMINALES SANTA MARÍA"/>
    <x v="2"/>
    <m/>
    <m/>
  </r>
  <r>
    <x v="0"/>
    <x v="0"/>
    <x v="0"/>
    <n v="10027753"/>
    <x v="1"/>
    <x v="3"/>
    <d v="2025-10-14T00:00:00"/>
    <s v="Dólares"/>
    <n v="100"/>
    <s v="FAUSTO CASTILLO AMADOR"/>
    <x v="2"/>
    <m/>
    <m/>
  </r>
  <r>
    <x v="0"/>
    <x v="0"/>
    <x v="0"/>
    <n v="10027380"/>
    <x v="1"/>
    <x v="4"/>
    <d v="2025-08-25T00:00:00"/>
    <s v="Dólares"/>
    <n v="2000"/>
    <s v="JOSE ADRIAN LEITON ZUÑIGA"/>
    <x v="1"/>
    <m/>
    <m/>
  </r>
  <r>
    <x v="0"/>
    <x v="0"/>
    <x v="0"/>
    <n v="10027409"/>
    <x v="1"/>
    <x v="4"/>
    <d v="2025-08-29T00:00:00"/>
    <s v="Dólares"/>
    <n v="2000"/>
    <s v="JOHNNY FERNANDO HUERTAS SEGURA"/>
    <x v="1"/>
    <m/>
    <m/>
  </r>
  <r>
    <x v="1"/>
    <x v="0"/>
    <x v="0"/>
    <m/>
    <x v="1"/>
    <x v="4"/>
    <d v="2025-08-30T00:00:00"/>
    <s v="Dólares"/>
    <n v="2000"/>
    <s v="INGENIERIA CONTE"/>
    <x v="1"/>
    <m/>
    <m/>
  </r>
  <r>
    <x v="0"/>
    <x v="0"/>
    <x v="0"/>
    <n v="10027443"/>
    <x v="1"/>
    <x v="4"/>
    <d v="2025-08-30T00:00:00"/>
    <s v="Dólares"/>
    <n v="2000"/>
    <s v="CARLOS ALFREDO MADRIGAL VILLALOBOS"/>
    <x v="1"/>
    <m/>
    <m/>
  </r>
  <r>
    <x v="0"/>
    <x v="0"/>
    <x v="0"/>
    <n v="10027763"/>
    <x v="1"/>
    <x v="3"/>
    <d v="2025-10-14T00:00:00"/>
    <s v="Dólares"/>
    <n v="65.5"/>
    <s v="MARYELLEN DE GONZALEZ"/>
    <x v="2"/>
    <m/>
    <m/>
  </r>
  <r>
    <x v="0"/>
    <x v="0"/>
    <x v="0"/>
    <n v="10027764"/>
    <x v="1"/>
    <x v="3"/>
    <d v="2025-10-14T00:00:00"/>
    <s v="Dólares"/>
    <n v="65.5"/>
    <s v="MARYELLEN DE GONZALEZ"/>
    <x v="2"/>
    <m/>
    <m/>
  </r>
  <r>
    <x v="0"/>
    <x v="2"/>
    <x v="0"/>
    <m/>
    <x v="1"/>
    <x v="3"/>
    <d v="2025-10-15T00:00:00"/>
    <s v="Dólares"/>
    <n v="17055.689999999999"/>
    <s v="PROQUINAL COSTA RICA"/>
    <x v="2"/>
    <m/>
    <m/>
  </r>
  <r>
    <x v="0"/>
    <x v="3"/>
    <x v="0"/>
    <m/>
    <x v="1"/>
    <x v="3"/>
    <d v="2025-10-15T00:00:00"/>
    <s v="Dólares"/>
    <n v="13021.72"/>
    <s v="EVERTEC COSTA RICA SOCIEDAD ANONIMA"/>
    <x v="2"/>
    <m/>
    <m/>
  </r>
  <r>
    <x v="0"/>
    <x v="0"/>
    <x v="0"/>
    <n v="10027762"/>
    <x v="1"/>
    <x v="3"/>
    <d v="2025-10-15T00:00:00"/>
    <s v="Dólares"/>
    <n v="3100"/>
    <s v="MARIA DE MONSERRAT GUITART PIGUILLEM"/>
    <x v="2"/>
    <m/>
    <m/>
  </r>
  <r>
    <x v="0"/>
    <x v="0"/>
    <x v="0"/>
    <n v="10027655"/>
    <x v="1"/>
    <x v="4"/>
    <d v="2025-09-27T00:00:00"/>
    <s v="Dólares"/>
    <n v="2000"/>
    <s v="SALUD NEONATAL SOCIEDAD ANONIMA"/>
    <x v="9"/>
    <m/>
    <m/>
  </r>
  <r>
    <x v="0"/>
    <x v="1"/>
    <x v="2"/>
    <m/>
    <x v="0"/>
    <x v="2"/>
    <d v="2025-10-10T00:00:00"/>
    <s v="Dólares"/>
    <n v="173016.82"/>
    <s v="FDO INV. DESARROLLO PROYECTOS MULTIFONDOS SECRT ESCALANTE"/>
    <x v="2"/>
    <m/>
    <m/>
  </r>
  <r>
    <x v="0"/>
    <x v="1"/>
    <x v="2"/>
    <m/>
    <x v="0"/>
    <x v="2"/>
    <d v="2025-10-10T00:00:00"/>
    <s v="Dólares"/>
    <n v="65703.81"/>
    <s v="BILCO COSTA RICA SA"/>
    <x v="2"/>
    <m/>
    <m/>
  </r>
  <r>
    <x v="0"/>
    <x v="1"/>
    <x v="0"/>
    <m/>
    <x v="0"/>
    <x v="2"/>
    <d v="2025-10-10T00:00:00"/>
    <s v="Dólares"/>
    <n v="65518.38"/>
    <s v="DESARROLLO VIVE TIBAS DVT S.A"/>
    <x v="2"/>
    <m/>
    <m/>
  </r>
  <r>
    <x v="0"/>
    <x v="0"/>
    <x v="0"/>
    <m/>
    <x v="0"/>
    <x v="2"/>
    <d v="2025-10-10T00:00:00"/>
    <s v="Dólares"/>
    <n v="60000"/>
    <s v="Clientes Nuevos"/>
    <x v="2"/>
    <m/>
    <m/>
  </r>
  <r>
    <x v="0"/>
    <x v="3"/>
    <x v="0"/>
    <m/>
    <x v="0"/>
    <x v="2"/>
    <d v="2025-10-10T00:00:00"/>
    <s v="Dólares"/>
    <n v="32924"/>
    <s v="PLAZA RIVIERA SOCIEDAD ANONIMA"/>
    <x v="2"/>
    <m/>
    <m/>
  </r>
  <r>
    <x v="2"/>
    <x v="3"/>
    <x v="0"/>
    <m/>
    <x v="0"/>
    <x v="2"/>
    <d v="2025-10-10T00:00:00"/>
    <s v="Dólares"/>
    <n v="20000"/>
    <s v="SEMANA 02 OCTUBRE EXPRESS"/>
    <x v="2"/>
    <m/>
    <m/>
  </r>
  <r>
    <x v="0"/>
    <x v="1"/>
    <x v="1"/>
    <m/>
    <x v="0"/>
    <x v="2"/>
    <d v="2025-10-10T00:00:00"/>
    <s v="Dólares"/>
    <n v="46109.22"/>
    <s v="Consultora T Tres"/>
    <x v="2"/>
    <m/>
    <m/>
  </r>
  <r>
    <x v="0"/>
    <x v="3"/>
    <x v="0"/>
    <m/>
    <x v="0"/>
    <x v="2"/>
    <d v="2025-10-10T00:00:00"/>
    <s v="Dólares"/>
    <n v="13475.25"/>
    <s v="AJIP INGENIERIA LIMITADA"/>
    <x v="2"/>
    <m/>
    <m/>
  </r>
  <r>
    <x v="0"/>
    <x v="3"/>
    <x v="2"/>
    <m/>
    <x v="0"/>
    <x v="2"/>
    <d v="2025-10-10T00:00:00"/>
    <s v="Dólares"/>
    <n v="13438"/>
    <s v="RAE INGENIEROS SOCIEDAD ANONIMA"/>
    <x v="2"/>
    <m/>
    <m/>
  </r>
  <r>
    <x v="0"/>
    <x v="3"/>
    <x v="2"/>
    <m/>
    <x v="0"/>
    <x v="2"/>
    <d v="2025-10-10T00:00:00"/>
    <s v="Dólares"/>
    <n v="8252.84"/>
    <s v="COMPAÑIA NACIONAL DE FUERZA Y LUZ SOCIEDAD ANONIMA"/>
    <x v="2"/>
    <m/>
    <m/>
  </r>
  <r>
    <x v="0"/>
    <x v="2"/>
    <x v="0"/>
    <m/>
    <x v="0"/>
    <x v="2"/>
    <d v="2025-10-10T00:00:00"/>
    <s v="Dólares"/>
    <n v="31569.32"/>
    <s v="MAYCA DISTRIBUIDORES, S.A"/>
    <x v="2"/>
    <m/>
    <m/>
  </r>
  <r>
    <x v="1"/>
    <x v="0"/>
    <x v="0"/>
    <m/>
    <x v="0"/>
    <x v="2"/>
    <d v="2025-10-10T00:00:00"/>
    <s v="Dólares"/>
    <n v="25000"/>
    <s v="Clientes Nuevos"/>
    <x v="2"/>
    <m/>
    <m/>
  </r>
  <r>
    <x v="4"/>
    <x v="1"/>
    <x v="2"/>
    <m/>
    <x v="0"/>
    <x v="2"/>
    <d v="2025-10-10T00:00:00"/>
    <s v="Dólares"/>
    <n v="20944"/>
    <s v="PROYECTO RESIDENCIAL VIVA JACO "/>
    <x v="2"/>
    <m/>
    <m/>
  </r>
  <r>
    <x v="0"/>
    <x v="1"/>
    <x v="0"/>
    <m/>
    <x v="0"/>
    <x v="2"/>
    <d v="2025-10-10T00:00:00"/>
    <s v="Dólares"/>
    <n v="9240.9"/>
    <s v="3-101-820946 S.A."/>
    <x v="2"/>
    <m/>
    <m/>
  </r>
  <r>
    <x v="0"/>
    <x v="0"/>
    <x v="0"/>
    <n v="10027685"/>
    <x v="1"/>
    <x v="0"/>
    <d v="2025-10-01T00:00:00"/>
    <s v="Dólares"/>
    <n v="2000"/>
    <s v="ANTONIO ROLDAN RAMIREZ"/>
    <x v="2"/>
    <m/>
    <m/>
  </r>
  <r>
    <x v="0"/>
    <x v="0"/>
    <x v="0"/>
    <m/>
    <x v="1"/>
    <x v="0"/>
    <d v="2025-10-03T00:00:00"/>
    <s v="Dólares"/>
    <n v="2000"/>
    <s v="EDUARDO JOSE GAZEL LOPEZ"/>
    <x v="2"/>
    <m/>
    <m/>
  </r>
  <r>
    <x v="0"/>
    <x v="0"/>
    <x v="1"/>
    <n v="10027751"/>
    <x v="1"/>
    <x v="2"/>
    <d v="2025-10-11T00:00:00"/>
    <s v="Dólares"/>
    <n v="2000"/>
    <s v="AKV PROJECTS SRL"/>
    <x v="2"/>
    <m/>
    <m/>
  </r>
  <r>
    <x v="3"/>
    <x v="3"/>
    <x v="1"/>
    <m/>
    <x v="1"/>
    <x v="3"/>
    <d v="2025-10-15T00:00:00"/>
    <s v="Dólares"/>
    <n v="1392.85"/>
    <s v="ULTRAPARK "/>
    <x v="2"/>
    <m/>
    <m/>
  </r>
  <r>
    <x v="0"/>
    <x v="0"/>
    <x v="0"/>
    <m/>
    <x v="1"/>
    <x v="4"/>
    <d v="2025-10-21T00:00:00"/>
    <s v="Dólares"/>
    <n v="2000"/>
    <s v="Carlos Villalobos"/>
    <x v="2"/>
    <m/>
    <m/>
  </r>
  <r>
    <x v="0"/>
    <x v="0"/>
    <x v="0"/>
    <m/>
    <x v="1"/>
    <x v="4"/>
    <d v="2025-10-21T00:00:00"/>
    <s v="Dólares"/>
    <n v="2000"/>
    <s v="Carlos Villalobos"/>
    <x v="2"/>
    <m/>
    <m/>
  </r>
  <r>
    <x v="0"/>
    <x v="0"/>
    <x v="0"/>
    <m/>
    <x v="1"/>
    <x v="4"/>
    <d v="2025-10-21T00:00:00"/>
    <s v="Dólares"/>
    <n v="2000"/>
    <s v="Carlos Villalobos"/>
    <x v="2"/>
    <m/>
    <m/>
  </r>
  <r>
    <x v="0"/>
    <x v="0"/>
    <x v="0"/>
    <m/>
    <x v="1"/>
    <x v="4"/>
    <d v="2025-10-21T00:00:00"/>
    <s v="Dólares"/>
    <n v="2000"/>
    <s v="Carlos Villalobos"/>
    <x v="2"/>
    <m/>
    <m/>
  </r>
  <r>
    <x v="0"/>
    <x v="0"/>
    <x v="0"/>
    <n v="10027957"/>
    <x v="1"/>
    <x v="2"/>
    <d v="2025-11-14T00:00:00"/>
    <s v="Dólares"/>
    <n v="2000"/>
    <s v="MARMARALYSA SOCIEDAD ANONIMA"/>
    <x v="4"/>
    <m/>
    <m/>
  </r>
  <r>
    <x v="3"/>
    <x v="3"/>
    <x v="0"/>
    <m/>
    <x v="1"/>
    <x v="3"/>
    <d v="2025-10-16T00:00:00"/>
    <s v="Dólares"/>
    <n v="110765.91"/>
    <s v="FREUDENBERG MEDICAL SOCIEDAD DE RESPONSABILIDAD LIMITADA"/>
    <x v="2"/>
    <m/>
    <m/>
  </r>
  <r>
    <x v="0"/>
    <x v="0"/>
    <x v="0"/>
    <m/>
    <x v="1"/>
    <x v="0"/>
    <d v="2025-12-05T00:00:00"/>
    <s v="Dólares"/>
    <n v="2000"/>
    <s v="GABRIEL QUESADA"/>
    <x v="8"/>
    <m/>
    <m/>
  </r>
  <r>
    <x v="0"/>
    <x v="0"/>
    <x v="0"/>
    <m/>
    <x v="1"/>
    <x v="0"/>
    <d v="2025-12-05T00:00:00"/>
    <s v="Dólares"/>
    <n v="2000"/>
    <s v="KORBAN INTERNACIONAL"/>
    <x v="8"/>
    <m/>
    <m/>
  </r>
  <r>
    <x v="0"/>
    <x v="0"/>
    <x v="0"/>
    <m/>
    <x v="1"/>
    <x v="2"/>
    <d v="2025-12-12T00:00:00"/>
    <s v="Dólares"/>
    <n v="2000"/>
    <s v="DISTRIBUIDORA PLASTIMEX DE COSTA RICA"/>
    <x v="8"/>
    <m/>
    <m/>
  </r>
  <r>
    <x v="0"/>
    <x v="3"/>
    <x v="0"/>
    <m/>
    <x v="1"/>
    <x v="3"/>
    <d v="2025-10-16T00:00:00"/>
    <s v="Dólares"/>
    <n v="22524.91"/>
    <s v="FONDO DE INVERSION INMOBILIARIO GIBRALTAR"/>
    <x v="2"/>
    <m/>
    <m/>
  </r>
  <r>
    <x v="0"/>
    <x v="4"/>
    <x v="0"/>
    <m/>
    <x v="1"/>
    <x v="3"/>
    <d v="2025-10-16T00:00:00"/>
    <s v="Dólares"/>
    <n v="14817.38"/>
    <s v="AUTOSEGURO DE COSTA RICA"/>
    <x v="2"/>
    <m/>
    <m/>
  </r>
  <r>
    <x v="0"/>
    <x v="0"/>
    <x v="0"/>
    <m/>
    <x v="1"/>
    <x v="1"/>
    <d v="2025-12-30T00:00:00"/>
    <s v="Dólares"/>
    <n v="2000"/>
    <s v="DAGOBERTO GONZALEZ"/>
    <x v="8"/>
    <m/>
    <m/>
  </r>
  <r>
    <x v="0"/>
    <x v="0"/>
    <x v="0"/>
    <m/>
    <x v="1"/>
    <x v="0"/>
    <d v="2026-01-10T00:00:00"/>
    <s v="Dólares"/>
    <n v="2000"/>
    <s v="ABRAHAM BENZAQUEN"/>
    <x v="3"/>
    <m/>
    <m/>
  </r>
  <r>
    <x v="0"/>
    <x v="0"/>
    <x v="0"/>
    <n v="10028256"/>
    <x v="1"/>
    <x v="2"/>
    <d v="2026-01-12T00:00:00"/>
    <s v="Dólares"/>
    <n v="2000"/>
    <s v="ANDREA DE LOS ANGELES ALVARADO MONDOL"/>
    <x v="3"/>
    <m/>
    <m/>
  </r>
  <r>
    <x v="0"/>
    <x v="0"/>
    <x v="1"/>
    <m/>
    <x v="1"/>
    <x v="3"/>
    <d v="2025-10-16T00:00:00"/>
    <s v="Dólares"/>
    <n v="3520"/>
    <s v="EMMANUEL CHAVARRIA ALFARO"/>
    <x v="2"/>
    <m/>
    <m/>
  </r>
  <r>
    <x v="0"/>
    <x v="0"/>
    <x v="0"/>
    <n v="10028360"/>
    <x v="1"/>
    <x v="4"/>
    <d v="2026-01-26T00:00:00"/>
    <s v="Dólares"/>
    <n v="2000"/>
    <s v="ADRIANA AUXILIADORA MORALES MARTINEZ"/>
    <x v="3"/>
    <m/>
    <m/>
  </r>
  <r>
    <x v="0"/>
    <x v="0"/>
    <x v="0"/>
    <m/>
    <x v="1"/>
    <x v="4"/>
    <d v="2026-01-29T00:00:00"/>
    <s v="Dólares"/>
    <n v="2000"/>
    <s v="MARICRUZ SANCHO MONGE"/>
    <x v="3"/>
    <m/>
    <m/>
  </r>
  <r>
    <x v="0"/>
    <x v="3"/>
    <x v="0"/>
    <m/>
    <x v="1"/>
    <x v="3"/>
    <d v="2025-10-16T00:00:00"/>
    <s v="Dólares"/>
    <n v="2797.12"/>
    <s v="MICROVENTION COSTA RICA SRL"/>
    <x v="2"/>
    <m/>
    <m/>
  </r>
  <r>
    <x v="0"/>
    <x v="2"/>
    <x v="0"/>
    <m/>
    <x v="1"/>
    <x v="2"/>
    <d v="2026-01-15T00:00:00"/>
    <s v="Dólares"/>
    <n v="1985.54"/>
    <s v="MAQUINARIA y TRACTORES LIMITADA"/>
    <x v="3"/>
    <m/>
    <m/>
  </r>
  <r>
    <x v="0"/>
    <x v="2"/>
    <x v="0"/>
    <m/>
    <x v="1"/>
    <x v="3"/>
    <d v="2025-10-16T00:00:00"/>
    <s v="Dólares"/>
    <n v="677.52"/>
    <s v="MANUFACTURA ENSAMBLE - INTEL"/>
    <x v="2"/>
    <m/>
    <m/>
  </r>
  <r>
    <x v="0"/>
    <x v="0"/>
    <x v="1"/>
    <m/>
    <x v="1"/>
    <x v="2"/>
    <d v="2025-06-12T00:00:00"/>
    <s v="Colones"/>
    <n v="1968.5039370078741"/>
    <s v="LILLIAM ESCALANTE ARAUZ"/>
    <x v="5"/>
    <m/>
    <m/>
  </r>
  <r>
    <x v="0"/>
    <x v="2"/>
    <x v="0"/>
    <m/>
    <x v="1"/>
    <x v="0"/>
    <d v="2025-11-07T00:00:00"/>
    <s v="Colones"/>
    <n v="1945.1412352941177"/>
    <s v="BRIDGESTONE"/>
    <x v="4"/>
    <m/>
    <m/>
  </r>
  <r>
    <x v="0"/>
    <x v="0"/>
    <x v="0"/>
    <m/>
    <x v="1"/>
    <x v="3"/>
    <d v="2025-10-16T00:00:00"/>
    <s v="Dólares"/>
    <n v="425"/>
    <s v="RONALD GUTIERREZ - COCINA"/>
    <x v="2"/>
    <m/>
    <m/>
  </r>
  <r>
    <x v="0"/>
    <x v="2"/>
    <x v="0"/>
    <m/>
    <x v="1"/>
    <x v="2"/>
    <d v="2025-12-12T00:00:00"/>
    <s v="Dólares"/>
    <n v="1941.72"/>
    <s v="TERRAMIX"/>
    <x v="8"/>
    <m/>
    <m/>
  </r>
  <r>
    <x v="0"/>
    <x v="0"/>
    <x v="0"/>
    <n v="10028260"/>
    <x v="1"/>
    <x v="2"/>
    <d v="2026-01-12T00:00:00"/>
    <s v="Dólares"/>
    <n v="1936"/>
    <s v="Christine Raine Rodriguez"/>
    <x v="3"/>
    <m/>
    <m/>
  </r>
  <r>
    <x v="0"/>
    <x v="1"/>
    <x v="0"/>
    <m/>
    <x v="1"/>
    <x v="3"/>
    <d v="2025-10-17T00:00:00"/>
    <s v="Dólares"/>
    <n v="62516.15"/>
    <s v="LINDORA EUROMOBILIA 76588"/>
    <x v="2"/>
    <m/>
    <m/>
  </r>
  <r>
    <x v="0"/>
    <x v="2"/>
    <x v="0"/>
    <n v="10026541"/>
    <x v="1"/>
    <x v="2"/>
    <d v="2025-05-08T00:00:00"/>
    <s v="Dólares"/>
    <n v="1906.76"/>
    <s v="DISTRIBUIDORA LA FLORIDA S.A."/>
    <x v="0"/>
    <m/>
    <m/>
  </r>
  <r>
    <x v="0"/>
    <x v="0"/>
    <x v="0"/>
    <n v="10026579"/>
    <x v="1"/>
    <x v="2"/>
    <d v="2025-05-10T00:00:00"/>
    <s v="Dólares"/>
    <n v="1884.4"/>
    <s v="MAFRA SOLUCIONES SA"/>
    <x v="0"/>
    <m/>
    <m/>
  </r>
  <r>
    <x v="0"/>
    <x v="2"/>
    <x v="0"/>
    <m/>
    <x v="1"/>
    <x v="0"/>
    <d v="2025-11-06T00:00:00"/>
    <s v="Dólares"/>
    <n v="1875.11"/>
    <s v="TERRAMIX"/>
    <x v="4"/>
    <m/>
    <m/>
  </r>
  <r>
    <x v="0"/>
    <x v="1"/>
    <x v="0"/>
    <m/>
    <x v="1"/>
    <x v="3"/>
    <d v="2025-10-17T00:00:00"/>
    <s v="Dólares"/>
    <n v="28258.51"/>
    <s v="EDICA - SKY GARDEN"/>
    <x v="2"/>
    <m/>
    <m/>
  </r>
  <r>
    <x v="0"/>
    <x v="0"/>
    <x v="0"/>
    <m/>
    <x v="1"/>
    <x v="0"/>
    <d v="2025-09-02T00:00:00"/>
    <s v="Dólares"/>
    <n v="1871.28"/>
    <s v="TROPPER MOGUILLAN"/>
    <x v="9"/>
    <m/>
    <m/>
  </r>
  <r>
    <x v="0"/>
    <x v="1"/>
    <x v="0"/>
    <n v="10026645"/>
    <x v="1"/>
    <x v="4"/>
    <d v="2025-05-20T00:00:00"/>
    <s v="Dólares"/>
    <n v="1859.82"/>
    <s v="SOCIEDAD DE RESPONSABILIDAD LIMITADA"/>
    <x v="0"/>
    <m/>
    <m/>
  </r>
  <r>
    <x v="0"/>
    <x v="2"/>
    <x v="0"/>
    <m/>
    <x v="1"/>
    <x v="0"/>
    <d v="2025-10-02T00:00:00"/>
    <s v="Dólares"/>
    <n v="1858.51"/>
    <s v="VERTICAL SOLUTIONS"/>
    <x v="2"/>
    <m/>
    <m/>
  </r>
  <r>
    <x v="0"/>
    <x v="0"/>
    <x v="0"/>
    <n v="10027259"/>
    <x v="1"/>
    <x v="0"/>
    <d v="2025-08-07T00:00:00"/>
    <s v="Dólares"/>
    <n v="1850"/>
    <s v="ALBERTO LAINEZ VENTOSILLA"/>
    <x v="1"/>
    <m/>
    <m/>
  </r>
  <r>
    <x v="0"/>
    <x v="3"/>
    <x v="0"/>
    <m/>
    <x v="1"/>
    <x v="0"/>
    <d v="2025-12-05T00:00:00"/>
    <s v="Dólares"/>
    <n v="1850"/>
    <s v="UNIVERSIDAD DE LAS CIENCIAS Y EL ARTE"/>
    <x v="8"/>
    <m/>
    <m/>
  </r>
  <r>
    <x v="0"/>
    <x v="0"/>
    <x v="0"/>
    <m/>
    <x v="1"/>
    <x v="3"/>
    <d v="2025-10-17T00:00:00"/>
    <s v="Dólares"/>
    <n v="8558.85"/>
    <s v="Marvin Peraza"/>
    <x v="2"/>
    <m/>
    <m/>
  </r>
  <r>
    <x v="0"/>
    <x v="0"/>
    <x v="0"/>
    <n v="10027698"/>
    <x v="1"/>
    <x v="0"/>
    <d v="2025-10-03T00:00:00"/>
    <s v="Dólares"/>
    <n v="1825"/>
    <s v="STEVE  MICHAEL CAPOCCIA"/>
    <x v="2"/>
    <m/>
    <m/>
  </r>
  <r>
    <x v="0"/>
    <x v="2"/>
    <x v="0"/>
    <n v="10026478"/>
    <x v="1"/>
    <x v="2"/>
    <d v="2025-05-06T00:00:00"/>
    <s v="Dólares"/>
    <n v="1821.2"/>
    <s v="CORPORACION PIPASA SRL "/>
    <x v="0"/>
    <m/>
    <m/>
  </r>
  <r>
    <x v="0"/>
    <x v="0"/>
    <x v="1"/>
    <m/>
    <x v="1"/>
    <x v="2"/>
    <d v="2026-02-10T00:00:00"/>
    <s v="Dólares"/>
    <n v="18000"/>
    <s v="GRUPO ISTMO PAPAGAYO"/>
    <x v="6"/>
    <m/>
    <m/>
  </r>
  <r>
    <x v="0"/>
    <x v="2"/>
    <x v="0"/>
    <n v="10026936"/>
    <x v="1"/>
    <x v="4"/>
    <d v="2025-06-27T00:00:00"/>
    <s v="Dólares"/>
    <n v="1816.79"/>
    <s v="POLYCENTER SOCIEDAD ANONIMA"/>
    <x v="5"/>
    <m/>
    <m/>
  </r>
  <r>
    <x v="0"/>
    <x v="0"/>
    <x v="0"/>
    <n v="10027314"/>
    <x v="1"/>
    <x v="2"/>
    <d v="2025-08-14T00:00:00"/>
    <s v="Dólares"/>
    <n v="1815"/>
    <s v="BIENES Y SERVICIOS MACRUZCO LIMITADA"/>
    <x v="1"/>
    <m/>
    <m/>
  </r>
  <r>
    <x v="3"/>
    <x v="3"/>
    <x v="0"/>
    <m/>
    <x v="1"/>
    <x v="0"/>
    <d v="2025-10-03T00:00:00"/>
    <s v="Colones"/>
    <n v="1813.0936862745098"/>
    <s v="CAJA COSTARRICENSE DE SEGURO SOCIAL (CENARE)"/>
    <x v="2"/>
    <m/>
    <m/>
  </r>
  <r>
    <x v="0"/>
    <x v="0"/>
    <x v="0"/>
    <m/>
    <x v="1"/>
    <x v="0"/>
    <d v="2025-12-03T00:00:00"/>
    <s v="Dólares"/>
    <n v="1811.76"/>
    <s v="Marco Carvajal Odio"/>
    <x v="8"/>
    <m/>
    <m/>
  </r>
  <r>
    <x v="0"/>
    <x v="3"/>
    <x v="0"/>
    <m/>
    <x v="1"/>
    <x v="0"/>
    <d v="2025-12-04T00:00:00"/>
    <s v="Dólares"/>
    <n v="1805.96"/>
    <s v="NITINOL"/>
    <x v="8"/>
    <m/>
    <m/>
  </r>
  <r>
    <x v="0"/>
    <x v="2"/>
    <x v="1"/>
    <m/>
    <x v="0"/>
    <x v="3"/>
    <d v="2025-10-17T00:00:00"/>
    <s v="Dólares"/>
    <n v="322000"/>
    <s v="BOSTON SCIENTIFIC DE COSTA RICA S.R.L"/>
    <x v="2"/>
    <m/>
    <m/>
  </r>
  <r>
    <x v="0"/>
    <x v="2"/>
    <x v="2"/>
    <m/>
    <x v="0"/>
    <x v="3"/>
    <d v="2025-10-17T00:00:00"/>
    <s v="Dólares"/>
    <n v="65751"/>
    <s v="MEGA LINEAS SOCIEDAD ANONIMA"/>
    <x v="2"/>
    <m/>
    <m/>
  </r>
  <r>
    <x v="0"/>
    <x v="0"/>
    <x v="0"/>
    <m/>
    <x v="0"/>
    <x v="3"/>
    <d v="2025-10-17T00:00:00"/>
    <s v="Dólares"/>
    <n v="60000"/>
    <s v="Clientes Nuevos"/>
    <x v="2"/>
    <m/>
    <m/>
  </r>
  <r>
    <x v="0"/>
    <x v="2"/>
    <x v="2"/>
    <m/>
    <x v="0"/>
    <x v="3"/>
    <d v="2025-10-17T00:00:00"/>
    <s v="Dólares"/>
    <n v="44275.97"/>
    <s v="FREUDENBERG MEDICAL SOCIEDAD DE RESPONSABILIDAD LIMITADA"/>
    <x v="2"/>
    <m/>
    <m/>
  </r>
  <r>
    <x v="1"/>
    <x v="0"/>
    <x v="0"/>
    <m/>
    <x v="0"/>
    <x v="3"/>
    <d v="2025-10-17T00:00:00"/>
    <s v="Dólares"/>
    <n v="25000"/>
    <s v="Clientes Nuevos"/>
    <x v="2"/>
    <m/>
    <m/>
  </r>
  <r>
    <x v="2"/>
    <x v="3"/>
    <x v="0"/>
    <m/>
    <x v="0"/>
    <x v="3"/>
    <d v="2025-10-17T00:00:00"/>
    <s v="Dólares"/>
    <n v="20000"/>
    <s v="SEMANA 03 OCTUBRE EXPRESS"/>
    <x v="2"/>
    <m/>
    <m/>
  </r>
  <r>
    <x v="0"/>
    <x v="3"/>
    <x v="0"/>
    <m/>
    <x v="0"/>
    <x v="3"/>
    <d v="2025-10-17T00:00:00"/>
    <s v="Dólares"/>
    <n v="14942"/>
    <s v="EVERTEC COSTA RICA SOCIEDAD ANONIMA"/>
    <x v="2"/>
    <m/>
    <m/>
  </r>
  <r>
    <x v="0"/>
    <x v="3"/>
    <x v="2"/>
    <m/>
    <x v="0"/>
    <x v="3"/>
    <d v="2025-10-17T00:00:00"/>
    <s v="Dólares"/>
    <n v="13272"/>
    <s v="CONTRACT WORKPLACES COSTA RICA SOCIEDAD ANONIMA "/>
    <x v="2"/>
    <m/>
    <m/>
  </r>
  <r>
    <x v="0"/>
    <x v="1"/>
    <x v="0"/>
    <m/>
    <x v="0"/>
    <x v="3"/>
    <d v="2025-10-17T00:00:00"/>
    <s v="Dólares"/>
    <n v="18750"/>
    <s v="Constrctora La Itaba"/>
    <x v="2"/>
    <m/>
    <m/>
  </r>
  <r>
    <x v="0"/>
    <x v="3"/>
    <x v="0"/>
    <m/>
    <x v="0"/>
    <x v="3"/>
    <d v="2025-10-17T00:00:00"/>
    <s v="Dólares"/>
    <n v="4404"/>
    <s v="UNIVERSIDAD DE COSTA RICA"/>
    <x v="2"/>
    <m/>
    <m/>
  </r>
  <r>
    <x v="0"/>
    <x v="1"/>
    <x v="0"/>
    <m/>
    <x v="0"/>
    <x v="3"/>
    <d v="2025-10-17T00:00:00"/>
    <s v="Dólares"/>
    <n v="14309.19"/>
    <s v="Residencias de Santa Ana"/>
    <x v="2"/>
    <m/>
    <m/>
  </r>
  <r>
    <x v="0"/>
    <x v="3"/>
    <x v="2"/>
    <m/>
    <x v="0"/>
    <x v="3"/>
    <d v="2025-10-17T00:00:00"/>
    <s v="Dólares"/>
    <n v="4082"/>
    <s v="CONSTRIAL SOCIEDAD ANONIMA"/>
    <x v="2"/>
    <m/>
    <m/>
  </r>
  <r>
    <x v="0"/>
    <x v="3"/>
    <x v="0"/>
    <m/>
    <x v="0"/>
    <x v="3"/>
    <d v="2025-10-17T00:00:00"/>
    <s v="Dólares"/>
    <n v="2797"/>
    <s v="MICROVENTION COSTA RICA SRL"/>
    <x v="2"/>
    <m/>
    <m/>
  </r>
  <r>
    <x v="0"/>
    <x v="2"/>
    <x v="0"/>
    <m/>
    <x v="0"/>
    <x v="3"/>
    <d v="2025-10-17T00:00:00"/>
    <s v="Dólares"/>
    <n v="5025"/>
    <s v="COMERCIAL ALEMORA SOCIEDAD ANONIMA"/>
    <x v="2"/>
    <m/>
    <m/>
  </r>
  <r>
    <x v="0"/>
    <x v="1"/>
    <x v="0"/>
    <m/>
    <x v="1"/>
    <x v="2"/>
    <d v="2026-01-16T00:00:00"/>
    <s v="Dólares"/>
    <n v="1802.6"/>
    <s v="DESARROLLOS TECNICOS"/>
    <x v="3"/>
    <m/>
    <m/>
  </r>
  <r>
    <x v="0"/>
    <x v="0"/>
    <x v="0"/>
    <m/>
    <x v="1"/>
    <x v="1"/>
    <d v="2025-05-28T00:00:00"/>
    <s v="Dólares"/>
    <n v="1800"/>
    <s v="INGENIERIA CONTEMPORANEA SOCIEDAD ANONIMA"/>
    <x v="0"/>
    <m/>
    <m/>
  </r>
  <r>
    <x v="0"/>
    <x v="2"/>
    <x v="1"/>
    <n v="10027201"/>
    <x v="1"/>
    <x v="1"/>
    <d v="2025-07-07T00:00:00"/>
    <s v="Dólares"/>
    <n v="1800"/>
    <s v="Tecnibandas S.A"/>
    <x v="7"/>
    <m/>
    <m/>
  </r>
  <r>
    <x v="0"/>
    <x v="0"/>
    <x v="0"/>
    <n v="10027466"/>
    <x v="1"/>
    <x v="0"/>
    <d v="2025-09-03T00:00:00"/>
    <s v="Dólares"/>
    <n v="1800"/>
    <s v="PAOLA  ANDREA CUERO  ANGULO"/>
    <x v="9"/>
    <m/>
    <m/>
  </r>
  <r>
    <x v="0"/>
    <x v="0"/>
    <x v="0"/>
    <n v="10027483"/>
    <x v="1"/>
    <x v="0"/>
    <d v="2025-09-03T00:00:00"/>
    <s v="Dólares"/>
    <n v="1800"/>
    <s v="TERMINTEU CRISTINA ROPER WILLIAMS"/>
    <x v="9"/>
    <m/>
    <m/>
  </r>
  <r>
    <x v="0"/>
    <x v="3"/>
    <x v="0"/>
    <m/>
    <x v="1"/>
    <x v="4"/>
    <d v="2025-09-23T00:00:00"/>
    <s v="Dólares"/>
    <n v="1800"/>
    <s v="DHL CUSTOMER SUPPORT"/>
    <x v="9"/>
    <m/>
    <m/>
  </r>
  <r>
    <x v="0"/>
    <x v="0"/>
    <x v="0"/>
    <m/>
    <x v="1"/>
    <x v="0"/>
    <d v="2025-12-05T00:00:00"/>
    <s v="Dólares"/>
    <n v="1800"/>
    <s v="DUNIA ZAMORA"/>
    <x v="8"/>
    <m/>
    <m/>
  </r>
  <r>
    <x v="0"/>
    <x v="0"/>
    <x v="0"/>
    <m/>
    <x v="1"/>
    <x v="0"/>
    <d v="2026-01-08T00:00:00"/>
    <s v="Dólares"/>
    <n v="1800"/>
    <s v="Daniel Arguedas"/>
    <x v="3"/>
    <m/>
    <m/>
  </r>
  <r>
    <x v="0"/>
    <x v="3"/>
    <x v="0"/>
    <m/>
    <x v="1"/>
    <x v="2"/>
    <d v="2025-07-11T00:00:00"/>
    <s v="Dólares"/>
    <n v="1799.95"/>
    <s v="EDIFISA CONSTRUCTORA, S.A."/>
    <x v="7"/>
    <m/>
    <m/>
  </r>
  <r>
    <x v="0"/>
    <x v="3"/>
    <x v="0"/>
    <m/>
    <x v="1"/>
    <x v="2"/>
    <d v="2026-01-12T00:00:00"/>
    <s v="Dólares"/>
    <n v="1799.61"/>
    <s v="SIN IDENTIFICAR"/>
    <x v="3"/>
    <m/>
    <m/>
  </r>
  <r>
    <x v="0"/>
    <x v="2"/>
    <x v="0"/>
    <m/>
    <x v="1"/>
    <x v="0"/>
    <d v="2025-12-02T00:00:00"/>
    <s v="Dólares"/>
    <n v="1798.81"/>
    <s v="BIOCIENTIFICA"/>
    <x v="8"/>
    <m/>
    <m/>
  </r>
  <r>
    <x v="0"/>
    <x v="0"/>
    <x v="0"/>
    <m/>
    <x v="1"/>
    <x v="2"/>
    <d v="2025-12-10T00:00:00"/>
    <s v="Dólares"/>
    <n v="1786.89"/>
    <s v="Diana Zamora"/>
    <x v="8"/>
    <m/>
    <m/>
  </r>
  <r>
    <x v="0"/>
    <x v="0"/>
    <x v="0"/>
    <m/>
    <x v="1"/>
    <x v="2"/>
    <d v="2025-09-08T00:00:00"/>
    <s v="Dólares"/>
    <n v="1775.6"/>
    <s v="ALBERTO LAINEZ VENTOSILLA "/>
    <x v="9"/>
    <m/>
    <m/>
  </r>
  <r>
    <x v="0"/>
    <x v="3"/>
    <x v="0"/>
    <m/>
    <x v="1"/>
    <x v="4"/>
    <d v="2026-01-29T00:00:00"/>
    <s v="Colones"/>
    <n v="1774.3328024193547"/>
    <s v="UNIVERSIDAD DE COSTA RICA"/>
    <x v="3"/>
    <m/>
    <m/>
  </r>
  <r>
    <x v="0"/>
    <x v="0"/>
    <x v="0"/>
    <m/>
    <x v="1"/>
    <x v="3"/>
    <d v="2025-10-17T00:00:00"/>
    <s v="Dólares"/>
    <n v="8558.85"/>
    <s v="Marvin Peraza"/>
    <x v="2"/>
    <m/>
    <m/>
  </r>
  <r>
    <x v="0"/>
    <x v="2"/>
    <x v="0"/>
    <m/>
    <x v="1"/>
    <x v="3"/>
    <d v="2025-10-17T00:00:00"/>
    <s v="Dólares"/>
    <n v="7881.86"/>
    <s v="ECODESARROLLO PAPAGAYO LIMITADA"/>
    <x v="2"/>
    <m/>
    <m/>
  </r>
  <r>
    <x v="3"/>
    <x v="3"/>
    <x v="0"/>
    <m/>
    <x v="1"/>
    <x v="2"/>
    <d v="2025-12-08T00:00:00"/>
    <s v="Dólares"/>
    <n v="1750.2649411764705"/>
    <s v="UNIVERSIDAD DE COSTA RICA"/>
    <x v="8"/>
    <m/>
    <m/>
  </r>
  <r>
    <x v="3"/>
    <x v="3"/>
    <x v="0"/>
    <m/>
    <x v="1"/>
    <x v="4"/>
    <d v="2025-12-23T00:00:00"/>
    <s v="Colones"/>
    <n v="1748.9862156862744"/>
    <s v="COMPAÑÍA NACIONAL DE FUERZA Y LUZ"/>
    <x v="8"/>
    <m/>
    <m/>
  </r>
  <r>
    <x v="0"/>
    <x v="4"/>
    <x v="0"/>
    <m/>
    <x v="1"/>
    <x v="3"/>
    <d v="2025-10-17T00:00:00"/>
    <s v="Dólares"/>
    <n v="6955.53"/>
    <s v="SIN IDENTIFICAR - MEDITEST"/>
    <x v="2"/>
    <m/>
    <m/>
  </r>
  <r>
    <x v="0"/>
    <x v="2"/>
    <x v="2"/>
    <n v="10026885"/>
    <x v="1"/>
    <x v="2"/>
    <d v="2025-06-13T00:00:00"/>
    <s v="Dólares"/>
    <n v="1744.67"/>
    <s v="CORPORACION DE COMPAÑIAS AGROINDUSTRIALES CCA SRL"/>
    <x v="5"/>
    <m/>
    <m/>
  </r>
  <r>
    <x v="0"/>
    <x v="2"/>
    <x v="0"/>
    <m/>
    <x v="1"/>
    <x v="4"/>
    <d v="2025-07-21T00:00:00"/>
    <s v="Dólares"/>
    <n v="1744.34"/>
    <s v="AGUILA LOGISTICS SOLUTIONS"/>
    <x v="7"/>
    <m/>
    <m/>
  </r>
  <r>
    <x v="0"/>
    <x v="2"/>
    <x v="0"/>
    <m/>
    <x v="1"/>
    <x v="2"/>
    <d v="2026-01-15T00:00:00"/>
    <s v="Dólares"/>
    <n v="1743.17"/>
    <s v="ACABADOS AUTOMOTRICES"/>
    <x v="3"/>
    <m/>
    <m/>
  </r>
  <r>
    <x v="0"/>
    <x v="3"/>
    <x v="1"/>
    <m/>
    <x v="1"/>
    <x v="3"/>
    <d v="2025-10-17T00:00:00"/>
    <s v="Dólares"/>
    <n v="3944.77"/>
    <s v="IMS CONSTRUCCIONES"/>
    <x v="2"/>
    <m/>
    <m/>
  </r>
  <r>
    <x v="0"/>
    <x v="2"/>
    <x v="1"/>
    <m/>
    <x v="1"/>
    <x v="4"/>
    <d v="2025-09-24T00:00:00"/>
    <s v="Dólares"/>
    <n v="1729.06"/>
    <s v="VERTICAL SOLUTIONS"/>
    <x v="9"/>
    <m/>
    <m/>
  </r>
  <r>
    <x v="0"/>
    <x v="1"/>
    <x v="0"/>
    <n v="10027668"/>
    <x v="1"/>
    <x v="3"/>
    <d v="2025-10-17T00:00:00"/>
    <s v="Dólares"/>
    <n v="3260.3"/>
    <s v="VOLIO Y TREJOS ASOCI "/>
    <x v="2"/>
    <m/>
    <m/>
  </r>
  <r>
    <x v="0"/>
    <x v="2"/>
    <x v="1"/>
    <m/>
    <x v="1"/>
    <x v="0"/>
    <d v="2025-08-08T00:00:00"/>
    <s v="Dólares"/>
    <n v="1717.66"/>
    <s v="BIOCIENTIFICA INTERNACIONAL"/>
    <x v="1"/>
    <m/>
    <m/>
  </r>
  <r>
    <x v="0"/>
    <x v="2"/>
    <x v="0"/>
    <m/>
    <x v="1"/>
    <x v="4"/>
    <d v="2025-09-23T00:00:00"/>
    <s v="Dólares"/>
    <n v="1717.65"/>
    <s v="BIOCIENTIFICA"/>
    <x v="9"/>
    <m/>
    <m/>
  </r>
  <r>
    <x v="0"/>
    <x v="3"/>
    <x v="0"/>
    <m/>
    <x v="1"/>
    <x v="2"/>
    <d v="2025-10-10T00:00:00"/>
    <s v="Dólares"/>
    <n v="1711.88"/>
    <s v="LOS ARALLANES"/>
    <x v="2"/>
    <m/>
    <m/>
  </r>
  <r>
    <x v="0"/>
    <x v="2"/>
    <x v="1"/>
    <n v="10027301"/>
    <x v="1"/>
    <x v="2"/>
    <d v="2025-08-12T00:00:00"/>
    <s v="Dólares"/>
    <n v="1710.92"/>
    <s v="THE FLOWZONE SOCIEDAD DE RESPONSABILIDAD LIMITADA"/>
    <x v="1"/>
    <m/>
    <m/>
  </r>
  <r>
    <x v="0"/>
    <x v="1"/>
    <x v="0"/>
    <m/>
    <x v="1"/>
    <x v="3"/>
    <d v="2025-10-17T00:00:00"/>
    <s v="Dólares"/>
    <n v="3230"/>
    <s v="JORGE ALBERTO ZAMORA CADET"/>
    <x v="2"/>
    <m/>
    <m/>
  </r>
  <r>
    <x v="0"/>
    <x v="3"/>
    <x v="2"/>
    <m/>
    <x v="1"/>
    <x v="3"/>
    <d v="2025-10-17T00:00:00"/>
    <s v="Dólares"/>
    <n v="3000"/>
    <s v="FEDERACION COSTARRICENSE DE FUTBOL"/>
    <x v="2"/>
    <m/>
    <m/>
  </r>
  <r>
    <x v="0"/>
    <x v="3"/>
    <x v="0"/>
    <m/>
    <x v="1"/>
    <x v="3"/>
    <d v="2025-10-17T00:00:00"/>
    <s v="Dólares"/>
    <n v="1700"/>
    <s v="EDICA - COCA COLA"/>
    <x v="2"/>
    <m/>
    <m/>
  </r>
  <r>
    <x v="0"/>
    <x v="1"/>
    <x v="0"/>
    <m/>
    <x v="1"/>
    <x v="3"/>
    <d v="2025-10-17T00:00:00"/>
    <s v="Dólares"/>
    <n v="1265.58"/>
    <s v="ELEC NOVA CANCELA FACTURA"/>
    <x v="2"/>
    <m/>
    <m/>
  </r>
  <r>
    <x v="0"/>
    <x v="1"/>
    <x v="0"/>
    <m/>
    <x v="1"/>
    <x v="4"/>
    <d v="2026-01-30T00:00:00"/>
    <s v="Dólares"/>
    <n v="1687.43"/>
    <s v="ELECTROS NOVA"/>
    <x v="3"/>
    <m/>
    <m/>
  </r>
  <r>
    <x v="0"/>
    <x v="3"/>
    <x v="2"/>
    <m/>
    <x v="1"/>
    <x v="4"/>
    <d v="2025-06-25T00:00:00"/>
    <s v="Dólares"/>
    <n v="1685.34"/>
    <s v="SHOCKWAVE "/>
    <x v="5"/>
    <m/>
    <m/>
  </r>
  <r>
    <x v="0"/>
    <x v="3"/>
    <x v="0"/>
    <m/>
    <x v="1"/>
    <x v="3"/>
    <d v="2025-10-17T00:00:00"/>
    <s v="Dólares"/>
    <n v="1243"/>
    <s v="BASF"/>
    <x v="2"/>
    <m/>
    <m/>
  </r>
  <r>
    <x v="0"/>
    <x v="4"/>
    <x v="0"/>
    <m/>
    <x v="1"/>
    <x v="3"/>
    <d v="2025-10-17T00:00:00"/>
    <s v="Dólares"/>
    <n v="1074"/>
    <s v="SIN IDENTIFICAR - LOCAL"/>
    <x v="2"/>
    <m/>
    <m/>
  </r>
  <r>
    <x v="0"/>
    <x v="2"/>
    <x v="0"/>
    <n v="10026923"/>
    <x v="1"/>
    <x v="4"/>
    <d v="2025-06-26T00:00:00"/>
    <s v="Dólares"/>
    <n v="1680.17"/>
    <s v="UNIVERSIDAD DE COSTA RICA "/>
    <x v="5"/>
    <m/>
    <m/>
  </r>
  <r>
    <x v="0"/>
    <x v="0"/>
    <x v="0"/>
    <n v="10027733"/>
    <x v="1"/>
    <x v="2"/>
    <d v="2025-10-10T00:00:00"/>
    <s v="Dólares"/>
    <n v="1676"/>
    <s v="FONDO DE INVERSION DE DESARROLLO DE PROYECTOS MULTIFONDOS SECRT ESCALANTE "/>
    <x v="2"/>
    <m/>
    <m/>
  </r>
  <r>
    <x v="0"/>
    <x v="2"/>
    <x v="0"/>
    <m/>
    <x v="1"/>
    <x v="1"/>
    <d v="2025-07-29T00:00:00"/>
    <s v="Dólares"/>
    <n v="1674.64"/>
    <s v="VERTICAL SOLUTIONS"/>
    <x v="7"/>
    <m/>
    <m/>
  </r>
  <r>
    <x v="0"/>
    <x v="4"/>
    <x v="0"/>
    <m/>
    <x v="1"/>
    <x v="3"/>
    <d v="2025-10-17T00:00:00"/>
    <s v="Dólares"/>
    <n v="812.93"/>
    <s v="SIN IDENTIFICAR - MEDITEST"/>
    <x v="2"/>
    <m/>
    <m/>
  </r>
  <r>
    <x v="0"/>
    <x v="0"/>
    <x v="0"/>
    <n v="10027051"/>
    <x v="1"/>
    <x v="2"/>
    <d v="2025-07-10T00:00:00"/>
    <s v="Dólares"/>
    <n v="1672"/>
    <s v="ERICK NAVARRO VARGAS"/>
    <x v="7"/>
    <m/>
    <m/>
  </r>
  <r>
    <x v="0"/>
    <x v="0"/>
    <x v="0"/>
    <n v="10027787"/>
    <x v="1"/>
    <x v="3"/>
    <d v="2025-10-17T00:00:00"/>
    <s v="Dólares"/>
    <n v="455.58"/>
    <s v="EMILIO GUILLERMO ARANA PUENTE"/>
    <x v="2"/>
    <m/>
    <m/>
  </r>
  <r>
    <x v="0"/>
    <x v="2"/>
    <x v="0"/>
    <m/>
    <x v="1"/>
    <x v="0"/>
    <d v="2025-10-02T00:00:00"/>
    <s v="Dólares"/>
    <n v="1668.24"/>
    <s v="MANUFACTURA EMSAMBLE"/>
    <x v="2"/>
    <m/>
    <m/>
  </r>
  <r>
    <x v="0"/>
    <x v="0"/>
    <x v="0"/>
    <m/>
    <x v="1"/>
    <x v="2"/>
    <d v="2025-09-13T00:00:00"/>
    <s v="Dólares"/>
    <n v="1652"/>
    <s v="BUJAN ARQUITECTOS SRL"/>
    <x v="9"/>
    <m/>
    <m/>
  </r>
  <r>
    <x v="0"/>
    <x v="0"/>
    <x v="0"/>
    <n v="10027601"/>
    <x v="1"/>
    <x v="4"/>
    <d v="2025-09-22T00:00:00"/>
    <s v="Dólares"/>
    <n v="1650"/>
    <s v="DESARROLLOS TEHELEN SOCIEDAD ANONIMA"/>
    <x v="9"/>
    <m/>
    <m/>
  </r>
  <r>
    <x v="0"/>
    <x v="0"/>
    <x v="0"/>
    <n v="10027788"/>
    <x v="1"/>
    <x v="3"/>
    <d v="2025-10-17T00:00:00"/>
    <s v="Colones"/>
    <n v="369"/>
    <s v="JOHANNA DEL SOCORRO SANCHEZ GUTIERREZ"/>
    <x v="2"/>
    <m/>
    <m/>
  </r>
  <r>
    <x v="0"/>
    <x v="0"/>
    <x v="0"/>
    <m/>
    <x v="1"/>
    <x v="1"/>
    <d v="2025-05-27T00:00:00"/>
    <s v="Dólares"/>
    <n v="1637"/>
    <s v="DANAN R. D. S. SOCIEDAD ANONIMA"/>
    <x v="0"/>
    <m/>
    <m/>
  </r>
  <r>
    <x v="3"/>
    <x v="3"/>
    <x v="1"/>
    <n v="15240"/>
    <x v="1"/>
    <x v="2"/>
    <d v="2025-10-07T00:00:00"/>
    <s v="Colones"/>
    <n v="1635.7607843137255"/>
    <s v="CONDOMINIO INMOBILIARIO JEROY SOCIEDAD ANONIMA"/>
    <x v="2"/>
    <m/>
    <m/>
  </r>
  <r>
    <x v="0"/>
    <x v="3"/>
    <x v="0"/>
    <m/>
    <x v="1"/>
    <x v="4"/>
    <d v="2026-01-29T00:00:00"/>
    <s v="Dólares"/>
    <n v="1634.3"/>
    <s v="MICROVENTION"/>
    <x v="3"/>
    <m/>
    <m/>
  </r>
  <r>
    <x v="0"/>
    <x v="2"/>
    <x v="1"/>
    <n v="10027122"/>
    <x v="1"/>
    <x v="4"/>
    <d v="2025-07-21T00:00:00"/>
    <s v="Dólares"/>
    <n v="1627"/>
    <s v="INDUSTRIAL SOLUTIONS "/>
    <x v="7"/>
    <m/>
    <m/>
  </r>
  <r>
    <x v="0"/>
    <x v="3"/>
    <x v="1"/>
    <s v="54298 /  10028240"/>
    <x v="1"/>
    <x v="0"/>
    <d v="2026-01-07T00:00:00"/>
    <s v="Dólares"/>
    <n v="1626.2"/>
    <s v="LITOGRAFÍA SAN RAFAEL S.A."/>
    <x v="3"/>
    <m/>
    <m/>
  </r>
  <r>
    <x v="3"/>
    <x v="3"/>
    <x v="0"/>
    <n v="15230"/>
    <x v="1"/>
    <x v="4"/>
    <d v="2025-09-25T00:00:00"/>
    <s v="Dólares"/>
    <n v="1610.3"/>
    <s v="TORRE PARQUE DEL CAFE SOCIEDAD ANONIMA"/>
    <x v="9"/>
    <m/>
    <m/>
  </r>
  <r>
    <x v="0"/>
    <x v="3"/>
    <x v="0"/>
    <m/>
    <x v="1"/>
    <x v="2"/>
    <d v="2025-07-11T00:00:00"/>
    <s v="Dólares"/>
    <n v="1603.06"/>
    <s v="AUTO REPUESTOS AVENIDA DIEZ S.A."/>
    <x v="7"/>
    <m/>
    <m/>
  </r>
  <r>
    <x v="0"/>
    <x v="0"/>
    <x v="1"/>
    <m/>
    <x v="1"/>
    <x v="3"/>
    <d v="2025-10-17T00:00:00"/>
    <s v="Dólares"/>
    <n v="355"/>
    <s v="IVANNIA HASBUM FERNANDEZ"/>
    <x v="2"/>
    <m/>
    <m/>
  </r>
  <r>
    <x v="2"/>
    <x v="3"/>
    <x v="0"/>
    <m/>
    <x v="1"/>
    <x v="3"/>
    <d v="2025-10-19T00:00:00"/>
    <s v="Dólares"/>
    <n v="17172.64"/>
    <s v="SEMANA 03 OCTUBRE EXPRESS"/>
    <x v="2"/>
    <m/>
    <m/>
  </r>
  <r>
    <x v="0"/>
    <x v="0"/>
    <x v="0"/>
    <n v="10026465"/>
    <x v="1"/>
    <x v="0"/>
    <d v="2025-05-02T00:00:00"/>
    <s v="Dólares"/>
    <n v="1596"/>
    <s v="ANDRES DIAZ ARAYA"/>
    <x v="0"/>
    <m/>
    <m/>
  </r>
  <r>
    <x v="0"/>
    <x v="3"/>
    <x v="0"/>
    <m/>
    <x v="1"/>
    <x v="2"/>
    <d v="2025-11-10T00:00:00"/>
    <s v="Dólares"/>
    <n v="1593.03"/>
    <s v="INVERSIONES EL AGUALOTE"/>
    <x v="4"/>
    <m/>
    <m/>
  </r>
  <r>
    <x v="0"/>
    <x v="2"/>
    <x v="0"/>
    <n v="10026695"/>
    <x v="1"/>
    <x v="1"/>
    <d v="2025-05-27T00:00:00"/>
    <s v="Dólares"/>
    <n v="1589.23"/>
    <s v="DISTRIBUIDORA LA FLORIDA S.A."/>
    <x v="0"/>
    <m/>
    <m/>
  </r>
  <r>
    <x v="3"/>
    <x v="3"/>
    <x v="0"/>
    <n v="15312"/>
    <x v="1"/>
    <x v="0"/>
    <d v="2026-01-08T00:00:00"/>
    <s v="Colones"/>
    <n v="1583.152560483871"/>
    <s v="FUNDACION PARA ADMINISTRAR LOS MUSEOS DEL BANCO CE"/>
    <x v="3"/>
    <m/>
    <m/>
  </r>
  <r>
    <x v="0"/>
    <x v="1"/>
    <x v="2"/>
    <m/>
    <x v="0"/>
    <x v="4"/>
    <d v="2025-10-23T00:00:00"/>
    <s v="Dólares"/>
    <n v="10575"/>
    <s v="Diseño Ingenieria Arquitectura Metropolitana "/>
    <x v="2"/>
    <m/>
    <m/>
  </r>
  <r>
    <x v="0"/>
    <x v="0"/>
    <x v="0"/>
    <n v="10027794"/>
    <x v="1"/>
    <x v="3"/>
    <d v="2025-10-20T00:00:00"/>
    <s v="Dólares"/>
    <n v="13000"/>
    <s v="AKV PROJECTS SRL"/>
    <x v="2"/>
    <m/>
    <m/>
  </r>
  <r>
    <x v="0"/>
    <x v="2"/>
    <x v="0"/>
    <m/>
    <x v="1"/>
    <x v="2"/>
    <d v="2026-01-12T00:00:00"/>
    <s v="Dólares"/>
    <n v="1578.52"/>
    <s v="SUR QUIMICA"/>
    <x v="3"/>
    <m/>
    <m/>
  </r>
  <r>
    <x v="0"/>
    <x v="0"/>
    <x v="0"/>
    <n v="10027166"/>
    <x v="1"/>
    <x v="4"/>
    <d v="2025-07-24T00:00:00"/>
    <s v="Dólares"/>
    <n v="1570.7"/>
    <s v="YOJHANNA ALEXANDRA UGARTE VICTOR"/>
    <x v="7"/>
    <m/>
    <m/>
  </r>
  <r>
    <x v="0"/>
    <x v="2"/>
    <x v="0"/>
    <m/>
    <x v="1"/>
    <x v="4"/>
    <d v="2025-08-29T00:00:00"/>
    <s v="Dólares"/>
    <n v="1566.16"/>
    <s v="BOSTON CIENTIFIC"/>
    <x v="1"/>
    <m/>
    <m/>
  </r>
  <r>
    <x v="0"/>
    <x v="1"/>
    <x v="0"/>
    <m/>
    <x v="0"/>
    <x v="4"/>
    <d v="2025-10-24T00:00:00"/>
    <s v="Dólares"/>
    <n v="272349.94"/>
    <s v="CIELO NUNCIATURA"/>
    <x v="2"/>
    <m/>
    <m/>
  </r>
  <r>
    <x v="0"/>
    <x v="2"/>
    <x v="0"/>
    <m/>
    <x v="0"/>
    <x v="4"/>
    <d v="2025-10-24T00:00:00"/>
    <s v="Dólares"/>
    <n v="77935"/>
    <s v="CAFE BRITT COSTA RICA SOCIEDAD ANONIMA"/>
    <x v="2"/>
    <m/>
    <m/>
  </r>
  <r>
    <x v="0"/>
    <x v="0"/>
    <x v="0"/>
    <m/>
    <x v="0"/>
    <x v="4"/>
    <d v="2025-10-24T00:00:00"/>
    <s v="Dólares"/>
    <n v="60000"/>
    <s v="Clientes Nuevos"/>
    <x v="2"/>
    <m/>
    <m/>
  </r>
  <r>
    <x v="0"/>
    <x v="2"/>
    <x v="2"/>
    <m/>
    <x v="0"/>
    <x v="4"/>
    <d v="2025-10-24T00:00:00"/>
    <s v="Dólares"/>
    <n v="51078"/>
    <s v="ZONA FRANCA PARQUE COYOL TRES SOCIEDAD DE RESPONSABILIDAD LIMITADA"/>
    <x v="2"/>
    <m/>
    <m/>
  </r>
  <r>
    <x v="0"/>
    <x v="2"/>
    <x v="0"/>
    <m/>
    <x v="0"/>
    <x v="4"/>
    <d v="2025-10-24T00:00:00"/>
    <s v="Dólares"/>
    <n v="28332"/>
    <s v="BOSTON SCIENTIFIC DE COSTA RICA S.R.L"/>
    <x v="2"/>
    <m/>
    <m/>
  </r>
  <r>
    <x v="1"/>
    <x v="0"/>
    <x v="0"/>
    <m/>
    <x v="0"/>
    <x v="4"/>
    <d v="2025-10-24T00:00:00"/>
    <s v="Dólares"/>
    <n v="25000"/>
    <s v="Clientes Nuevos"/>
    <x v="2"/>
    <m/>
    <m/>
  </r>
  <r>
    <x v="0"/>
    <x v="3"/>
    <x v="2"/>
    <m/>
    <x v="0"/>
    <x v="4"/>
    <d v="2025-10-24T00:00:00"/>
    <s v="Dólares"/>
    <n v="225000"/>
    <s v="CONSTRUCTORA GONZALO DELGADO SOCIEDAD ANONIMA"/>
    <x v="2"/>
    <m/>
    <m/>
  </r>
  <r>
    <x v="2"/>
    <x v="3"/>
    <x v="0"/>
    <m/>
    <x v="0"/>
    <x v="4"/>
    <d v="2025-10-24T00:00:00"/>
    <s v="Dólares"/>
    <n v="20000"/>
    <s v="SEMANA 04 OCTUBRE EXPRESS"/>
    <x v="2"/>
    <m/>
    <m/>
  </r>
  <r>
    <x v="0"/>
    <x v="3"/>
    <x v="0"/>
    <m/>
    <x v="0"/>
    <x v="4"/>
    <d v="2025-10-24T00:00:00"/>
    <s v="Dólares"/>
    <n v="9463"/>
    <s v="CIELO DE BABILONIA SOCIEDAD ANONIMA"/>
    <x v="2"/>
    <m/>
    <m/>
  </r>
  <r>
    <x v="0"/>
    <x v="2"/>
    <x v="0"/>
    <m/>
    <x v="0"/>
    <x v="4"/>
    <d v="2025-10-24T00:00:00"/>
    <s v="Dólares"/>
    <n v="9492.7000000000007"/>
    <s v="ALIMENTOS JACKS DE CENTROAMERICA SOCIEDAD ANONIMA"/>
    <x v="2"/>
    <m/>
    <m/>
  </r>
  <r>
    <x v="0"/>
    <x v="2"/>
    <x v="0"/>
    <n v="10027439"/>
    <x v="1"/>
    <x v="0"/>
    <d v="2025-09-01T00:00:00"/>
    <s v="Dólares"/>
    <n v="1566.16"/>
    <s v="BOSTON SCIENTIFIC DE COSTA RICA S.R.L"/>
    <x v="9"/>
    <m/>
    <m/>
  </r>
  <r>
    <x v="0"/>
    <x v="1"/>
    <x v="0"/>
    <n v="10027865"/>
    <x v="1"/>
    <x v="3"/>
    <d v="2025-10-20T00:00:00"/>
    <s v="Dólares"/>
    <n v="194"/>
    <s v="VALENTINA STARICCO SIBILS"/>
    <x v="2"/>
    <m/>
    <m/>
  </r>
  <r>
    <x v="0"/>
    <x v="0"/>
    <x v="0"/>
    <n v="10027807"/>
    <x v="1"/>
    <x v="3"/>
    <d v="2025-10-21T00:00:00"/>
    <s v="Dólares"/>
    <n v="2263.15"/>
    <s v="REINER STEVEN SANCHEZ CARBALLO"/>
    <x v="2"/>
    <m/>
    <m/>
  </r>
  <r>
    <x v="0"/>
    <x v="0"/>
    <x v="0"/>
    <n v="10027808"/>
    <x v="1"/>
    <x v="3"/>
    <d v="2025-10-21T00:00:00"/>
    <s v="Dólares"/>
    <n v="2000"/>
    <s v="CARLOS ANDRES VILLALOBOS ARAYA"/>
    <x v="2"/>
    <m/>
    <m/>
  </r>
  <r>
    <x v="0"/>
    <x v="0"/>
    <x v="0"/>
    <m/>
    <x v="1"/>
    <x v="0"/>
    <d v="2025-07-01T00:00:00"/>
    <s v="Dólares"/>
    <n v="1545"/>
    <s v="nuevo horizonte pye s.a"/>
    <x v="7"/>
    <m/>
    <m/>
  </r>
  <r>
    <x v="0"/>
    <x v="1"/>
    <x v="0"/>
    <m/>
    <x v="1"/>
    <x v="0"/>
    <d v="2025-11-04T00:00:00"/>
    <s v="Dólares"/>
    <n v="1539.89"/>
    <s v="BABILON 1505 MUEBLE COCINA"/>
    <x v="4"/>
    <m/>
    <m/>
  </r>
  <r>
    <x v="0"/>
    <x v="2"/>
    <x v="0"/>
    <m/>
    <x v="1"/>
    <x v="2"/>
    <d v="2026-02-10T00:00:00"/>
    <s v="Dólares"/>
    <n v="14584.44"/>
    <s v="LANCO PAINTS GUATEMALA,  S.A."/>
    <x v="6"/>
    <m/>
    <m/>
  </r>
  <r>
    <x v="0"/>
    <x v="1"/>
    <x v="0"/>
    <n v="10026472"/>
    <x v="1"/>
    <x v="0"/>
    <d v="2025-05-02T00:00:00"/>
    <s v="Dólares"/>
    <n v="1528.58"/>
    <s v="BHORA FA SOCIEDAD ANONIMA"/>
    <x v="0"/>
    <m/>
    <m/>
  </r>
  <r>
    <x v="0"/>
    <x v="0"/>
    <x v="0"/>
    <n v="10027818"/>
    <x v="1"/>
    <x v="3"/>
    <d v="2025-10-22T00:00:00"/>
    <s v="Dólares"/>
    <n v="8470"/>
    <s v="ILEANA MARIA ALVAREZ PEREZ"/>
    <x v="2"/>
    <m/>
    <m/>
  </r>
  <r>
    <x v="0"/>
    <x v="0"/>
    <x v="0"/>
    <m/>
    <x v="1"/>
    <x v="4"/>
    <d v="2025-06-27T00:00:00"/>
    <s v="Colones"/>
    <n v="1527.9527559055118"/>
    <s v="UNIVERSIDAD DE COSTA RICA"/>
    <x v="5"/>
    <m/>
    <m/>
  </r>
  <r>
    <x v="0"/>
    <x v="2"/>
    <x v="0"/>
    <m/>
    <x v="1"/>
    <x v="2"/>
    <d v="2025-11-11T00:00:00"/>
    <s v="Dólares"/>
    <n v="1518.99"/>
    <s v="AGROCLINICA"/>
    <x v="4"/>
    <m/>
    <m/>
  </r>
  <r>
    <x v="0"/>
    <x v="3"/>
    <x v="0"/>
    <m/>
    <x v="0"/>
    <x v="4"/>
    <d v="2025-10-25T00:00:00"/>
    <s v="Dólares"/>
    <n v="54844.26"/>
    <s v="FONDO DE INVERSION INMOB LOS CRESTONES"/>
    <x v="2"/>
    <m/>
    <m/>
  </r>
  <r>
    <x v="0"/>
    <x v="3"/>
    <x v="0"/>
    <m/>
    <x v="0"/>
    <x v="4"/>
    <d v="2025-10-25T00:00:00"/>
    <s v="Dólares"/>
    <n v="38016"/>
    <s v="FONDO DE INVERSION INMOBILIARIO GIBRALTAR"/>
    <x v="2"/>
    <m/>
    <m/>
  </r>
  <r>
    <x v="0"/>
    <x v="0"/>
    <x v="0"/>
    <n v="10026553"/>
    <x v="1"/>
    <x v="2"/>
    <d v="2025-05-10T00:00:00"/>
    <s v="Colones"/>
    <n v="1507.1441732283465"/>
    <s v="IDANIA ROJAS AMADOR "/>
    <x v="0"/>
    <m/>
    <m/>
  </r>
  <r>
    <x v="0"/>
    <x v="3"/>
    <x v="0"/>
    <m/>
    <x v="1"/>
    <x v="4"/>
    <d v="2025-07-24T00:00:00"/>
    <s v="Dólares"/>
    <n v="1502.9"/>
    <s v="EDISOLUCIONES INTEGRALES EDISOL SOCIEDAD DE RESPONSABILIDAD LIMITADA"/>
    <x v="7"/>
    <m/>
    <m/>
  </r>
  <r>
    <x v="0"/>
    <x v="3"/>
    <x v="1"/>
    <m/>
    <x v="1"/>
    <x v="2"/>
    <d v="2026-02-10T00:00:00"/>
    <s v="Dólares"/>
    <n v="7308.84"/>
    <s v="TABOR CONSTRUCTORA"/>
    <x v="6"/>
    <m/>
    <m/>
  </r>
  <r>
    <x v="0"/>
    <x v="3"/>
    <x v="0"/>
    <m/>
    <x v="0"/>
    <x v="1"/>
    <d v="2025-10-26T00:00:00"/>
    <s v="Dólares"/>
    <n v="12091"/>
    <s v="SAN JOSE INDOOR CLUB SOCIEDAD ANONIMA"/>
    <x v="2"/>
    <m/>
    <m/>
  </r>
  <r>
    <x v="0"/>
    <x v="0"/>
    <x v="0"/>
    <m/>
    <x v="1"/>
    <x v="2"/>
    <d v="2026-02-10T00:00:00"/>
    <s v="Dólares"/>
    <n v="5458.66"/>
    <s v="Discovery Zapotal Builders"/>
    <x v="6"/>
    <m/>
    <m/>
  </r>
  <r>
    <x v="0"/>
    <x v="0"/>
    <x v="0"/>
    <n v="10026489"/>
    <x v="1"/>
    <x v="2"/>
    <d v="2025-05-05T00:00:00"/>
    <s v="Dólares"/>
    <n v="1500"/>
    <s v="ANA PAOLA ALVARADO MENDEZ"/>
    <x v="0"/>
    <m/>
    <m/>
  </r>
  <r>
    <x v="0"/>
    <x v="0"/>
    <x v="0"/>
    <n v="10027044"/>
    <x v="1"/>
    <x v="2"/>
    <d v="2025-07-09T00:00:00"/>
    <s v="Dólares"/>
    <n v="1500"/>
    <s v="MARIO ROJAS MURILLO"/>
    <x v="7"/>
    <m/>
    <m/>
  </r>
  <r>
    <x v="0"/>
    <x v="0"/>
    <x v="0"/>
    <m/>
    <x v="1"/>
    <x v="2"/>
    <d v="2025-07-07T00:00:00"/>
    <s v="Dólares"/>
    <n v="1500"/>
    <s v="MICHAEL BLANCO"/>
    <x v="7"/>
    <m/>
    <m/>
  </r>
  <r>
    <x v="1"/>
    <x v="0"/>
    <x v="0"/>
    <m/>
    <x v="1"/>
    <x v="4"/>
    <d v="2025-09-27T00:00:00"/>
    <s v="Dólares"/>
    <n v="1500"/>
    <s v="INGENIERIA CONTEMPORANEA SOCIEDAD ANONIMA"/>
    <x v="9"/>
    <m/>
    <m/>
  </r>
  <r>
    <x v="0"/>
    <x v="3"/>
    <x v="0"/>
    <m/>
    <x v="1"/>
    <x v="0"/>
    <d v="2026-01-08T00:00:00"/>
    <s v="Dólares"/>
    <n v="1500"/>
    <s v="EDIFICAR"/>
    <x v="3"/>
    <m/>
    <m/>
  </r>
  <r>
    <x v="0"/>
    <x v="3"/>
    <x v="0"/>
    <m/>
    <x v="0"/>
    <x v="1"/>
    <d v="2025-10-29T00:00:00"/>
    <s v="Dólares"/>
    <n v="4716.29"/>
    <s v="JONES LANG LASALLE LIMITADA"/>
    <x v="2"/>
    <m/>
    <m/>
  </r>
  <r>
    <x v="0"/>
    <x v="0"/>
    <x v="0"/>
    <m/>
    <x v="1"/>
    <x v="2"/>
    <d v="2025-06-10T00:00:00"/>
    <s v="Dólares"/>
    <n v="1499"/>
    <s v="Forrest Geiger"/>
    <x v="5"/>
    <m/>
    <m/>
  </r>
  <r>
    <x v="0"/>
    <x v="0"/>
    <x v="0"/>
    <m/>
    <x v="1"/>
    <x v="2"/>
    <d v="2025-06-14T00:00:00"/>
    <s v="Dólares"/>
    <n v="1499"/>
    <s v="Sergio Villarroel Rojas"/>
    <x v="5"/>
    <m/>
    <m/>
  </r>
  <r>
    <x v="0"/>
    <x v="0"/>
    <x v="0"/>
    <n v="10027309"/>
    <x v="1"/>
    <x v="0"/>
    <d v="2025-08-02T00:00:00"/>
    <s v="Dólares"/>
    <n v="1499"/>
    <s v="RICARDO ALBERTO GRANERA"/>
    <x v="1"/>
    <m/>
    <m/>
  </r>
  <r>
    <x v="0"/>
    <x v="0"/>
    <x v="0"/>
    <n v="10027290"/>
    <x v="1"/>
    <x v="2"/>
    <d v="2025-08-09T00:00:00"/>
    <s v="Dólares"/>
    <n v="1499"/>
    <s v="ARIEL VINDAS ALFARO"/>
    <x v="1"/>
    <m/>
    <m/>
  </r>
  <r>
    <x v="0"/>
    <x v="0"/>
    <x v="0"/>
    <m/>
    <x v="1"/>
    <x v="4"/>
    <d v="2025-08-26T00:00:00"/>
    <s v="Colones"/>
    <n v="1499"/>
    <s v="ANTONIO SANDOVAL"/>
    <x v="1"/>
    <m/>
    <m/>
  </r>
  <r>
    <x v="0"/>
    <x v="0"/>
    <x v="0"/>
    <m/>
    <x v="1"/>
    <x v="2"/>
    <d v="2025-09-11T00:00:00"/>
    <s v="Dólares"/>
    <n v="1499"/>
    <s v="3-102-854315 SRL"/>
    <x v="9"/>
    <m/>
    <m/>
  </r>
  <r>
    <x v="0"/>
    <x v="3"/>
    <x v="0"/>
    <m/>
    <x v="0"/>
    <x v="1"/>
    <d v="2025-10-30T00:00:00"/>
    <s v="Dólares"/>
    <n v="45424.06"/>
    <s v="BILCO COSTA RICA S.A."/>
    <x v="2"/>
    <m/>
    <m/>
  </r>
  <r>
    <x v="0"/>
    <x v="3"/>
    <x v="0"/>
    <m/>
    <x v="0"/>
    <x v="1"/>
    <d v="2025-10-30T00:00:00"/>
    <s v="Dólares"/>
    <n v="4154"/>
    <s v="RAU PRECISION METALS S.A."/>
    <x v="2"/>
    <m/>
    <m/>
  </r>
  <r>
    <x v="0"/>
    <x v="0"/>
    <x v="0"/>
    <n v="10027656"/>
    <x v="1"/>
    <x v="1"/>
    <d v="2025-09-29T00:00:00"/>
    <s v="Dólares"/>
    <n v="1499"/>
    <s v="Nahuel Tobías Baldo Calderón"/>
    <x v="9"/>
    <m/>
    <m/>
  </r>
  <r>
    <x v="0"/>
    <x v="2"/>
    <x v="0"/>
    <n v="10027681"/>
    <x v="1"/>
    <x v="0"/>
    <d v="2025-10-01T00:00:00"/>
    <s v="Dólares"/>
    <n v="1495.09"/>
    <s v="COSTACON DE COSTA RICA SOCIEDAD ANONIMA"/>
    <x v="2"/>
    <m/>
    <m/>
  </r>
  <r>
    <x v="0"/>
    <x v="0"/>
    <x v="0"/>
    <n v="10028204"/>
    <x v="1"/>
    <x v="4"/>
    <d v="2025-12-27T00:00:00"/>
    <s v="Dólares"/>
    <n v="1495"/>
    <s v="MARIA FERNANDA TELLO DELGADO"/>
    <x v="8"/>
    <m/>
    <m/>
  </r>
  <r>
    <x v="0"/>
    <x v="2"/>
    <x v="0"/>
    <m/>
    <x v="1"/>
    <x v="2"/>
    <d v="2026-02-10T00:00:00"/>
    <s v="Dólares"/>
    <n v="4947.16"/>
    <s v="Corporación Malmo"/>
    <x v="6"/>
    <m/>
    <m/>
  </r>
  <r>
    <x v="0"/>
    <x v="3"/>
    <x v="0"/>
    <m/>
    <x v="1"/>
    <x v="4"/>
    <d v="2025-11-25T00:00:00"/>
    <s v="Dólares"/>
    <n v="1491.6"/>
    <s v="REPUBLIC OFFICE S.A"/>
    <x v="4"/>
    <m/>
    <m/>
  </r>
  <r>
    <x v="0"/>
    <x v="0"/>
    <x v="0"/>
    <n v="10027819"/>
    <x v="1"/>
    <x v="3"/>
    <d v="2025-10-23T00:00:00"/>
    <s v="Dólares"/>
    <n v="870"/>
    <s v="MARIA FERNANDA TELLO DELGADO"/>
    <x v="2"/>
    <m/>
    <m/>
  </r>
  <r>
    <x v="0"/>
    <x v="0"/>
    <x v="0"/>
    <m/>
    <x v="1"/>
    <x v="0"/>
    <d v="2025-08-01T00:00:00"/>
    <s v="Dólares"/>
    <n v="1484.13"/>
    <s v="COMTEL INGENIERIA SOCIEDAD ANONIMA"/>
    <x v="1"/>
    <m/>
    <m/>
  </r>
  <r>
    <x v="0"/>
    <x v="2"/>
    <x v="0"/>
    <n v="10027268"/>
    <x v="1"/>
    <x v="0"/>
    <d v="2025-08-01T00:00:00"/>
    <s v="Dólares"/>
    <n v="1484.1"/>
    <s v="COMTEL INGENIERIA SOCIEDAD ANONIMA"/>
    <x v="1"/>
    <m/>
    <m/>
  </r>
  <r>
    <x v="0"/>
    <x v="2"/>
    <x v="2"/>
    <m/>
    <x v="0"/>
    <x v="1"/>
    <d v="2025-10-31T00:00:00"/>
    <s v="Dólares"/>
    <n v="136569"/>
    <s v="AGUNSA GUATEMALA S.A."/>
    <x v="2"/>
    <m/>
    <m/>
  </r>
  <r>
    <x v="0"/>
    <x v="0"/>
    <x v="0"/>
    <m/>
    <x v="0"/>
    <x v="1"/>
    <d v="2025-10-31T00:00:00"/>
    <s v="Dólares"/>
    <n v="30000"/>
    <s v="Clientes Nuevos"/>
    <x v="2"/>
    <m/>
    <m/>
  </r>
  <r>
    <x v="1"/>
    <x v="0"/>
    <x v="0"/>
    <m/>
    <x v="0"/>
    <x v="1"/>
    <d v="2025-10-31T00:00:00"/>
    <s v="Dólares"/>
    <n v="10000"/>
    <s v="Clientes Nuevos"/>
    <x v="2"/>
    <m/>
    <m/>
  </r>
  <r>
    <x v="0"/>
    <x v="1"/>
    <x v="0"/>
    <m/>
    <x v="0"/>
    <x v="1"/>
    <d v="2025-10-31T00:00:00"/>
    <s v="Dólares"/>
    <n v="9718.6299999999992"/>
    <s v="PRODEYCO"/>
    <x v="2"/>
    <m/>
    <m/>
  </r>
  <r>
    <x v="0"/>
    <x v="3"/>
    <x v="2"/>
    <m/>
    <x v="0"/>
    <x v="1"/>
    <d v="2025-10-31T00:00:00"/>
    <s v="Dólares"/>
    <n v="50887"/>
    <s v="UNIVERSIDAD ESTATAL A DISTANCIA"/>
    <x v="2"/>
    <m/>
    <m/>
  </r>
  <r>
    <x v="2"/>
    <x v="3"/>
    <x v="0"/>
    <m/>
    <x v="0"/>
    <x v="1"/>
    <d v="2025-10-31T00:00:00"/>
    <s v="Dólares"/>
    <n v="10000"/>
    <s v="SEMANA 05 OCTUBRE EXPRESS"/>
    <x v="2"/>
    <m/>
    <m/>
  </r>
  <r>
    <x v="0"/>
    <x v="3"/>
    <x v="2"/>
    <m/>
    <x v="0"/>
    <x v="1"/>
    <d v="2025-10-31T00:00:00"/>
    <s v="Dólares"/>
    <n v="9695"/>
    <s v="TRIBUNAL SUPREMO DE ELECCIONES"/>
    <x v="2"/>
    <m/>
    <m/>
  </r>
  <r>
    <x v="0"/>
    <x v="5"/>
    <x v="0"/>
    <m/>
    <x v="1"/>
    <x v="3"/>
    <d v="2025-11-17T00:00:00"/>
    <s v="Dólares"/>
    <n v="14817.38"/>
    <s v="AUTO SEGURO DE COSTA RICA"/>
    <x v="4"/>
    <m/>
    <m/>
  </r>
  <r>
    <x v="3"/>
    <x v="3"/>
    <x v="1"/>
    <m/>
    <x v="1"/>
    <x v="3"/>
    <d v="2025-11-17T00:00:00"/>
    <s v="Dólares"/>
    <n v="10611.71"/>
    <s v="RHYTHMLINK"/>
    <x v="4"/>
    <m/>
    <m/>
  </r>
  <r>
    <x v="0"/>
    <x v="2"/>
    <x v="0"/>
    <n v="10026630"/>
    <x v="1"/>
    <x v="4"/>
    <d v="2025-05-19T00:00:00"/>
    <s v="Dólares"/>
    <n v="1469.06"/>
    <s v="GOLDEN HARVEST DE COSTA RICA SOCIEDAD ANONIMA"/>
    <x v="0"/>
    <m/>
    <m/>
  </r>
  <r>
    <x v="0"/>
    <x v="3"/>
    <x v="1"/>
    <n v="10026995"/>
    <x v="1"/>
    <x v="0"/>
    <d v="2025-07-03T00:00:00"/>
    <s v="Dólares"/>
    <n v="1467.46"/>
    <s v="ATRES ARQUITECTOS SOCIEDAD DE RESPONSABILIDAD LIMI"/>
    <x v="7"/>
    <m/>
    <m/>
  </r>
  <r>
    <x v="0"/>
    <x v="2"/>
    <x v="0"/>
    <m/>
    <x v="1"/>
    <x v="3"/>
    <d v="2025-11-17T00:00:00"/>
    <s v="Dólares"/>
    <n v="9492.7099999999991"/>
    <s v="ALIMENTOS JACKS DE CENTROAMERICA SOCIEDAD ANONIMA"/>
    <x v="4"/>
    <m/>
    <m/>
  </r>
  <r>
    <x v="0"/>
    <x v="0"/>
    <x v="0"/>
    <m/>
    <x v="1"/>
    <x v="4"/>
    <d v="2025-10-22T00:00:00"/>
    <s v="Dólares"/>
    <n v="1455.76"/>
    <s v="VOLIO Y TREJOS ASOCIADOS S.A"/>
    <x v="2"/>
    <m/>
    <m/>
  </r>
  <r>
    <x v="0"/>
    <x v="2"/>
    <x v="1"/>
    <n v="10026905"/>
    <x v="1"/>
    <x v="2"/>
    <d v="2025-06-10T00:00:00"/>
    <s v="Dólares"/>
    <n v="1449.22"/>
    <s v="DIDEMA SRL"/>
    <x v="5"/>
    <m/>
    <m/>
  </r>
  <r>
    <x v="0"/>
    <x v="2"/>
    <x v="0"/>
    <m/>
    <x v="1"/>
    <x v="2"/>
    <d v="2025-11-11T00:00:00"/>
    <s v="Dólares"/>
    <n v="1435.44"/>
    <s v="VERTICAL SOLUTIONS"/>
    <x v="4"/>
    <m/>
    <m/>
  </r>
  <r>
    <x v="0"/>
    <x v="0"/>
    <x v="0"/>
    <m/>
    <x v="1"/>
    <x v="2"/>
    <d v="2025-07-07T00:00:00"/>
    <s v="Colones"/>
    <n v="1431.1023622047244"/>
    <s v="MARCIA AGUIRRE JIMENEZ"/>
    <x v="7"/>
    <m/>
    <m/>
  </r>
  <r>
    <x v="0"/>
    <x v="0"/>
    <x v="0"/>
    <m/>
    <x v="1"/>
    <x v="1"/>
    <d v="2025-12-29T00:00:00"/>
    <s v="Dólares"/>
    <n v="1415"/>
    <s v="Andreas Duin"/>
    <x v="8"/>
    <m/>
    <m/>
  </r>
  <r>
    <x v="0"/>
    <x v="0"/>
    <x v="0"/>
    <n v="10028415"/>
    <x v="1"/>
    <x v="4"/>
    <d v="2026-12-29T00:00:00"/>
    <s v="Dólares"/>
    <n v="1415"/>
    <s v="ANDREAS DUIN"/>
    <x v="8"/>
    <m/>
    <m/>
  </r>
  <r>
    <x v="0"/>
    <x v="0"/>
    <x v="0"/>
    <m/>
    <x v="1"/>
    <x v="4"/>
    <d v="2025-06-26T00:00:00"/>
    <s v="Dólares"/>
    <n v="1407.42"/>
    <s v="CIUDAD DE LOS NIÑOS"/>
    <x v="5"/>
    <m/>
    <m/>
  </r>
  <r>
    <x v="0"/>
    <x v="0"/>
    <x v="0"/>
    <n v="10026536"/>
    <x v="1"/>
    <x v="2"/>
    <d v="2025-05-09T00:00:00"/>
    <s v="Dólares"/>
    <n v="1400"/>
    <s v="BERNARDITA DEL ROSARIO SANDI RETANA"/>
    <x v="0"/>
    <m/>
    <m/>
  </r>
  <r>
    <x v="0"/>
    <x v="0"/>
    <x v="0"/>
    <n v="10027215"/>
    <x v="1"/>
    <x v="0"/>
    <d v="2025-08-01T00:00:00"/>
    <s v="Dólares"/>
    <n v="1400"/>
    <s v="EDIFITEC CONSTRUCCIONES TECNICAS SOCIEDAD ANONIMA"/>
    <x v="1"/>
    <m/>
    <m/>
  </r>
  <r>
    <x v="0"/>
    <x v="3"/>
    <x v="0"/>
    <m/>
    <x v="1"/>
    <x v="2"/>
    <d v="2025-08-14T00:00:00"/>
    <s v="Colones"/>
    <n v="1396.3953137254903"/>
    <s v="ASECCSS"/>
    <x v="1"/>
    <m/>
    <m/>
  </r>
  <r>
    <x v="0"/>
    <x v="0"/>
    <x v="0"/>
    <n v="10027974"/>
    <x v="1"/>
    <x v="3"/>
    <d v="2025-11-17T00:00:00"/>
    <s v="Dólares"/>
    <n v="3000"/>
    <s v="Proyectos Ecológicos Proeco S.A"/>
    <x v="4"/>
    <m/>
    <m/>
  </r>
  <r>
    <x v="0"/>
    <x v="0"/>
    <x v="0"/>
    <n v="10026525"/>
    <x v="1"/>
    <x v="2"/>
    <d v="2025-05-08T00:00:00"/>
    <s v="Dólares"/>
    <n v="1389"/>
    <s v="Allan Omar Canales Hernández"/>
    <x v="0"/>
    <m/>
    <m/>
  </r>
  <r>
    <x v="0"/>
    <x v="0"/>
    <x v="0"/>
    <m/>
    <x v="1"/>
    <x v="4"/>
    <d v="2025-08-29T00:00:00"/>
    <s v="Dólares"/>
    <n v="1383"/>
    <s v="TICA KLEEN"/>
    <x v="1"/>
    <m/>
    <m/>
  </r>
  <r>
    <x v="0"/>
    <x v="2"/>
    <x v="1"/>
    <m/>
    <x v="1"/>
    <x v="1"/>
    <d v="2025-10-29T00:00:00"/>
    <s v="Dólares"/>
    <n v="1380.69"/>
    <s v="SANCHEZ MATOS"/>
    <x v="2"/>
    <m/>
    <m/>
  </r>
  <r>
    <x v="0"/>
    <x v="3"/>
    <x v="0"/>
    <m/>
    <x v="1"/>
    <x v="2"/>
    <d v="2025-11-11T00:00:00"/>
    <s v="Dólares"/>
    <n v="1369.04"/>
    <s v="SIN IDENTIFICAR"/>
    <x v="4"/>
    <m/>
    <m/>
  </r>
  <r>
    <x v="0"/>
    <x v="3"/>
    <x v="0"/>
    <m/>
    <x v="1"/>
    <x v="2"/>
    <d v="2025-11-11T00:00:00"/>
    <s v="Dólares"/>
    <n v="1369.04"/>
    <s v="SIN IDENTIFICAR"/>
    <x v="4"/>
    <m/>
    <m/>
  </r>
  <r>
    <x v="0"/>
    <x v="0"/>
    <x v="0"/>
    <n v="10028375"/>
    <x v="1"/>
    <x v="4"/>
    <d v="2026-01-28T00:00:00"/>
    <s v="Dólares"/>
    <n v="1368"/>
    <s v="Roberto Madrigal Serrano"/>
    <x v="3"/>
    <m/>
    <m/>
  </r>
  <r>
    <x v="0"/>
    <x v="0"/>
    <x v="0"/>
    <n v="10027975"/>
    <x v="1"/>
    <x v="3"/>
    <d v="2025-11-17T00:00:00"/>
    <s v="Dólares"/>
    <n v="2450"/>
    <s v="Proyectos Ecológicos Proeco S.A"/>
    <x v="4"/>
    <m/>
    <m/>
  </r>
  <r>
    <x v="0"/>
    <x v="0"/>
    <x v="0"/>
    <n v="10027973"/>
    <x v="1"/>
    <x v="3"/>
    <d v="2025-11-17T00:00:00"/>
    <s v="Dólares"/>
    <n v="2000"/>
    <s v="Proyectos Ecológicos Proeco S.A"/>
    <x v="4"/>
    <m/>
    <m/>
  </r>
  <r>
    <x v="0"/>
    <x v="0"/>
    <x v="0"/>
    <m/>
    <x v="1"/>
    <x v="3"/>
    <d v="2025-11-17T00:00:00"/>
    <s v="Dólares"/>
    <n v="220"/>
    <s v="GUILLERMO DURAN"/>
    <x v="4"/>
    <m/>
    <m/>
  </r>
  <r>
    <x v="0"/>
    <x v="2"/>
    <x v="0"/>
    <m/>
    <x v="1"/>
    <x v="2"/>
    <d v="2025-09-12T00:00:00"/>
    <s v="Dólares"/>
    <n v="1362.83"/>
    <s v="ALIMENTOS Y BEBIDAS REGIONALES SOCIEDAD ANONIMA"/>
    <x v="9"/>
    <m/>
    <m/>
  </r>
  <r>
    <x v="0"/>
    <x v="2"/>
    <x v="0"/>
    <m/>
    <x v="1"/>
    <x v="1"/>
    <d v="2025-10-31T00:00:00"/>
    <s v="Dólares"/>
    <n v="1362.83"/>
    <s v="ALIMENTOS Y BEBIDAS REGIONALES"/>
    <x v="2"/>
    <m/>
    <m/>
  </r>
  <r>
    <x v="0"/>
    <x v="0"/>
    <x v="0"/>
    <m/>
    <x v="1"/>
    <x v="3"/>
    <d v="2025-11-17T00:00:00"/>
    <s v="Dólares"/>
    <n v="150"/>
    <s v="FABIO CHENG"/>
    <x v="4"/>
    <m/>
    <m/>
  </r>
  <r>
    <x v="0"/>
    <x v="0"/>
    <x v="0"/>
    <m/>
    <x v="1"/>
    <x v="2"/>
    <d v="2025-09-12T00:00:00"/>
    <s v="Dólares"/>
    <n v="1360"/>
    <s v="NURIA PATRICIA DE LO HERRERA AGUERO"/>
    <x v="9"/>
    <m/>
    <m/>
  </r>
  <r>
    <x v="0"/>
    <x v="2"/>
    <x v="0"/>
    <n v="10026540"/>
    <x v="1"/>
    <x v="2"/>
    <d v="2025-05-09T00:00:00"/>
    <s v="Dólares"/>
    <n v="1357.91"/>
    <s v="CLEAR LEAF SRL"/>
    <x v="0"/>
    <m/>
    <m/>
  </r>
  <r>
    <x v="0"/>
    <x v="3"/>
    <x v="2"/>
    <n v="10027635"/>
    <x v="1"/>
    <x v="4"/>
    <d v="2025-09-25T00:00:00"/>
    <s v="Dólares"/>
    <n v="1356"/>
    <s v="BILCO COSTA RICA S.A."/>
    <x v="9"/>
    <m/>
    <m/>
  </r>
  <r>
    <x v="0"/>
    <x v="0"/>
    <x v="0"/>
    <m/>
    <x v="1"/>
    <x v="3"/>
    <d v="2025-11-17T00:00:00"/>
    <s v="Colones"/>
    <n v="98.039215686274517"/>
    <s v="MEGAN LOPEZ"/>
    <x v="4"/>
    <m/>
    <m/>
  </r>
  <r>
    <x v="0"/>
    <x v="0"/>
    <x v="0"/>
    <m/>
    <x v="1"/>
    <x v="4"/>
    <d v="2025-11-26T00:00:00"/>
    <s v="Dólares"/>
    <n v="1355"/>
    <s v="Esteban Vallejo"/>
    <x v="4"/>
    <m/>
    <m/>
  </r>
  <r>
    <x v="0"/>
    <x v="0"/>
    <x v="0"/>
    <n v="10028285"/>
    <x v="1"/>
    <x v="4"/>
    <d v="2025-11-26T00:00:00"/>
    <s v="Dólares"/>
    <n v="1355"/>
    <s v="Esteban Vallejo Ramírez"/>
    <x v="4"/>
    <m/>
    <m/>
  </r>
  <r>
    <x v="0"/>
    <x v="0"/>
    <x v="0"/>
    <m/>
    <x v="1"/>
    <x v="3"/>
    <d v="2025-11-17T00:00:00"/>
    <s v="Dólares"/>
    <n v="80"/>
    <s v="ABRAHAM GOLDIK"/>
    <x v="4"/>
    <m/>
    <m/>
  </r>
  <r>
    <x v="0"/>
    <x v="0"/>
    <x v="0"/>
    <m/>
    <x v="1"/>
    <x v="3"/>
    <d v="2025-11-17T00:00:00"/>
    <s v="Dólares"/>
    <n v="80"/>
    <s v="ABRAHAM GOLDIK"/>
    <x v="4"/>
    <m/>
    <m/>
  </r>
  <r>
    <x v="3"/>
    <x v="3"/>
    <x v="0"/>
    <n v="15142"/>
    <x v="1"/>
    <x v="2"/>
    <d v="2025-05-09T00:00:00"/>
    <s v="Dólares"/>
    <n v="1351.7"/>
    <s v="DERMAPRIME SOCIEDAD"/>
    <x v="0"/>
    <m/>
    <m/>
  </r>
  <r>
    <x v="0"/>
    <x v="3"/>
    <x v="2"/>
    <m/>
    <x v="1"/>
    <x v="4"/>
    <d v="2025-10-22T00:00:00"/>
    <s v="Dólares"/>
    <n v="1351.48"/>
    <s v="ARTHOCARE"/>
    <x v="2"/>
    <m/>
    <m/>
  </r>
  <r>
    <x v="0"/>
    <x v="0"/>
    <x v="0"/>
    <n v="10027481"/>
    <x v="1"/>
    <x v="0"/>
    <d v="2025-09-05T00:00:00"/>
    <s v="Dólares"/>
    <n v="1350"/>
    <s v="RONALD IGNACIO SOLANO GRANADOS"/>
    <x v="9"/>
    <m/>
    <m/>
  </r>
  <r>
    <x v="0"/>
    <x v="0"/>
    <x v="0"/>
    <n v="10028088"/>
    <x v="1"/>
    <x v="2"/>
    <d v="2025-12-08T00:00:00"/>
    <s v="Dólares"/>
    <n v="1350"/>
    <s v="CESAR GIOVANNY CRUZ SALAMANCA "/>
    <x v="8"/>
    <m/>
    <m/>
  </r>
  <r>
    <x v="0"/>
    <x v="2"/>
    <x v="0"/>
    <m/>
    <x v="1"/>
    <x v="0"/>
    <d v="2025-09-03T00:00:00"/>
    <s v="Dólares"/>
    <n v="1349.9"/>
    <s v="SPORT RETAIL"/>
    <x v="9"/>
    <m/>
    <m/>
  </r>
  <r>
    <x v="0"/>
    <x v="0"/>
    <x v="0"/>
    <m/>
    <x v="1"/>
    <x v="4"/>
    <d v="2025-05-21T00:00:00"/>
    <s v="Dólares"/>
    <n v="1348.4"/>
    <s v="DANIEL GUTIERREZ CASTILLO"/>
    <x v="0"/>
    <m/>
    <m/>
  </r>
  <r>
    <x v="0"/>
    <x v="0"/>
    <x v="0"/>
    <n v="10027043"/>
    <x v="1"/>
    <x v="2"/>
    <d v="2025-07-10T00:00:00"/>
    <s v="Dólares"/>
    <n v="1344"/>
    <s v="DEANA MORLEY"/>
    <x v="7"/>
    <m/>
    <m/>
  </r>
  <r>
    <x v="0"/>
    <x v="3"/>
    <x v="0"/>
    <m/>
    <x v="1"/>
    <x v="3"/>
    <d v="2025-11-18T00:00:00"/>
    <s v="Dólares"/>
    <n v="5655.91"/>
    <s v="INSTITUTO NACIONAL DE SEGUROS"/>
    <x v="4"/>
    <m/>
    <m/>
  </r>
  <r>
    <x v="0"/>
    <x v="3"/>
    <x v="1"/>
    <s v="54273 / 10027241"/>
    <x v="1"/>
    <x v="0"/>
    <d v="2025-08-05T00:00:00"/>
    <s v="Dólares"/>
    <n v="1343.57"/>
    <s v="SERVICIOS DE CONSULTORÍA RPM"/>
    <x v="1"/>
    <m/>
    <m/>
  </r>
  <r>
    <x v="0"/>
    <x v="1"/>
    <x v="1"/>
    <m/>
    <x v="1"/>
    <x v="0"/>
    <d v="2025-08-06T00:00:00"/>
    <s v="Colones"/>
    <n v="1339.2156862745098"/>
    <s v="SIN IDENTIFICAR"/>
    <x v="1"/>
    <m/>
    <m/>
  </r>
  <r>
    <x v="0"/>
    <x v="5"/>
    <x v="0"/>
    <m/>
    <x v="1"/>
    <x v="3"/>
    <d v="2025-11-18T00:00:00"/>
    <s v="Dólares"/>
    <n v="1074.7"/>
    <s v="LOCAL PLAZA AMERICA"/>
    <x v="4"/>
    <m/>
    <m/>
  </r>
  <r>
    <x v="0"/>
    <x v="0"/>
    <x v="1"/>
    <m/>
    <x v="1"/>
    <x v="2"/>
    <d v="2025-06-12T00:00:00"/>
    <s v="Dólares"/>
    <n v="1325"/>
    <s v="RESORT LIVING INTERNATIONAL SOCIEDAD ANONIMA"/>
    <x v="5"/>
    <m/>
    <m/>
  </r>
  <r>
    <x v="0"/>
    <x v="2"/>
    <x v="0"/>
    <m/>
    <x v="1"/>
    <x v="0"/>
    <d v="2025-11-07T00:00:00"/>
    <s v="Dólares"/>
    <n v="1317.41"/>
    <s v="FARMAVALUE"/>
    <x v="4"/>
    <m/>
    <m/>
  </r>
  <r>
    <x v="0"/>
    <x v="2"/>
    <x v="0"/>
    <m/>
    <x v="1"/>
    <x v="2"/>
    <d v="2025-12-11T00:00:00"/>
    <s v="Dólares"/>
    <n v="1317.41"/>
    <s v="FARMAVALUE COSTA RICA SOCIEDAD ANON"/>
    <x v="8"/>
    <m/>
    <m/>
  </r>
  <r>
    <x v="0"/>
    <x v="2"/>
    <x v="0"/>
    <m/>
    <x v="1"/>
    <x v="1"/>
    <d v="2025-09-29T00:00:00"/>
    <s v="Dólares"/>
    <n v="1317.17"/>
    <s v="AGROINDUSTRIAL ZELEDON MAFFIO SOCIEDAD ANONIMA"/>
    <x v="9"/>
    <m/>
    <m/>
  </r>
  <r>
    <x v="0"/>
    <x v="2"/>
    <x v="1"/>
    <n v="10027705"/>
    <x v="1"/>
    <x v="0"/>
    <d v="2025-10-03T00:00:00"/>
    <s v="Dólares"/>
    <n v="1317.17"/>
    <s v="AGROINDUSTRIAL ZELEDON MAFFIO SOCIEDAD ANONIMA"/>
    <x v="2"/>
    <m/>
    <m/>
  </r>
  <r>
    <x v="0"/>
    <x v="2"/>
    <x v="0"/>
    <m/>
    <x v="1"/>
    <x v="4"/>
    <d v="2025-11-26T00:00:00"/>
    <s v="Dólares"/>
    <n v="1317.17"/>
    <s v="AGRO INDUSTRIAL"/>
    <x v="4"/>
    <m/>
    <m/>
  </r>
  <r>
    <x v="0"/>
    <x v="0"/>
    <x v="0"/>
    <m/>
    <x v="1"/>
    <x v="4"/>
    <d v="2025-08-29T00:00:00"/>
    <s v="Dólares"/>
    <n v="1316.23"/>
    <s v="PAYPAL"/>
    <x v="1"/>
    <m/>
    <m/>
  </r>
  <r>
    <x v="0"/>
    <x v="2"/>
    <x v="0"/>
    <m/>
    <x v="1"/>
    <x v="0"/>
    <d v="2025-11-04T00:00:00"/>
    <s v="Colones"/>
    <n v="1313.9059803921571"/>
    <s v="SERVICIOS NUTRESA"/>
    <x v="4"/>
    <m/>
    <m/>
  </r>
  <r>
    <x v="3"/>
    <x v="3"/>
    <x v="0"/>
    <m/>
    <x v="1"/>
    <x v="4"/>
    <d v="2025-11-27T00:00:00"/>
    <s v="Colones"/>
    <n v="1306.4432156862745"/>
    <s v="SIN IDENTIFICAR"/>
    <x v="4"/>
    <m/>
    <m/>
  </r>
  <r>
    <x v="0"/>
    <x v="0"/>
    <x v="0"/>
    <m/>
    <x v="1"/>
    <x v="3"/>
    <d v="2025-11-18T00:00:00"/>
    <s v="Dólares"/>
    <n v="250"/>
    <s v="Orlando Montes de Oca"/>
    <x v="4"/>
    <m/>
    <m/>
  </r>
  <r>
    <x v="0"/>
    <x v="0"/>
    <x v="0"/>
    <n v="10027972"/>
    <x v="1"/>
    <x v="3"/>
    <d v="2025-11-18T00:00:00"/>
    <s v="Dólares"/>
    <n v="60"/>
    <s v="GIOVANNI PAPILI AMADOR"/>
    <x v="4"/>
    <m/>
    <m/>
  </r>
  <r>
    <x v="1"/>
    <x v="0"/>
    <x v="0"/>
    <n v="10829"/>
    <x v="1"/>
    <x v="3"/>
    <d v="2025-11-19T00:00:00"/>
    <s v="Dólares"/>
    <n v="33000"/>
    <s v="Donald Carl Giffels"/>
    <x v="4"/>
    <m/>
    <m/>
  </r>
  <r>
    <x v="0"/>
    <x v="0"/>
    <x v="0"/>
    <n v="10027304"/>
    <x v="1"/>
    <x v="2"/>
    <d v="2025-08-13T00:00:00"/>
    <s v="Dólares"/>
    <n v="1300"/>
    <s v="RENE CARDONA GARCIA"/>
    <x v="1"/>
    <m/>
    <m/>
  </r>
  <r>
    <x v="0"/>
    <x v="0"/>
    <x v="0"/>
    <n v="10026466"/>
    <x v="1"/>
    <x v="0"/>
    <d v="2025-05-02T00:00:00"/>
    <s v="Colones"/>
    <n v="1299.2125984251968"/>
    <s v="LUCIA MOLINA FALLAS"/>
    <x v="0"/>
    <m/>
    <m/>
  </r>
  <r>
    <x v="0"/>
    <x v="2"/>
    <x v="0"/>
    <m/>
    <x v="1"/>
    <x v="0"/>
    <d v="2025-12-05T00:00:00"/>
    <s v="Dólares"/>
    <n v="1289.6400000000001"/>
    <s v="ALIMENTOS Y BEBIDAS ATLANTIDA"/>
    <x v="8"/>
    <m/>
    <m/>
  </r>
  <r>
    <x v="0"/>
    <x v="0"/>
    <x v="0"/>
    <m/>
    <x v="1"/>
    <x v="2"/>
    <d v="2026-02-10T00:00:00"/>
    <s v="Dólares"/>
    <n v="3557"/>
    <s v="Roberto Gamboa"/>
    <x v="6"/>
    <m/>
    <m/>
  </r>
  <r>
    <x v="1"/>
    <x v="0"/>
    <x v="0"/>
    <n v="10830"/>
    <x v="1"/>
    <x v="3"/>
    <d v="2025-11-19T00:00:00"/>
    <s v="Dólares"/>
    <n v="20000"/>
    <s v="Donald Carl Giffels"/>
    <x v="4"/>
    <m/>
    <m/>
  </r>
  <r>
    <x v="1"/>
    <x v="0"/>
    <x v="0"/>
    <m/>
    <x v="1"/>
    <x v="2"/>
    <d v="2025-09-10T00:00:00"/>
    <s v="Dólares"/>
    <n v="1275"/>
    <s v="MARK SMOLJANOVIC"/>
    <x v="9"/>
    <m/>
    <m/>
  </r>
  <r>
    <x v="0"/>
    <x v="3"/>
    <x v="0"/>
    <m/>
    <x v="1"/>
    <x v="2"/>
    <d v="2025-11-13T00:00:00"/>
    <s v="Colones"/>
    <n v="1273.8206274509805"/>
    <s v="MINISTERIO DE EDUCACION PUBLICA"/>
    <x v="4"/>
    <m/>
    <m/>
  </r>
  <r>
    <x v="0"/>
    <x v="0"/>
    <x v="0"/>
    <m/>
    <x v="1"/>
    <x v="2"/>
    <d v="2026-02-10T00:00:00"/>
    <s v="Dólares"/>
    <n v="3557"/>
    <s v="Roberto Gamboa"/>
    <x v="6"/>
    <m/>
    <m/>
  </r>
  <r>
    <x v="0"/>
    <x v="0"/>
    <x v="0"/>
    <m/>
    <x v="1"/>
    <x v="2"/>
    <d v="2026-02-10T00:00:00"/>
    <s v="Dólares"/>
    <n v="3500"/>
    <s v="ELENA ARROYO"/>
    <x v="6"/>
    <m/>
    <m/>
  </r>
  <r>
    <x v="3"/>
    <x v="3"/>
    <x v="1"/>
    <m/>
    <x v="1"/>
    <x v="2"/>
    <d v="2026-02-10T00:00:00"/>
    <s v="Dólares"/>
    <n v="3264.95"/>
    <s v="RHYTMLINK - GRUPO DESARROLLADOR DE PARQUES INDUSTRIALES SOCIED"/>
    <x v="6"/>
    <m/>
    <m/>
  </r>
  <r>
    <x v="0"/>
    <x v="0"/>
    <x v="0"/>
    <m/>
    <x v="1"/>
    <x v="0"/>
    <d v="2025-11-04T00:00:00"/>
    <s v="Dólares"/>
    <n v="1267.3399999999999"/>
    <s v="EVENTOS ARTESANOS SOCIENDAD ANONIMA"/>
    <x v="4"/>
    <m/>
    <m/>
  </r>
  <r>
    <x v="0"/>
    <x v="1"/>
    <x v="0"/>
    <m/>
    <x v="0"/>
    <x v="0"/>
    <d v="2025-11-09T00:00:00"/>
    <s v="Dólares"/>
    <n v="123757.2"/>
    <s v="EDICA LIMITADA"/>
    <x v="4"/>
    <m/>
    <m/>
  </r>
  <r>
    <x v="2"/>
    <x v="3"/>
    <x v="0"/>
    <m/>
    <x v="0"/>
    <x v="0"/>
    <d v="2025-11-09T00:00:00"/>
    <s v="Dólares"/>
    <n v="20000"/>
    <s v="SEMANA 01 NOVIEMBRE EXPRESS"/>
    <x v="4"/>
    <m/>
    <m/>
  </r>
  <r>
    <x v="0"/>
    <x v="0"/>
    <x v="0"/>
    <m/>
    <x v="0"/>
    <x v="0"/>
    <d v="2025-11-09T00:00:00"/>
    <s v="Dólares"/>
    <n v="60000"/>
    <s v="Clientes Nuevos"/>
    <x v="4"/>
    <m/>
    <m/>
  </r>
  <r>
    <x v="0"/>
    <x v="2"/>
    <x v="0"/>
    <m/>
    <x v="0"/>
    <x v="0"/>
    <d v="2025-11-09T00:00:00"/>
    <s v="Dólares"/>
    <n v="31569.32"/>
    <s v="MAYCA DISTRIBUIDORES, S.A"/>
    <x v="4"/>
    <m/>
    <m/>
  </r>
  <r>
    <x v="1"/>
    <x v="0"/>
    <x v="0"/>
    <m/>
    <x v="0"/>
    <x v="0"/>
    <d v="2025-11-09T00:00:00"/>
    <s v="Dólares"/>
    <n v="25000"/>
    <s v="Clientes Nuevos"/>
    <x v="4"/>
    <m/>
    <m/>
  </r>
  <r>
    <x v="0"/>
    <x v="3"/>
    <x v="0"/>
    <m/>
    <x v="0"/>
    <x v="0"/>
    <d v="2025-11-09T00:00:00"/>
    <s v="Dólares"/>
    <n v="25734"/>
    <s v="AUTO REPUESTOS AVENIDA DIEZ S.A."/>
    <x v="4"/>
    <m/>
    <m/>
  </r>
  <r>
    <x v="0"/>
    <x v="3"/>
    <x v="2"/>
    <m/>
    <x v="0"/>
    <x v="0"/>
    <d v="2025-11-09T00:00:00"/>
    <s v="Dólares"/>
    <n v="24543"/>
    <s v="PLAZA RIVIERA SOCIEDAD ANONIMA"/>
    <x v="4"/>
    <m/>
    <m/>
  </r>
  <r>
    <x v="0"/>
    <x v="1"/>
    <x v="0"/>
    <m/>
    <x v="0"/>
    <x v="0"/>
    <d v="2025-11-09T00:00:00"/>
    <s v="Dólares"/>
    <n v="22491"/>
    <s v="DESARROLLOS ECOLOGICOS EL CANAL"/>
    <x v="4"/>
    <m/>
    <m/>
  </r>
  <r>
    <x v="0"/>
    <x v="1"/>
    <x v="0"/>
    <m/>
    <x v="0"/>
    <x v="0"/>
    <d v="2025-11-09T00:00:00"/>
    <s v="Dólares"/>
    <n v="12739.68"/>
    <s v="CONSTRUCTORA BRK S.A."/>
    <x v="4"/>
    <m/>
    <m/>
  </r>
  <r>
    <x v="0"/>
    <x v="3"/>
    <x v="0"/>
    <m/>
    <x v="0"/>
    <x v="0"/>
    <d v="2025-11-09T00:00:00"/>
    <s v="Dólares"/>
    <n v="12091.81"/>
    <s v="SAN JOSE INDOOR CLUB SOCIEDAD ANONIMA"/>
    <x v="4"/>
    <m/>
    <m/>
  </r>
  <r>
    <x v="0"/>
    <x v="1"/>
    <x v="0"/>
    <m/>
    <x v="0"/>
    <x v="0"/>
    <d v="2025-11-09T00:00:00"/>
    <s v="Dólares"/>
    <n v="11252.1"/>
    <s v="VOLIO &amp; TREJOS ASOCIADOS S.A."/>
    <x v="4"/>
    <m/>
    <m/>
  </r>
  <r>
    <x v="0"/>
    <x v="2"/>
    <x v="2"/>
    <m/>
    <x v="0"/>
    <x v="0"/>
    <d v="2025-11-09T00:00:00"/>
    <s v="Dólares"/>
    <n v="9492.7000000000007"/>
    <s v="ALIMENTOS JACKS DE CENTROAMERICA SOCIEDAD ANONIMA"/>
    <x v="4"/>
    <m/>
    <m/>
  </r>
  <r>
    <x v="0"/>
    <x v="3"/>
    <x v="0"/>
    <m/>
    <x v="0"/>
    <x v="0"/>
    <d v="2025-11-09T00:00:00"/>
    <s v="Dólares"/>
    <n v="9387"/>
    <s v="STEWART TITLE GUARANTY COMPANY"/>
    <x v="4"/>
    <m/>
    <m/>
  </r>
  <r>
    <x v="0"/>
    <x v="2"/>
    <x v="2"/>
    <m/>
    <x v="0"/>
    <x v="0"/>
    <d v="2025-11-09T00:00:00"/>
    <s v="Dólares"/>
    <n v="4496"/>
    <s v="CAPRIS SERVICES AND ENGINEERING CO SOCIEDAD ANONIMA"/>
    <x v="4"/>
    <m/>
    <m/>
  </r>
  <r>
    <x v="0"/>
    <x v="1"/>
    <x v="0"/>
    <m/>
    <x v="0"/>
    <x v="2"/>
    <d v="2025-11-09T00:00:00"/>
    <s v="Dólares"/>
    <n v="12804.37"/>
    <s v="BILCO COSTA RICA S.A."/>
    <x v="4"/>
    <m/>
    <m/>
  </r>
  <r>
    <x v="1"/>
    <x v="0"/>
    <x v="0"/>
    <n v="10831"/>
    <x v="1"/>
    <x v="3"/>
    <d v="2025-11-19T00:00:00"/>
    <s v="Dólares"/>
    <n v="18000"/>
    <s v="Stephanie Kennedy"/>
    <x v="4"/>
    <m/>
    <m/>
  </r>
  <r>
    <x v="0"/>
    <x v="0"/>
    <x v="0"/>
    <m/>
    <x v="1"/>
    <x v="2"/>
    <d v="2025-12-12T00:00:00"/>
    <s v="Dólares"/>
    <n v="1261.8900000000001"/>
    <s v="MAILYN MARIA AJUN LOAIZA"/>
    <x v="8"/>
    <m/>
    <m/>
  </r>
  <r>
    <x v="3"/>
    <x v="3"/>
    <x v="0"/>
    <m/>
    <x v="1"/>
    <x v="3"/>
    <d v="2025-11-19T00:00:00"/>
    <s v="Dólares"/>
    <n v="12312.4"/>
    <s v="ULTRAPARK DOS SOCIEDAD ANONIMA"/>
    <x v="4"/>
    <m/>
    <m/>
  </r>
  <r>
    <x v="0"/>
    <x v="0"/>
    <x v="0"/>
    <n v="10027199"/>
    <x v="1"/>
    <x v="1"/>
    <d v="2025-07-30T00:00:00"/>
    <s v="Dólares"/>
    <n v="1249"/>
    <s v="LUIS MURILLO"/>
    <x v="7"/>
    <m/>
    <m/>
  </r>
  <r>
    <x v="0"/>
    <x v="0"/>
    <x v="0"/>
    <m/>
    <x v="1"/>
    <x v="4"/>
    <d v="2025-11-27T00:00:00"/>
    <s v="Colones"/>
    <n v="1247.1254901960785"/>
    <s v="CARLOS MANUEL BURGOS"/>
    <x v="4"/>
    <m/>
    <m/>
  </r>
  <r>
    <x v="0"/>
    <x v="2"/>
    <x v="0"/>
    <m/>
    <x v="1"/>
    <x v="3"/>
    <d v="2025-11-19T00:00:00"/>
    <s v="Dólares"/>
    <n v="6000"/>
    <s v="INDUSTRIAS GAREND"/>
    <x v="4"/>
    <m/>
    <m/>
  </r>
  <r>
    <x v="0"/>
    <x v="2"/>
    <x v="0"/>
    <n v="10026486"/>
    <x v="1"/>
    <x v="2"/>
    <d v="2025-05-07T00:00:00"/>
    <s v="Dólares"/>
    <n v="1240.02"/>
    <s v="FABRICA CENTROAMERICANA DE NIPLES S,A "/>
    <x v="0"/>
    <m/>
    <m/>
  </r>
  <r>
    <x v="0"/>
    <x v="0"/>
    <x v="0"/>
    <m/>
    <x v="1"/>
    <x v="2"/>
    <d v="2025-06-09T00:00:00"/>
    <s v="Dólares"/>
    <n v="1239.1199999999999"/>
    <s v="Bosques Instantáneos de Costa Rica S.A"/>
    <x v="5"/>
    <m/>
    <m/>
  </r>
  <r>
    <x v="0"/>
    <x v="0"/>
    <x v="0"/>
    <n v="10027038"/>
    <x v="1"/>
    <x v="2"/>
    <d v="2025-07-09T00:00:00"/>
    <s v="Dólares"/>
    <n v="1237.5999999999999"/>
    <s v="María del Carmen Ramírez Delgado"/>
    <x v="7"/>
    <m/>
    <m/>
  </r>
  <r>
    <x v="0"/>
    <x v="0"/>
    <x v="0"/>
    <m/>
    <x v="1"/>
    <x v="3"/>
    <d v="2025-11-19T00:00:00"/>
    <s v="Dólares"/>
    <n v="2263.31"/>
    <s v="Reiner Sanchez"/>
    <x v="4"/>
    <m/>
    <m/>
  </r>
  <r>
    <x v="0"/>
    <x v="0"/>
    <x v="0"/>
    <n v="10027171"/>
    <x v="1"/>
    <x v="4"/>
    <d v="2025-07-26T00:00:00"/>
    <s v="Dólares"/>
    <n v="1225"/>
    <s v="RRHH METAMORFOSIS SRL"/>
    <x v="7"/>
    <m/>
    <m/>
  </r>
  <r>
    <x v="1"/>
    <x v="0"/>
    <x v="0"/>
    <m/>
    <x v="1"/>
    <x v="0"/>
    <d v="2026-01-09T00:00:00"/>
    <s v="Dólares"/>
    <n v="1225"/>
    <s v="GRETHEL MAGALY DE LO MASIS GUTIERREZ"/>
    <x v="3"/>
    <m/>
    <m/>
  </r>
  <r>
    <x v="0"/>
    <x v="3"/>
    <x v="0"/>
    <m/>
    <x v="1"/>
    <x v="4"/>
    <d v="2025-09-26T00:00:00"/>
    <s v="Dólares"/>
    <n v="1218.29"/>
    <s v="BAHIA PAPAGAYO"/>
    <x v="9"/>
    <m/>
    <m/>
  </r>
  <r>
    <x v="0"/>
    <x v="0"/>
    <x v="0"/>
    <m/>
    <x v="1"/>
    <x v="4"/>
    <d v="2025-10-22T00:00:00"/>
    <s v="Dólares"/>
    <n v="1218.2"/>
    <s v="ELKE MARIA STEIVORTH"/>
    <x v="2"/>
    <m/>
    <m/>
  </r>
  <r>
    <x v="0"/>
    <x v="3"/>
    <x v="0"/>
    <m/>
    <x v="1"/>
    <x v="4"/>
    <d v="2025-09-25T00:00:00"/>
    <s v="Dólares"/>
    <n v="1213.79"/>
    <s v="CONTRACT WORKPLACES COSTA RICA SOCIEDAD ANONIMA "/>
    <x v="9"/>
    <m/>
    <m/>
  </r>
  <r>
    <x v="0"/>
    <x v="2"/>
    <x v="0"/>
    <m/>
    <x v="1"/>
    <x v="0"/>
    <d v="2026-01-08T00:00:00"/>
    <s v="Dólares"/>
    <n v="1211.75"/>
    <s v="ACABADOS AUTOMOTRICES"/>
    <x v="3"/>
    <m/>
    <m/>
  </r>
  <r>
    <x v="0"/>
    <x v="2"/>
    <x v="1"/>
    <m/>
    <x v="1"/>
    <x v="1"/>
    <d v="2025-05-09T00:00:00"/>
    <s v="Dólares"/>
    <n v="1204.3399999999999"/>
    <s v="RAU PRECISION METALS S.A."/>
    <x v="0"/>
    <m/>
    <m/>
  </r>
  <r>
    <x v="0"/>
    <x v="0"/>
    <x v="0"/>
    <n v="10027971"/>
    <x v="1"/>
    <x v="3"/>
    <d v="2025-11-19T00:00:00"/>
    <s v="Dólares"/>
    <n v="2263.31"/>
    <s v="REINER STEVEN SANCHEZ CARBALLO"/>
    <x v="4"/>
    <m/>
    <m/>
  </r>
  <r>
    <x v="0"/>
    <x v="0"/>
    <x v="0"/>
    <m/>
    <x v="1"/>
    <x v="3"/>
    <d v="2025-11-19T00:00:00"/>
    <s v="Dólares"/>
    <n v="1032"/>
    <s v="3-102-534069"/>
    <x v="4"/>
    <m/>
    <m/>
  </r>
  <r>
    <x v="0"/>
    <x v="0"/>
    <x v="0"/>
    <m/>
    <x v="1"/>
    <x v="3"/>
    <d v="2025-11-19T00:00:00"/>
    <s v="Dólares"/>
    <n v="1000"/>
    <s v="INVERSIONES HERREMORA SOCIEDAD ANONIMA"/>
    <x v="4"/>
    <m/>
    <m/>
  </r>
  <r>
    <x v="0"/>
    <x v="0"/>
    <x v="0"/>
    <n v="10027244"/>
    <x v="1"/>
    <x v="0"/>
    <d v="2025-08-05T00:00:00"/>
    <s v="Dólares"/>
    <n v="1199"/>
    <s v="SANTIAGO ALFONSO ARAYA GUTIERREZ"/>
    <x v="1"/>
    <m/>
    <m/>
  </r>
  <r>
    <x v="0"/>
    <x v="0"/>
    <x v="0"/>
    <n v="10027428"/>
    <x v="1"/>
    <x v="4"/>
    <d v="2025-08-30T00:00:00"/>
    <s v="Dólares"/>
    <n v="1199"/>
    <s v="JOSE CABRERA BADILLA"/>
    <x v="1"/>
    <m/>
    <m/>
  </r>
  <r>
    <x v="0"/>
    <x v="0"/>
    <x v="0"/>
    <m/>
    <x v="1"/>
    <x v="0"/>
    <d v="2025-11-07T00:00:00"/>
    <s v="Dólares"/>
    <n v="1199"/>
    <s v="ASOCIACION GREEN WOLF"/>
    <x v="4"/>
    <m/>
    <m/>
  </r>
  <r>
    <x v="0"/>
    <x v="2"/>
    <x v="0"/>
    <m/>
    <x v="1"/>
    <x v="1"/>
    <d v="2025-10-31T00:00:00"/>
    <s v="Dólares"/>
    <n v="1198.48"/>
    <s v="COSTA CRUZ INC"/>
    <x v="2"/>
    <m/>
    <m/>
  </r>
  <r>
    <x v="0"/>
    <x v="0"/>
    <x v="0"/>
    <m/>
    <x v="1"/>
    <x v="4"/>
    <d v="2025-08-30T00:00:00"/>
    <s v="Colones"/>
    <n v="1197.2367647058823"/>
    <s v="ROSA EUGENIA PICADO SOLIS"/>
    <x v="1"/>
    <m/>
    <m/>
  </r>
  <r>
    <x v="0"/>
    <x v="0"/>
    <x v="0"/>
    <n v="10027710"/>
    <x v="1"/>
    <x v="0"/>
    <d v="2025-10-01T00:00:00"/>
    <s v="Dólares"/>
    <n v="1197"/>
    <s v="RODOLFO CORDERO SANCHO"/>
    <x v="2"/>
    <m/>
    <m/>
  </r>
  <r>
    <x v="0"/>
    <x v="0"/>
    <x v="0"/>
    <m/>
    <x v="1"/>
    <x v="4"/>
    <d v="2025-12-22T00:00:00"/>
    <s v="Dólares"/>
    <n v="1197"/>
    <s v="HERNANDEZ CORDOBA"/>
    <x v="8"/>
    <m/>
    <m/>
  </r>
  <r>
    <x v="0"/>
    <x v="0"/>
    <x v="0"/>
    <n v="10027302"/>
    <x v="1"/>
    <x v="2"/>
    <d v="2025-08-11T00:00:00"/>
    <s v="Colones"/>
    <n v="1196.3433921568628"/>
    <s v="GABRIELA AGUILAR CHAVES"/>
    <x v="1"/>
    <m/>
    <m/>
  </r>
  <r>
    <x v="0"/>
    <x v="0"/>
    <x v="0"/>
    <n v="10027303"/>
    <x v="1"/>
    <x v="2"/>
    <d v="2025-08-11T00:00:00"/>
    <s v="Colones"/>
    <n v="1196.3433921568628"/>
    <s v="GABRIELA AGUILAR CHAVES"/>
    <x v="1"/>
    <m/>
    <m/>
  </r>
  <r>
    <x v="0"/>
    <x v="0"/>
    <x v="1"/>
    <m/>
    <x v="1"/>
    <x v="0"/>
    <d v="2025-06-04T00:00:00"/>
    <s v="Colones"/>
    <n v="1194.232283464567"/>
    <s v="MARIO ADOLFO GERARDO VARGAS VALVERDE"/>
    <x v="5"/>
    <m/>
    <m/>
  </r>
  <r>
    <x v="0"/>
    <x v="0"/>
    <x v="0"/>
    <n v="10027399"/>
    <x v="1"/>
    <x v="4"/>
    <d v="2025-08-26T00:00:00"/>
    <s v="Colones"/>
    <n v="1191.7061960784315"/>
    <s v="ALEJANDRO HERRERA ZAMORA"/>
    <x v="1"/>
    <m/>
    <m/>
  </r>
  <r>
    <x v="0"/>
    <x v="2"/>
    <x v="0"/>
    <n v="10026644"/>
    <x v="1"/>
    <x v="4"/>
    <d v="2025-05-22T00:00:00"/>
    <s v="Dólares"/>
    <n v="1191.5899999999999"/>
    <s v="GRUPO TLA S.A"/>
    <x v="0"/>
    <m/>
    <m/>
  </r>
  <r>
    <x v="0"/>
    <x v="3"/>
    <x v="1"/>
    <n v="10026902"/>
    <x v="1"/>
    <x v="4"/>
    <d v="2025-06-23T00:00:00"/>
    <s v="Dólares"/>
    <n v="1188"/>
    <s v="REPUBLIC WORKSPACE"/>
    <x v="5"/>
    <m/>
    <m/>
  </r>
  <r>
    <x v="0"/>
    <x v="0"/>
    <x v="0"/>
    <m/>
    <x v="1"/>
    <x v="3"/>
    <d v="2025-11-19T00:00:00"/>
    <s v="Dólares"/>
    <n v="651.6"/>
    <s v="Javes Designs SA"/>
    <x v="4"/>
    <m/>
    <m/>
  </r>
  <r>
    <x v="1"/>
    <x v="0"/>
    <x v="0"/>
    <n v="10858"/>
    <x v="1"/>
    <x v="4"/>
    <d v="2025-12-25T00:00:00"/>
    <s v="Dólares"/>
    <n v="1185.5"/>
    <s v="Tropical Jocko CR Limitado"/>
    <x v="8"/>
    <m/>
    <m/>
  </r>
  <r>
    <x v="1"/>
    <x v="0"/>
    <x v="0"/>
    <m/>
    <x v="1"/>
    <x v="1"/>
    <d v="2025-12-29T00:00:00"/>
    <s v="Dólares"/>
    <n v="1185"/>
    <s v="Christopher Eifert"/>
    <x v="8"/>
    <m/>
    <m/>
  </r>
  <r>
    <x v="0"/>
    <x v="3"/>
    <x v="1"/>
    <n v="10027175"/>
    <x v="1"/>
    <x v="1"/>
    <d v="2025-07-29T00:00:00"/>
    <s v="Dólares"/>
    <n v="1184"/>
    <s v="TREE OF LIFE LEARNING CENTER  SOCIEDAD ANONIMA"/>
    <x v="7"/>
    <m/>
    <m/>
  </r>
  <r>
    <x v="0"/>
    <x v="2"/>
    <x v="0"/>
    <m/>
    <x v="1"/>
    <x v="3"/>
    <d v="2025-11-19T00:00:00"/>
    <s v="Dólares"/>
    <n v="609.82000000000005"/>
    <s v="INDUSTRIAS QUIMICAS"/>
    <x v="4"/>
    <m/>
    <m/>
  </r>
  <r>
    <x v="3"/>
    <x v="3"/>
    <x v="0"/>
    <m/>
    <x v="1"/>
    <x v="0"/>
    <d v="2025-12-04T00:00:00"/>
    <s v="Colones"/>
    <n v="1177.9047843137255"/>
    <s v="ESTADO-MINISTERIO DE OBRAS PUBLICAS Y TRANSPORTE"/>
    <x v="8"/>
    <m/>
    <m/>
  </r>
  <r>
    <x v="3"/>
    <x v="3"/>
    <x v="2"/>
    <m/>
    <x v="1"/>
    <x v="4"/>
    <d v="2025-06-26T00:00:00"/>
    <s v="Dólares"/>
    <n v="1175.05"/>
    <s v="CENTRO COMERCIAL MULTIPLAZA SOCIEDAD ANONIMA"/>
    <x v="5"/>
    <m/>
    <m/>
  </r>
  <r>
    <x v="0"/>
    <x v="2"/>
    <x v="0"/>
    <n v="10026646"/>
    <x v="1"/>
    <x v="4"/>
    <d v="2025-05-22T00:00:00"/>
    <s v="Dólares"/>
    <n v="1169.420748031496"/>
    <s v="CAFE BRITT COSTA RICA SOCIEDAD ANONIMA ( COLONES )"/>
    <x v="0"/>
    <m/>
    <m/>
  </r>
  <r>
    <x v="0"/>
    <x v="0"/>
    <x v="0"/>
    <n v="10027031"/>
    <x v="1"/>
    <x v="2"/>
    <d v="2025-07-01T00:00:00"/>
    <s v="Dólares"/>
    <n v="1166.2"/>
    <s v="TOMAS SOLANO PRIET"/>
    <x v="7"/>
    <m/>
    <m/>
  </r>
  <r>
    <x v="0"/>
    <x v="0"/>
    <x v="0"/>
    <n v="10028495"/>
    <x v="1"/>
    <x v="2"/>
    <d v="2026-02-10T00:00:00"/>
    <s v="Dólares"/>
    <n v="523"/>
    <s v="Giovanni Calvo"/>
    <x v="6"/>
    <m/>
    <m/>
  </r>
  <r>
    <x v="0"/>
    <x v="0"/>
    <x v="0"/>
    <n v="10028100"/>
    <x v="1"/>
    <x v="2"/>
    <d v="2025-12-09T00:00:00"/>
    <s v="Colones"/>
    <n v="1158.9882352941177"/>
    <s v="TERMIUTICE CRISTINA ROPER WILLIAMS"/>
    <x v="8"/>
    <m/>
    <m/>
  </r>
  <r>
    <x v="0"/>
    <x v="0"/>
    <x v="0"/>
    <m/>
    <x v="1"/>
    <x v="4"/>
    <d v="2025-11-26T00:00:00"/>
    <s v="Dólares"/>
    <n v="1156.78"/>
    <s v="Edgardo Ruiz Gomez"/>
    <x v="4"/>
    <m/>
    <m/>
  </r>
  <r>
    <x v="0"/>
    <x v="1"/>
    <x v="0"/>
    <n v="10026523"/>
    <x v="1"/>
    <x v="2"/>
    <d v="2025-05-08T00:00:00"/>
    <s v="Dólares"/>
    <n v="1155.01"/>
    <s v="BHORA FA SOCIEDAD ANONIMA"/>
    <x v="0"/>
    <m/>
    <m/>
  </r>
  <r>
    <x v="0"/>
    <x v="2"/>
    <x v="0"/>
    <m/>
    <x v="1"/>
    <x v="2"/>
    <d v="2025-08-12T00:00:00"/>
    <s v="Dólares"/>
    <n v="1150"/>
    <s v="SOLUCIONES MECANO"/>
    <x v="1"/>
    <m/>
    <m/>
  </r>
  <r>
    <x v="1"/>
    <x v="0"/>
    <x v="0"/>
    <n v="10774"/>
    <x v="1"/>
    <x v="0"/>
    <d v="2025-09-04T00:00:00"/>
    <s v="Dólares"/>
    <n v="1150"/>
    <s v="AMPHORA WINES E SPIRITS S.A"/>
    <x v="9"/>
    <m/>
    <m/>
  </r>
  <r>
    <x v="3"/>
    <x v="3"/>
    <x v="0"/>
    <m/>
    <x v="1"/>
    <x v="3"/>
    <d v="2025-11-20T00:00:00"/>
    <s v="Dólares"/>
    <n v="30710.560000000001"/>
    <s v="ALLERGAN COSTA RICA SOCIENDAD RESPONSABILIDAD LIMITADA"/>
    <x v="4"/>
    <m/>
    <m/>
  </r>
  <r>
    <x v="0"/>
    <x v="0"/>
    <x v="0"/>
    <m/>
    <x v="1"/>
    <x v="4"/>
    <d v="2025-11-24T00:00:00"/>
    <s v="Dólares"/>
    <n v="1141"/>
    <s v="Diego Conejo"/>
    <x v="4"/>
    <m/>
    <m/>
  </r>
  <r>
    <x v="0"/>
    <x v="0"/>
    <x v="0"/>
    <m/>
    <x v="1"/>
    <x v="4"/>
    <d v="2025-11-26T00:00:00"/>
    <s v="Dólares"/>
    <n v="1141"/>
    <s v="Salvador Martin Yusso"/>
    <x v="4"/>
    <m/>
    <m/>
  </r>
  <r>
    <x v="0"/>
    <x v="0"/>
    <x v="0"/>
    <m/>
    <x v="1"/>
    <x v="0"/>
    <d v="2025-12-05T00:00:00"/>
    <s v="Dólares"/>
    <n v="1141"/>
    <s v="Paulo Heredia"/>
    <x v="8"/>
    <m/>
    <m/>
  </r>
  <r>
    <x v="0"/>
    <x v="0"/>
    <x v="0"/>
    <m/>
    <x v="1"/>
    <x v="0"/>
    <d v="2026-01-07T00:00:00"/>
    <s v="Dólares"/>
    <n v="1141"/>
    <s v="Kehily Curalli"/>
    <x v="3"/>
    <m/>
    <m/>
  </r>
  <r>
    <x v="0"/>
    <x v="1"/>
    <x v="0"/>
    <m/>
    <x v="1"/>
    <x v="3"/>
    <d v="2025-11-20T00:00:00"/>
    <s v="Dólares"/>
    <n v="19220.39"/>
    <s v="PARQUE DE PERU - TORRE DM"/>
    <x v="4"/>
    <m/>
    <m/>
  </r>
  <r>
    <x v="0"/>
    <x v="3"/>
    <x v="1"/>
    <n v="10027946"/>
    <x v="1"/>
    <x v="2"/>
    <d v="2025-11-14T00:00:00"/>
    <s v="Dólares"/>
    <n v="1135.8800000000001"/>
    <s v="REBECA PATRICIA MORA SABORIO - RONALD SANDI"/>
    <x v="4"/>
    <m/>
    <m/>
  </r>
  <r>
    <x v="3"/>
    <x v="3"/>
    <x v="0"/>
    <m/>
    <x v="1"/>
    <x v="0"/>
    <d v="2025-06-06T00:00:00"/>
    <s v="Dólares"/>
    <n v="1132.71"/>
    <s v="CONTRACT WORKPLACES COSTA RICA SOCIEDAD ANONIMA"/>
    <x v="5"/>
    <m/>
    <m/>
  </r>
  <r>
    <x v="0"/>
    <x v="1"/>
    <x v="0"/>
    <m/>
    <x v="1"/>
    <x v="3"/>
    <d v="2025-11-20T00:00:00"/>
    <s v="Dólares"/>
    <n v="10303.16"/>
    <s v="DESARROLLOS TECNICOS"/>
    <x v="4"/>
    <m/>
    <m/>
  </r>
  <r>
    <x v="0"/>
    <x v="2"/>
    <x v="0"/>
    <m/>
    <x v="1"/>
    <x v="0"/>
    <d v="2025-08-01T00:00:00"/>
    <s v="Dólares"/>
    <n v="1130.02"/>
    <s v="GV HEALTH SUPPLEMENT - RICARDO CASASOLA"/>
    <x v="1"/>
    <m/>
    <m/>
  </r>
  <r>
    <x v="0"/>
    <x v="3"/>
    <x v="0"/>
    <m/>
    <x v="0"/>
    <x v="2"/>
    <d v="2025-11-16T00:00:00"/>
    <s v="Dólares"/>
    <n v="223890"/>
    <s v="CONSTRUCTORA GONZALO DELGADO SOCIEDAD ANONIMA"/>
    <x v="4"/>
    <m/>
    <m/>
  </r>
  <r>
    <x v="0"/>
    <x v="2"/>
    <x v="0"/>
    <m/>
    <x v="0"/>
    <x v="2"/>
    <d v="2025-11-16T00:00:00"/>
    <s v="Dólares"/>
    <n v="118896"/>
    <s v="NUEVOS ALMACENES"/>
    <x v="4"/>
    <m/>
    <m/>
  </r>
  <r>
    <x v="0"/>
    <x v="3"/>
    <x v="2"/>
    <m/>
    <x v="0"/>
    <x v="2"/>
    <d v="2025-11-16T00:00:00"/>
    <s v="Dólares"/>
    <n v="94399.99"/>
    <s v="P Y P CONSTRUCCIONES SOCIEDAD ANONIMA"/>
    <x v="4"/>
    <m/>
    <m/>
  </r>
  <r>
    <x v="0"/>
    <x v="1"/>
    <x v="0"/>
    <m/>
    <x v="0"/>
    <x v="2"/>
    <d v="2025-11-16T00:00:00"/>
    <s v="Dólares"/>
    <n v="85886"/>
    <s v="3-101-820946 S.A."/>
    <x v="4"/>
    <m/>
    <m/>
  </r>
  <r>
    <x v="0"/>
    <x v="3"/>
    <x v="0"/>
    <m/>
    <x v="0"/>
    <x v="2"/>
    <d v="2025-11-16T00:00:00"/>
    <s v="Dólares"/>
    <n v="76645.899999999994"/>
    <s v="FONDO DE INVERSION INMOB LOS CRESTONES"/>
    <x v="4"/>
    <m/>
    <m/>
  </r>
  <r>
    <x v="0"/>
    <x v="0"/>
    <x v="0"/>
    <m/>
    <x v="0"/>
    <x v="2"/>
    <d v="2025-11-16T00:00:00"/>
    <s v="Dólares"/>
    <n v="60000"/>
    <s v="Clientes Nuevos"/>
    <x v="4"/>
    <m/>
    <m/>
  </r>
  <r>
    <x v="0"/>
    <x v="3"/>
    <x v="0"/>
    <m/>
    <x v="0"/>
    <x v="2"/>
    <d v="2025-11-16T00:00:00"/>
    <s v="Dólares"/>
    <n v="47518"/>
    <s v="BILCO COSTA RICA S.A."/>
    <x v="4"/>
    <m/>
    <m/>
  </r>
  <r>
    <x v="1"/>
    <x v="0"/>
    <x v="0"/>
    <m/>
    <x v="0"/>
    <x v="2"/>
    <d v="2025-11-16T00:00:00"/>
    <s v="Dólares"/>
    <n v="25000"/>
    <s v="Clientes Nuevos"/>
    <x v="4"/>
    <m/>
    <m/>
  </r>
  <r>
    <x v="2"/>
    <x v="3"/>
    <x v="0"/>
    <m/>
    <x v="0"/>
    <x v="2"/>
    <d v="2025-11-16T00:00:00"/>
    <s v="Dólares"/>
    <n v="20000"/>
    <s v="SEMANA 02 NOVIEMBRE EXPRESS"/>
    <x v="4"/>
    <m/>
    <m/>
  </r>
  <r>
    <x v="0"/>
    <x v="3"/>
    <x v="0"/>
    <m/>
    <x v="0"/>
    <x v="2"/>
    <d v="2025-11-16T00:00:00"/>
    <s v="Dólares"/>
    <n v="24942.09"/>
    <s v="EDIFICADORA CENTROAMERICANA RAPIPAREDES S.A."/>
    <x v="4"/>
    <m/>
    <m/>
  </r>
  <r>
    <x v="0"/>
    <x v="2"/>
    <x v="2"/>
    <m/>
    <x v="0"/>
    <x v="2"/>
    <d v="2025-11-16T00:00:00"/>
    <s v="Dólares"/>
    <n v="22841.15"/>
    <s v="AYURVEDA CENTROAMERICANA SOCIEDAD ANONIMA"/>
    <x v="4"/>
    <m/>
    <m/>
  </r>
  <r>
    <x v="0"/>
    <x v="1"/>
    <x v="0"/>
    <m/>
    <x v="0"/>
    <x v="2"/>
    <d v="2025-11-16T00:00:00"/>
    <s v="Dólares"/>
    <n v="21039.14"/>
    <s v="PRODEYCO S.A."/>
    <x v="4"/>
    <m/>
    <m/>
  </r>
  <r>
    <x v="0"/>
    <x v="3"/>
    <x v="2"/>
    <m/>
    <x v="0"/>
    <x v="2"/>
    <d v="2025-11-16T00:00:00"/>
    <s v="Dólares"/>
    <n v="13475.25"/>
    <s v="AJIP INGENIERIA LIMITADA"/>
    <x v="4"/>
    <m/>
    <m/>
  </r>
  <r>
    <x v="0"/>
    <x v="3"/>
    <x v="0"/>
    <m/>
    <x v="0"/>
    <x v="2"/>
    <d v="2025-11-16T00:00:00"/>
    <s v="Dólares"/>
    <n v="6428.18"/>
    <s v="MCM Midland Management Costa Rica S.R.L"/>
    <x v="4"/>
    <m/>
    <m/>
  </r>
  <r>
    <x v="0"/>
    <x v="3"/>
    <x v="2"/>
    <m/>
    <x v="0"/>
    <x v="2"/>
    <d v="2025-11-16T00:00:00"/>
    <s v="Dólares"/>
    <n v="4701.76"/>
    <s v="JONES LANG LASALLE LIMITADA"/>
    <x v="4"/>
    <m/>
    <m/>
  </r>
  <r>
    <x v="0"/>
    <x v="2"/>
    <x v="0"/>
    <m/>
    <x v="0"/>
    <x v="2"/>
    <d v="2025-11-16T00:00:00"/>
    <s v="Dólares"/>
    <n v="3996.94"/>
    <s v="SABO INTERNACIONAL SOCIEDAD ANONIMA"/>
    <x v="4"/>
    <m/>
    <m/>
  </r>
  <r>
    <x v="0"/>
    <x v="0"/>
    <x v="0"/>
    <m/>
    <x v="1"/>
    <x v="2"/>
    <d v="2025-11-11T00:00:00"/>
    <s v="Dólares"/>
    <n v="1130"/>
    <s v="BRIAN HIDALGO"/>
    <x v="4"/>
    <m/>
    <m/>
  </r>
  <r>
    <x v="0"/>
    <x v="1"/>
    <x v="0"/>
    <m/>
    <x v="1"/>
    <x v="2"/>
    <d v="2025-10-10T00:00:00"/>
    <s v="Dólares"/>
    <n v="1124.96"/>
    <s v="Nova del Este"/>
    <x v="2"/>
    <m/>
    <m/>
  </r>
  <r>
    <x v="0"/>
    <x v="1"/>
    <x v="0"/>
    <m/>
    <x v="1"/>
    <x v="2"/>
    <d v="2025-11-14T00:00:00"/>
    <s v="Dólares"/>
    <n v="1124.96"/>
    <s v="NOVA EUROMOBILIA 77681"/>
    <x v="4"/>
    <m/>
    <m/>
  </r>
  <r>
    <x v="0"/>
    <x v="2"/>
    <x v="0"/>
    <m/>
    <x v="1"/>
    <x v="0"/>
    <d v="2025-09-05T00:00:00"/>
    <s v="Colones"/>
    <n v="1114"/>
    <s v="SOLUCIONES MECANO"/>
    <x v="9"/>
    <m/>
    <m/>
  </r>
  <r>
    <x v="0"/>
    <x v="2"/>
    <x v="0"/>
    <n v="10027600"/>
    <x v="1"/>
    <x v="4"/>
    <d v="2025-09-22T00:00:00"/>
    <s v="Dólares"/>
    <n v="1114"/>
    <s v="SOLUCIONES MECANO"/>
    <x v="9"/>
    <m/>
    <m/>
  </r>
  <r>
    <x v="3"/>
    <x v="3"/>
    <x v="0"/>
    <m/>
    <x v="1"/>
    <x v="4"/>
    <d v="2025-12-23T00:00:00"/>
    <s v="Colones"/>
    <n v="1112.4650588235295"/>
    <s v="INSTITUTO COSTARRICENSE DE ACUEDUCTOS Y ALCANTARILLADOS"/>
    <x v="8"/>
    <m/>
    <m/>
  </r>
  <r>
    <x v="0"/>
    <x v="3"/>
    <x v="0"/>
    <n v="10027164"/>
    <x v="1"/>
    <x v="1"/>
    <d v="2025-07-28T00:00:00"/>
    <s v="Dólares"/>
    <n v="1110.4000000000001"/>
    <s v="BAYER MEDICAL S.R.L."/>
    <x v="7"/>
    <m/>
    <m/>
  </r>
  <r>
    <x v="0"/>
    <x v="2"/>
    <x v="0"/>
    <m/>
    <x v="1"/>
    <x v="2"/>
    <d v="2025-09-09T00:00:00"/>
    <s v="Dólares"/>
    <n v="1110.25"/>
    <s v="HERAEUS MEDICAL COMPONENTS SOCIEDAD DE RESPONSABILIDAD LIMITADA"/>
    <x v="9"/>
    <m/>
    <m/>
  </r>
  <r>
    <x v="0"/>
    <x v="0"/>
    <x v="0"/>
    <m/>
    <x v="1"/>
    <x v="0"/>
    <d v="2025-06-06T00:00:00"/>
    <s v="Colones"/>
    <n v="1108.267716535433"/>
    <s v="LUCIA MOLINA FALLAS"/>
    <x v="5"/>
    <m/>
    <m/>
  </r>
  <r>
    <x v="0"/>
    <x v="0"/>
    <x v="0"/>
    <m/>
    <x v="1"/>
    <x v="0"/>
    <d v="2026-01-11T00:00:00"/>
    <s v="Dólares"/>
    <n v="1105"/>
    <s v="RRHH Metamorfosis SRL "/>
    <x v="3"/>
    <m/>
    <m/>
  </r>
  <r>
    <x v="0"/>
    <x v="0"/>
    <x v="0"/>
    <m/>
    <x v="1"/>
    <x v="2"/>
    <d v="2026-01-12T00:00:00"/>
    <s v="Dólares"/>
    <n v="1105"/>
    <s v="HCM EXECUTION"/>
    <x v="3"/>
    <m/>
    <m/>
  </r>
  <r>
    <x v="1"/>
    <x v="0"/>
    <x v="0"/>
    <m/>
    <x v="1"/>
    <x v="2"/>
    <d v="2026-02-10T00:00:00"/>
    <s v="Dólares"/>
    <n v="279.19"/>
    <s v="COMPLEJO RECREATIVO"/>
    <x v="6"/>
    <m/>
    <m/>
  </r>
  <r>
    <x v="0"/>
    <x v="2"/>
    <x v="0"/>
    <m/>
    <x v="1"/>
    <x v="0"/>
    <d v="2025-11-07T00:00:00"/>
    <s v="Dólares"/>
    <n v="1102.78"/>
    <s v="GOURMET IMPORTS"/>
    <x v="4"/>
    <m/>
    <m/>
  </r>
  <r>
    <x v="0"/>
    <x v="0"/>
    <x v="0"/>
    <m/>
    <x v="1"/>
    <x v="2"/>
    <d v="2025-08-13T00:00:00"/>
    <s v="Colones"/>
    <n v="1100"/>
    <s v="YEISON GONZALEZ"/>
    <x v="1"/>
    <m/>
    <m/>
  </r>
  <r>
    <x v="0"/>
    <x v="0"/>
    <x v="0"/>
    <m/>
    <x v="1"/>
    <x v="1"/>
    <d v="2025-10-31T00:00:00"/>
    <s v="Dólares"/>
    <n v="1094"/>
    <s v="ALLAN OMAR CANALES"/>
    <x v="2"/>
    <m/>
    <m/>
  </r>
  <r>
    <x v="3"/>
    <x v="3"/>
    <x v="0"/>
    <m/>
    <x v="1"/>
    <x v="4"/>
    <d v="2025-11-28T00:00:00"/>
    <s v="Dólares"/>
    <n v="1091.18"/>
    <s v="FERRETERIA EPA"/>
    <x v="4"/>
    <m/>
    <m/>
  </r>
  <r>
    <x v="0"/>
    <x v="3"/>
    <x v="0"/>
    <n v="10026649"/>
    <x v="1"/>
    <x v="4"/>
    <d v="2025-05-22T00:00:00"/>
    <s v="Dólares"/>
    <n v="1085.6099999999999"/>
    <s v="SMC COSTA RICA DIVISION S.R.L"/>
    <x v="0"/>
    <m/>
    <m/>
  </r>
  <r>
    <x v="0"/>
    <x v="2"/>
    <x v="2"/>
    <m/>
    <x v="1"/>
    <x v="1"/>
    <d v="2025-05-30T00:00:00"/>
    <s v="Dólares"/>
    <n v="1085.5"/>
    <s v="SWAV CR SOCIEDAD DE RESPONSABILIDAD LIMITADA"/>
    <x v="0"/>
    <m/>
    <m/>
  </r>
  <r>
    <x v="0"/>
    <x v="2"/>
    <x v="1"/>
    <m/>
    <x v="1"/>
    <x v="3"/>
    <d v="2025-11-20T00:00:00"/>
    <s v="Dólares"/>
    <n v="8760.6200000000008"/>
    <s v="CONSTRUCTORA NAVARRO Y AVILES"/>
    <x v="4"/>
    <m/>
    <m/>
  </r>
  <r>
    <x v="0"/>
    <x v="2"/>
    <x v="1"/>
    <m/>
    <x v="1"/>
    <x v="3"/>
    <d v="2025-11-20T00:00:00"/>
    <s v="Dólares"/>
    <n v="8760.6200000000008"/>
    <s v="CONSTRUCTORA NAVARRO Y AVILES"/>
    <x v="4"/>
    <m/>
    <m/>
  </r>
  <r>
    <x v="0"/>
    <x v="0"/>
    <x v="0"/>
    <m/>
    <x v="1"/>
    <x v="2"/>
    <d v="2025-06-14T00:00:00"/>
    <s v="Colones"/>
    <n v="1076.9733858267716"/>
    <s v="Eddier Alberto Soto Vargas"/>
    <x v="5"/>
    <m/>
    <m/>
  </r>
  <r>
    <x v="0"/>
    <x v="0"/>
    <x v="0"/>
    <m/>
    <x v="1"/>
    <x v="3"/>
    <d v="2025-11-20T00:00:00"/>
    <s v="Dólares"/>
    <n v="3814.71"/>
    <s v="SOWEST SOCIEDAD ANONIMA"/>
    <x v="4"/>
    <m/>
    <m/>
  </r>
  <r>
    <x v="0"/>
    <x v="2"/>
    <x v="0"/>
    <m/>
    <x v="1"/>
    <x v="3"/>
    <d v="2025-11-20T00:00:00"/>
    <s v="Dólares"/>
    <n v="3554.36"/>
    <s v="BIMBO DE COSTA RICA SOCIEDAD ANONIMA"/>
    <x v="4"/>
    <m/>
    <m/>
  </r>
  <r>
    <x v="3"/>
    <x v="3"/>
    <x v="0"/>
    <m/>
    <x v="1"/>
    <x v="3"/>
    <d v="2025-11-20T00:00:00"/>
    <s v="Colones"/>
    <n v="2761.5606470588232"/>
    <s v="MINISTERIO DE EDUCACION PUBLICA"/>
    <x v="4"/>
    <m/>
    <m/>
  </r>
  <r>
    <x v="3"/>
    <x v="3"/>
    <x v="0"/>
    <m/>
    <x v="1"/>
    <x v="4"/>
    <d v="2025-12-23T00:00:00"/>
    <s v="Colones"/>
    <n v="1069.5348627450981"/>
    <s v="COMPAÑÍA NACIONAL DE FUERZA Y LUZ"/>
    <x v="8"/>
    <m/>
    <m/>
  </r>
  <r>
    <x v="3"/>
    <x v="3"/>
    <x v="0"/>
    <m/>
    <x v="1"/>
    <x v="3"/>
    <d v="2025-11-20T00:00:00"/>
    <s v="Colones"/>
    <n v="2483.4602352941174"/>
    <s v="CAJA COSTARRICENSE DE SEGURO SOCIAL (CENARE)"/>
    <x v="4"/>
    <m/>
    <m/>
  </r>
  <r>
    <x v="0"/>
    <x v="2"/>
    <x v="0"/>
    <m/>
    <x v="1"/>
    <x v="3"/>
    <d v="2025-11-20T00:00:00"/>
    <s v="Colones"/>
    <n v="2320.3912745098041"/>
    <s v="MUSEO NACIONAL DE COSTA RICA"/>
    <x v="4"/>
    <m/>
    <m/>
  </r>
  <r>
    <x v="0"/>
    <x v="3"/>
    <x v="0"/>
    <m/>
    <x v="1"/>
    <x v="4"/>
    <d v="2026-01-26T00:00:00"/>
    <s v="Dólares"/>
    <n v="1060.3399999999999"/>
    <s v="ASOCIACION CENTRO ISRAELITA"/>
    <x v="3"/>
    <m/>
    <m/>
  </r>
  <r>
    <x v="0"/>
    <x v="2"/>
    <x v="0"/>
    <m/>
    <x v="1"/>
    <x v="4"/>
    <d v="2025-09-26T00:00:00"/>
    <s v="Dólares"/>
    <n v="1033.95"/>
    <s v="GOURMET IMPORTS"/>
    <x v="9"/>
    <m/>
    <m/>
  </r>
  <r>
    <x v="0"/>
    <x v="2"/>
    <x v="0"/>
    <m/>
    <x v="1"/>
    <x v="3"/>
    <d v="2025-11-20T00:00:00"/>
    <s v="Dólares"/>
    <n v="1769.22"/>
    <s v="BIOCIENTIFICA"/>
    <x v="4"/>
    <m/>
    <m/>
  </r>
  <r>
    <x v="0"/>
    <x v="2"/>
    <x v="0"/>
    <m/>
    <x v="1"/>
    <x v="3"/>
    <d v="2025-11-20T00:00:00"/>
    <s v="Dólares"/>
    <n v="944.45"/>
    <s v="OXISUR"/>
    <x v="4"/>
    <m/>
    <m/>
  </r>
  <r>
    <x v="0"/>
    <x v="3"/>
    <x v="0"/>
    <m/>
    <x v="1"/>
    <x v="3"/>
    <d v="2025-11-20T00:00:00"/>
    <s v="Dólares"/>
    <n v="913.3"/>
    <s v="SIN IDENTIFICAR"/>
    <x v="4"/>
    <m/>
    <m/>
  </r>
  <r>
    <x v="0"/>
    <x v="0"/>
    <x v="0"/>
    <n v="10027343"/>
    <x v="1"/>
    <x v="2"/>
    <d v="2025-08-14T00:00:00"/>
    <s v="Dólares"/>
    <n v="1026.8800000000001"/>
    <s v="JUAN IGNACIO JIMENEZ REY"/>
    <x v="1"/>
    <m/>
    <m/>
  </r>
  <r>
    <x v="0"/>
    <x v="0"/>
    <x v="0"/>
    <n v="10026612"/>
    <x v="1"/>
    <x v="2"/>
    <d v="2025-05-05T00:00:00"/>
    <s v="Colones"/>
    <n v="1024.4566929133857"/>
    <s v="Sofía Rojas Rodríguez"/>
    <x v="0"/>
    <m/>
    <m/>
  </r>
  <r>
    <x v="0"/>
    <x v="0"/>
    <x v="1"/>
    <m/>
    <x v="1"/>
    <x v="0"/>
    <d v="2025-06-03T00:00:00"/>
    <s v="Colones"/>
    <n v="1023.6220472440945"/>
    <s v="ELKIN ANDRES SUAREZ DURALL"/>
    <x v="5"/>
    <m/>
    <m/>
  </r>
  <r>
    <x v="0"/>
    <x v="0"/>
    <x v="0"/>
    <m/>
    <x v="1"/>
    <x v="4"/>
    <d v="2025-05-19T00:00:00"/>
    <s v="Dólares"/>
    <n v="1021"/>
    <s v="Felix Fuentes Núñez"/>
    <x v="0"/>
    <m/>
    <m/>
  </r>
  <r>
    <x v="0"/>
    <x v="0"/>
    <x v="0"/>
    <m/>
    <x v="1"/>
    <x v="0"/>
    <d v="2025-12-05T00:00:00"/>
    <s v="Dólares"/>
    <n v="1020"/>
    <s v="CAFETALERA SAN GABRIEL S.A."/>
    <x v="8"/>
    <m/>
    <m/>
  </r>
  <r>
    <x v="3"/>
    <x v="3"/>
    <x v="0"/>
    <m/>
    <x v="1"/>
    <x v="3"/>
    <d v="2025-11-20T00:00:00"/>
    <s v="Dólares"/>
    <n v="554.27"/>
    <s v="Maria Luisa Loria Quiros"/>
    <x v="4"/>
    <m/>
    <m/>
  </r>
  <r>
    <x v="0"/>
    <x v="3"/>
    <x v="2"/>
    <n v="10027242"/>
    <x v="1"/>
    <x v="0"/>
    <d v="2025-08-05T00:00:00"/>
    <s v="Dólares"/>
    <n v="1009"/>
    <s v="TEGRA MEDICAL COSTA RICA SOCIEDAD ANONIMA"/>
    <x v="1"/>
    <m/>
    <m/>
  </r>
  <r>
    <x v="0"/>
    <x v="0"/>
    <x v="0"/>
    <n v="10028414"/>
    <x v="1"/>
    <x v="4"/>
    <d v="2026-01-30T00:00:00"/>
    <s v="Colones"/>
    <n v="1008.0645161290323"/>
    <s v="LUZ ELENA ARREOLA RAMOS"/>
    <x v="3"/>
    <m/>
    <m/>
  </r>
  <r>
    <x v="0"/>
    <x v="0"/>
    <x v="0"/>
    <n v="10027184"/>
    <x v="1"/>
    <x v="0"/>
    <d v="2025-07-02T00:00:00"/>
    <s v="Colones"/>
    <n v="1007.8740157480315"/>
    <s v="Servicios médicos y de gestión KSJ.SRL"/>
    <x v="7"/>
    <m/>
    <m/>
  </r>
  <r>
    <x v="3"/>
    <x v="3"/>
    <x v="2"/>
    <n v="15199"/>
    <x v="1"/>
    <x v="1"/>
    <d v="2025-07-29T00:00:00"/>
    <s v="Dólares"/>
    <n v="1007.81"/>
    <s v="GOSOCKET SHARED SERVICES S.A"/>
    <x v="7"/>
    <m/>
    <m/>
  </r>
  <r>
    <x v="0"/>
    <x v="2"/>
    <x v="0"/>
    <m/>
    <x v="1"/>
    <x v="2"/>
    <d v="2025-11-14T00:00:00"/>
    <s v="Dólares"/>
    <n v="1006.15"/>
    <s v="SUR QUIMICA"/>
    <x v="4"/>
    <m/>
    <m/>
  </r>
  <r>
    <x v="0"/>
    <x v="0"/>
    <x v="0"/>
    <n v="10026508"/>
    <x v="1"/>
    <x v="2"/>
    <d v="2025-05-08T00:00:00"/>
    <s v="Colones"/>
    <n v="1004.7834645669292"/>
    <s v="MICHAEL DAVID BLANCO RAMOS"/>
    <x v="0"/>
    <m/>
    <m/>
  </r>
  <r>
    <x v="3"/>
    <x v="3"/>
    <x v="0"/>
    <m/>
    <x v="1"/>
    <x v="3"/>
    <d v="2025-11-20T00:00:00"/>
    <s v="Dólares"/>
    <n v="485.9"/>
    <s v="SUMMATEL"/>
    <x v="4"/>
    <m/>
    <m/>
  </r>
  <r>
    <x v="0"/>
    <x v="0"/>
    <x v="0"/>
    <m/>
    <x v="1"/>
    <x v="3"/>
    <d v="2025-11-20T00:00:00"/>
    <s v="Dólares"/>
    <n v="216.3"/>
    <s v="Inversiones family"/>
    <x v="4"/>
    <m/>
    <m/>
  </r>
  <r>
    <x v="0"/>
    <x v="0"/>
    <x v="0"/>
    <n v="10026498"/>
    <x v="1"/>
    <x v="0"/>
    <d v="2025-05-03T00:00:00"/>
    <s v="Dólares"/>
    <n v="1000"/>
    <s v="KATALINA ELENA VELARDE BARQUERO"/>
    <x v="0"/>
    <m/>
    <m/>
  </r>
  <r>
    <x v="0"/>
    <x v="0"/>
    <x v="0"/>
    <n v="10026531"/>
    <x v="1"/>
    <x v="2"/>
    <d v="2025-05-08T00:00:00"/>
    <s v="Dólares"/>
    <n v="1000"/>
    <s v="ANDREA DE LOS ANGELES CARBALLO VINDAS"/>
    <x v="0"/>
    <m/>
    <m/>
  </r>
  <r>
    <x v="0"/>
    <x v="0"/>
    <x v="0"/>
    <n v="10026533"/>
    <x v="1"/>
    <x v="2"/>
    <d v="2025-05-08T00:00:00"/>
    <s v="Dólares"/>
    <n v="1000"/>
    <s v="ALEJANDRO ESTEBAN TREJOS GOMEZ"/>
    <x v="0"/>
    <m/>
    <m/>
  </r>
  <r>
    <x v="0"/>
    <x v="0"/>
    <x v="0"/>
    <n v="10027977"/>
    <x v="1"/>
    <x v="3"/>
    <d v="2025-11-20T00:00:00"/>
    <s v="Dólares"/>
    <n v="100"/>
    <s v="ANA LORENA DE JESUS SOTO PACHECO"/>
    <x v="4"/>
    <m/>
    <m/>
  </r>
  <r>
    <x v="0"/>
    <x v="0"/>
    <x v="0"/>
    <m/>
    <x v="1"/>
    <x v="4"/>
    <d v="2025-05-17T00:00:00"/>
    <s v="Dólares"/>
    <n v="1000"/>
    <s v="GREGORIO SEGURA COTO"/>
    <x v="0"/>
    <m/>
    <m/>
  </r>
  <r>
    <x v="0"/>
    <x v="0"/>
    <x v="1"/>
    <m/>
    <x v="1"/>
    <x v="0"/>
    <d v="2025-06-02T00:00:00"/>
    <s v="Dólares"/>
    <n v="1000"/>
    <s v="VILMA PATRICIA OCONITRILLO ORTIZ"/>
    <x v="5"/>
    <m/>
    <m/>
  </r>
  <r>
    <x v="0"/>
    <x v="0"/>
    <x v="0"/>
    <m/>
    <x v="1"/>
    <x v="0"/>
    <d v="2025-06-02T00:00:00"/>
    <s v="Dólares"/>
    <n v="1000"/>
    <s v="ELKIN ANDRES SUAREZ DURALL"/>
    <x v="5"/>
    <m/>
    <m/>
  </r>
  <r>
    <x v="0"/>
    <x v="3"/>
    <x v="2"/>
    <m/>
    <x v="1"/>
    <x v="3"/>
    <d v="2025-11-21T00:00:00"/>
    <s v="Dólares"/>
    <n v="100000"/>
    <s v="CONSTRUCTORA GONZALO DELGADO"/>
    <x v="4"/>
    <m/>
    <m/>
  </r>
  <r>
    <x v="0"/>
    <x v="0"/>
    <x v="0"/>
    <m/>
    <x v="1"/>
    <x v="4"/>
    <d v="2025-06-24T00:00:00"/>
    <s v="Dólares"/>
    <n v="1000"/>
    <s v="CHRISTIAN GERARDO VALERIO VARELA"/>
    <x v="5"/>
    <m/>
    <m/>
  </r>
  <r>
    <x v="0"/>
    <x v="0"/>
    <x v="0"/>
    <m/>
    <x v="1"/>
    <x v="4"/>
    <d v="2025-06-28T00:00:00"/>
    <s v="Dólares"/>
    <n v="1000"/>
    <s v="JERRY STEVENSON SANCHEZ MURILLO"/>
    <x v="5"/>
    <m/>
    <m/>
  </r>
  <r>
    <x v="0"/>
    <x v="0"/>
    <x v="0"/>
    <n v="10027185"/>
    <x v="1"/>
    <x v="4"/>
    <d v="2025-07-23T00:00:00"/>
    <s v="Dólares"/>
    <n v="1000"/>
    <s v="PAOLA  ANDREA CUERO  ANGULO"/>
    <x v="7"/>
    <m/>
    <m/>
  </r>
  <r>
    <x v="0"/>
    <x v="0"/>
    <x v="0"/>
    <n v="10027167"/>
    <x v="1"/>
    <x v="4"/>
    <d v="2025-07-25T00:00:00"/>
    <s v="Dólares"/>
    <n v="1000"/>
    <s v="GREGORY GERARDO EDMOND HENRY"/>
    <x v="7"/>
    <m/>
    <m/>
  </r>
  <r>
    <x v="0"/>
    <x v="0"/>
    <x v="0"/>
    <n v="10027198"/>
    <x v="1"/>
    <x v="1"/>
    <d v="2025-07-29T00:00:00"/>
    <s v="Dólares"/>
    <n v="1000"/>
    <s v="ALBERTO LAINEZ VENTOSILLA"/>
    <x v="7"/>
    <m/>
    <m/>
  </r>
  <r>
    <x v="0"/>
    <x v="0"/>
    <x v="0"/>
    <n v="10027235"/>
    <x v="1"/>
    <x v="0"/>
    <d v="2025-08-04T00:00:00"/>
    <s v="Dólares"/>
    <n v="1000"/>
    <s v="JORGE ALBERTO ZAMORA CADET"/>
    <x v="1"/>
    <m/>
    <m/>
  </r>
  <r>
    <x v="0"/>
    <x v="0"/>
    <x v="0"/>
    <n v="10027395"/>
    <x v="1"/>
    <x v="4"/>
    <d v="2025-08-26T00:00:00"/>
    <s v="Dólares"/>
    <n v="1000"/>
    <s v="MARVIN GERARDO PERAZA MORALES"/>
    <x v="1"/>
    <m/>
    <m/>
  </r>
  <r>
    <x v="0"/>
    <x v="0"/>
    <x v="0"/>
    <m/>
    <x v="1"/>
    <x v="4"/>
    <d v="2025-08-29T00:00:00"/>
    <s v="Dólares"/>
    <n v="1000"/>
    <s v="LUIS CHAVARRIA"/>
    <x v="1"/>
    <m/>
    <m/>
  </r>
  <r>
    <x v="0"/>
    <x v="0"/>
    <x v="0"/>
    <n v="10027413"/>
    <x v="1"/>
    <x v="4"/>
    <d v="2025-08-29T00:00:00"/>
    <s v="Dólares"/>
    <n v="1000"/>
    <s v="LEDA DEL CARMEN MORA NAVARRO"/>
    <x v="1"/>
    <m/>
    <m/>
  </r>
  <r>
    <x v="0"/>
    <x v="0"/>
    <x v="0"/>
    <n v="10027442"/>
    <x v="1"/>
    <x v="4"/>
    <d v="2025-08-30T00:00:00"/>
    <s v="Dólares"/>
    <n v="1000"/>
    <s v="JOHNNY FRANCISCO GERARDO CAMPOS MURILLO"/>
    <x v="1"/>
    <m/>
    <m/>
  </r>
  <r>
    <x v="0"/>
    <x v="0"/>
    <x v="1"/>
    <m/>
    <x v="1"/>
    <x v="0"/>
    <d v="2025-09-02T00:00:00"/>
    <s v="Dólares"/>
    <n v="1000"/>
    <s v="KORBAN DAL SOCIEDAD ANONIMA"/>
    <x v="9"/>
    <m/>
    <m/>
  </r>
  <r>
    <x v="0"/>
    <x v="0"/>
    <x v="0"/>
    <m/>
    <x v="1"/>
    <x v="0"/>
    <d v="2025-09-04T00:00:00"/>
    <s v="Dólares"/>
    <n v="1000"/>
    <s v="MONSERRAT QUIROS"/>
    <x v="9"/>
    <m/>
    <m/>
  </r>
  <r>
    <x v="0"/>
    <x v="1"/>
    <x v="0"/>
    <m/>
    <x v="0"/>
    <x v="3"/>
    <d v="2025-11-23T00:00:00"/>
    <s v="Dólares"/>
    <n v="272349.94"/>
    <s v="CIELO NUNCIATURA SOCIEDAD ANONIMA"/>
    <x v="4"/>
    <m/>
    <m/>
  </r>
  <r>
    <x v="0"/>
    <x v="2"/>
    <x v="2"/>
    <m/>
    <x v="0"/>
    <x v="3"/>
    <d v="2025-11-23T00:00:00"/>
    <s v="Dólares"/>
    <n v="136569"/>
    <s v="AGUNSA GUATEMALA S.A."/>
    <x v="4"/>
    <m/>
    <m/>
  </r>
  <r>
    <x v="0"/>
    <x v="0"/>
    <x v="0"/>
    <m/>
    <x v="0"/>
    <x v="3"/>
    <d v="2025-11-23T00:00:00"/>
    <s v="Dólares"/>
    <n v="60000"/>
    <s v="Clientes Nuevos"/>
    <x v="4"/>
    <m/>
    <m/>
  </r>
  <r>
    <x v="0"/>
    <x v="3"/>
    <x v="2"/>
    <m/>
    <x v="0"/>
    <x v="3"/>
    <d v="2025-11-23T00:00:00"/>
    <s v="Dólares"/>
    <n v="50887"/>
    <s v="UNIVERSIDAD ESTATAL A DISTANCIA"/>
    <x v="4"/>
    <m/>
    <m/>
  </r>
  <r>
    <x v="3"/>
    <x v="3"/>
    <x v="0"/>
    <m/>
    <x v="0"/>
    <x v="3"/>
    <d v="2025-11-23T00:00:00"/>
    <s v="Dólares"/>
    <n v="30710.560000000001"/>
    <s v="ALLERGAN COSTA RICA SOCIENDAD RESPONSABILIDAD LIMITADA"/>
    <x v="4"/>
    <m/>
    <m/>
  </r>
  <r>
    <x v="0"/>
    <x v="2"/>
    <x v="0"/>
    <m/>
    <x v="0"/>
    <x v="3"/>
    <d v="2025-11-23T00:00:00"/>
    <s v="Dólares"/>
    <n v="27691.56"/>
    <s v="JUNTA ADMINISTRATIVA DEL SERVICIO ELECTRICO MUNICIPAL DE CARTAGO"/>
    <x v="4"/>
    <m/>
    <m/>
  </r>
  <r>
    <x v="1"/>
    <x v="0"/>
    <x v="0"/>
    <m/>
    <x v="0"/>
    <x v="3"/>
    <d v="2025-11-23T00:00:00"/>
    <s v="Dólares"/>
    <n v="25000"/>
    <s v="Clientes Nuevos"/>
    <x v="4"/>
    <m/>
    <m/>
  </r>
  <r>
    <x v="0"/>
    <x v="2"/>
    <x v="0"/>
    <m/>
    <x v="0"/>
    <x v="3"/>
    <d v="2025-11-23T00:00:00"/>
    <s v="Dólares"/>
    <n v="21895.07"/>
    <s v="SIGMA ALIMENTOS COSTA RICA SOCIEDAD ANONIMA"/>
    <x v="4"/>
    <m/>
    <m/>
  </r>
  <r>
    <x v="3"/>
    <x v="3"/>
    <x v="0"/>
    <m/>
    <x v="0"/>
    <x v="3"/>
    <d v="2025-11-23T00:00:00"/>
    <s v="Dólares"/>
    <n v="17547.150000000001"/>
    <s v="VML COSTA RICA SOCIEDAD DE RESPONSABILIDAD LIMITADA"/>
    <x v="4"/>
    <m/>
    <m/>
  </r>
  <r>
    <x v="0"/>
    <x v="3"/>
    <x v="0"/>
    <m/>
    <x v="0"/>
    <x v="3"/>
    <d v="2025-11-23T00:00:00"/>
    <s v="Dólares"/>
    <n v="15488.54"/>
    <s v="FONDO DE INVERSION INMOBILIARIO GIBRALTAR"/>
    <x v="4"/>
    <m/>
    <m/>
  </r>
  <r>
    <x v="2"/>
    <x v="3"/>
    <x v="0"/>
    <m/>
    <x v="0"/>
    <x v="3"/>
    <d v="2025-11-23T00:00:00"/>
    <s v="Dólares"/>
    <n v="20000"/>
    <s v="SEMANA 03 NOVIEMBRE EXPRESS"/>
    <x v="4"/>
    <m/>
    <m/>
  </r>
  <r>
    <x v="0"/>
    <x v="3"/>
    <x v="0"/>
    <m/>
    <x v="0"/>
    <x v="3"/>
    <d v="2025-11-23T00:00:00"/>
    <s v="Dólares"/>
    <n v="7317"/>
    <s v="TEGRA MEDICAL COSTA RICA SOCIEDAD ANONIMA"/>
    <x v="4"/>
    <m/>
    <m/>
  </r>
  <r>
    <x v="0"/>
    <x v="3"/>
    <x v="0"/>
    <m/>
    <x v="0"/>
    <x v="3"/>
    <d v="2025-11-23T00:00:00"/>
    <s v="Dólares"/>
    <n v="5954.12"/>
    <s v="LOS ARALLANES SOCIEDAD ANONIMA"/>
    <x v="4"/>
    <m/>
    <m/>
  </r>
  <r>
    <x v="0"/>
    <x v="3"/>
    <x v="0"/>
    <m/>
    <x v="0"/>
    <x v="3"/>
    <d v="2025-11-23T00:00:00"/>
    <s v="Dólares"/>
    <n v="4754"/>
    <s v="EVERTEC COSTA RICA SOCIEDAD ANONIMA"/>
    <x v="4"/>
    <m/>
    <m/>
  </r>
  <r>
    <x v="0"/>
    <x v="2"/>
    <x v="0"/>
    <m/>
    <x v="0"/>
    <x v="3"/>
    <d v="2025-11-23T00:00:00"/>
    <s v="Dólares"/>
    <n v="3554.36"/>
    <s v="BIMBO DE COSTA RICA SOCIEDAD ANONIMA"/>
    <x v="4"/>
    <m/>
    <m/>
  </r>
  <r>
    <x v="0"/>
    <x v="0"/>
    <x v="0"/>
    <n v="10027525"/>
    <x v="1"/>
    <x v="0"/>
    <d v="2025-09-05T00:00:00"/>
    <s v="Dólares"/>
    <n v="1000"/>
    <s v="NURIA PATRICIA DE LO HERRERA AGUERO"/>
    <x v="9"/>
    <m/>
    <m/>
  </r>
  <r>
    <x v="0"/>
    <x v="0"/>
    <x v="0"/>
    <m/>
    <x v="1"/>
    <x v="2"/>
    <d v="2025-09-13T00:00:00"/>
    <s v="Dólares"/>
    <n v="1000"/>
    <s v="EMMANUEL CHAVARRIA ALFARO"/>
    <x v="9"/>
    <m/>
    <m/>
  </r>
  <r>
    <x v="0"/>
    <x v="1"/>
    <x v="0"/>
    <m/>
    <x v="1"/>
    <x v="3"/>
    <d v="2025-11-21T00:00:00"/>
    <s v="Dólares"/>
    <n v="58095.73"/>
    <s v="3-101-820946"/>
    <x v="4"/>
    <m/>
    <m/>
  </r>
  <r>
    <x v="3"/>
    <x v="3"/>
    <x v="1"/>
    <m/>
    <x v="1"/>
    <x v="3"/>
    <d v="2025-11-21T00:00:00"/>
    <s v="Dólares"/>
    <n v="54011.92"/>
    <s v="EDIFISA CONSTRUCTORA"/>
    <x v="4"/>
    <m/>
    <m/>
  </r>
  <r>
    <x v="0"/>
    <x v="0"/>
    <x v="0"/>
    <n v="10027622"/>
    <x v="1"/>
    <x v="4"/>
    <d v="2025-09-25T00:00:00"/>
    <s v="Dólares"/>
    <n v="1000"/>
    <s v="MELISSA MARIA SOLIS CESPEDES"/>
    <x v="9"/>
    <m/>
    <m/>
  </r>
  <r>
    <x v="3"/>
    <x v="3"/>
    <x v="0"/>
    <n v="15231"/>
    <x v="1"/>
    <x v="4"/>
    <d v="2025-09-25T00:00:00"/>
    <s v="Dólares"/>
    <n v="1000"/>
    <s v="TORRE PARQUE DEL CAFE SOCIEDAD ANONIMA"/>
    <x v="9"/>
    <m/>
    <m/>
  </r>
  <r>
    <x v="0"/>
    <x v="0"/>
    <x v="1"/>
    <m/>
    <x v="1"/>
    <x v="4"/>
    <d v="2025-09-26T00:00:00"/>
    <s v="Dólares"/>
    <n v="1000"/>
    <s v="WENDY MARIA ZUMBADO"/>
    <x v="9"/>
    <m/>
    <m/>
  </r>
  <r>
    <x v="0"/>
    <x v="0"/>
    <x v="0"/>
    <n v="10027686"/>
    <x v="1"/>
    <x v="0"/>
    <d v="2025-10-01T00:00:00"/>
    <s v="Dólares"/>
    <n v="1000"/>
    <s v="3-101-652189 SOCIEDAD ANONIMA"/>
    <x v="2"/>
    <m/>
    <m/>
  </r>
  <r>
    <x v="0"/>
    <x v="0"/>
    <x v="0"/>
    <n v="10027688"/>
    <x v="1"/>
    <x v="0"/>
    <d v="2025-10-01T00:00:00"/>
    <s v="Dólares"/>
    <n v="1000"/>
    <s v="DUNIA MALLENI AGUILAR MORALES"/>
    <x v="2"/>
    <m/>
    <m/>
  </r>
  <r>
    <x v="1"/>
    <x v="0"/>
    <x v="1"/>
    <m/>
    <x v="1"/>
    <x v="2"/>
    <d v="2025-10-11T00:00:00"/>
    <s v="Dólares"/>
    <n v="1000"/>
    <s v="Luis Diego Salas"/>
    <x v="2"/>
    <m/>
    <m/>
  </r>
  <r>
    <x v="2"/>
    <x v="3"/>
    <x v="0"/>
    <m/>
    <x v="1"/>
    <x v="3"/>
    <d v="2025-11-21T00:00:00"/>
    <s v="Dólares"/>
    <n v="9417.4"/>
    <s v="SEMANA 03 NOVIEMBRE EXPRESS"/>
    <x v="4"/>
    <m/>
    <m/>
  </r>
  <r>
    <x v="0"/>
    <x v="0"/>
    <x v="0"/>
    <n v="10027857"/>
    <x v="1"/>
    <x v="4"/>
    <d v="2025-10-25T00:00:00"/>
    <s v="Dólares"/>
    <n v="1000"/>
    <s v="MARIA VANESSA SEGURA PICADO"/>
    <x v="2"/>
    <m/>
    <m/>
  </r>
  <r>
    <x v="0"/>
    <x v="0"/>
    <x v="0"/>
    <n v="10027878"/>
    <x v="1"/>
    <x v="1"/>
    <d v="2025-10-31T00:00:00"/>
    <s v="Dólares"/>
    <n v="1000"/>
    <s v="ROMAN MYJAILOVSKY MYJAILOVSKA"/>
    <x v="2"/>
    <m/>
    <m/>
  </r>
  <r>
    <x v="0"/>
    <x v="0"/>
    <x v="0"/>
    <n v="10027874"/>
    <x v="1"/>
    <x v="1"/>
    <d v="2025-10-31T00:00:00"/>
    <s v="Dólares"/>
    <n v="1000"/>
    <s v="JOANNE YAEL PICCIOTTO MENDEZ"/>
    <x v="2"/>
    <m/>
    <m/>
  </r>
  <r>
    <x v="0"/>
    <x v="0"/>
    <x v="1"/>
    <m/>
    <x v="1"/>
    <x v="0"/>
    <d v="2025-11-07T00:00:00"/>
    <s v="Dólares"/>
    <n v="1000"/>
    <s v="MANFRED PETERS"/>
    <x v="4"/>
    <m/>
    <m/>
  </r>
  <r>
    <x v="0"/>
    <x v="1"/>
    <x v="0"/>
    <m/>
    <x v="1"/>
    <x v="3"/>
    <d v="2025-11-21T00:00:00"/>
    <s v="Dólares"/>
    <n v="8636.67"/>
    <s v="RESERVA MORAVIA"/>
    <x v="4"/>
    <m/>
    <m/>
  </r>
  <r>
    <x v="0"/>
    <x v="0"/>
    <x v="0"/>
    <m/>
    <x v="1"/>
    <x v="4"/>
    <d v="2025-11-25T00:00:00"/>
    <s v="Dólares"/>
    <n v="1000"/>
    <s v="VIRGINIA STEINVORTH"/>
    <x v="4"/>
    <m/>
    <m/>
  </r>
  <r>
    <x v="0"/>
    <x v="0"/>
    <x v="0"/>
    <m/>
    <x v="1"/>
    <x v="4"/>
    <d v="2025-11-28T00:00:00"/>
    <s v="Dólares"/>
    <n v="1000"/>
    <s v="JOSE CORRALES"/>
    <x v="4"/>
    <m/>
    <m/>
  </r>
  <r>
    <x v="0"/>
    <x v="0"/>
    <x v="0"/>
    <m/>
    <x v="1"/>
    <x v="4"/>
    <d v="2025-11-28T00:00:00"/>
    <s v="Dólares"/>
    <n v="1000"/>
    <s v="Jennifer Charpentier"/>
    <x v="4"/>
    <m/>
    <m/>
  </r>
  <r>
    <x v="0"/>
    <x v="0"/>
    <x v="0"/>
    <n v="10028049"/>
    <x v="1"/>
    <x v="4"/>
    <d v="2025-11-29T00:00:00"/>
    <s v="Dólares"/>
    <n v="1000"/>
    <s v="ANDRES ALBERTO MADRIGAL RETANA"/>
    <x v="4"/>
    <m/>
    <m/>
  </r>
  <r>
    <x v="0"/>
    <x v="0"/>
    <x v="0"/>
    <n v="10028103"/>
    <x v="1"/>
    <x v="0"/>
    <d v="2025-12-04T00:00:00"/>
    <s v="Dólares"/>
    <n v="1000"/>
    <s v="Michel Huppé"/>
    <x v="8"/>
    <m/>
    <m/>
  </r>
  <r>
    <x v="0"/>
    <x v="0"/>
    <x v="0"/>
    <m/>
    <x v="1"/>
    <x v="2"/>
    <d v="2025-12-12T00:00:00"/>
    <s v="Dólares"/>
    <n v="1000"/>
    <s v="PABLO PERNAS"/>
    <x v="8"/>
    <m/>
    <m/>
  </r>
  <r>
    <x v="0"/>
    <x v="0"/>
    <x v="0"/>
    <m/>
    <x v="1"/>
    <x v="2"/>
    <d v="2025-12-12T00:00:00"/>
    <s v="Dólares"/>
    <n v="1000"/>
    <s v="REBECA LEE CHINCHILLA"/>
    <x v="8"/>
    <m/>
    <m/>
  </r>
  <r>
    <x v="0"/>
    <x v="0"/>
    <x v="0"/>
    <n v="10028189"/>
    <x v="1"/>
    <x v="4"/>
    <d v="2025-12-22T00:00:00"/>
    <s v="Dólares"/>
    <n v="1000"/>
    <s v="Jineth Salazar Rojas"/>
    <x v="8"/>
    <m/>
    <m/>
  </r>
  <r>
    <x v="0"/>
    <x v="0"/>
    <x v="0"/>
    <n v="10028186"/>
    <x v="1"/>
    <x v="4"/>
    <d v="2025-12-23T00:00:00"/>
    <s v="Dólares"/>
    <n v="1000"/>
    <s v="CARLO MANUEL JIMENEZ HERNANDEZ"/>
    <x v="8"/>
    <m/>
    <m/>
  </r>
  <r>
    <x v="0"/>
    <x v="0"/>
    <x v="0"/>
    <n v="10028237"/>
    <x v="1"/>
    <x v="2"/>
    <d v="2026-01-12T00:00:00"/>
    <s v="Dólares"/>
    <n v="1000"/>
    <s v="MARIO ALEXANDER VEGA VALDERRAMA"/>
    <x v="3"/>
    <m/>
    <m/>
  </r>
  <r>
    <x v="0"/>
    <x v="0"/>
    <x v="0"/>
    <n v="10028277"/>
    <x v="1"/>
    <x v="2"/>
    <d v="2026-01-13T00:00:00"/>
    <s v="Dólares"/>
    <n v="1000"/>
    <s v="MARIA JOSE BRENES QUESADA "/>
    <x v="3"/>
    <m/>
    <m/>
  </r>
  <r>
    <x v="0"/>
    <x v="3"/>
    <x v="0"/>
    <m/>
    <x v="1"/>
    <x v="3"/>
    <d v="2025-11-21T00:00:00"/>
    <s v="Dólares"/>
    <n v="8530.3700000000008"/>
    <s v="SIN IDENTIFICAR"/>
    <x v="4"/>
    <m/>
    <m/>
  </r>
  <r>
    <x v="0"/>
    <x v="4"/>
    <x v="0"/>
    <m/>
    <x v="1"/>
    <x v="3"/>
    <d v="2025-11-21T00:00:00"/>
    <s v="Dólares"/>
    <n v="8530.3700000000008"/>
    <s v="ALTEA INTERCOMPANY"/>
    <x v="4"/>
    <m/>
    <m/>
  </r>
  <r>
    <x v="0"/>
    <x v="0"/>
    <x v="0"/>
    <n v="10028380"/>
    <x v="1"/>
    <x v="4"/>
    <d v="2026-01-28T00:00:00"/>
    <s v="Dólares"/>
    <n v="1000"/>
    <s v="GRETTEL LORENA OBREGON DUARTE"/>
    <x v="3"/>
    <m/>
    <m/>
  </r>
  <r>
    <x v="1"/>
    <x v="0"/>
    <x v="0"/>
    <n v="10882"/>
    <x v="1"/>
    <x v="4"/>
    <d v="2026-01-28T00:00:00"/>
    <s v="Dólares"/>
    <n v="1000"/>
    <s v="LISA ROSE FARREL"/>
    <x v="3"/>
    <m/>
    <m/>
  </r>
  <r>
    <x v="0"/>
    <x v="0"/>
    <x v="0"/>
    <n v="10028002"/>
    <x v="1"/>
    <x v="3"/>
    <d v="2025-11-21T00:00:00"/>
    <s v="Dólares"/>
    <n v="8500"/>
    <s v="MARMARALYSA SOCIEDAD ANONIMA"/>
    <x v="4"/>
    <m/>
    <m/>
  </r>
  <r>
    <x v="0"/>
    <x v="2"/>
    <x v="0"/>
    <n v="10027193"/>
    <x v="1"/>
    <x v="1"/>
    <d v="2025-07-30T00:00:00"/>
    <s v="Dólares"/>
    <n v="999.59"/>
    <s v="AGUILA LOGISTIC SOLUCIONES SOCIEDAD ANONIMA"/>
    <x v="7"/>
    <m/>
    <m/>
  </r>
  <r>
    <x v="0"/>
    <x v="0"/>
    <x v="0"/>
    <n v="10027895"/>
    <x v="1"/>
    <x v="0"/>
    <d v="2025-11-04T00:00:00"/>
    <s v="Colones"/>
    <n v="989.58823529411768"/>
    <s v="TERMINTEU CRISTINA ROPER WILLIAMS"/>
    <x v="4"/>
    <m/>
    <m/>
  </r>
  <r>
    <x v="0"/>
    <x v="1"/>
    <x v="0"/>
    <m/>
    <x v="1"/>
    <x v="3"/>
    <d v="2025-11-21T00:00:00"/>
    <s v="Dólares"/>
    <n v="8278.1200000000008"/>
    <s v="CONSTRUCTORA PRODEYCO"/>
    <x v="4"/>
    <m/>
    <m/>
  </r>
  <r>
    <x v="3"/>
    <x v="3"/>
    <x v="2"/>
    <n v="15158"/>
    <x v="1"/>
    <x v="0"/>
    <d v="2025-06-02T00:00:00"/>
    <s v="Dólares"/>
    <n v="980.84"/>
    <s v="BTSU SOCIEDAD ANONIMA"/>
    <x v="5"/>
    <m/>
    <m/>
  </r>
  <r>
    <x v="0"/>
    <x v="0"/>
    <x v="0"/>
    <m/>
    <x v="1"/>
    <x v="0"/>
    <d v="2025-12-02T00:00:00"/>
    <s v="Colones"/>
    <n v="980.39215686274508"/>
    <s v="KARINA ALVAREZ"/>
    <x v="8"/>
    <m/>
    <m/>
  </r>
  <r>
    <x v="0"/>
    <x v="0"/>
    <x v="0"/>
    <m/>
    <x v="1"/>
    <x v="2"/>
    <d v="2025-09-10T00:00:00"/>
    <s v="Colones"/>
    <n v="976.47058823529414"/>
    <s v="YOJHANNA ALEXANDRA UGARTE VICTOR"/>
    <x v="9"/>
    <m/>
    <m/>
  </r>
  <r>
    <x v="0"/>
    <x v="3"/>
    <x v="1"/>
    <m/>
    <x v="1"/>
    <x v="0"/>
    <d v="2025-08-08T00:00:00"/>
    <s v="Colones"/>
    <n v="975.81652941176469"/>
    <s v="COOPEMAPRO"/>
    <x v="1"/>
    <m/>
    <m/>
  </r>
  <r>
    <x v="0"/>
    <x v="2"/>
    <x v="0"/>
    <m/>
    <x v="1"/>
    <x v="4"/>
    <d v="2025-11-24T00:00:00"/>
    <s v="Dólares"/>
    <n v="975.24"/>
    <s v="MULTICLIMA "/>
    <x v="4"/>
    <m/>
    <m/>
  </r>
  <r>
    <x v="0"/>
    <x v="2"/>
    <x v="0"/>
    <m/>
    <x v="1"/>
    <x v="3"/>
    <d v="2025-11-21T00:00:00"/>
    <s v="Dólares"/>
    <n v="7846.15"/>
    <s v="BOSTON CIENTIFIC"/>
    <x v="4"/>
    <m/>
    <m/>
  </r>
  <r>
    <x v="0"/>
    <x v="1"/>
    <x v="1"/>
    <m/>
    <x v="1"/>
    <x v="2"/>
    <d v="2026-02-11T00:00:00"/>
    <s v="Dólares"/>
    <n v="187838.41"/>
    <s v="CONSTRUCTORA VANDER LAAT - TORRE DON BOSCO"/>
    <x v="6"/>
    <m/>
    <m/>
  </r>
  <r>
    <x v="3"/>
    <x v="3"/>
    <x v="1"/>
    <n v="15229"/>
    <x v="1"/>
    <x v="4"/>
    <d v="2025-09-26T00:00:00"/>
    <s v="Dólares"/>
    <n v="966.83"/>
    <s v="MARIA LUISA LORIA QUIROS"/>
    <x v="9"/>
    <m/>
    <m/>
  </r>
  <r>
    <x v="0"/>
    <x v="2"/>
    <x v="0"/>
    <n v="10027163"/>
    <x v="1"/>
    <x v="1"/>
    <d v="2025-07-28T00:00:00"/>
    <s v="Dólares"/>
    <n v="965.54"/>
    <s v="DIDEMA SRL"/>
    <x v="7"/>
    <m/>
    <m/>
  </r>
  <r>
    <x v="0"/>
    <x v="3"/>
    <x v="1"/>
    <m/>
    <x v="1"/>
    <x v="2"/>
    <d v="2026-02-11T00:00:00"/>
    <s v="Dólares"/>
    <n v="43894.9"/>
    <s v="CONSTRUCTORA VANDER LAAT - AS OROTINA"/>
    <x v="6"/>
    <m/>
    <m/>
  </r>
  <r>
    <x v="0"/>
    <x v="3"/>
    <x v="0"/>
    <m/>
    <x v="1"/>
    <x v="3"/>
    <d v="2025-11-21T00:00:00"/>
    <s v="Dólares"/>
    <n v="6339.12"/>
    <s v="LOS ARALLANES SOCIEDAD ANONIMA"/>
    <x v="4"/>
    <m/>
    <m/>
  </r>
  <r>
    <x v="0"/>
    <x v="2"/>
    <x v="0"/>
    <m/>
    <x v="1"/>
    <x v="3"/>
    <d v="2025-11-21T00:00:00"/>
    <s v="Dólares"/>
    <n v="4353.53"/>
    <s v="CONSTRUCTORA GONZALO DELGADO"/>
    <x v="4"/>
    <m/>
    <m/>
  </r>
  <r>
    <x v="0"/>
    <x v="0"/>
    <x v="0"/>
    <m/>
    <x v="1"/>
    <x v="4"/>
    <d v="2025-08-18T00:00:00"/>
    <s v="Colones"/>
    <n v="954.33"/>
    <s v="SILI JUANY"/>
    <x v="1"/>
    <m/>
    <m/>
  </r>
  <r>
    <x v="3"/>
    <x v="3"/>
    <x v="1"/>
    <n v="15203"/>
    <x v="1"/>
    <x v="1"/>
    <d v="2025-07-31T00:00:00"/>
    <s v="Dólares"/>
    <n v="954.1"/>
    <s v="FINANCIERA CAFSA SOCIEDAD ANONIMA"/>
    <x v="7"/>
    <m/>
    <m/>
  </r>
  <r>
    <x v="0"/>
    <x v="2"/>
    <x v="0"/>
    <m/>
    <x v="1"/>
    <x v="2"/>
    <d v="2025-10-07T00:00:00"/>
    <s v="Dólares"/>
    <n v="950.07"/>
    <s v="ROCHE"/>
    <x v="2"/>
    <m/>
    <m/>
  </r>
  <r>
    <x v="0"/>
    <x v="3"/>
    <x v="0"/>
    <m/>
    <x v="1"/>
    <x v="3"/>
    <d v="2025-11-21T00:00:00"/>
    <s v="Dólares"/>
    <n v="4216.96"/>
    <s v="CONSTRUCTORA TOTEM"/>
    <x v="4"/>
    <m/>
    <m/>
  </r>
  <r>
    <x v="1"/>
    <x v="0"/>
    <x v="0"/>
    <m/>
    <x v="1"/>
    <x v="3"/>
    <d v="2025-11-21T00:00:00"/>
    <s v="Dólares"/>
    <n v="4200"/>
    <s v="RESIDENCIAS LORA PICO"/>
    <x v="4"/>
    <m/>
    <m/>
  </r>
  <r>
    <x v="0"/>
    <x v="0"/>
    <x v="0"/>
    <n v="10026528"/>
    <x v="1"/>
    <x v="2"/>
    <d v="2025-05-08T00:00:00"/>
    <s v="Dólares"/>
    <n v="945"/>
    <s v="ALEJANDRO ESTEBAN TREJOS GOMEZ"/>
    <x v="0"/>
    <m/>
    <m/>
  </r>
  <r>
    <x v="0"/>
    <x v="3"/>
    <x v="2"/>
    <m/>
    <x v="1"/>
    <x v="3"/>
    <d v="2025-11-21T00:00:00"/>
    <s v="Dólares"/>
    <n v="2790.42"/>
    <s v="EDICA - PLAZA RIVIERA"/>
    <x v="4"/>
    <m/>
    <m/>
  </r>
  <r>
    <x v="0"/>
    <x v="0"/>
    <x v="0"/>
    <m/>
    <x v="1"/>
    <x v="4"/>
    <d v="2025-06-30T00:00:00"/>
    <s v="Dólares"/>
    <n v="939.11"/>
    <s v="Michael Mora Agüero"/>
    <x v="5"/>
    <m/>
    <m/>
  </r>
  <r>
    <x v="0"/>
    <x v="0"/>
    <x v="0"/>
    <m/>
    <x v="1"/>
    <x v="4"/>
    <d v="2025-11-25T00:00:00"/>
    <s v="Dólares"/>
    <n v="934"/>
    <s v="JEANNETTE CASTILLO"/>
    <x v="4"/>
    <m/>
    <m/>
  </r>
  <r>
    <x v="0"/>
    <x v="2"/>
    <x v="0"/>
    <m/>
    <x v="1"/>
    <x v="4"/>
    <d v="2025-09-23T00:00:00"/>
    <s v="Dólares"/>
    <n v="931.96"/>
    <s v="TECNIBANDAS"/>
    <x v="9"/>
    <m/>
    <m/>
  </r>
  <r>
    <x v="0"/>
    <x v="2"/>
    <x v="0"/>
    <m/>
    <x v="1"/>
    <x v="0"/>
    <d v="2026-01-06T00:00:00"/>
    <s v="Dólares"/>
    <n v="929.94"/>
    <s v="SERACSA"/>
    <x v="3"/>
    <m/>
    <m/>
  </r>
  <r>
    <x v="3"/>
    <x v="3"/>
    <x v="0"/>
    <m/>
    <x v="1"/>
    <x v="0"/>
    <d v="2025-12-03T00:00:00"/>
    <s v="Dólares"/>
    <n v="928.57"/>
    <s v="ULTRAPARK DOS SOCIEDAD ANONIMA"/>
    <x v="8"/>
    <m/>
    <m/>
  </r>
  <r>
    <x v="3"/>
    <x v="3"/>
    <x v="0"/>
    <m/>
    <x v="1"/>
    <x v="0"/>
    <d v="2025-08-01T00:00:00"/>
    <s v="Dólares"/>
    <n v="925.47"/>
    <s v="INSTITUTO TECNICO VM"/>
    <x v="1"/>
    <m/>
    <m/>
  </r>
  <r>
    <x v="0"/>
    <x v="1"/>
    <x v="0"/>
    <m/>
    <x v="1"/>
    <x v="4"/>
    <d v="2026-01-23T00:00:00"/>
    <s v="Dólares"/>
    <n v="921.81"/>
    <s v="CAFETOS"/>
    <x v="3"/>
    <m/>
    <m/>
  </r>
  <r>
    <x v="0"/>
    <x v="2"/>
    <x v="0"/>
    <m/>
    <x v="1"/>
    <x v="3"/>
    <d v="2025-11-21T00:00:00"/>
    <s v="Dólares"/>
    <n v="2134.9699999999998"/>
    <s v="AMERICA DEVELOPMENT"/>
    <x v="4"/>
    <m/>
    <m/>
  </r>
  <r>
    <x v="0"/>
    <x v="2"/>
    <x v="0"/>
    <m/>
    <x v="1"/>
    <x v="4"/>
    <d v="2025-08-25T00:00:00"/>
    <s v="Colones"/>
    <n v="915"/>
    <s v="INDUSTRIAS QUIMICAS"/>
    <x v="1"/>
    <m/>
    <m/>
  </r>
  <r>
    <x v="0"/>
    <x v="0"/>
    <x v="0"/>
    <m/>
    <x v="1"/>
    <x v="3"/>
    <d v="2025-11-21T00:00:00"/>
    <s v="Dólares"/>
    <n v="575.4"/>
    <s v="Rafael Castillo"/>
    <x v="4"/>
    <m/>
    <m/>
  </r>
  <r>
    <x v="1"/>
    <x v="0"/>
    <x v="0"/>
    <m/>
    <x v="1"/>
    <x v="2"/>
    <d v="2026-02-11T00:00:00"/>
    <s v="Dólares"/>
    <n v="30000"/>
    <s v="SPG HOLDING CORPORATION"/>
    <x v="6"/>
    <m/>
    <m/>
  </r>
  <r>
    <x v="0"/>
    <x v="0"/>
    <x v="0"/>
    <m/>
    <x v="1"/>
    <x v="2"/>
    <d v="2025-08-14T00:00:00"/>
    <s v="Colones"/>
    <n v="908.97"/>
    <s v="DAYAN GONZALEZ"/>
    <x v="1"/>
    <m/>
    <m/>
  </r>
  <r>
    <x v="0"/>
    <x v="2"/>
    <x v="0"/>
    <m/>
    <x v="1"/>
    <x v="2"/>
    <d v="2026-01-12T00:00:00"/>
    <s v="Dólares"/>
    <n v="903.3"/>
    <s v="CARFUL"/>
    <x v="3"/>
    <m/>
    <m/>
  </r>
  <r>
    <x v="0"/>
    <x v="2"/>
    <x v="0"/>
    <m/>
    <x v="1"/>
    <x v="2"/>
    <d v="2026-02-11T00:00:00"/>
    <s v="Dólares"/>
    <n v="5070.25"/>
    <s v="FRIONET"/>
    <x v="6"/>
    <m/>
    <m/>
  </r>
  <r>
    <x v="0"/>
    <x v="0"/>
    <x v="0"/>
    <n v="10027937"/>
    <x v="1"/>
    <x v="2"/>
    <d v="2025-11-12T00:00:00"/>
    <s v="Dólares"/>
    <n v="901"/>
    <s v="EXPRESO DENTAL"/>
    <x v="4"/>
    <m/>
    <m/>
  </r>
  <r>
    <x v="0"/>
    <x v="1"/>
    <x v="0"/>
    <m/>
    <x v="1"/>
    <x v="3"/>
    <d v="2025-11-21T00:00:00"/>
    <s v="Dólares"/>
    <n v="572.05999999999995"/>
    <s v="BOSQUES DE ALTAMIRA"/>
    <x v="4"/>
    <m/>
    <m/>
  </r>
  <r>
    <x v="0"/>
    <x v="0"/>
    <x v="0"/>
    <n v="10026497"/>
    <x v="1"/>
    <x v="0"/>
    <d v="2025-05-03T00:00:00"/>
    <s v="Dólares"/>
    <n v="899"/>
    <s v="María Fernanda Madrigal Carvajal"/>
    <x v="0"/>
    <m/>
    <m/>
  </r>
  <r>
    <x v="0"/>
    <x v="0"/>
    <x v="0"/>
    <m/>
    <x v="1"/>
    <x v="3"/>
    <d v="2025-11-21T00:00:00"/>
    <s v="Dólares"/>
    <n v="408"/>
    <s v="BEESUITE"/>
    <x v="4"/>
    <m/>
    <m/>
  </r>
  <r>
    <x v="3"/>
    <x v="3"/>
    <x v="0"/>
    <n v="15166"/>
    <x v="1"/>
    <x v="2"/>
    <d v="2025-06-12T00:00:00"/>
    <s v="Dólares"/>
    <n v="896.32"/>
    <s v="FSA INGENIERIA Y ARQUITECTURA"/>
    <x v="5"/>
    <m/>
    <m/>
  </r>
  <r>
    <x v="0"/>
    <x v="0"/>
    <x v="0"/>
    <m/>
    <x v="1"/>
    <x v="4"/>
    <d v="2025-08-28T00:00:00"/>
    <s v="Colones"/>
    <n v="894.4"/>
    <s v="IVAN CASTRO MUÑOZ"/>
    <x v="1"/>
    <m/>
    <m/>
  </r>
  <r>
    <x v="0"/>
    <x v="0"/>
    <x v="0"/>
    <m/>
    <x v="1"/>
    <x v="4"/>
    <d v="2025-11-25T00:00:00"/>
    <s v="Dólares"/>
    <n v="894.4"/>
    <s v="AMALIA GUARDIA"/>
    <x v="4"/>
    <m/>
    <m/>
  </r>
  <r>
    <x v="0"/>
    <x v="0"/>
    <x v="0"/>
    <n v="10027444"/>
    <x v="1"/>
    <x v="0"/>
    <d v="2025-09-01T00:00:00"/>
    <s v="Dólares"/>
    <n v="894"/>
    <s v="INTERNATIONAL FOOD TO GO SOCIEDAD ANONIMA"/>
    <x v="9"/>
    <m/>
    <m/>
  </r>
  <r>
    <x v="0"/>
    <x v="3"/>
    <x v="0"/>
    <m/>
    <x v="1"/>
    <x v="4"/>
    <d v="2026-01-26T00:00:00"/>
    <s v="Dólares"/>
    <n v="892.7"/>
    <s v="LUMEN ILUMINACION"/>
    <x v="3"/>
    <m/>
    <m/>
  </r>
  <r>
    <x v="0"/>
    <x v="2"/>
    <x v="0"/>
    <m/>
    <x v="0"/>
    <x v="4"/>
    <d v="2025-11-30T00:00:00"/>
    <s v="Dólares"/>
    <n v="322674.28999999998"/>
    <s v="BOSTON SCIENTIFIC DE COSTA RICA S.R.L"/>
    <x v="4"/>
    <m/>
    <m/>
  </r>
  <r>
    <x v="0"/>
    <x v="2"/>
    <x v="0"/>
    <m/>
    <x v="0"/>
    <x v="4"/>
    <d v="2025-11-30T00:00:00"/>
    <s v="Dólares"/>
    <n v="114524"/>
    <s v="LANCO PAINTS GUATEMALA,  S.A."/>
    <x v="4"/>
    <m/>
    <m/>
  </r>
  <r>
    <x v="0"/>
    <x v="0"/>
    <x v="0"/>
    <m/>
    <x v="0"/>
    <x v="4"/>
    <d v="2025-11-30T00:00:00"/>
    <s v="Dólares"/>
    <n v="60000"/>
    <s v="Clientes Nuevos"/>
    <x v="4"/>
    <m/>
    <m/>
  </r>
  <r>
    <x v="0"/>
    <x v="3"/>
    <x v="0"/>
    <m/>
    <x v="0"/>
    <x v="4"/>
    <d v="2025-11-30T00:00:00"/>
    <s v="Dólares"/>
    <n v="54844.26"/>
    <s v="FONDO DE INVERSION INMOB LOS CRESTONES"/>
    <x v="4"/>
    <m/>
    <m/>
  </r>
  <r>
    <x v="3"/>
    <x v="3"/>
    <x v="0"/>
    <m/>
    <x v="0"/>
    <x v="4"/>
    <d v="2025-11-30T00:00:00"/>
    <s v="Dólares"/>
    <n v="35265.4"/>
    <s v="ULTRAPARK DOS SOCIEDAD ANONIMA"/>
    <x v="4"/>
    <m/>
    <m/>
  </r>
  <r>
    <x v="0"/>
    <x v="3"/>
    <x v="0"/>
    <m/>
    <x v="0"/>
    <x v="4"/>
    <d v="2025-11-30T00:00:00"/>
    <s v="Dólares"/>
    <n v="32165.15"/>
    <s v="EVOLUTION FREE ZONE SOCIEDAD ANONIMA"/>
    <x v="4"/>
    <m/>
    <m/>
  </r>
  <r>
    <x v="1"/>
    <x v="0"/>
    <x v="0"/>
    <m/>
    <x v="0"/>
    <x v="4"/>
    <d v="2025-11-30T00:00:00"/>
    <s v="Dólares"/>
    <n v="25000"/>
    <s v="Clientes Nuevos"/>
    <x v="4"/>
    <m/>
    <m/>
  </r>
  <r>
    <x v="3"/>
    <x v="3"/>
    <x v="2"/>
    <m/>
    <x v="0"/>
    <x v="4"/>
    <d v="2025-11-30T00:00:00"/>
    <s v="Dólares"/>
    <n v="8555"/>
    <s v="MUNICIPALIDAD DE ALAJUELA"/>
    <x v="4"/>
    <m/>
    <m/>
  </r>
  <r>
    <x v="0"/>
    <x v="3"/>
    <x v="2"/>
    <m/>
    <x v="0"/>
    <x v="4"/>
    <d v="2025-11-30T00:00:00"/>
    <s v="Dólares"/>
    <n v="6254.31"/>
    <s v="JUNTA ADMINISTRATIVA DEL ARCHIVO NACIONAL"/>
    <x v="4"/>
    <m/>
    <m/>
  </r>
  <r>
    <x v="3"/>
    <x v="3"/>
    <x v="2"/>
    <m/>
    <x v="0"/>
    <x v="4"/>
    <d v="2025-11-30T00:00:00"/>
    <s v="Dólares"/>
    <n v="6012.5"/>
    <s v="FINANCIERA CAFSA SOCIEDAD ANONIMA"/>
    <x v="4"/>
    <m/>
    <m/>
  </r>
  <r>
    <x v="2"/>
    <x v="3"/>
    <x v="0"/>
    <m/>
    <x v="0"/>
    <x v="4"/>
    <d v="2025-11-30T00:00:00"/>
    <s v="Dólares"/>
    <n v="20000"/>
    <s v="SEMANA 04 NOVIEMBRE EXPRESS"/>
    <x v="4"/>
    <m/>
    <m/>
  </r>
  <r>
    <x v="0"/>
    <x v="2"/>
    <x v="0"/>
    <m/>
    <x v="0"/>
    <x v="4"/>
    <d v="2025-11-30T00:00:00"/>
    <s v="Dólares"/>
    <n v="5024"/>
    <s v="COMERCIAL ALEMORA SOCIEDAD ANONIMA"/>
    <x v="4"/>
    <m/>
    <m/>
  </r>
  <r>
    <x v="0"/>
    <x v="0"/>
    <x v="0"/>
    <m/>
    <x v="1"/>
    <x v="3"/>
    <d v="2025-11-21T00:00:00"/>
    <s v="Dólares"/>
    <n v="396.73"/>
    <s v="SUSANNE DRUCK"/>
    <x v="4"/>
    <m/>
    <m/>
  </r>
  <r>
    <x v="0"/>
    <x v="3"/>
    <x v="0"/>
    <m/>
    <x v="1"/>
    <x v="0"/>
    <d v="2025-12-04T00:00:00"/>
    <s v="Colones"/>
    <n v="888.80111764705885"/>
    <s v="ESTADO-MINISTERIO DE OBRAS PUBLICAS Y TRANSPORTE"/>
    <x v="8"/>
    <m/>
    <m/>
  </r>
  <r>
    <x v="0"/>
    <x v="0"/>
    <x v="0"/>
    <m/>
    <x v="1"/>
    <x v="0"/>
    <d v="2025-06-06T00:00:00"/>
    <s v="Dólares"/>
    <n v="888"/>
    <s v="FELIPE SABORIO CARRILLO"/>
    <x v="5"/>
    <m/>
    <m/>
  </r>
  <r>
    <x v="0"/>
    <x v="2"/>
    <x v="0"/>
    <m/>
    <x v="1"/>
    <x v="2"/>
    <d v="2025-12-12T00:00:00"/>
    <s v="Dólares"/>
    <n v="876.26"/>
    <s v="VIANT"/>
    <x v="8"/>
    <m/>
    <m/>
  </r>
  <r>
    <x v="0"/>
    <x v="0"/>
    <x v="0"/>
    <n v="10028498"/>
    <x v="1"/>
    <x v="2"/>
    <d v="2026-02-11T00:00:00"/>
    <s v="Dólares"/>
    <n v="1818"/>
    <s v="JEFFRY THOMASSEN BURR"/>
    <x v="6"/>
    <m/>
    <m/>
  </r>
  <r>
    <x v="0"/>
    <x v="2"/>
    <x v="0"/>
    <m/>
    <x v="1"/>
    <x v="0"/>
    <d v="2025-11-06T00:00:00"/>
    <s v="Dólares"/>
    <n v="870.89"/>
    <s v="YEISY MELISSA MELENDEZ"/>
    <x v="4"/>
    <m/>
    <m/>
  </r>
  <r>
    <x v="0"/>
    <x v="2"/>
    <x v="0"/>
    <m/>
    <x v="1"/>
    <x v="0"/>
    <d v="2025-12-03T00:00:00"/>
    <s v="Dólares"/>
    <n v="870.89"/>
    <s v="Carful Sociedad"/>
    <x v="8"/>
    <m/>
    <m/>
  </r>
  <r>
    <x v="0"/>
    <x v="3"/>
    <x v="0"/>
    <m/>
    <x v="1"/>
    <x v="3"/>
    <d v="2025-11-21T00:00:00"/>
    <s v="Dólares"/>
    <n v="270"/>
    <s v="AMAZON"/>
    <x v="4"/>
    <m/>
    <m/>
  </r>
  <r>
    <x v="0"/>
    <x v="3"/>
    <x v="1"/>
    <s v="54272 / 10027207"/>
    <x v="1"/>
    <x v="1"/>
    <d v="2025-07-31T00:00:00"/>
    <s v="Colones"/>
    <n v="869.72881889763778"/>
    <s v="RONNY SALAZAR MORALES"/>
    <x v="7"/>
    <m/>
    <m/>
  </r>
  <r>
    <x v="3"/>
    <x v="3"/>
    <x v="2"/>
    <n v="15158"/>
    <x v="1"/>
    <x v="0"/>
    <d v="2025-06-02T00:00:00"/>
    <s v="Dólares"/>
    <n v="868.76"/>
    <s v="BTSU SOCIEDAD ANONIMA"/>
    <x v="5"/>
    <m/>
    <m/>
  </r>
  <r>
    <x v="0"/>
    <x v="2"/>
    <x v="0"/>
    <n v="10027134"/>
    <x v="1"/>
    <x v="2"/>
    <d v="2025-07-10T00:00:00"/>
    <s v="Dólares"/>
    <n v="865.73"/>
    <s v="GUALAPACK  COSTA RICA SOCIEDAD ANONIMA"/>
    <x v="7"/>
    <m/>
    <m/>
  </r>
  <r>
    <x v="0"/>
    <x v="3"/>
    <x v="0"/>
    <m/>
    <x v="1"/>
    <x v="3"/>
    <d v="2025-12-15T00:00:00"/>
    <s v="Dólares"/>
    <n v="9391"/>
    <s v="Tecnomed quinientos seis s.a."/>
    <x v="8"/>
    <m/>
    <m/>
  </r>
  <r>
    <x v="0"/>
    <x v="0"/>
    <x v="0"/>
    <m/>
    <x v="1"/>
    <x v="4"/>
    <d v="2025-06-26T00:00:00"/>
    <s v="Dólares"/>
    <n v="865"/>
    <s v="JOSE GABRIEL BONILLA HERNANDEZ"/>
    <x v="5"/>
    <m/>
    <m/>
  </r>
  <r>
    <x v="0"/>
    <x v="0"/>
    <x v="0"/>
    <m/>
    <x v="1"/>
    <x v="4"/>
    <d v="2025-08-28T00:00:00"/>
    <s v="Colones"/>
    <n v="860.61"/>
    <s v="JILLIAN URRUTIA"/>
    <x v="1"/>
    <m/>
    <m/>
  </r>
  <r>
    <x v="0"/>
    <x v="1"/>
    <x v="0"/>
    <n v="10027683"/>
    <x v="1"/>
    <x v="4"/>
    <d v="2025-09-22T00:00:00"/>
    <s v="Dólares"/>
    <n v="860.61"/>
    <s v="ASESORIAS ASMP DE COSTA RICA SOCIEDAD ANONIMA"/>
    <x v="9"/>
    <m/>
    <m/>
  </r>
  <r>
    <x v="0"/>
    <x v="0"/>
    <x v="0"/>
    <n v="10026510"/>
    <x v="1"/>
    <x v="2"/>
    <d v="2025-05-06T00:00:00"/>
    <s v="Dólares"/>
    <n v="860.14"/>
    <s v="Natalia Arias Sanguillén"/>
    <x v="0"/>
    <m/>
    <m/>
  </r>
  <r>
    <x v="0"/>
    <x v="3"/>
    <x v="0"/>
    <m/>
    <x v="1"/>
    <x v="4"/>
    <d v="2025-11-24T00:00:00"/>
    <s v="Colones"/>
    <n v="859.03919607843136"/>
    <s v="SIN IDENTIFICAR"/>
    <x v="4"/>
    <m/>
    <m/>
  </r>
  <r>
    <x v="0"/>
    <x v="0"/>
    <x v="0"/>
    <m/>
    <x v="1"/>
    <x v="2"/>
    <d v="2026-02-11T00:00:00"/>
    <s v="Dólares"/>
    <n v="1270"/>
    <s v="Priscilla Rojas Muñoz"/>
    <x v="6"/>
    <m/>
    <m/>
  </r>
  <r>
    <x v="3"/>
    <x v="3"/>
    <x v="0"/>
    <m/>
    <x v="1"/>
    <x v="4"/>
    <d v="2025-12-22T00:00:00"/>
    <s v="Dólares"/>
    <n v="858.8"/>
    <s v="ZUMBADO CONSTRUCCION"/>
    <x v="8"/>
    <m/>
    <m/>
  </r>
  <r>
    <x v="0"/>
    <x v="1"/>
    <x v="0"/>
    <n v="10027061"/>
    <x v="1"/>
    <x v="2"/>
    <d v="2025-07-04T00:00:00"/>
    <s v="Dólares"/>
    <n v="850.57"/>
    <s v="EURO BLUE FA S.A"/>
    <x v="7"/>
    <m/>
    <m/>
  </r>
  <r>
    <x v="0"/>
    <x v="2"/>
    <x v="0"/>
    <n v="10027004"/>
    <x v="1"/>
    <x v="0"/>
    <d v="2025-07-03T00:00:00"/>
    <s v="Dólares"/>
    <n v="848.81"/>
    <s v="EMP INTEL DE COSTA RICA SRL"/>
    <x v="7"/>
    <m/>
    <m/>
  </r>
  <r>
    <x v="0"/>
    <x v="0"/>
    <x v="0"/>
    <m/>
    <x v="1"/>
    <x v="0"/>
    <d v="2026-01-07T00:00:00"/>
    <s v="Dólares"/>
    <n v="836.81"/>
    <s v="Ramirez Monge"/>
    <x v="3"/>
    <m/>
    <m/>
  </r>
  <r>
    <x v="0"/>
    <x v="0"/>
    <x v="0"/>
    <n v="10027224"/>
    <x v="1"/>
    <x v="0"/>
    <d v="2025-08-01T00:00:00"/>
    <s v="Dólares"/>
    <n v="836.79"/>
    <s v="JOSE JULIAN SALAS CAMACHO"/>
    <x v="1"/>
    <m/>
    <m/>
  </r>
  <r>
    <x v="0"/>
    <x v="0"/>
    <x v="0"/>
    <m/>
    <x v="1"/>
    <x v="2"/>
    <d v="2025-09-12T00:00:00"/>
    <s v="Dólares"/>
    <n v="836"/>
    <s v="CARLOS CHAVARRIA CERVANTES"/>
    <x v="9"/>
    <m/>
    <m/>
  </r>
  <r>
    <x v="3"/>
    <x v="3"/>
    <x v="0"/>
    <m/>
    <x v="1"/>
    <x v="0"/>
    <d v="2025-11-06T00:00:00"/>
    <s v="Colones"/>
    <n v="835.63474509803916"/>
    <s v="MUNICIPALIDAD DEL GUARCO"/>
    <x v="4"/>
    <m/>
    <m/>
  </r>
  <r>
    <x v="0"/>
    <x v="2"/>
    <x v="0"/>
    <m/>
    <x v="1"/>
    <x v="3"/>
    <d v="2025-12-15T00:00:00"/>
    <s v="Dólares"/>
    <n v="7702.21"/>
    <s v="ACCIONA AGUA"/>
    <x v="8"/>
    <m/>
    <m/>
  </r>
  <r>
    <x v="0"/>
    <x v="3"/>
    <x v="0"/>
    <n v="10027277"/>
    <x v="1"/>
    <x v="0"/>
    <d v="2025-08-08T00:00:00"/>
    <s v="Dólares"/>
    <n v="817.15"/>
    <s v="MICROVENTION COSTA RICA SRL"/>
    <x v="1"/>
    <m/>
    <m/>
  </r>
  <r>
    <x v="0"/>
    <x v="3"/>
    <x v="2"/>
    <m/>
    <x v="1"/>
    <x v="3"/>
    <d v="2025-12-15T00:00:00"/>
    <s v="Dólares"/>
    <n v="6237.81"/>
    <s v="CORE DESARROLLADORA"/>
    <x v="8"/>
    <m/>
    <m/>
  </r>
  <r>
    <x v="0"/>
    <x v="5"/>
    <x v="0"/>
    <m/>
    <x v="1"/>
    <x v="4"/>
    <d v="2025-11-24T00:00:00"/>
    <s v="Dólares"/>
    <n v="812.93"/>
    <s v="MEDITEST"/>
    <x v="4"/>
    <m/>
    <m/>
  </r>
  <r>
    <x v="0"/>
    <x v="5"/>
    <x v="0"/>
    <m/>
    <x v="1"/>
    <x v="4"/>
    <d v="2025-12-24T00:00:00"/>
    <s v="Dólares"/>
    <n v="812.93"/>
    <s v="MEDITEST"/>
    <x v="8"/>
    <m/>
    <m/>
  </r>
  <r>
    <x v="0"/>
    <x v="2"/>
    <x v="0"/>
    <m/>
    <x v="1"/>
    <x v="2"/>
    <d v="2025-09-12T00:00:00"/>
    <s v="Colones"/>
    <n v="812.51199999999994"/>
    <s v="LUCAF"/>
    <x v="9"/>
    <m/>
    <m/>
  </r>
  <r>
    <x v="0"/>
    <x v="1"/>
    <x v="0"/>
    <m/>
    <x v="1"/>
    <x v="2"/>
    <d v="2025-10-11T00:00:00"/>
    <s v="Dólares"/>
    <n v="812.2"/>
    <s v="Silvia E. Vargas"/>
    <x v="2"/>
    <m/>
    <m/>
  </r>
  <r>
    <x v="0"/>
    <x v="2"/>
    <x v="0"/>
    <n v="10027620"/>
    <x v="1"/>
    <x v="4"/>
    <d v="2025-09-25T00:00:00"/>
    <s v="Dólares"/>
    <n v="805.19"/>
    <s v="IMPORTACIONES SIDOFA J&amp;M SOCIEDAD ANONIMA"/>
    <x v="9"/>
    <m/>
    <m/>
  </r>
  <r>
    <x v="0"/>
    <x v="0"/>
    <x v="0"/>
    <m/>
    <x v="1"/>
    <x v="2"/>
    <d v="2026-02-11T00:00:00"/>
    <s v="Dólares"/>
    <n v="1270"/>
    <s v="ALLEN MAURILIO ARGUELLO COTO"/>
    <x v="6"/>
    <m/>
    <m/>
  </r>
  <r>
    <x v="0"/>
    <x v="0"/>
    <x v="0"/>
    <n v="10027139"/>
    <x v="1"/>
    <x v="4"/>
    <d v="2025-07-22T00:00:00"/>
    <s v="Dólares"/>
    <n v="800"/>
    <s v="TERMINTEU CRISTINA ROPER WILLIAMS"/>
    <x v="7"/>
    <m/>
    <m/>
  </r>
  <r>
    <x v="3"/>
    <x v="3"/>
    <x v="0"/>
    <n v="15202"/>
    <x v="1"/>
    <x v="1"/>
    <d v="2025-07-31T00:00:00"/>
    <s v="Dólares"/>
    <n v="800"/>
    <s v="OKAY INDUSTRIES COSTA RICA SOCIEDAD DE RESPONSABILIDAD LIMITADA"/>
    <x v="7"/>
    <m/>
    <m/>
  </r>
  <r>
    <x v="0"/>
    <x v="0"/>
    <x v="0"/>
    <n v="10027258"/>
    <x v="1"/>
    <x v="0"/>
    <d v="2025-08-07T00:00:00"/>
    <s v="Dólares"/>
    <n v="800"/>
    <s v="JAVIER GUTIERREZ BONILLA"/>
    <x v="1"/>
    <m/>
    <m/>
  </r>
  <r>
    <x v="1"/>
    <x v="0"/>
    <x v="0"/>
    <m/>
    <x v="1"/>
    <x v="2"/>
    <d v="2025-09-11T00:00:00"/>
    <s v="Dólares"/>
    <n v="800"/>
    <s v="SIN IDENTIFICAR"/>
    <x v="9"/>
    <m/>
    <m/>
  </r>
  <r>
    <x v="1"/>
    <x v="0"/>
    <x v="0"/>
    <m/>
    <x v="1"/>
    <x v="2"/>
    <d v="2025-09-11T00:00:00"/>
    <s v="Dólares"/>
    <n v="800"/>
    <s v="ISABEL FORNAGUERA STEINER"/>
    <x v="9"/>
    <m/>
    <m/>
  </r>
  <r>
    <x v="0"/>
    <x v="0"/>
    <x v="0"/>
    <m/>
    <x v="1"/>
    <x v="2"/>
    <d v="2025-10-08T00:00:00"/>
    <s v="Dólares"/>
    <n v="800"/>
    <s v="LAW TAX &amp; INSURANCE"/>
    <x v="2"/>
    <m/>
    <m/>
  </r>
  <r>
    <x v="1"/>
    <x v="0"/>
    <x v="0"/>
    <n v="10823"/>
    <x v="1"/>
    <x v="2"/>
    <d v="2025-11-12T00:00:00"/>
    <s v="Dólares"/>
    <n v="800"/>
    <s v="INGENIERIA CONTEMPORANEA SOCIEDAD ANONIMA"/>
    <x v="4"/>
    <m/>
    <m/>
  </r>
  <r>
    <x v="0"/>
    <x v="3"/>
    <x v="0"/>
    <m/>
    <x v="1"/>
    <x v="3"/>
    <d v="2025-12-15T00:00:00"/>
    <s v="Dólares"/>
    <n v="6039.32"/>
    <s v="FUNERALES VIDA"/>
    <x v="8"/>
    <m/>
    <m/>
  </r>
  <r>
    <x v="0"/>
    <x v="0"/>
    <x v="0"/>
    <m/>
    <x v="1"/>
    <x v="2"/>
    <d v="2025-09-11T00:00:00"/>
    <s v="Dólares"/>
    <n v="794.85"/>
    <s v="AMANDA TORRES"/>
    <x v="9"/>
    <m/>
    <m/>
  </r>
  <r>
    <x v="0"/>
    <x v="0"/>
    <x v="0"/>
    <m/>
    <x v="1"/>
    <x v="2"/>
    <d v="2025-09-11T00:00:00"/>
    <s v="Dólares"/>
    <n v="794.85"/>
    <s v="Dewaynne Amanda Torres Venegas"/>
    <x v="9"/>
    <m/>
    <m/>
  </r>
  <r>
    <x v="0"/>
    <x v="0"/>
    <x v="0"/>
    <n v="10027148"/>
    <x v="1"/>
    <x v="4"/>
    <d v="2025-07-24T00:00:00"/>
    <s v="Colones"/>
    <n v="793.37007874015751"/>
    <s v="NUEVO HORIZONTE PYE S.A"/>
    <x v="7"/>
    <m/>
    <m/>
  </r>
  <r>
    <x v="1"/>
    <x v="0"/>
    <x v="0"/>
    <n v="10822"/>
    <x v="1"/>
    <x v="0"/>
    <d v="2025-11-07T00:00:00"/>
    <s v="Dólares"/>
    <n v="793"/>
    <s v="RESORT LIVING INTERNATIONAL SOCIEDAD ANONIMA"/>
    <x v="4"/>
    <m/>
    <m/>
  </r>
  <r>
    <x v="3"/>
    <x v="3"/>
    <x v="0"/>
    <n v="15181"/>
    <x v="1"/>
    <x v="2"/>
    <d v="2025-07-11T00:00:00"/>
    <s v="Dólares"/>
    <n v="791"/>
    <s v="CHIQUITA BRANDS COSTA RICA SRL"/>
    <x v="7"/>
    <m/>
    <m/>
  </r>
  <r>
    <x v="0"/>
    <x v="0"/>
    <x v="0"/>
    <m/>
    <x v="1"/>
    <x v="2"/>
    <d v="2026-02-11T00:00:00"/>
    <s v="Dólares"/>
    <n v="300"/>
    <s v="Vivianne Yankelewitz"/>
    <x v="6"/>
    <m/>
    <m/>
  </r>
  <r>
    <x v="0"/>
    <x v="0"/>
    <x v="0"/>
    <m/>
    <x v="1"/>
    <x v="2"/>
    <d v="2025-12-12T00:00:00"/>
    <s v="Dólares"/>
    <n v="789"/>
    <s v="Joffry Gonzalez Mora"/>
    <x v="8"/>
    <m/>
    <m/>
  </r>
  <r>
    <x v="0"/>
    <x v="0"/>
    <x v="0"/>
    <n v="10026503"/>
    <x v="1"/>
    <x v="2"/>
    <d v="2025-05-07T00:00:00"/>
    <s v="Dólares"/>
    <n v="781"/>
    <s v="Controles Electricos PYM SA"/>
    <x v="0"/>
    <m/>
    <m/>
  </r>
  <r>
    <x v="0"/>
    <x v="3"/>
    <x v="0"/>
    <m/>
    <x v="1"/>
    <x v="3"/>
    <d v="2025-12-15T00:00:00"/>
    <s v="Colones"/>
    <n v="5922.3379607843135"/>
    <s v="UNO PETROL"/>
    <x v="8"/>
    <m/>
    <m/>
  </r>
  <r>
    <x v="0"/>
    <x v="0"/>
    <x v="0"/>
    <m/>
    <x v="1"/>
    <x v="0"/>
    <d v="2025-08-01T00:00:00"/>
    <s v="Dólares"/>
    <n v="776"/>
    <s v="LEDA RODRIGUEZ SMITH"/>
    <x v="1"/>
    <m/>
    <m/>
  </r>
  <r>
    <x v="0"/>
    <x v="0"/>
    <x v="0"/>
    <n v="10026537"/>
    <x v="1"/>
    <x v="0"/>
    <d v="2025-05-01T00:00:00"/>
    <s v="Dólares"/>
    <n v="770"/>
    <s v="OSCAR EDUARDO GOMEZ SANABRIA"/>
    <x v="0"/>
    <m/>
    <m/>
  </r>
  <r>
    <x v="0"/>
    <x v="0"/>
    <x v="0"/>
    <m/>
    <x v="1"/>
    <x v="4"/>
    <d v="2025-06-23T00:00:00"/>
    <s v="Dólares"/>
    <n v="759.84"/>
    <s v="Victor Contreras Leiva"/>
    <x v="5"/>
    <m/>
    <m/>
  </r>
  <r>
    <x v="3"/>
    <x v="3"/>
    <x v="0"/>
    <m/>
    <x v="1"/>
    <x v="3"/>
    <d v="2025-12-15T00:00:00"/>
    <s v="Dólares"/>
    <n v="4435.96"/>
    <s v="RHYTMLINK"/>
    <x v="8"/>
    <m/>
    <m/>
  </r>
  <r>
    <x v="0"/>
    <x v="2"/>
    <x v="0"/>
    <m/>
    <x v="1"/>
    <x v="3"/>
    <d v="2025-12-15T00:00:00"/>
    <s v="Dólares"/>
    <n v="1564.62"/>
    <s v="CONSTRUPLAZA"/>
    <x v="8"/>
    <m/>
    <m/>
  </r>
  <r>
    <x v="0"/>
    <x v="2"/>
    <x v="1"/>
    <n v="10026798"/>
    <x v="1"/>
    <x v="2"/>
    <d v="2025-06-10T00:00:00"/>
    <s v="Dólares"/>
    <n v="747.94"/>
    <s v="KINSEI LIMITADA"/>
    <x v="5"/>
    <m/>
    <m/>
  </r>
  <r>
    <x v="0"/>
    <x v="2"/>
    <x v="0"/>
    <m/>
    <x v="1"/>
    <x v="3"/>
    <d v="2025-12-15T00:00:00"/>
    <s v="Dólares"/>
    <n v="1077.6300000000001"/>
    <s v="VWR LIMITADA"/>
    <x v="8"/>
    <m/>
    <m/>
  </r>
  <r>
    <x v="0"/>
    <x v="0"/>
    <x v="0"/>
    <m/>
    <x v="1"/>
    <x v="2"/>
    <d v="2025-12-12T00:00:00"/>
    <s v="Dólares"/>
    <n v="743"/>
    <s v="Gabriel Navarro Cedeño"/>
    <x v="8"/>
    <m/>
    <m/>
  </r>
  <r>
    <x v="0"/>
    <x v="0"/>
    <x v="0"/>
    <m/>
    <x v="1"/>
    <x v="2"/>
    <d v="2026-01-16T00:00:00"/>
    <s v="Dólares"/>
    <n v="743"/>
    <s v="Juan Carlos R Morun"/>
    <x v="3"/>
    <m/>
    <m/>
  </r>
  <r>
    <x v="0"/>
    <x v="0"/>
    <x v="0"/>
    <m/>
    <x v="1"/>
    <x v="3"/>
    <d v="2025-12-15T00:00:00"/>
    <s v="Dólares"/>
    <n v="945.78"/>
    <s v="VINDAS LEITON KIBSAI"/>
    <x v="8"/>
    <m/>
    <m/>
  </r>
  <r>
    <x v="0"/>
    <x v="0"/>
    <x v="0"/>
    <m/>
    <x v="1"/>
    <x v="2"/>
    <d v="2026-01-12T00:00:00"/>
    <s v="Dólares"/>
    <n v="740"/>
    <s v="CAROLINA MARIA GARCIA ROJAS"/>
    <x v="3"/>
    <m/>
    <m/>
  </r>
  <r>
    <x v="0"/>
    <x v="2"/>
    <x v="0"/>
    <m/>
    <x v="1"/>
    <x v="4"/>
    <d v="2025-11-26T00:00:00"/>
    <s v="Dólares"/>
    <n v="737.62"/>
    <s v="KEN FROOT"/>
    <x v="4"/>
    <m/>
    <m/>
  </r>
  <r>
    <x v="0"/>
    <x v="0"/>
    <x v="0"/>
    <m/>
    <x v="1"/>
    <x v="4"/>
    <d v="2025-08-28T00:00:00"/>
    <s v="Colones"/>
    <n v="735.79457843137254"/>
    <s v="YANIFF CAMACHO"/>
    <x v="1"/>
    <m/>
    <m/>
  </r>
  <r>
    <x v="1"/>
    <x v="0"/>
    <x v="0"/>
    <m/>
    <x v="1"/>
    <x v="0"/>
    <d v="2025-08-01T00:00:00"/>
    <s v="Dólares"/>
    <n v="728"/>
    <s v="OLIVER PEREZ ANGULO"/>
    <x v="1"/>
    <m/>
    <m/>
  </r>
  <r>
    <x v="0"/>
    <x v="0"/>
    <x v="0"/>
    <m/>
    <x v="1"/>
    <x v="3"/>
    <d v="2025-12-15T00:00:00"/>
    <s v="Dólares"/>
    <n v="528"/>
    <s v="STEPHANY MARY PICADO"/>
    <x v="8"/>
    <m/>
    <m/>
  </r>
  <r>
    <x v="0"/>
    <x v="1"/>
    <x v="2"/>
    <m/>
    <x v="1"/>
    <x v="2"/>
    <d v="2026-02-12T00:00:00"/>
    <s v="Dólares"/>
    <n v="46109.23"/>
    <s v="P270 CONTRATO - PUERTAS"/>
    <x v="6"/>
    <m/>
    <m/>
  </r>
  <r>
    <x v="3"/>
    <x v="3"/>
    <x v="0"/>
    <m/>
    <x v="1"/>
    <x v="2"/>
    <d v="2025-09-12T00:00:00"/>
    <s v="Dólares"/>
    <n v="708.74"/>
    <s v="ASOCIACION CAMARA COSTARRICENSE NORTEAMERICANA DE "/>
    <x v="9"/>
    <m/>
    <m/>
  </r>
  <r>
    <x v="0"/>
    <x v="0"/>
    <x v="0"/>
    <m/>
    <x v="1"/>
    <x v="3"/>
    <d v="2025-12-15T00:00:00"/>
    <s v="Dólares"/>
    <n v="429.8"/>
    <s v="KENNETH COCINA KUPPER"/>
    <x v="8"/>
    <m/>
    <m/>
  </r>
  <r>
    <x v="0"/>
    <x v="0"/>
    <x v="0"/>
    <m/>
    <x v="1"/>
    <x v="4"/>
    <d v="2025-08-22T00:00:00"/>
    <s v="Colones"/>
    <n v="706"/>
    <s v="DIANA ZAMORA"/>
    <x v="1"/>
    <m/>
    <m/>
  </r>
  <r>
    <x v="0"/>
    <x v="0"/>
    <x v="0"/>
    <m/>
    <x v="1"/>
    <x v="0"/>
    <d v="2026-01-08T00:00:00"/>
    <s v="Dólares"/>
    <n v="706"/>
    <s v="Michael kleiman wien"/>
    <x v="3"/>
    <m/>
    <m/>
  </r>
  <r>
    <x v="3"/>
    <x v="3"/>
    <x v="1"/>
    <n v="15150"/>
    <x v="1"/>
    <x v="4"/>
    <d v="2025-05-19T00:00:00"/>
    <s v="Dólares"/>
    <n v="700"/>
    <s v="3-102-896838 SOCIEDAD DE RESPONSABILIDAD LIMITADA *VENTA EN SALA*"/>
    <x v="0"/>
    <m/>
    <m/>
  </r>
  <r>
    <x v="0"/>
    <x v="0"/>
    <x v="0"/>
    <m/>
    <x v="1"/>
    <x v="3"/>
    <d v="2025-12-15T00:00:00"/>
    <s v="Dólares"/>
    <n v="367.52"/>
    <s v="RICCARDO MICALI"/>
    <x v="8"/>
    <m/>
    <m/>
  </r>
  <r>
    <x v="0"/>
    <x v="0"/>
    <x v="1"/>
    <m/>
    <x v="1"/>
    <x v="2"/>
    <d v="2025-06-12T00:00:00"/>
    <s v="Dólares"/>
    <n v="694"/>
    <s v="Nicolas Pierre Dienot"/>
    <x v="5"/>
    <m/>
    <m/>
  </r>
  <r>
    <x v="0"/>
    <x v="0"/>
    <x v="0"/>
    <m/>
    <x v="1"/>
    <x v="0"/>
    <d v="2025-08-01T00:00:00"/>
    <s v="Dólares"/>
    <n v="694"/>
    <s v="DANIEL GARCIA"/>
    <x v="1"/>
    <m/>
    <m/>
  </r>
  <r>
    <x v="0"/>
    <x v="0"/>
    <x v="0"/>
    <m/>
    <x v="1"/>
    <x v="2"/>
    <d v="2025-11-16T00:00:00"/>
    <s v="Dólares"/>
    <n v="691.13"/>
    <s v="ELECTROMECANICA PABLO MURILLO"/>
    <x v="4"/>
    <m/>
    <m/>
  </r>
  <r>
    <x v="0"/>
    <x v="0"/>
    <x v="0"/>
    <m/>
    <x v="1"/>
    <x v="4"/>
    <d v="2025-09-22T00:00:00"/>
    <s v="Dólares"/>
    <n v="691.11"/>
    <s v="JULIAN URRUTIA"/>
    <x v="9"/>
    <m/>
    <m/>
  </r>
  <r>
    <x v="0"/>
    <x v="2"/>
    <x v="0"/>
    <n v="10028259"/>
    <x v="1"/>
    <x v="2"/>
    <d v="2026-01-12T00:00:00"/>
    <s v="Dólares"/>
    <n v="689.08"/>
    <s v="INVERSIONES CARFUL SOCIEDAD ANONIMA"/>
    <x v="3"/>
    <m/>
    <m/>
  </r>
  <r>
    <x v="0"/>
    <x v="0"/>
    <x v="0"/>
    <m/>
    <x v="1"/>
    <x v="3"/>
    <d v="2025-12-15T00:00:00"/>
    <s v="Dólares"/>
    <n v="220.51"/>
    <s v="CRISTAL JANE"/>
    <x v="8"/>
    <m/>
    <m/>
  </r>
  <r>
    <x v="0"/>
    <x v="0"/>
    <x v="0"/>
    <m/>
    <x v="1"/>
    <x v="3"/>
    <d v="2025-12-15T00:00:00"/>
    <s v="Dólares"/>
    <n v="79.099999999999994"/>
    <s v="DESARROLLOS TERRAVIS"/>
    <x v="8"/>
    <m/>
    <m/>
  </r>
  <r>
    <x v="0"/>
    <x v="2"/>
    <x v="0"/>
    <n v="10026776"/>
    <x v="1"/>
    <x v="2"/>
    <d v="2025-06-09T00:00:00"/>
    <s v="Dólares"/>
    <n v="678"/>
    <s v="TORCASA TORNILLOS "/>
    <x v="5"/>
    <m/>
    <m/>
  </r>
  <r>
    <x v="0"/>
    <x v="3"/>
    <x v="0"/>
    <m/>
    <x v="1"/>
    <x v="4"/>
    <d v="2025-10-21T00:00:00"/>
    <s v="Dólares"/>
    <n v="678"/>
    <s v="PURDY MOTOR"/>
    <x v="2"/>
    <m/>
    <m/>
  </r>
  <r>
    <x v="0"/>
    <x v="5"/>
    <x v="0"/>
    <m/>
    <x v="1"/>
    <x v="3"/>
    <d v="2025-12-16T00:00:00"/>
    <s v="Dólares"/>
    <n v="14817.38"/>
    <s v="AUTO SEGUROS"/>
    <x v="8"/>
    <m/>
    <m/>
  </r>
  <r>
    <x v="0"/>
    <x v="3"/>
    <x v="0"/>
    <m/>
    <x v="1"/>
    <x v="3"/>
    <d v="2025-12-16T00:00:00"/>
    <s v="Colones"/>
    <n v="11040.420784313725"/>
    <s v="CAJA COSTARRICENSE DE SEGURO SOCIAL"/>
    <x v="8"/>
    <m/>
    <m/>
  </r>
  <r>
    <x v="0"/>
    <x v="0"/>
    <x v="0"/>
    <m/>
    <x v="1"/>
    <x v="4"/>
    <d v="2025-10-21T00:00:00"/>
    <s v="Dólares"/>
    <n v="673"/>
    <s v="Raul Vargas Campos"/>
    <x v="2"/>
    <m/>
    <m/>
  </r>
  <r>
    <x v="0"/>
    <x v="2"/>
    <x v="0"/>
    <n v="10026711"/>
    <x v="1"/>
    <x v="1"/>
    <d v="2025-05-28T00:00:00"/>
    <s v="Dólares"/>
    <n v="671.87"/>
    <s v="AGUILA LOGISTIC SOLUCIONES SOCIEDAD ANONIMA"/>
    <x v="0"/>
    <m/>
    <m/>
  </r>
  <r>
    <x v="3"/>
    <x v="3"/>
    <x v="0"/>
    <m/>
    <x v="1"/>
    <x v="3"/>
    <d v="2025-12-16T00:00:00"/>
    <s v="Dólares"/>
    <n v="7378.23"/>
    <s v="BAC SAN JOSE"/>
    <x v="8"/>
    <m/>
    <m/>
  </r>
  <r>
    <x v="0"/>
    <x v="3"/>
    <x v="2"/>
    <m/>
    <x v="1"/>
    <x v="2"/>
    <d v="2026-02-12T00:00:00"/>
    <s v="Dólares"/>
    <n v="21843.3"/>
    <s v="BILCO COSTA RICA S.A."/>
    <x v="6"/>
    <m/>
    <m/>
  </r>
  <r>
    <x v="0"/>
    <x v="2"/>
    <x v="1"/>
    <m/>
    <x v="1"/>
    <x v="2"/>
    <d v="2026-02-12T00:00:00"/>
    <s v="Dólares"/>
    <n v="18924.34"/>
    <s v="BILCO COSTA RICA S.A."/>
    <x v="6"/>
    <m/>
    <m/>
  </r>
  <r>
    <x v="0"/>
    <x v="0"/>
    <x v="0"/>
    <m/>
    <x v="1"/>
    <x v="3"/>
    <d v="2025-12-16T00:00:00"/>
    <s v="Dólares"/>
    <n v="4323"/>
    <s v="CIAPA"/>
    <x v="8"/>
    <m/>
    <m/>
  </r>
  <r>
    <x v="0"/>
    <x v="3"/>
    <x v="0"/>
    <m/>
    <x v="1"/>
    <x v="2"/>
    <d v="2026-02-12T00:00:00"/>
    <s v="Dólares"/>
    <n v="13805.69"/>
    <s v="SIN IDENTIFICAR"/>
    <x v="6"/>
    <m/>
    <m/>
  </r>
  <r>
    <x v="0"/>
    <x v="0"/>
    <x v="0"/>
    <m/>
    <x v="1"/>
    <x v="4"/>
    <d v="2025-08-31T00:00:00"/>
    <s v="Dólares"/>
    <n v="657.37"/>
    <s v="DAISY CALDERON"/>
    <x v="1"/>
    <m/>
    <m/>
  </r>
  <r>
    <x v="0"/>
    <x v="3"/>
    <x v="1"/>
    <m/>
    <x v="1"/>
    <x v="2"/>
    <d v="2026-02-12T00:00:00"/>
    <s v="Dólares"/>
    <n v="8954.6"/>
    <s v="NCH HEALTHCARE"/>
    <x v="6"/>
    <m/>
    <m/>
  </r>
  <r>
    <x v="0"/>
    <x v="0"/>
    <x v="0"/>
    <m/>
    <x v="1"/>
    <x v="0"/>
    <d v="2025-06-04T00:00:00"/>
    <s v="Dólares"/>
    <n v="657"/>
    <s v="AZ RESIDENTIAL AND COMMERCIAL GROUP SOCIEDAD DE RESPONSABILIDAD LIMITADA"/>
    <x v="5"/>
    <m/>
    <m/>
  </r>
  <r>
    <x v="0"/>
    <x v="3"/>
    <x v="0"/>
    <m/>
    <x v="1"/>
    <x v="3"/>
    <d v="2025-12-16T00:00:00"/>
    <s v="Dólares"/>
    <n v="2466.54"/>
    <s v="SEAR INGENIERIA"/>
    <x v="8"/>
    <m/>
    <m/>
  </r>
  <r>
    <x v="0"/>
    <x v="1"/>
    <x v="2"/>
    <m/>
    <x v="1"/>
    <x v="2"/>
    <d v="2026-02-12T00:00:00"/>
    <s v="Dólares"/>
    <n v="7483.86"/>
    <s v="P270 CONTRATO - RODAPIE"/>
    <x v="6"/>
    <m/>
    <m/>
  </r>
  <r>
    <x v="0"/>
    <x v="0"/>
    <x v="0"/>
    <m/>
    <x v="1"/>
    <x v="4"/>
    <d v="2025-11-27T00:00:00"/>
    <s v="Colones"/>
    <n v="656.86274509803923"/>
    <s v="MARCOS CASTRO"/>
    <x v="4"/>
    <m/>
    <m/>
  </r>
  <r>
    <x v="0"/>
    <x v="0"/>
    <x v="0"/>
    <m/>
    <x v="1"/>
    <x v="0"/>
    <d v="2025-12-02T00:00:00"/>
    <s v="Colones"/>
    <n v="656.86274509803923"/>
    <s v="MARCOS CASTRO"/>
    <x v="8"/>
    <m/>
    <m/>
  </r>
  <r>
    <x v="1"/>
    <x v="0"/>
    <x v="0"/>
    <m/>
    <x v="1"/>
    <x v="3"/>
    <d v="2025-12-16T00:00:00"/>
    <s v="Dólares"/>
    <n v="2000"/>
    <s v="JULY SHELEBY"/>
    <x v="8"/>
    <m/>
    <m/>
  </r>
  <r>
    <x v="0"/>
    <x v="0"/>
    <x v="0"/>
    <m/>
    <x v="1"/>
    <x v="3"/>
    <d v="2025-12-16T00:00:00"/>
    <s v="Dólares"/>
    <n v="1305"/>
    <s v="Alvaro Pantoja"/>
    <x v="8"/>
    <m/>
    <m/>
  </r>
  <r>
    <x v="0"/>
    <x v="0"/>
    <x v="0"/>
    <m/>
    <x v="1"/>
    <x v="3"/>
    <d v="2025-12-16T00:00:00"/>
    <s v="Dólares"/>
    <n v="1074"/>
    <s v="SUYENS BRAVO"/>
    <x v="8"/>
    <m/>
    <m/>
  </r>
  <r>
    <x v="0"/>
    <x v="0"/>
    <x v="0"/>
    <m/>
    <x v="1"/>
    <x v="4"/>
    <d v="2025-11-27T00:00:00"/>
    <s v="Colones"/>
    <n v="643.62745098039215"/>
    <s v="LEONARDO PANIGUA GAMBOA"/>
    <x v="4"/>
    <m/>
    <m/>
  </r>
  <r>
    <x v="1"/>
    <x v="0"/>
    <x v="0"/>
    <m/>
    <x v="1"/>
    <x v="3"/>
    <d v="2025-12-16T00:00:00"/>
    <s v="Dólares"/>
    <n v="573.08000000000004"/>
    <s v="PLAYA SOMBRERO"/>
    <x v="8"/>
    <m/>
    <m/>
  </r>
  <r>
    <x v="0"/>
    <x v="0"/>
    <x v="0"/>
    <n v="10026496"/>
    <x v="1"/>
    <x v="0"/>
    <d v="2025-05-02T00:00:00"/>
    <s v="Dólares"/>
    <n v="630"/>
    <s v="SERVICIOS GERENCIALES TEMPORALES SRL"/>
    <x v="0"/>
    <m/>
    <m/>
  </r>
  <r>
    <x v="0"/>
    <x v="0"/>
    <x v="0"/>
    <m/>
    <x v="1"/>
    <x v="3"/>
    <d v="2025-12-16T00:00:00"/>
    <s v="Dólares"/>
    <n v="331"/>
    <s v="Kevin Molina Carballo"/>
    <x v="8"/>
    <m/>
    <m/>
  </r>
  <r>
    <x v="3"/>
    <x v="3"/>
    <x v="0"/>
    <m/>
    <x v="1"/>
    <x v="3"/>
    <d v="2025-12-17T00:00:00"/>
    <s v="Dólares"/>
    <n v="31383.55"/>
    <s v="TTA PROJECT MANAGEMENT"/>
    <x v="8"/>
    <m/>
    <m/>
  </r>
  <r>
    <x v="1"/>
    <x v="0"/>
    <x v="0"/>
    <m/>
    <x v="1"/>
    <x v="3"/>
    <d v="2025-12-17T00:00:00"/>
    <s v="Dólares"/>
    <n v="26436.080000000002"/>
    <s v="INTERIORISMO Y MUEBLES"/>
    <x v="8"/>
    <m/>
    <m/>
  </r>
  <r>
    <x v="3"/>
    <x v="3"/>
    <x v="1"/>
    <m/>
    <x v="1"/>
    <x v="0"/>
    <d v="2025-08-08T00:00:00"/>
    <s v="Dólares"/>
    <n v="616.98"/>
    <s v="INSTITUTO TECNICO VM"/>
    <x v="1"/>
    <m/>
    <m/>
  </r>
  <r>
    <x v="0"/>
    <x v="0"/>
    <x v="0"/>
    <m/>
    <x v="1"/>
    <x v="4"/>
    <d v="2025-05-22T00:00:00"/>
    <s v="Dólares"/>
    <n v="616.5"/>
    <s v="Fabián Jiménez Herra"/>
    <x v="0"/>
    <m/>
    <m/>
  </r>
  <r>
    <x v="0"/>
    <x v="3"/>
    <x v="0"/>
    <m/>
    <x v="1"/>
    <x v="3"/>
    <d v="2025-12-17T00:00:00"/>
    <s v="Dólares"/>
    <n v="11495.02"/>
    <s v="SAGA INGENIERIA"/>
    <x v="8"/>
    <m/>
    <m/>
  </r>
  <r>
    <x v="0"/>
    <x v="0"/>
    <x v="0"/>
    <n v="10028142"/>
    <x v="1"/>
    <x v="3"/>
    <d v="2025-12-17T00:00:00"/>
    <s v="Colones"/>
    <n v="4117.6470588235297"/>
    <s v="ANDRES ALBERTO MADRIGAL RETANA"/>
    <x v="8"/>
    <m/>
    <m/>
  </r>
  <r>
    <x v="0"/>
    <x v="0"/>
    <x v="0"/>
    <n v="10027021"/>
    <x v="1"/>
    <x v="2"/>
    <d v="2025-07-06T00:00:00"/>
    <s v="Dólares"/>
    <n v="607.63"/>
    <s v="PURPLE DAY S.A"/>
    <x v="7"/>
    <m/>
    <m/>
  </r>
  <r>
    <x v="3"/>
    <x v="3"/>
    <x v="2"/>
    <n v="15172"/>
    <x v="1"/>
    <x v="4"/>
    <d v="2025-06-23T00:00:00"/>
    <s v="Dólares"/>
    <n v="605"/>
    <s v="HARLAND MEDICAL SYSTEMS COSTA RICA SOCIEDAD DE RESPONSABILIDAD LIMITADA"/>
    <x v="5"/>
    <m/>
    <m/>
  </r>
  <r>
    <x v="0"/>
    <x v="0"/>
    <x v="0"/>
    <m/>
    <x v="1"/>
    <x v="4"/>
    <d v="2025-10-21T00:00:00"/>
    <s v="Dólares"/>
    <n v="602.02"/>
    <s v="Carlos Villalobos"/>
    <x v="2"/>
    <m/>
    <m/>
  </r>
  <r>
    <x v="0"/>
    <x v="0"/>
    <x v="0"/>
    <m/>
    <x v="1"/>
    <x v="2"/>
    <d v="2025-09-09T00:00:00"/>
    <s v="Dólares"/>
    <n v="602"/>
    <s v="ESTEBAN VALLEJO RAMIREZ"/>
    <x v="9"/>
    <m/>
    <m/>
  </r>
  <r>
    <x v="0"/>
    <x v="1"/>
    <x v="0"/>
    <n v="10027254"/>
    <x v="1"/>
    <x v="0"/>
    <d v="2025-08-07T00:00:00"/>
    <s v="Dólares"/>
    <n v="601.73"/>
    <s v="TORRE DOS CENTRAL PARK SRL"/>
    <x v="1"/>
    <m/>
    <m/>
  </r>
  <r>
    <x v="0"/>
    <x v="0"/>
    <x v="0"/>
    <m/>
    <x v="1"/>
    <x v="4"/>
    <d v="2025-05-24T00:00:00"/>
    <s v="Dólares"/>
    <n v="601.60212598425198"/>
    <s v="VICTOR JULIO QUIROS CHINCHILLA "/>
    <x v="0"/>
    <m/>
    <m/>
  </r>
  <r>
    <x v="3"/>
    <x v="3"/>
    <x v="0"/>
    <n v="15204"/>
    <x v="1"/>
    <x v="0"/>
    <d v="2025-08-07T00:00:00"/>
    <s v="Dólares"/>
    <n v="601.22"/>
    <s v="ALLERGAN COSTA RICA SOCIENDAD RESPONSABILIDAD LIMITADA"/>
    <x v="1"/>
    <m/>
    <m/>
  </r>
  <r>
    <x v="1"/>
    <x v="0"/>
    <x v="0"/>
    <n v="10764"/>
    <x v="1"/>
    <x v="2"/>
    <d v="2025-08-14T00:00:00"/>
    <s v="Dólares"/>
    <n v="600"/>
    <s v="GISELLE AGUILAR ARCE"/>
    <x v="1"/>
    <m/>
    <m/>
  </r>
  <r>
    <x v="0"/>
    <x v="3"/>
    <x v="0"/>
    <m/>
    <x v="1"/>
    <x v="4"/>
    <d v="2025-10-24T00:00:00"/>
    <s v="Dólares"/>
    <n v="600"/>
    <s v="LOS ARALLANES"/>
    <x v="2"/>
    <m/>
    <m/>
  </r>
  <r>
    <x v="0"/>
    <x v="0"/>
    <x v="0"/>
    <m/>
    <x v="1"/>
    <x v="4"/>
    <d v="2026-01-30T00:00:00"/>
    <s v="Dólares"/>
    <n v="600"/>
    <s v="Jeffrey Mcinnes"/>
    <x v="3"/>
    <m/>
    <m/>
  </r>
  <r>
    <x v="0"/>
    <x v="0"/>
    <x v="0"/>
    <m/>
    <x v="1"/>
    <x v="4"/>
    <d v="2025-06-27T00:00:00"/>
    <s v="Colones"/>
    <n v="599.98094488188974"/>
    <s v="CARLOS MANUEL BURGOS SALAS"/>
    <x v="5"/>
    <m/>
    <m/>
  </r>
  <r>
    <x v="0"/>
    <x v="0"/>
    <x v="0"/>
    <m/>
    <x v="1"/>
    <x v="4"/>
    <d v="2025-10-21T00:00:00"/>
    <s v="Dólares"/>
    <n v="597"/>
    <s v="FRANCISCO MORA"/>
    <x v="2"/>
    <m/>
    <m/>
  </r>
  <r>
    <x v="0"/>
    <x v="0"/>
    <x v="0"/>
    <m/>
    <x v="1"/>
    <x v="4"/>
    <d v="2025-10-22T00:00:00"/>
    <s v="Dólares"/>
    <n v="597"/>
    <s v="HUGO MORA DELGADILLO"/>
    <x v="2"/>
    <m/>
    <m/>
  </r>
  <r>
    <x v="0"/>
    <x v="2"/>
    <x v="0"/>
    <n v="10027687"/>
    <x v="1"/>
    <x v="0"/>
    <d v="2025-10-01T00:00:00"/>
    <s v="Dólares"/>
    <n v="594.91"/>
    <s v="Coloplast Volume Manufacturing C.R SA"/>
    <x v="2"/>
    <m/>
    <m/>
  </r>
  <r>
    <x v="0"/>
    <x v="0"/>
    <x v="0"/>
    <m/>
    <x v="1"/>
    <x v="0"/>
    <d v="2025-12-03T00:00:00"/>
    <s v="Colones"/>
    <n v="583.55882352941171"/>
    <s v="Jimmy Viales chaves"/>
    <x v="8"/>
    <m/>
    <m/>
  </r>
  <r>
    <x v="0"/>
    <x v="3"/>
    <x v="0"/>
    <m/>
    <x v="1"/>
    <x v="4"/>
    <d v="2026-01-27T00:00:00"/>
    <s v="Colones"/>
    <n v="582.60288306451616"/>
    <s v="UNIVERSIDAD DE COSTA RICA"/>
    <x v="3"/>
    <m/>
    <m/>
  </r>
  <r>
    <x v="0"/>
    <x v="3"/>
    <x v="0"/>
    <m/>
    <x v="1"/>
    <x v="4"/>
    <d v="2026-01-28T00:00:00"/>
    <s v="Colones"/>
    <n v="582.60288306451616"/>
    <s v="UNIVERSIDAD DE COSTA RICA"/>
    <x v="3"/>
    <m/>
    <m/>
  </r>
  <r>
    <x v="1"/>
    <x v="0"/>
    <x v="0"/>
    <m/>
    <x v="1"/>
    <x v="0"/>
    <d v="2026-01-10T00:00:00"/>
    <s v="Dólares"/>
    <n v="577.29"/>
    <s v="Guanacaste Soluciones"/>
    <x v="3"/>
    <m/>
    <m/>
  </r>
  <r>
    <x v="3"/>
    <x v="3"/>
    <x v="0"/>
    <n v="15226"/>
    <x v="1"/>
    <x v="0"/>
    <d v="2025-09-05T00:00:00"/>
    <s v="Dólares"/>
    <n v="576.88"/>
    <s v="CORPORACION DE SERVICIOS MULTIPLES DEL MAGISTERIO NACIONAL"/>
    <x v="9"/>
    <m/>
    <m/>
  </r>
  <r>
    <x v="0"/>
    <x v="0"/>
    <x v="0"/>
    <m/>
    <x v="1"/>
    <x v="0"/>
    <d v="2026-01-09T00:00:00"/>
    <s v="Dólares"/>
    <n v="576"/>
    <s v="WAGNER CHACON VILLALOBOS"/>
    <x v="3"/>
    <m/>
    <m/>
  </r>
  <r>
    <x v="0"/>
    <x v="0"/>
    <x v="0"/>
    <m/>
    <x v="1"/>
    <x v="3"/>
    <d v="2025-12-17T00:00:00"/>
    <s v="Dólares"/>
    <n v="3324"/>
    <s v="ASOCIACION CENTRO"/>
    <x v="8"/>
    <m/>
    <m/>
  </r>
  <r>
    <x v="1"/>
    <x v="0"/>
    <x v="0"/>
    <m/>
    <x v="1"/>
    <x v="3"/>
    <d v="2025-12-17T00:00:00"/>
    <s v="Dólares"/>
    <n v="3000"/>
    <s v="JULY GABRIELA SHELEBY SANCHEZ"/>
    <x v="8"/>
    <m/>
    <m/>
  </r>
  <r>
    <x v="3"/>
    <x v="3"/>
    <x v="0"/>
    <n v="15237"/>
    <x v="1"/>
    <x v="0"/>
    <d v="2025-10-02T00:00:00"/>
    <s v="Dólares"/>
    <n v="572.91"/>
    <s v="FINANCIERA CAFSA SOCIEDAD ANONIMA"/>
    <x v="2"/>
    <m/>
    <m/>
  </r>
  <r>
    <x v="0"/>
    <x v="3"/>
    <x v="0"/>
    <m/>
    <x v="1"/>
    <x v="3"/>
    <d v="2025-12-17T00:00:00"/>
    <s v="Dólares"/>
    <n v="2833.54"/>
    <s v="EVERTEC"/>
    <x v="8"/>
    <m/>
    <m/>
  </r>
  <r>
    <x v="0"/>
    <x v="2"/>
    <x v="0"/>
    <m/>
    <x v="1"/>
    <x v="3"/>
    <d v="2025-12-17T00:00:00"/>
    <s v="Dólares"/>
    <n v="2036.12"/>
    <s v="BLUE ZONE"/>
    <x v="8"/>
    <m/>
    <m/>
  </r>
  <r>
    <x v="0"/>
    <x v="0"/>
    <x v="0"/>
    <n v="10027429"/>
    <x v="1"/>
    <x v="4"/>
    <d v="2025-08-30T00:00:00"/>
    <s v="Colones"/>
    <n v="571.15882352941173"/>
    <s v="BYRON ARIAS BONILLA"/>
    <x v="1"/>
    <m/>
    <m/>
  </r>
  <r>
    <x v="0"/>
    <x v="0"/>
    <x v="0"/>
    <n v="10027416"/>
    <x v="1"/>
    <x v="4"/>
    <d v="2025-08-29T00:00:00"/>
    <s v="Dólares"/>
    <n v="571"/>
    <s v="LAURA ELENA GUERRERO RODRIGUEZ"/>
    <x v="1"/>
    <m/>
    <m/>
  </r>
  <r>
    <x v="0"/>
    <x v="0"/>
    <x v="0"/>
    <m/>
    <x v="1"/>
    <x v="4"/>
    <d v="2025-10-21T00:00:00"/>
    <s v="Dólares"/>
    <n v="571"/>
    <s v="MARITZA BARBOZA"/>
    <x v="2"/>
    <m/>
    <m/>
  </r>
  <r>
    <x v="0"/>
    <x v="0"/>
    <x v="0"/>
    <m/>
    <x v="1"/>
    <x v="1"/>
    <d v="2025-12-29T00:00:00"/>
    <s v="Dólares"/>
    <n v="571"/>
    <s v="Danis Damian"/>
    <x v="8"/>
    <m/>
    <m/>
  </r>
  <r>
    <x v="0"/>
    <x v="0"/>
    <x v="0"/>
    <n v="10028226"/>
    <x v="1"/>
    <x v="2"/>
    <d v="2026-01-12T00:00:00"/>
    <s v="Dólares"/>
    <n v="571"/>
    <s v="Danis Damian Matiaz Jimenez"/>
    <x v="3"/>
    <m/>
    <m/>
  </r>
  <r>
    <x v="0"/>
    <x v="2"/>
    <x v="0"/>
    <m/>
    <x v="1"/>
    <x v="3"/>
    <d v="2025-12-17T00:00:00"/>
    <s v="Dólares"/>
    <n v="1669.72"/>
    <s v="CAFÉ BRITT"/>
    <x v="8"/>
    <m/>
    <m/>
  </r>
  <r>
    <x v="0"/>
    <x v="0"/>
    <x v="0"/>
    <m/>
    <x v="1"/>
    <x v="2"/>
    <d v="2025-11-14T00:00:00"/>
    <s v="Dólares"/>
    <n v="567"/>
    <s v="PICADO SANCHEZ"/>
    <x v="4"/>
    <m/>
    <m/>
  </r>
  <r>
    <x v="0"/>
    <x v="3"/>
    <x v="0"/>
    <m/>
    <x v="1"/>
    <x v="3"/>
    <d v="2025-12-17T00:00:00"/>
    <s v="Dólares"/>
    <n v="1235.26"/>
    <s v="MARSH ASPROSE CORREDORA DE SEGUROS"/>
    <x v="8"/>
    <m/>
    <m/>
  </r>
  <r>
    <x v="0"/>
    <x v="0"/>
    <x v="0"/>
    <m/>
    <x v="1"/>
    <x v="2"/>
    <d v="2026-01-09T00:00:00"/>
    <s v="Dólares"/>
    <n v="565.21"/>
    <s v="Eckart Holst"/>
    <x v="3"/>
    <m/>
    <m/>
  </r>
  <r>
    <x v="0"/>
    <x v="1"/>
    <x v="0"/>
    <n v="10026726"/>
    <x v="1"/>
    <x v="1"/>
    <d v="2025-05-30T00:00:00"/>
    <s v="Dólares"/>
    <n v="565"/>
    <s v="PROYECTO VERDE MAR MANTAS"/>
    <x v="0"/>
    <m/>
    <m/>
  </r>
  <r>
    <x v="0"/>
    <x v="2"/>
    <x v="0"/>
    <n v="10026801"/>
    <x v="1"/>
    <x v="2"/>
    <d v="2025-06-12T00:00:00"/>
    <s v="Dólares"/>
    <n v="565"/>
    <s v="COMERCIAL INDUSTRIAL Y DE SERVICIOS COSTA RICA ,CISCOSA SOCIEDAD"/>
    <x v="5"/>
    <m/>
    <m/>
  </r>
  <r>
    <x v="0"/>
    <x v="0"/>
    <x v="0"/>
    <m/>
    <x v="1"/>
    <x v="4"/>
    <d v="2025-09-27T00:00:00"/>
    <s v="Dólares"/>
    <n v="560"/>
    <s v="Juan Reyes Fonseca gonzalez"/>
    <x v="9"/>
    <m/>
    <m/>
  </r>
  <r>
    <x v="0"/>
    <x v="0"/>
    <x v="0"/>
    <m/>
    <x v="1"/>
    <x v="4"/>
    <d v="2025-09-22T00:00:00"/>
    <s v="Dólares"/>
    <n v="559.35"/>
    <s v="CARLOS MANUEL ROJAS"/>
    <x v="9"/>
    <m/>
    <m/>
  </r>
  <r>
    <x v="3"/>
    <x v="3"/>
    <x v="0"/>
    <m/>
    <x v="1"/>
    <x v="3"/>
    <d v="2025-12-17T00:00:00"/>
    <s v="Dólares"/>
    <n v="959.47"/>
    <s v="BD CONSULTORES"/>
    <x v="8"/>
    <m/>
    <m/>
  </r>
  <r>
    <x v="0"/>
    <x v="3"/>
    <x v="0"/>
    <m/>
    <x v="1"/>
    <x v="2"/>
    <d v="2026-01-15T00:00:00"/>
    <s v="Dólares"/>
    <n v="554.83000000000004"/>
    <s v="ASOCIACION CENTRO ISRAELITA"/>
    <x v="3"/>
    <m/>
    <m/>
  </r>
  <r>
    <x v="0"/>
    <x v="3"/>
    <x v="2"/>
    <m/>
    <x v="1"/>
    <x v="3"/>
    <d v="2025-12-17T00:00:00"/>
    <s v="Dólares"/>
    <n v="678"/>
    <s v="CONTRACT WORKPLACES"/>
    <x v="8"/>
    <m/>
    <m/>
  </r>
  <r>
    <x v="0"/>
    <x v="1"/>
    <x v="0"/>
    <m/>
    <x v="1"/>
    <x v="4"/>
    <d v="2026-01-30T00:00:00"/>
    <s v="Dólares"/>
    <n v="553.09"/>
    <s v="ELECTROS CAFETOS"/>
    <x v="3"/>
    <m/>
    <m/>
  </r>
  <r>
    <x v="0"/>
    <x v="3"/>
    <x v="2"/>
    <m/>
    <x v="1"/>
    <x v="4"/>
    <d v="2025-06-25T00:00:00"/>
    <s v="Dólares"/>
    <n v="551.4"/>
    <s v="CAFETAL DOS DE BELEN S.A"/>
    <x v="5"/>
    <m/>
    <m/>
  </r>
  <r>
    <x v="0"/>
    <x v="0"/>
    <x v="0"/>
    <n v="10027151"/>
    <x v="1"/>
    <x v="4"/>
    <d v="2025-07-24T00:00:00"/>
    <s v="Colones"/>
    <n v="551.18110236220468"/>
    <s v="NUEVO HORIZONTE PYE S.A"/>
    <x v="7"/>
    <m/>
    <m/>
  </r>
  <r>
    <x v="0"/>
    <x v="0"/>
    <x v="0"/>
    <n v="10026527"/>
    <x v="1"/>
    <x v="0"/>
    <d v="2025-05-01T00:00:00"/>
    <s v="Dólares"/>
    <n v="550"/>
    <s v="MARIBELL DEL CARMEN BARRANTES VILLEGAS"/>
    <x v="0"/>
    <m/>
    <m/>
  </r>
  <r>
    <x v="0"/>
    <x v="0"/>
    <x v="0"/>
    <m/>
    <x v="1"/>
    <x v="2"/>
    <d v="2025-06-09T00:00:00"/>
    <s v="Dólares"/>
    <n v="550"/>
    <s v="Catalina Rojas Piza "/>
    <x v="5"/>
    <m/>
    <m/>
  </r>
  <r>
    <x v="0"/>
    <x v="0"/>
    <x v="0"/>
    <m/>
    <x v="1"/>
    <x v="1"/>
    <d v="2025-12-29T00:00:00"/>
    <s v="Dólares"/>
    <n v="549.01960784313724"/>
    <s v="MONSERRAT SOLANO"/>
    <x v="8"/>
    <m/>
    <m/>
  </r>
  <r>
    <x v="0"/>
    <x v="0"/>
    <x v="0"/>
    <m/>
    <x v="1"/>
    <x v="0"/>
    <d v="2025-07-01T00:00:00"/>
    <s v="Dólares"/>
    <n v="547.5"/>
    <s v="Miguel Céspedes Araya"/>
    <x v="7"/>
    <m/>
    <m/>
  </r>
  <r>
    <x v="0"/>
    <x v="0"/>
    <x v="0"/>
    <m/>
    <x v="1"/>
    <x v="4"/>
    <d v="2025-05-24T00:00:00"/>
    <s v="Dólares"/>
    <n v="546.75"/>
    <s v="Eduardo Ramirez Fallas"/>
    <x v="0"/>
    <m/>
    <m/>
  </r>
  <r>
    <x v="0"/>
    <x v="3"/>
    <x v="0"/>
    <m/>
    <x v="1"/>
    <x v="4"/>
    <d v="2025-11-28T00:00:00"/>
    <s v="Dólares"/>
    <n v="546"/>
    <s v="SIN IDENTIFICAR"/>
    <x v="4"/>
    <m/>
    <m/>
  </r>
  <r>
    <x v="0"/>
    <x v="0"/>
    <x v="0"/>
    <m/>
    <x v="1"/>
    <x v="2"/>
    <d v="2026-02-12T00:00:00"/>
    <s v="Dólares"/>
    <n v="5600"/>
    <s v="Manfred Peters Batalla"/>
    <x v="6"/>
    <m/>
    <m/>
  </r>
  <r>
    <x v="0"/>
    <x v="3"/>
    <x v="0"/>
    <m/>
    <x v="1"/>
    <x v="0"/>
    <d v="2026-01-07T00:00:00"/>
    <s v="Dólares"/>
    <n v="542.4"/>
    <s v="GRUPO SEAR"/>
    <x v="3"/>
    <m/>
    <m/>
  </r>
  <r>
    <x v="0"/>
    <x v="2"/>
    <x v="0"/>
    <m/>
    <x v="1"/>
    <x v="2"/>
    <d v="2026-02-12T00:00:00"/>
    <s v="Dólares"/>
    <n v="3740.75"/>
    <s v="BIMBO COSTA RICA"/>
    <x v="6"/>
    <m/>
    <m/>
  </r>
  <r>
    <x v="0"/>
    <x v="2"/>
    <x v="0"/>
    <m/>
    <x v="1"/>
    <x v="1"/>
    <d v="2025-10-30T00:00:00"/>
    <s v="Dólares"/>
    <n v="538.46"/>
    <s v="BOSTON CIENTIFIC"/>
    <x v="2"/>
    <m/>
    <m/>
  </r>
  <r>
    <x v="0"/>
    <x v="0"/>
    <x v="0"/>
    <m/>
    <x v="1"/>
    <x v="3"/>
    <d v="2025-12-17T00:00:00"/>
    <s v="Dólares"/>
    <n v="650"/>
    <s v="Dennis Rodríguez"/>
    <x v="8"/>
    <m/>
    <m/>
  </r>
  <r>
    <x v="0"/>
    <x v="0"/>
    <x v="0"/>
    <m/>
    <x v="1"/>
    <x v="4"/>
    <d v="2025-06-26T00:00:00"/>
    <s v="Dólares"/>
    <n v="536"/>
    <s v="ROLAND AYER"/>
    <x v="5"/>
    <m/>
    <m/>
  </r>
  <r>
    <x v="0"/>
    <x v="0"/>
    <x v="0"/>
    <n v="10027032"/>
    <x v="1"/>
    <x v="2"/>
    <d v="2025-07-07T00:00:00"/>
    <s v="Dólares"/>
    <n v="536"/>
    <s v="FARMACIA LA PLAZA FLAMINGO SOCIEDAD ANONIMA"/>
    <x v="7"/>
    <m/>
    <m/>
  </r>
  <r>
    <x v="0"/>
    <x v="0"/>
    <x v="0"/>
    <n v="10026551"/>
    <x v="1"/>
    <x v="2"/>
    <d v="2025-05-10T00:00:00"/>
    <s v="Dólares"/>
    <n v="535.79"/>
    <s v="Alfons Ciolek"/>
    <x v="0"/>
    <m/>
    <m/>
  </r>
  <r>
    <x v="0"/>
    <x v="0"/>
    <x v="0"/>
    <m/>
    <x v="1"/>
    <x v="4"/>
    <d v="2025-05-20T00:00:00"/>
    <s v="Dólares"/>
    <n v="535.79"/>
    <s v="Thelma Isabel Matheson"/>
    <x v="0"/>
    <m/>
    <m/>
  </r>
  <r>
    <x v="0"/>
    <x v="0"/>
    <x v="0"/>
    <m/>
    <x v="1"/>
    <x v="2"/>
    <d v="2025-12-08T00:00:00"/>
    <s v="Dólares"/>
    <n v="528"/>
    <s v="Silina Debes"/>
    <x v="8"/>
    <m/>
    <m/>
  </r>
  <r>
    <x v="3"/>
    <x v="3"/>
    <x v="0"/>
    <m/>
    <x v="1"/>
    <x v="3"/>
    <d v="2025-12-17T00:00:00"/>
    <s v="Dólares"/>
    <n v="558.79"/>
    <s v="CONTRACT WORKPLACES"/>
    <x v="8"/>
    <m/>
    <m/>
  </r>
  <r>
    <x v="0"/>
    <x v="0"/>
    <x v="0"/>
    <m/>
    <x v="1"/>
    <x v="1"/>
    <d v="2025-12-30T00:00:00"/>
    <s v="Dólares"/>
    <n v="528"/>
    <s v="JOSE ANTONIO AMADOR"/>
    <x v="8"/>
    <m/>
    <m/>
  </r>
  <r>
    <x v="0"/>
    <x v="0"/>
    <x v="0"/>
    <m/>
    <x v="1"/>
    <x v="0"/>
    <d v="2026-01-05T00:00:00"/>
    <s v="Dólares"/>
    <n v="528"/>
    <s v="VICTOR MANUEL ZAMORA"/>
    <x v="3"/>
    <m/>
    <m/>
  </r>
  <r>
    <x v="0"/>
    <x v="0"/>
    <x v="0"/>
    <m/>
    <x v="1"/>
    <x v="0"/>
    <d v="2026-01-08T00:00:00"/>
    <s v="Dólares"/>
    <n v="528"/>
    <s v="Eddy Ramos"/>
    <x v="3"/>
    <m/>
    <m/>
  </r>
  <r>
    <x v="0"/>
    <x v="2"/>
    <x v="0"/>
    <m/>
    <x v="1"/>
    <x v="2"/>
    <d v="2025-11-11T00:00:00"/>
    <s v="Dólares"/>
    <n v="527.94000000000005"/>
    <s v="MALUQUER"/>
    <x v="4"/>
    <m/>
    <m/>
  </r>
  <r>
    <x v="0"/>
    <x v="0"/>
    <x v="0"/>
    <m/>
    <x v="1"/>
    <x v="0"/>
    <d v="2026-01-07T00:00:00"/>
    <s v="Dólares"/>
    <n v="525.24"/>
    <s v="Freddy Montero"/>
    <x v="3"/>
    <m/>
    <m/>
  </r>
  <r>
    <x v="0"/>
    <x v="1"/>
    <x v="2"/>
    <m/>
    <x v="1"/>
    <x v="3"/>
    <d v="2025-12-18T00:00:00"/>
    <s v="Dólares"/>
    <n v="125800.21"/>
    <s v="FONDO DE INVERSION SECRET ESCALANTE"/>
    <x v="8"/>
    <m/>
    <m/>
  </r>
  <r>
    <x v="0"/>
    <x v="0"/>
    <x v="0"/>
    <n v="10027596"/>
    <x v="1"/>
    <x v="4"/>
    <d v="2025-09-22T00:00:00"/>
    <s v="Dólares"/>
    <n v="525"/>
    <s v="ADRIANA PATRICIA VIQUEZ UMAÑA"/>
    <x v="9"/>
    <m/>
    <m/>
  </r>
  <r>
    <x v="3"/>
    <x v="3"/>
    <x v="0"/>
    <m/>
    <x v="1"/>
    <x v="2"/>
    <d v="2026-02-12T00:00:00"/>
    <s v="Dólares"/>
    <n v="858.92"/>
    <s v="FINANCIERA CAFSA"/>
    <x v="6"/>
    <m/>
    <m/>
  </r>
  <r>
    <x v="0"/>
    <x v="0"/>
    <x v="0"/>
    <m/>
    <x v="1"/>
    <x v="2"/>
    <d v="2026-02-12T00:00:00"/>
    <s v="Dólares"/>
    <n v="658"/>
    <s v="Joel Elías Fonseca"/>
    <x v="6"/>
    <m/>
    <m/>
  </r>
  <r>
    <x v="0"/>
    <x v="2"/>
    <x v="2"/>
    <m/>
    <x v="1"/>
    <x v="3"/>
    <d v="2025-12-18T00:00:00"/>
    <s v="Dólares"/>
    <n v="30795"/>
    <s v="MEGALINEAS"/>
    <x v="8"/>
    <m/>
    <m/>
  </r>
  <r>
    <x v="0"/>
    <x v="0"/>
    <x v="0"/>
    <m/>
    <x v="1"/>
    <x v="2"/>
    <d v="2026-02-12T00:00:00"/>
    <s v="Dólares"/>
    <n v="657"/>
    <s v="Héctor Raúl Gutierrez"/>
    <x v="6"/>
    <m/>
    <m/>
  </r>
  <r>
    <x v="0"/>
    <x v="0"/>
    <x v="0"/>
    <m/>
    <x v="1"/>
    <x v="0"/>
    <d v="2025-12-05T00:00:00"/>
    <s v="Dólares"/>
    <n v="522"/>
    <s v="Gerik Alvarado"/>
    <x v="8"/>
    <m/>
    <m/>
  </r>
  <r>
    <x v="0"/>
    <x v="0"/>
    <x v="0"/>
    <n v="10028317"/>
    <x v="1"/>
    <x v="2"/>
    <d v="2026-01-16T00:00:00"/>
    <s v="Dólares"/>
    <n v="522"/>
    <s v="Jairo Madrigal Montes"/>
    <x v="3"/>
    <m/>
    <m/>
  </r>
  <r>
    <x v="0"/>
    <x v="0"/>
    <x v="0"/>
    <n v="10028379"/>
    <x v="1"/>
    <x v="4"/>
    <d v="2026-01-28T00:00:00"/>
    <s v="Dólares"/>
    <n v="522"/>
    <s v="SANDRA MILAGROS GAMIO ROSELLO"/>
    <x v="3"/>
    <m/>
    <m/>
  </r>
  <r>
    <x v="0"/>
    <x v="3"/>
    <x v="0"/>
    <m/>
    <x v="1"/>
    <x v="0"/>
    <d v="2026-01-02T00:00:00"/>
    <s v="Dólares"/>
    <n v="519.62"/>
    <s v="INNOVA INGENIERIA"/>
    <x v="3"/>
    <m/>
    <m/>
  </r>
  <r>
    <x v="0"/>
    <x v="0"/>
    <x v="0"/>
    <n v="10027499"/>
    <x v="1"/>
    <x v="0"/>
    <d v="2025-09-06T00:00:00"/>
    <s v="Dólares"/>
    <n v="516"/>
    <s v="ESTELA DE LOS ANGELES CORDERO LAURENT"/>
    <x v="9"/>
    <m/>
    <m/>
  </r>
  <r>
    <x v="0"/>
    <x v="2"/>
    <x v="0"/>
    <n v="10026766"/>
    <x v="1"/>
    <x v="0"/>
    <d v="2025-06-05T00:00:00"/>
    <s v="Dólares"/>
    <n v="514.73"/>
    <s v="GRUPO SERVICA COSTA RICA SOCIEDAD ANONIMA"/>
    <x v="5"/>
    <m/>
    <m/>
  </r>
  <r>
    <x v="1"/>
    <x v="0"/>
    <x v="0"/>
    <m/>
    <x v="1"/>
    <x v="0"/>
    <d v="2026-01-07T00:00:00"/>
    <s v="Dólares"/>
    <n v="514"/>
    <s v="Daniel Rodriguez Leal"/>
    <x v="3"/>
    <m/>
    <m/>
  </r>
  <r>
    <x v="0"/>
    <x v="2"/>
    <x v="0"/>
    <m/>
    <x v="1"/>
    <x v="2"/>
    <d v="2025-12-12T00:00:00"/>
    <s v="Dólares"/>
    <n v="512.25"/>
    <s v="CASAGRI"/>
    <x v="8"/>
    <m/>
    <m/>
  </r>
  <r>
    <x v="0"/>
    <x v="3"/>
    <x v="0"/>
    <m/>
    <x v="1"/>
    <x v="4"/>
    <d v="2025-12-23T00:00:00"/>
    <s v="Colones"/>
    <n v="511.17507843137258"/>
    <s v="COMPAÑÍA NACIONAL DE FUERZA Y LUZ"/>
    <x v="8"/>
    <m/>
    <m/>
  </r>
  <r>
    <x v="0"/>
    <x v="3"/>
    <x v="0"/>
    <m/>
    <x v="1"/>
    <x v="3"/>
    <d v="2025-12-18T00:00:00"/>
    <s v="Colones"/>
    <n v="22206.688294117645"/>
    <s v="CTP"/>
    <x v="8"/>
    <m/>
    <m/>
  </r>
  <r>
    <x v="3"/>
    <x v="3"/>
    <x v="0"/>
    <m/>
    <x v="0"/>
    <x v="0"/>
    <m/>
    <s v="Dólares"/>
    <n v="53753.18"/>
    <s v="ZONA FRANCA COYOL SOCIEDAD ANONIMA"/>
    <x v="5"/>
    <s v="NO"/>
    <m/>
  </r>
  <r>
    <x v="2"/>
    <x v="3"/>
    <x v="0"/>
    <m/>
    <x v="0"/>
    <x v="0"/>
    <m/>
    <s v="Dólares"/>
    <n v="20000"/>
    <s v="PROYECCION SEMANA 01 OUTLET JUNIO"/>
    <x v="5"/>
    <s v="NO"/>
    <m/>
  </r>
  <r>
    <x v="3"/>
    <x v="3"/>
    <x v="0"/>
    <m/>
    <x v="0"/>
    <x v="0"/>
    <m/>
    <s v="Dólares"/>
    <n v="14162.79"/>
    <s v="HARLAND MEDICAL SYSTEMS COSTA RICA SOCIEDAD DE RESPONSABILIDAD LIMITADA"/>
    <x v="5"/>
    <s v="SI"/>
    <m/>
  </r>
  <r>
    <x v="3"/>
    <x v="3"/>
    <x v="0"/>
    <m/>
    <x v="0"/>
    <x v="0"/>
    <m/>
    <s v="Dólares"/>
    <n v="8940"/>
    <s v="GFI PHARMA LOGISTIC S.A"/>
    <x v="5"/>
    <s v="NO"/>
    <m/>
  </r>
  <r>
    <x v="0"/>
    <x v="3"/>
    <x v="0"/>
    <m/>
    <x v="0"/>
    <x v="0"/>
    <m/>
    <s v="Dólares"/>
    <n v="7845.14"/>
    <s v="CIELO DE BABILONIA SOCIEDAD ANONIMA"/>
    <x v="5"/>
    <s v="SI"/>
    <m/>
  </r>
  <r>
    <x v="0"/>
    <x v="3"/>
    <x v="0"/>
    <m/>
    <x v="0"/>
    <x v="0"/>
    <m/>
    <s v="Dólares"/>
    <n v="6771.03"/>
    <s v="BAMBU EN NACASCOLO SOCIEDAD ANONIMA"/>
    <x v="5"/>
    <s v="NO"/>
    <m/>
  </r>
  <r>
    <x v="0"/>
    <x v="3"/>
    <x v="0"/>
    <m/>
    <x v="0"/>
    <x v="0"/>
    <m/>
    <s v="Dólares"/>
    <n v="6231.58"/>
    <s v="NUCLEO BUSINESS CENTER SOCIEDAD ANONIMA"/>
    <x v="5"/>
    <s v="NO"/>
    <m/>
  </r>
  <r>
    <x v="0"/>
    <x v="3"/>
    <x v="2"/>
    <m/>
    <x v="0"/>
    <x v="0"/>
    <m/>
    <s v="Dólares"/>
    <n v="5364.38"/>
    <s v="EDWIN LUILLY MADRIGAL HERNANDEZ"/>
    <x v="5"/>
    <s v="NO"/>
    <m/>
  </r>
  <r>
    <x v="3"/>
    <x v="3"/>
    <x v="0"/>
    <m/>
    <x v="0"/>
    <x v="0"/>
    <m/>
    <s v="Dólares"/>
    <n v="4453.04"/>
    <s v="DHL CUSTOMS (COSTA RICA) SOCIEDAD ANONIMA"/>
    <x v="5"/>
    <s v="SI"/>
    <m/>
  </r>
  <r>
    <x v="0"/>
    <x v="3"/>
    <x v="2"/>
    <m/>
    <x v="0"/>
    <x v="0"/>
    <m/>
    <s v="Dólares"/>
    <n v="3618.7"/>
    <s v="SMC COSTA RICA DIVISION S.R.L"/>
    <x v="5"/>
    <s v="NO"/>
    <m/>
  </r>
  <r>
    <x v="0"/>
    <x v="3"/>
    <x v="0"/>
    <m/>
    <x v="0"/>
    <x v="0"/>
    <m/>
    <s v="Dólares"/>
    <n v="3369.42"/>
    <s v="UNION COMERCIAL DE COSTA RICA, UNICOMER SOCIEDAD ANONIMA"/>
    <x v="5"/>
    <s v="NO"/>
    <m/>
  </r>
  <r>
    <x v="0"/>
    <x v="3"/>
    <x v="0"/>
    <m/>
    <x v="0"/>
    <x v="0"/>
    <m/>
    <s v="Dólares"/>
    <n v="2203.5"/>
    <s v="TELEDOLAR SOCIEDAD ANONIMA"/>
    <x v="5"/>
    <s v="SI"/>
    <m/>
  </r>
  <r>
    <x v="0"/>
    <x v="1"/>
    <x v="1"/>
    <m/>
    <x v="0"/>
    <x v="0"/>
    <m/>
    <s v="Dólares"/>
    <n v="8203.64"/>
    <s v="3101802628 S.A"/>
    <x v="5"/>
    <s v="NO"/>
    <m/>
  </r>
  <r>
    <x v="3"/>
    <x v="3"/>
    <x v="2"/>
    <m/>
    <x v="0"/>
    <x v="0"/>
    <m/>
    <s v="Dólares"/>
    <n v="2167.6999999999998"/>
    <s v="Universidad de Costa Rica"/>
    <x v="5"/>
    <s v="NO"/>
    <m/>
  </r>
  <r>
    <x v="0"/>
    <x v="2"/>
    <x v="2"/>
    <m/>
    <x v="0"/>
    <x v="0"/>
    <m/>
    <s v="Dólares"/>
    <n v="19533.77"/>
    <s v="BOSTON SCIENTIFIC DE COSTA RICA S.R.L"/>
    <x v="5"/>
    <s v="SI"/>
    <m/>
  </r>
  <r>
    <x v="0"/>
    <x v="3"/>
    <x v="2"/>
    <m/>
    <x v="0"/>
    <x v="0"/>
    <m/>
    <s v="Dólares"/>
    <n v="1098.71"/>
    <s v="Corporacion de Supermercados Unidos SRL"/>
    <x v="5"/>
    <s v="NO"/>
    <m/>
  </r>
  <r>
    <x v="3"/>
    <x v="3"/>
    <x v="2"/>
    <m/>
    <x v="0"/>
    <x v="0"/>
    <m/>
    <s v="Dólares"/>
    <n v="980.84"/>
    <s v="BTSU SOCIEDAD ANONIMA"/>
    <x v="5"/>
    <s v="SI"/>
    <m/>
  </r>
  <r>
    <x v="0"/>
    <x v="0"/>
    <x v="1"/>
    <m/>
    <x v="0"/>
    <x v="0"/>
    <m/>
    <s v="Dólares"/>
    <n v="15937"/>
    <s v="Clientes Nuevos"/>
    <x v="5"/>
    <m/>
    <m/>
  </r>
  <r>
    <x v="1"/>
    <x v="0"/>
    <x v="0"/>
    <m/>
    <x v="0"/>
    <x v="0"/>
    <m/>
    <s v="Dólares"/>
    <n v="15625"/>
    <s v="Clientes Nuevos"/>
    <x v="5"/>
    <m/>
    <m/>
  </r>
  <r>
    <x v="0"/>
    <x v="0"/>
    <x v="0"/>
    <m/>
    <x v="0"/>
    <x v="0"/>
    <m/>
    <s v="Dólares"/>
    <n v="89687"/>
    <s v="Clientes Nuevos"/>
    <x v="5"/>
    <m/>
    <m/>
  </r>
  <r>
    <x v="1"/>
    <x v="0"/>
    <x v="1"/>
    <m/>
    <x v="0"/>
    <x v="0"/>
    <m/>
    <s v="Dólares"/>
    <n v="3000"/>
    <s v="Clientes Nuevos"/>
    <x v="5"/>
    <s v="SI"/>
    <m/>
  </r>
  <r>
    <x v="0"/>
    <x v="1"/>
    <x v="0"/>
    <m/>
    <x v="0"/>
    <x v="0"/>
    <m/>
    <s v="Dólares"/>
    <n v="21978.26"/>
    <s v="CONOBRA"/>
    <x v="5"/>
    <s v="SI"/>
    <m/>
  </r>
  <r>
    <x v="0"/>
    <x v="2"/>
    <x v="2"/>
    <m/>
    <x v="0"/>
    <x v="0"/>
    <m/>
    <s v="Dólares"/>
    <n v="7191.65"/>
    <s v="Cooperativa de Productores de leche Dos PinosR L"/>
    <x v="5"/>
    <s v="SI"/>
    <m/>
  </r>
  <r>
    <x v="0"/>
    <x v="2"/>
    <x v="2"/>
    <m/>
    <x v="0"/>
    <x v="0"/>
    <m/>
    <s v="Dólares"/>
    <n v="3338.62"/>
    <s v="Cooperativa de Productores de leche Dos PinosR L"/>
    <x v="5"/>
    <s v="SI"/>
    <m/>
  </r>
  <r>
    <x v="0"/>
    <x v="2"/>
    <x v="2"/>
    <m/>
    <x v="0"/>
    <x v="0"/>
    <m/>
    <s v="Dólares"/>
    <n v="11147.9"/>
    <s v="Cooperativa de Productores de leche Dos PinosR L"/>
    <x v="5"/>
    <s v="SI"/>
    <m/>
  </r>
  <r>
    <x v="0"/>
    <x v="2"/>
    <x v="2"/>
    <m/>
    <x v="0"/>
    <x v="0"/>
    <m/>
    <s v="Dólares"/>
    <n v="11433.41"/>
    <s v="Cooperativa de Productores de leche Dos PinosR L"/>
    <x v="5"/>
    <s v="SI"/>
    <m/>
  </r>
  <r>
    <x v="3"/>
    <x v="3"/>
    <x v="2"/>
    <m/>
    <x v="0"/>
    <x v="0"/>
    <m/>
    <s v="Dólares"/>
    <n v="868.76"/>
    <s v="BTSU SOCIEDAD ANONIMA"/>
    <x v="5"/>
    <s v="SI"/>
    <m/>
  </r>
  <r>
    <x v="0"/>
    <x v="3"/>
    <x v="2"/>
    <m/>
    <x v="0"/>
    <x v="0"/>
    <m/>
    <s v="Dólares"/>
    <n v="845.82"/>
    <s v="SAMTEC INTERCONNECT ASSEMBLY SIA COSTA RICA S.R.L"/>
    <x v="5"/>
    <s v="NO"/>
    <m/>
  </r>
  <r>
    <x v="0"/>
    <x v="1"/>
    <x v="2"/>
    <m/>
    <x v="0"/>
    <x v="0"/>
    <m/>
    <s v="Dólares"/>
    <n v="40000"/>
    <s v="Edica"/>
    <x v="5"/>
    <s v="NO"/>
    <m/>
  </r>
  <r>
    <x v="0"/>
    <x v="1"/>
    <x v="1"/>
    <m/>
    <x v="0"/>
    <x v="0"/>
    <m/>
    <s v="Dólares"/>
    <n v="111000"/>
    <s v="Edica"/>
    <x v="5"/>
    <s v="NO"/>
    <m/>
  </r>
  <r>
    <x v="3"/>
    <x v="3"/>
    <x v="2"/>
    <m/>
    <x v="0"/>
    <x v="0"/>
    <m/>
    <s v="Dólares"/>
    <n v="727.26"/>
    <s v="PARQUE CENTRAL SOCIEDAD ANONIMA"/>
    <x v="5"/>
    <s v="NO"/>
    <m/>
  </r>
  <r>
    <x v="3"/>
    <x v="3"/>
    <x v="2"/>
    <m/>
    <x v="0"/>
    <x v="0"/>
    <m/>
    <s v="Dólares"/>
    <n v="197.04"/>
    <s v="MUNICIPALIDAD DE PARRITA"/>
    <x v="5"/>
    <s v="SI"/>
    <m/>
  </r>
  <r>
    <x v="0"/>
    <x v="1"/>
    <x v="0"/>
    <m/>
    <x v="0"/>
    <x v="0"/>
    <m/>
    <s v="Dólares"/>
    <n v="50000"/>
    <s v="Guachipelin Estate Trescientos Diez  SA"/>
    <x v="5"/>
    <s v="SI"/>
    <m/>
  </r>
  <r>
    <x v="1"/>
    <x v="0"/>
    <x v="2"/>
    <m/>
    <x v="0"/>
    <x v="0"/>
    <m/>
    <s v="Dólares"/>
    <n v="3000"/>
    <s v="MediPlus"/>
    <x v="5"/>
    <s v="NO"/>
    <m/>
  </r>
  <r>
    <x v="1"/>
    <x v="0"/>
    <x v="2"/>
    <m/>
    <x v="0"/>
    <x v="0"/>
    <m/>
    <s v="Dólares"/>
    <n v="51000"/>
    <s v="Eco Desarrollos Papagayo"/>
    <x v="7"/>
    <m/>
    <m/>
  </r>
  <r>
    <x v="0"/>
    <x v="2"/>
    <x v="0"/>
    <m/>
    <x v="0"/>
    <x v="0"/>
    <m/>
    <s v="Dólares"/>
    <n v="7401.97"/>
    <s v="INTACO COSTA RICA SOCIEDAD ANONIMA"/>
    <x v="7"/>
    <m/>
    <m/>
  </r>
  <r>
    <x v="0"/>
    <x v="2"/>
    <x v="0"/>
    <m/>
    <x v="0"/>
    <x v="0"/>
    <m/>
    <s v="Dólares"/>
    <n v="2201.3000000000002"/>
    <s v="INTACO COSTA RICA SOCIEDAD ANONIMA"/>
    <x v="7"/>
    <m/>
    <m/>
  </r>
  <r>
    <x v="0"/>
    <x v="1"/>
    <x v="0"/>
    <m/>
    <x v="0"/>
    <x v="0"/>
    <m/>
    <s v="Dólares"/>
    <n v="84872.36"/>
    <s v="EURO NASARA"/>
    <x v="7"/>
    <m/>
    <m/>
  </r>
  <r>
    <x v="0"/>
    <x v="1"/>
    <x v="0"/>
    <m/>
    <x v="0"/>
    <x v="0"/>
    <m/>
    <s v="Dólares"/>
    <n v="58630.03"/>
    <s v="CIELO DE BABILONIA"/>
    <x v="7"/>
    <m/>
    <m/>
  </r>
  <r>
    <x v="2"/>
    <x v="3"/>
    <x v="0"/>
    <m/>
    <x v="0"/>
    <x v="0"/>
    <m/>
    <s v="Dólares"/>
    <n v="20000"/>
    <s v="PROYECCION SEMANA 01 OUTLET JULIO"/>
    <x v="7"/>
    <m/>
    <m/>
  </r>
  <r>
    <x v="0"/>
    <x v="3"/>
    <x v="2"/>
    <m/>
    <x v="0"/>
    <x v="0"/>
    <m/>
    <s v="Dólares"/>
    <n v="20462"/>
    <s v="JONES LANG LASALLE LIMITADA"/>
    <x v="7"/>
    <m/>
    <m/>
  </r>
  <r>
    <x v="0"/>
    <x v="3"/>
    <x v="2"/>
    <m/>
    <x v="0"/>
    <x v="0"/>
    <m/>
    <s v="Dólares"/>
    <n v="15520.43"/>
    <s v="ASOCIACION SOLIDARISTA DE EMPLEADOS DE LA CCSS"/>
    <x v="7"/>
    <m/>
    <m/>
  </r>
  <r>
    <x v="0"/>
    <x v="3"/>
    <x v="2"/>
    <m/>
    <x v="0"/>
    <x v="0"/>
    <m/>
    <s v="Dólares"/>
    <n v="1502.9"/>
    <s v="EDISOLUCIONES INTEGRALES EDISOL SOCIEDAD DE RESPONSABILIDAD LIMITADA"/>
    <x v="7"/>
    <m/>
    <m/>
  </r>
  <r>
    <x v="0"/>
    <x v="3"/>
    <x v="2"/>
    <m/>
    <x v="0"/>
    <x v="0"/>
    <m/>
    <s v="Dólares"/>
    <n v="1398.23"/>
    <s v="ASOCIACION SOLIDARISTA EMPLEADOS CAJA COSTARRICENSE SEGURO SOCIAL"/>
    <x v="7"/>
    <m/>
    <m/>
  </r>
  <r>
    <x v="0"/>
    <x v="3"/>
    <x v="0"/>
    <m/>
    <x v="0"/>
    <x v="0"/>
    <m/>
    <s v="Dólares"/>
    <n v="1546.04"/>
    <s v="BANCO CENTROAMERICANO DE INTEGRACION ECONOMICA"/>
    <x v="7"/>
    <m/>
    <m/>
  </r>
  <r>
    <x v="0"/>
    <x v="3"/>
    <x v="0"/>
    <m/>
    <x v="0"/>
    <x v="0"/>
    <m/>
    <s v="Dólares"/>
    <n v="42582.98"/>
    <s v="AUTO REPUESTOS AVENIDA DIEZ S.A."/>
    <x v="7"/>
    <m/>
    <m/>
  </r>
  <r>
    <x v="0"/>
    <x v="3"/>
    <x v="0"/>
    <m/>
    <x v="0"/>
    <x v="0"/>
    <m/>
    <s v="Dólares"/>
    <n v="29175.360000000001"/>
    <s v="AUTO REPUESTOS AVENIDA DIEZ S.A."/>
    <x v="7"/>
    <m/>
    <m/>
  </r>
  <r>
    <x v="0"/>
    <x v="3"/>
    <x v="0"/>
    <m/>
    <x v="0"/>
    <x v="0"/>
    <m/>
    <s v="Dólares"/>
    <n v="13411.8"/>
    <s v="AUTO REPUESTOS AVENIDA DIEZ S.A."/>
    <x v="7"/>
    <m/>
    <m/>
  </r>
  <r>
    <x v="0"/>
    <x v="3"/>
    <x v="0"/>
    <m/>
    <x v="0"/>
    <x v="0"/>
    <m/>
    <s v="Dólares"/>
    <n v="4721.08"/>
    <s v="AUTO REPUESTOS AVENIDA DIEZ S.A."/>
    <x v="7"/>
    <m/>
    <m/>
  </r>
  <r>
    <x v="0"/>
    <x v="3"/>
    <x v="0"/>
    <m/>
    <x v="0"/>
    <x v="0"/>
    <m/>
    <s v="Dólares"/>
    <n v="1603.06"/>
    <s v="AUTO REPUESTOS AVENIDA DIEZ S.A."/>
    <x v="7"/>
    <m/>
    <m/>
  </r>
  <r>
    <x v="3"/>
    <x v="3"/>
    <x v="2"/>
    <m/>
    <x v="0"/>
    <x v="0"/>
    <m/>
    <s v="Dólares"/>
    <n v="5000"/>
    <s v="CONICO, CONSULTORIA INTEGRAL DE LA CONSTRUCCION, SOCIEDAD ANONIMA"/>
    <x v="7"/>
    <m/>
    <m/>
  </r>
  <r>
    <x v="3"/>
    <x v="3"/>
    <x v="0"/>
    <m/>
    <x v="0"/>
    <x v="0"/>
    <m/>
    <s v="Dólares"/>
    <n v="6684.12"/>
    <s v="INGENIUM LATIN AMERICA SOCIEDAD DE RESPONSABILIDAD LIMITADA"/>
    <x v="7"/>
    <m/>
    <m/>
  </r>
  <r>
    <x v="3"/>
    <x v="3"/>
    <x v="0"/>
    <m/>
    <x v="0"/>
    <x v="0"/>
    <m/>
    <s v="Dólares"/>
    <n v="3414.58"/>
    <s v="FERRETERIA EPA, SOCIEDAD ANONIMA"/>
    <x v="7"/>
    <m/>
    <m/>
  </r>
  <r>
    <x v="3"/>
    <x v="3"/>
    <x v="0"/>
    <m/>
    <x v="0"/>
    <x v="0"/>
    <m/>
    <s v="Dólares"/>
    <n v="205.72"/>
    <s v="Universidad de Costa Rica"/>
    <x v="7"/>
    <m/>
    <m/>
  </r>
  <r>
    <x v="3"/>
    <x v="3"/>
    <x v="0"/>
    <m/>
    <x v="0"/>
    <x v="0"/>
    <m/>
    <s v="Dólares"/>
    <n v="14442.48"/>
    <s v="VML COSTA RICA SOCIEDAD DE RESPONSABILIDAD LIMITADA"/>
    <x v="7"/>
    <m/>
    <m/>
  </r>
  <r>
    <x v="0"/>
    <x v="3"/>
    <x v="2"/>
    <m/>
    <x v="0"/>
    <x v="0"/>
    <m/>
    <s v="Dólares"/>
    <n v="2671.98"/>
    <s v="EDWIN LUILLY MADRIGAL HERNANDEZ"/>
    <x v="7"/>
    <m/>
    <m/>
  </r>
  <r>
    <x v="0"/>
    <x v="1"/>
    <x v="0"/>
    <m/>
    <x v="0"/>
    <x v="0"/>
    <m/>
    <s v="Dólares"/>
    <n v="14309.19"/>
    <s v="Residencias de Santa Ana"/>
    <x v="7"/>
    <m/>
    <m/>
  </r>
  <r>
    <x v="0"/>
    <x v="3"/>
    <x v="2"/>
    <m/>
    <x v="0"/>
    <x v="0"/>
    <m/>
    <s v="Dólares"/>
    <n v="25000"/>
    <s v="P Y P CONSTRUCCIONES SOCIEDAD ANONIMA"/>
    <x v="9"/>
    <m/>
    <m/>
  </r>
  <r>
    <x v="0"/>
    <x v="3"/>
    <x v="0"/>
    <m/>
    <x v="0"/>
    <x v="0"/>
    <m/>
    <s v="Dólares"/>
    <n v="20000"/>
    <s v="PROYECCION SEMANA 01 OUTLET SETIEMBRE"/>
    <x v="9"/>
    <m/>
    <m/>
  </r>
  <r>
    <x v="0"/>
    <x v="0"/>
    <x v="0"/>
    <m/>
    <x v="0"/>
    <x v="0"/>
    <m/>
    <s v="Dólares"/>
    <n v="60000"/>
    <s v="Clientes Nuevos"/>
    <x v="9"/>
    <m/>
    <m/>
  </r>
  <r>
    <x v="0"/>
    <x v="2"/>
    <x v="0"/>
    <m/>
    <x v="0"/>
    <x v="0"/>
    <m/>
    <s v="Dólares"/>
    <n v="39546.9"/>
    <s v="CORPORACION DE SUMINISTROS Y MATERIALES DE CONSTRUCCION SOCIEDAD ANONIMA"/>
    <x v="9"/>
    <m/>
    <m/>
  </r>
  <r>
    <x v="0"/>
    <x v="2"/>
    <x v="0"/>
    <m/>
    <x v="0"/>
    <x v="0"/>
    <m/>
    <s v="Dólares"/>
    <n v="15891"/>
    <s v="SWAV CR SOCIEDAD DE RESPONSABILIDAD LIMITADA"/>
    <x v="9"/>
    <m/>
    <m/>
  </r>
  <r>
    <x v="0"/>
    <x v="2"/>
    <x v="0"/>
    <m/>
    <x v="0"/>
    <x v="0"/>
    <m/>
    <s v="Dólares"/>
    <n v="17984.259999999998"/>
    <s v="INARI MEDICAL COSTA RICA SOCIEDAD ANONIMA"/>
    <x v="9"/>
    <m/>
    <m/>
  </r>
  <r>
    <x v="0"/>
    <x v="2"/>
    <x v="0"/>
    <m/>
    <x v="0"/>
    <x v="0"/>
    <m/>
    <s v="Dólares"/>
    <n v="5128.2"/>
    <s v="NESTLE EL SALVADOR, S.A. DE C.V."/>
    <x v="9"/>
    <m/>
    <m/>
  </r>
  <r>
    <x v="0"/>
    <x v="2"/>
    <x v="1"/>
    <m/>
    <x v="0"/>
    <x v="0"/>
    <m/>
    <s v="Dólares"/>
    <n v="119000"/>
    <s v="LANCO PAINTS"/>
    <x v="9"/>
    <m/>
    <m/>
  </r>
  <r>
    <x v="0"/>
    <x v="3"/>
    <x v="0"/>
    <m/>
    <x v="0"/>
    <x v="0"/>
    <m/>
    <s v="Dólares"/>
    <n v="8970"/>
    <s v="COMPAÑIA NACIONAL DE FUERZA Y LUZ SOCIEDAD ANONIMA"/>
    <x v="9"/>
    <m/>
    <m/>
  </r>
  <r>
    <x v="0"/>
    <x v="1"/>
    <x v="1"/>
    <m/>
    <x v="0"/>
    <x v="0"/>
    <m/>
    <s v="Dólares"/>
    <n v="333000"/>
    <s v="EDICA SKY GARDEN"/>
    <x v="9"/>
    <m/>
    <m/>
  </r>
  <r>
    <x v="0"/>
    <x v="1"/>
    <x v="1"/>
    <m/>
    <x v="0"/>
    <x v="0"/>
    <m/>
    <s v="Dólares"/>
    <n v="105000"/>
    <s v="EURO LINDORA"/>
    <x v="9"/>
    <m/>
    <m/>
  </r>
  <r>
    <x v="0"/>
    <x v="1"/>
    <x v="0"/>
    <m/>
    <x v="0"/>
    <x v="0"/>
    <m/>
    <s v="Dólares"/>
    <n v="36850"/>
    <s v="PROPIEDADES EL RINCÓN DE LOS SUEÑOS S.A"/>
    <x v="9"/>
    <m/>
    <m/>
  </r>
  <r>
    <x v="0"/>
    <x v="0"/>
    <x v="0"/>
    <m/>
    <x v="0"/>
    <x v="0"/>
    <m/>
    <s v="Dólares"/>
    <n v="60000"/>
    <s v="PAGO INICIO DE INSTALACIONES HOGAR"/>
    <x v="8"/>
    <m/>
    <m/>
  </r>
  <r>
    <x v="1"/>
    <x v="0"/>
    <x v="0"/>
    <m/>
    <x v="0"/>
    <x v="0"/>
    <m/>
    <s v="Dólares"/>
    <n v="25000"/>
    <s v="CLIENTE NUEVOS MULTICLAMP"/>
    <x v="8"/>
    <m/>
    <m/>
  </r>
  <r>
    <x v="0"/>
    <x v="3"/>
    <x v="0"/>
    <m/>
    <x v="0"/>
    <x v="0"/>
    <m/>
    <s v="Dólares"/>
    <n v="66000"/>
    <s v="FONDO DE INVERSION INMOB LOS CRESTONES"/>
    <x v="8"/>
    <m/>
    <m/>
  </r>
  <r>
    <x v="0"/>
    <x v="3"/>
    <x v="0"/>
    <m/>
    <x v="0"/>
    <x v="0"/>
    <m/>
    <s v="Dólares"/>
    <n v="54844.26"/>
    <s v="FONDO DE INVERSION INMOB LOS CRESTONES"/>
    <x v="8"/>
    <m/>
    <m/>
  </r>
  <r>
    <x v="3"/>
    <x v="3"/>
    <x v="2"/>
    <m/>
    <x v="0"/>
    <x v="0"/>
    <m/>
    <s v="Dólares"/>
    <n v="17547.150000000001"/>
    <s v="VML COSTA RICA SOCIEDAD DE RESPONSABILIDAD LIMITADA"/>
    <x v="8"/>
    <m/>
    <m/>
  </r>
  <r>
    <x v="3"/>
    <x v="3"/>
    <x v="0"/>
    <m/>
    <x v="0"/>
    <x v="0"/>
    <m/>
    <s v="Dólares"/>
    <n v="35265.4"/>
    <s v="ULTRAPARK DOS SOCIEDAD ANONIMA"/>
    <x v="8"/>
    <m/>
    <m/>
  </r>
  <r>
    <x v="2"/>
    <x v="3"/>
    <x v="0"/>
    <m/>
    <x v="0"/>
    <x v="0"/>
    <m/>
    <s v="Dólares"/>
    <n v="20000"/>
    <s v="PAGO EXPRESS"/>
    <x v="8"/>
    <m/>
    <m/>
  </r>
  <r>
    <x v="0"/>
    <x v="2"/>
    <x v="2"/>
    <m/>
    <x v="0"/>
    <x v="0"/>
    <m/>
    <s v="Dólares"/>
    <n v="22841.15"/>
    <s v="AYURVEDA CENTROAMERICANA SOCIEDAD ANONIMA"/>
    <x v="8"/>
    <m/>
    <m/>
  </r>
  <r>
    <x v="0"/>
    <x v="1"/>
    <x v="1"/>
    <m/>
    <x v="0"/>
    <x v="0"/>
    <m/>
    <s v="Dólares"/>
    <n v="239622"/>
    <s v="PROYCON - MAR AZUL"/>
    <x v="8"/>
    <m/>
    <m/>
  </r>
  <r>
    <x v="0"/>
    <x v="3"/>
    <x v="0"/>
    <m/>
    <x v="0"/>
    <x v="2"/>
    <m/>
    <s v="Dólares"/>
    <n v="27861"/>
    <s v="CORTE SUPREMA DE JUSTICIA PODER JUDICIAL"/>
    <x v="5"/>
    <s v="SI"/>
    <m/>
  </r>
  <r>
    <x v="2"/>
    <x v="3"/>
    <x v="0"/>
    <m/>
    <x v="0"/>
    <x v="2"/>
    <m/>
    <s v="Dólares"/>
    <n v="20000"/>
    <s v="PROYECCION SEMANA 02 OUTLET JUNIO"/>
    <x v="5"/>
    <s v="SI"/>
    <m/>
  </r>
  <r>
    <x v="0"/>
    <x v="3"/>
    <x v="2"/>
    <m/>
    <x v="0"/>
    <x v="2"/>
    <m/>
    <s v="Dólares"/>
    <n v="19814.439999999999"/>
    <s v="FONDO DE INVERSION INMOB LOS CRESTONES"/>
    <x v="5"/>
    <s v="NO"/>
    <m/>
  </r>
  <r>
    <x v="0"/>
    <x v="3"/>
    <x v="2"/>
    <m/>
    <x v="0"/>
    <x v="2"/>
    <m/>
    <s v="Dólares"/>
    <n v="10732.63"/>
    <s v="ASOCIACIÓN DE SERVICIOS MEDICOS COSTARRICENSES"/>
    <x v="5"/>
    <s v="SI"/>
    <m/>
  </r>
  <r>
    <x v="3"/>
    <x v="3"/>
    <x v="0"/>
    <m/>
    <x v="0"/>
    <x v="2"/>
    <m/>
    <s v="Dólares"/>
    <n v="8625.4500000000007"/>
    <s v="CONTRACT WORKPLACES COSTA RICA SOCIEDAD ANONIMA"/>
    <x v="5"/>
    <s v="SI"/>
    <m/>
  </r>
  <r>
    <x v="3"/>
    <x v="3"/>
    <x v="0"/>
    <m/>
    <x v="0"/>
    <x v="2"/>
    <m/>
    <s v="Dólares"/>
    <n v="8625.4500000000007"/>
    <s v="CONTRACT WORKPLACES COSTA RICA SOCIEDAD ANONIMA"/>
    <x v="5"/>
    <s v="SI"/>
    <m/>
  </r>
  <r>
    <x v="0"/>
    <x v="3"/>
    <x v="0"/>
    <m/>
    <x v="0"/>
    <x v="2"/>
    <m/>
    <s v="Dólares"/>
    <n v="7417.04"/>
    <s v="COOPERATIVA NACIONAL DE EDUCADORES R L"/>
    <x v="5"/>
    <s v="NO"/>
    <m/>
  </r>
  <r>
    <x v="3"/>
    <x v="3"/>
    <x v="0"/>
    <m/>
    <x v="0"/>
    <x v="2"/>
    <m/>
    <s v="Dólares"/>
    <n v="3450.19"/>
    <s v="CONTRACT WORKPLACES COSTA RICA SOCIEDAD ANONIMA"/>
    <x v="5"/>
    <s v="SI"/>
    <m/>
  </r>
  <r>
    <x v="0"/>
    <x v="3"/>
    <x v="0"/>
    <m/>
    <x v="0"/>
    <x v="2"/>
    <m/>
    <s v="Dólares"/>
    <n v="3210"/>
    <s v="TERADYNE DECOSTA RICA SOCIEDAD DE RESPONSABILIDAD LIMITADA"/>
    <x v="5"/>
    <s v="SI"/>
    <m/>
  </r>
  <r>
    <x v="0"/>
    <x v="3"/>
    <x v="2"/>
    <m/>
    <x v="0"/>
    <x v="2"/>
    <m/>
    <s v="Dólares"/>
    <n v="2255.5"/>
    <s v="NUCLEO BUSINESS CENTER SOCIEDAD ANONIMA"/>
    <x v="5"/>
    <s v="NO"/>
    <m/>
  </r>
  <r>
    <x v="1"/>
    <x v="0"/>
    <x v="1"/>
    <m/>
    <x v="0"/>
    <x v="2"/>
    <m/>
    <s v="Dólares"/>
    <n v="2000"/>
    <s v="Clientes Nuevos"/>
    <x v="5"/>
    <s v="NO"/>
    <m/>
  </r>
  <r>
    <x v="0"/>
    <x v="0"/>
    <x v="1"/>
    <m/>
    <x v="0"/>
    <x v="2"/>
    <m/>
    <s v="Dólares"/>
    <n v="14025"/>
    <s v="Clientes Nuevos"/>
    <x v="5"/>
    <s v="NO"/>
    <m/>
  </r>
  <r>
    <x v="1"/>
    <x v="0"/>
    <x v="0"/>
    <m/>
    <x v="0"/>
    <x v="2"/>
    <m/>
    <s v="Dólares"/>
    <n v="13750"/>
    <s v="Clientes Nuevos"/>
    <x v="5"/>
    <s v="SI"/>
    <m/>
  </r>
  <r>
    <x v="0"/>
    <x v="0"/>
    <x v="0"/>
    <m/>
    <x v="0"/>
    <x v="2"/>
    <m/>
    <s v="Dólares"/>
    <n v="80125"/>
    <s v="Clientes Nuevos"/>
    <x v="5"/>
    <s v="NO"/>
    <m/>
  </r>
  <r>
    <x v="0"/>
    <x v="2"/>
    <x v="0"/>
    <m/>
    <x v="0"/>
    <x v="2"/>
    <m/>
    <s v="Dólares"/>
    <n v="2370.0700000000002"/>
    <s v="EATON ELECTRICAL SRL"/>
    <x v="5"/>
    <s v="NO"/>
    <m/>
  </r>
  <r>
    <x v="0"/>
    <x v="1"/>
    <x v="0"/>
    <m/>
    <x v="0"/>
    <x v="2"/>
    <m/>
    <s v="Dólares"/>
    <n v="20000"/>
    <s v="Edica"/>
    <x v="5"/>
    <s v="SI"/>
    <m/>
  </r>
  <r>
    <x v="0"/>
    <x v="2"/>
    <x v="0"/>
    <m/>
    <x v="0"/>
    <x v="2"/>
    <m/>
    <s v="Dólares"/>
    <n v="848.81"/>
    <s v="EMP INTEL DE COSTA RICA SRL"/>
    <x v="5"/>
    <s v="NO"/>
    <m/>
  </r>
  <r>
    <x v="0"/>
    <x v="2"/>
    <x v="0"/>
    <m/>
    <x v="0"/>
    <x v="2"/>
    <m/>
    <s v="Dólares"/>
    <n v="383.71"/>
    <s v="INDUSTRIAL LUGUME SOCIEDAD ANONIMA"/>
    <x v="5"/>
    <s v="NO"/>
    <m/>
  </r>
  <r>
    <x v="0"/>
    <x v="2"/>
    <x v="0"/>
    <m/>
    <x v="0"/>
    <x v="2"/>
    <m/>
    <s v="Dólares"/>
    <n v="1944.66"/>
    <s v="OKAY INDUSTRIES COSTA RICA SRL"/>
    <x v="5"/>
    <s v="NO"/>
    <m/>
  </r>
  <r>
    <x v="0"/>
    <x v="2"/>
    <x v="0"/>
    <m/>
    <x v="0"/>
    <x v="2"/>
    <m/>
    <s v="Dólares"/>
    <n v="16143.77"/>
    <s v="PURDY MOTOR SOCIEDAD ANONIMA"/>
    <x v="5"/>
    <s v="SI"/>
    <m/>
  </r>
  <r>
    <x v="0"/>
    <x v="2"/>
    <x v="2"/>
    <m/>
    <x v="0"/>
    <x v="2"/>
    <m/>
    <s v="Dólares"/>
    <n v="200"/>
    <s v="SWAV CR SOCIEDAD DE RESPONSABILIDAD LIMITADA"/>
    <x v="5"/>
    <s v="NO"/>
    <m/>
  </r>
  <r>
    <x v="0"/>
    <x v="2"/>
    <x v="0"/>
    <m/>
    <x v="0"/>
    <x v="2"/>
    <m/>
    <s v="Dólares"/>
    <n v="245.13"/>
    <s v="Tecnibandas S.A"/>
    <x v="5"/>
    <s v="NO"/>
    <m/>
  </r>
  <r>
    <x v="0"/>
    <x v="2"/>
    <x v="0"/>
    <m/>
    <x v="0"/>
    <x v="2"/>
    <m/>
    <s v="Dólares"/>
    <n v="88805.81"/>
    <s v="INARI MEDICAL COSTA RICA SOCIEDAD ANONIMA"/>
    <x v="7"/>
    <m/>
    <m/>
  </r>
  <r>
    <x v="0"/>
    <x v="2"/>
    <x v="0"/>
    <m/>
    <x v="0"/>
    <x v="2"/>
    <m/>
    <s v="Dólares"/>
    <n v="5479.55"/>
    <s v="BOSTON SCIENTIFIC DE COSTA RICA S.R.L"/>
    <x v="7"/>
    <m/>
    <m/>
  </r>
  <r>
    <x v="0"/>
    <x v="1"/>
    <x v="1"/>
    <m/>
    <x v="0"/>
    <x v="2"/>
    <m/>
    <s v="Dólares"/>
    <n v="46109.22"/>
    <s v="Consultora T Tres"/>
    <x v="7"/>
    <m/>
    <m/>
  </r>
  <r>
    <x v="0"/>
    <x v="1"/>
    <x v="2"/>
    <m/>
    <x v="0"/>
    <x v="2"/>
    <m/>
    <s v="Dólares"/>
    <n v="19513.990000000002"/>
    <s v="BILCO COSTA RICA SA"/>
    <x v="7"/>
    <m/>
    <m/>
  </r>
  <r>
    <x v="0"/>
    <x v="1"/>
    <x v="2"/>
    <m/>
    <x v="0"/>
    <x v="2"/>
    <m/>
    <s v="Dólares"/>
    <n v="11787.33"/>
    <s v="VOLIO Y TREJOS ASOCIADOS S.A"/>
    <x v="7"/>
    <m/>
    <m/>
  </r>
  <r>
    <x v="0"/>
    <x v="2"/>
    <x v="0"/>
    <m/>
    <x v="0"/>
    <x v="2"/>
    <m/>
    <s v="Dólares"/>
    <n v="205045.77"/>
    <s v="ARRENDADORA CAFSA SOCIEDAD ANONIMA"/>
    <x v="7"/>
    <m/>
    <m/>
  </r>
  <r>
    <x v="2"/>
    <x v="3"/>
    <x v="0"/>
    <m/>
    <x v="0"/>
    <x v="2"/>
    <m/>
    <s v="Dólares"/>
    <n v="20000"/>
    <s v="PROYECCION SEMANA 02 OUTLET JULIO"/>
    <x v="7"/>
    <m/>
    <m/>
  </r>
  <r>
    <x v="0"/>
    <x v="3"/>
    <x v="2"/>
    <m/>
    <x v="0"/>
    <x v="2"/>
    <m/>
    <s v="Dólares"/>
    <n v="9695.56"/>
    <s v="TRIBUNAL SUPREMO DE ELECCIONES"/>
    <x v="7"/>
    <m/>
    <m/>
  </r>
  <r>
    <x v="0"/>
    <x v="3"/>
    <x v="0"/>
    <m/>
    <x v="0"/>
    <x v="2"/>
    <m/>
    <s v="Dólares"/>
    <n v="1799.95"/>
    <s v="EDIFISA CONSTRUCTORA, S.A."/>
    <x v="7"/>
    <m/>
    <m/>
  </r>
  <r>
    <x v="0"/>
    <x v="3"/>
    <x v="0"/>
    <m/>
    <x v="0"/>
    <x v="2"/>
    <m/>
    <s v="Dólares"/>
    <n v="3595.42"/>
    <s v="UNION COMERCIAL DE COSTA RICA, UNICOMER SOCIEDAD ANONIMA"/>
    <x v="7"/>
    <m/>
    <m/>
  </r>
  <r>
    <x v="3"/>
    <x v="3"/>
    <x v="2"/>
    <m/>
    <x v="0"/>
    <x v="2"/>
    <m/>
    <s v="Dólares"/>
    <n v="1164.0999999999999"/>
    <s v="INSTITUTO COSTARRICENSE DE ACUEDUCTOS Y ALCANTARILLADOS"/>
    <x v="7"/>
    <m/>
    <m/>
  </r>
  <r>
    <x v="3"/>
    <x v="3"/>
    <x v="0"/>
    <m/>
    <x v="0"/>
    <x v="2"/>
    <m/>
    <s v="Dólares"/>
    <n v="8400.92"/>
    <s v="CONTRACT WORKPLACES COSTA RICA SOCIEDAD ANONIMA"/>
    <x v="7"/>
    <m/>
    <m/>
  </r>
  <r>
    <x v="3"/>
    <x v="3"/>
    <x v="0"/>
    <m/>
    <x v="0"/>
    <x v="2"/>
    <m/>
    <s v="Dólares"/>
    <n v="2831.84"/>
    <s v="CONTRACT WORKPLACES COSTA RICA SOCIEDAD ANONIMA"/>
    <x v="7"/>
    <m/>
    <m/>
  </r>
  <r>
    <x v="3"/>
    <x v="3"/>
    <x v="0"/>
    <m/>
    <x v="0"/>
    <x v="2"/>
    <m/>
    <s v="Dólares"/>
    <n v="10255.629999999999"/>
    <s v="COMPAÑIA NACIONAL DE FUERZA Y LUZ SOCIEDAD ANONIMA"/>
    <x v="7"/>
    <m/>
    <m/>
  </r>
  <r>
    <x v="3"/>
    <x v="3"/>
    <x v="0"/>
    <m/>
    <x v="0"/>
    <x v="2"/>
    <m/>
    <s v="Dólares"/>
    <n v="2279.0300000000002"/>
    <s v="COMPAÑIA NACIONAL DE FUERZA Y LUZ SOCIEDAD ANONIMA"/>
    <x v="7"/>
    <m/>
    <m/>
  </r>
  <r>
    <x v="3"/>
    <x v="3"/>
    <x v="1"/>
    <m/>
    <x v="0"/>
    <x v="2"/>
    <m/>
    <s v="Dólares"/>
    <n v="47149"/>
    <s v="CR HOY"/>
    <x v="7"/>
    <m/>
    <m/>
  </r>
  <r>
    <x v="0"/>
    <x v="1"/>
    <x v="0"/>
    <m/>
    <x v="0"/>
    <x v="2"/>
    <m/>
    <s v="Dólares"/>
    <n v="12152.58"/>
    <s v="BILCO COSTA RICA SA"/>
    <x v="7"/>
    <m/>
    <m/>
  </r>
  <r>
    <x v="3"/>
    <x v="3"/>
    <x v="2"/>
    <m/>
    <x v="0"/>
    <x v="2"/>
    <m/>
    <s v="Dólares"/>
    <n v="62962.07"/>
    <s v="CAJA COSTARRICENSE DE SEGURO SOCIAL"/>
    <x v="9"/>
    <m/>
    <m/>
  </r>
  <r>
    <x v="0"/>
    <x v="3"/>
    <x v="0"/>
    <m/>
    <x v="0"/>
    <x v="2"/>
    <m/>
    <s v="Dólares"/>
    <n v="25000"/>
    <s v="P Y P CONSTRUCCIONES SOCIEDAD ANONIMA"/>
    <x v="9"/>
    <m/>
    <m/>
  </r>
  <r>
    <x v="0"/>
    <x v="3"/>
    <x v="0"/>
    <m/>
    <x v="0"/>
    <x v="2"/>
    <m/>
    <s v="Dólares"/>
    <n v="20000"/>
    <s v="PROYECCION SEMANA 02 OUTLET SETIEMBRE"/>
    <x v="9"/>
    <m/>
    <m/>
  </r>
  <r>
    <x v="0"/>
    <x v="0"/>
    <x v="0"/>
    <m/>
    <x v="0"/>
    <x v="2"/>
    <m/>
    <s v="Dólares"/>
    <n v="60000"/>
    <s v="Clientes Nuevos"/>
    <x v="9"/>
    <m/>
    <m/>
  </r>
  <r>
    <x v="0"/>
    <x v="2"/>
    <x v="1"/>
    <m/>
    <x v="0"/>
    <x v="2"/>
    <m/>
    <s v="Dólares"/>
    <n v="47250"/>
    <s v="PriceSmart, Inc. - T&amp;T"/>
    <x v="9"/>
    <m/>
    <m/>
  </r>
  <r>
    <x v="0"/>
    <x v="2"/>
    <x v="0"/>
    <m/>
    <x v="0"/>
    <x v="2"/>
    <m/>
    <s v="Dólares"/>
    <n v="164036"/>
    <s v="BAC SAN JOSE LEASING S.A."/>
    <x v="9"/>
    <m/>
    <m/>
  </r>
  <r>
    <x v="0"/>
    <x v="2"/>
    <x v="0"/>
    <m/>
    <x v="0"/>
    <x v="2"/>
    <m/>
    <s v="Dólares"/>
    <n v="85751.95"/>
    <s v="MEGA LINEAS SOCIEDAD ANONIMA"/>
    <x v="9"/>
    <m/>
    <m/>
  </r>
  <r>
    <x v="0"/>
    <x v="0"/>
    <x v="0"/>
    <m/>
    <x v="0"/>
    <x v="2"/>
    <m/>
    <s v="Dólares"/>
    <n v="60000"/>
    <s v="PAGO INICIO DE INSTALACIONES HOGAR"/>
    <x v="8"/>
    <m/>
    <m/>
  </r>
  <r>
    <x v="1"/>
    <x v="0"/>
    <x v="0"/>
    <m/>
    <x v="0"/>
    <x v="2"/>
    <m/>
    <s v="Dólares"/>
    <n v="25000"/>
    <s v="CLIENTE NUEVOS MULTICLAMP"/>
    <x v="8"/>
    <m/>
    <m/>
  </r>
  <r>
    <x v="0"/>
    <x v="3"/>
    <x v="0"/>
    <m/>
    <x v="0"/>
    <x v="2"/>
    <m/>
    <s v="Dólares"/>
    <n v="43152.799999999996"/>
    <s v="BILCO COSTA RICA S.A - INARI MEDICAL"/>
    <x v="8"/>
    <m/>
    <m/>
  </r>
  <r>
    <x v="0"/>
    <x v="3"/>
    <x v="0"/>
    <m/>
    <x v="0"/>
    <x v="2"/>
    <m/>
    <s v="Dólares"/>
    <n v="8555"/>
    <s v="MUNICIPALIDAD DE ALAJUELA"/>
    <x v="8"/>
    <m/>
    <m/>
  </r>
  <r>
    <x v="0"/>
    <x v="3"/>
    <x v="2"/>
    <m/>
    <x v="0"/>
    <x v="2"/>
    <m/>
    <s v="Dólares"/>
    <n v="25000"/>
    <s v="P Y P CONSTRUCCIONES SOCIEDAD ANONIMA"/>
    <x v="8"/>
    <m/>
    <m/>
  </r>
  <r>
    <x v="2"/>
    <x v="3"/>
    <x v="0"/>
    <m/>
    <x v="0"/>
    <x v="2"/>
    <m/>
    <s v="Dólares"/>
    <n v="20000"/>
    <s v="PAGO EXPRESS"/>
    <x v="8"/>
    <m/>
    <m/>
  </r>
  <r>
    <x v="0"/>
    <x v="2"/>
    <x v="2"/>
    <m/>
    <x v="0"/>
    <x v="2"/>
    <m/>
    <s v="Dólares"/>
    <n v="21895.07"/>
    <s v="SIGMA ALIMENTOS COSTA RICA SOCIEDAD ANONIMA"/>
    <x v="8"/>
    <m/>
    <m/>
  </r>
  <r>
    <x v="0"/>
    <x v="2"/>
    <x v="0"/>
    <m/>
    <x v="0"/>
    <x v="2"/>
    <m/>
    <s v="Dólares"/>
    <n v="118896"/>
    <s v="NUEVOS ALMACENES"/>
    <x v="8"/>
    <m/>
    <m/>
  </r>
  <r>
    <x v="0"/>
    <x v="2"/>
    <x v="0"/>
    <m/>
    <x v="0"/>
    <x v="2"/>
    <m/>
    <s v="Dólares"/>
    <n v="114524"/>
    <s v="LANCO PAINTS GUATEMALA,  S.A."/>
    <x v="8"/>
    <m/>
    <m/>
  </r>
  <r>
    <x v="0"/>
    <x v="2"/>
    <x v="2"/>
    <m/>
    <x v="0"/>
    <x v="2"/>
    <m/>
    <s v="Dólares"/>
    <n v="33569"/>
    <s v="AGUNSA GUATEMALA S.A."/>
    <x v="8"/>
    <m/>
    <m/>
  </r>
  <r>
    <x v="0"/>
    <x v="1"/>
    <x v="2"/>
    <m/>
    <x v="0"/>
    <x v="2"/>
    <m/>
    <s v="Dólares"/>
    <n v="173016.82"/>
    <s v="FDO INV. DESARROLLO PROYECTOS MULTIFONDOS SECRT ESCALANTE"/>
    <x v="8"/>
    <m/>
    <m/>
  </r>
  <r>
    <x v="0"/>
    <x v="2"/>
    <x v="0"/>
    <m/>
    <x v="0"/>
    <x v="2"/>
    <m/>
    <s v="Dólares"/>
    <n v="16389"/>
    <s v="REPAGRO"/>
    <x v="8"/>
    <m/>
    <m/>
  </r>
  <r>
    <x v="3"/>
    <x v="3"/>
    <x v="0"/>
    <m/>
    <x v="0"/>
    <x v="3"/>
    <m/>
    <s v="Dólares"/>
    <n v="35576.93"/>
    <s v="CONTRACT WORKPLACES COSTA RICA SOCIEDAD ANONIMA"/>
    <x v="5"/>
    <s v="SI"/>
    <m/>
  </r>
  <r>
    <x v="0"/>
    <x v="3"/>
    <x v="0"/>
    <m/>
    <x v="0"/>
    <x v="3"/>
    <m/>
    <s v="Dólares"/>
    <n v="34262.85"/>
    <s v="CURTISSWRIGHT CONTROLS COSTA RICA SOCIEDAD ANONIMA"/>
    <x v="5"/>
    <s v="SI"/>
    <m/>
  </r>
  <r>
    <x v="0"/>
    <x v="3"/>
    <x v="2"/>
    <m/>
    <x v="0"/>
    <x v="3"/>
    <m/>
    <s v="Dólares"/>
    <n v="22736.54"/>
    <s v="JONES LANG LASALLE LIMITADA"/>
    <x v="5"/>
    <m/>
    <m/>
  </r>
  <r>
    <x v="2"/>
    <x v="3"/>
    <x v="0"/>
    <m/>
    <x v="0"/>
    <x v="3"/>
    <m/>
    <s v="Dólares"/>
    <n v="20000"/>
    <s v="PROYECCION SEMANA 03 OUTLET JUNIO"/>
    <x v="5"/>
    <m/>
    <m/>
  </r>
  <r>
    <x v="0"/>
    <x v="3"/>
    <x v="0"/>
    <m/>
    <x v="0"/>
    <x v="3"/>
    <m/>
    <s v="Dólares"/>
    <n v="15520.43"/>
    <s v="ASOCIACION SOLIDARISTA DE EMPLEADOS DE LA CCSS"/>
    <x v="5"/>
    <m/>
    <m/>
  </r>
  <r>
    <x v="0"/>
    <x v="3"/>
    <x v="0"/>
    <m/>
    <x v="0"/>
    <x v="3"/>
    <m/>
    <s v="Dólares"/>
    <n v="12887.31"/>
    <s v="FDO INV. DESARROLLO PROYECTOS MULTIFONDOS SECRT ESCALANTE"/>
    <x v="5"/>
    <m/>
    <m/>
  </r>
  <r>
    <x v="0"/>
    <x v="3"/>
    <x v="0"/>
    <m/>
    <x v="0"/>
    <x v="3"/>
    <m/>
    <s v="Dólares"/>
    <n v="12491.51"/>
    <s v="NUCLEO BUSINESS CENTER SOCIEDAD ANONIMA"/>
    <x v="5"/>
    <s v="SI"/>
    <m/>
  </r>
  <r>
    <x v="3"/>
    <x v="3"/>
    <x v="0"/>
    <m/>
    <x v="0"/>
    <x v="3"/>
    <m/>
    <s v="Dólares"/>
    <n v="10699.45"/>
    <s v="CORPORACION GRUPO Q COSTA RICA SOCIEDAD ANONIMA"/>
    <x v="5"/>
    <m/>
    <m/>
  </r>
  <r>
    <x v="0"/>
    <x v="2"/>
    <x v="0"/>
    <m/>
    <x v="0"/>
    <x v="3"/>
    <m/>
    <s v="Dólares"/>
    <n v="8661.1299999999992"/>
    <s v=" SUR QUIMICA SOCIEDAD ANONIMA"/>
    <x v="5"/>
    <s v="SI"/>
    <m/>
  </r>
  <r>
    <x v="0"/>
    <x v="1"/>
    <x v="2"/>
    <m/>
    <x v="0"/>
    <x v="3"/>
    <m/>
    <s v="Dólares"/>
    <n v="65703.81"/>
    <s v="BILCO COSTA RICA SA"/>
    <x v="5"/>
    <m/>
    <m/>
  </r>
  <r>
    <x v="0"/>
    <x v="2"/>
    <x v="0"/>
    <m/>
    <x v="0"/>
    <x v="3"/>
    <m/>
    <s v="Dólares"/>
    <n v="3250.26"/>
    <s v="CENTROAMERICANA DE COMERCIO CENCO "/>
    <x v="5"/>
    <m/>
    <m/>
  </r>
  <r>
    <x v="0"/>
    <x v="3"/>
    <x v="2"/>
    <m/>
    <x v="0"/>
    <x v="3"/>
    <m/>
    <s v="Dólares"/>
    <n v="4953.6400000000003"/>
    <s v="CONSTRUCTORA NAVARRO Y AVILES SOCIEDAD ANONIMA"/>
    <x v="5"/>
    <m/>
    <m/>
  </r>
  <r>
    <x v="3"/>
    <x v="3"/>
    <x v="0"/>
    <m/>
    <x v="0"/>
    <x v="3"/>
    <m/>
    <s v="Dólares"/>
    <n v="4382.63"/>
    <s v="CONTRACT WORKPLACES COSTA RICA SOCIEDAD ANONIMA"/>
    <x v="5"/>
    <s v="SI"/>
    <m/>
  </r>
  <r>
    <x v="1"/>
    <x v="0"/>
    <x v="1"/>
    <m/>
    <x v="0"/>
    <x v="3"/>
    <m/>
    <s v="Dólares"/>
    <n v="3000"/>
    <s v="Clientes Nuevos"/>
    <x v="5"/>
    <m/>
    <m/>
  </r>
  <r>
    <x v="0"/>
    <x v="0"/>
    <x v="1"/>
    <m/>
    <x v="0"/>
    <x v="3"/>
    <m/>
    <s v="Dólares"/>
    <n v="16575"/>
    <s v="Clientes Nuevos"/>
    <x v="5"/>
    <m/>
    <m/>
  </r>
  <r>
    <x v="1"/>
    <x v="0"/>
    <x v="0"/>
    <m/>
    <x v="0"/>
    <x v="3"/>
    <m/>
    <s v="Dólares"/>
    <n v="16250"/>
    <s v="Clientes Nuevos"/>
    <x v="5"/>
    <m/>
    <m/>
  </r>
  <r>
    <x v="0"/>
    <x v="0"/>
    <x v="0"/>
    <m/>
    <x v="0"/>
    <x v="3"/>
    <m/>
    <s v="Dólares"/>
    <n v="92975"/>
    <s v="Clientes Nuevos"/>
    <x v="5"/>
    <m/>
    <m/>
  </r>
  <r>
    <x v="0"/>
    <x v="2"/>
    <x v="2"/>
    <m/>
    <x v="0"/>
    <x v="3"/>
    <m/>
    <s v="Dólares"/>
    <n v="2661.73"/>
    <s v="COMERCIALIZADORA Y PRODUCTORA DE BEBIDAS LOS VOLCANES S.A."/>
    <x v="5"/>
    <m/>
    <m/>
  </r>
  <r>
    <x v="3"/>
    <x v="3"/>
    <x v="0"/>
    <m/>
    <x v="0"/>
    <x v="3"/>
    <m/>
    <s v="Dólares"/>
    <n v="4200.46"/>
    <s v="CONTRACT WORKPLACES COSTA RICA SOCIEDAD ANONIMA"/>
    <x v="5"/>
    <s v="SI"/>
    <m/>
  </r>
  <r>
    <x v="3"/>
    <x v="3"/>
    <x v="0"/>
    <m/>
    <x v="0"/>
    <x v="3"/>
    <m/>
    <s v="Dólares"/>
    <n v="254.25"/>
    <s v="CHIQUITA BRANDS COSTA RICA SRL"/>
    <x v="5"/>
    <s v="SI"/>
    <m/>
  </r>
  <r>
    <x v="3"/>
    <x v="3"/>
    <x v="0"/>
    <m/>
    <x v="0"/>
    <x v="3"/>
    <m/>
    <s v="Dólares"/>
    <n v="216.96"/>
    <s v="CHIQUITA BRANDS COSTA RICA SRL"/>
    <x v="5"/>
    <s v="SI"/>
    <m/>
  </r>
  <r>
    <x v="0"/>
    <x v="2"/>
    <x v="2"/>
    <m/>
    <x v="0"/>
    <x v="3"/>
    <m/>
    <s v="Dólares"/>
    <n v="19550.52"/>
    <s v="EMBOTELLADORA CENTRAL S.A."/>
    <x v="5"/>
    <m/>
    <m/>
  </r>
  <r>
    <x v="0"/>
    <x v="2"/>
    <x v="0"/>
    <m/>
    <x v="0"/>
    <x v="3"/>
    <m/>
    <s v="Dólares"/>
    <n v="4728.8599999999997"/>
    <s v="PORTAFOLIO AM SIETE SOCIEDAD ANONIMA"/>
    <x v="5"/>
    <m/>
    <m/>
  </r>
  <r>
    <x v="0"/>
    <x v="1"/>
    <x v="0"/>
    <m/>
    <x v="0"/>
    <x v="3"/>
    <m/>
    <s v="Dólares"/>
    <n v="199129.48"/>
    <s v="Fondo de Inversion Secrt Escalante"/>
    <x v="7"/>
    <m/>
    <m/>
  </r>
  <r>
    <x v="0"/>
    <x v="2"/>
    <x v="2"/>
    <m/>
    <x v="0"/>
    <x v="3"/>
    <m/>
    <s v="Dólares"/>
    <n v="200"/>
    <s v="SWAV CR SOCIEDAD DE RESPONSABILIDAD LIMITADA"/>
    <x v="7"/>
    <m/>
    <m/>
  </r>
  <r>
    <x v="0"/>
    <x v="2"/>
    <x v="0"/>
    <m/>
    <x v="0"/>
    <x v="3"/>
    <m/>
    <s v="Dólares"/>
    <n v="848.81"/>
    <s v="EMP INTEL DE COSTA RICA SRL"/>
    <x v="7"/>
    <m/>
    <m/>
  </r>
  <r>
    <x v="0"/>
    <x v="2"/>
    <x v="0"/>
    <m/>
    <x v="0"/>
    <x v="3"/>
    <m/>
    <s v="Dólares"/>
    <n v="381.05"/>
    <s v="INDUSTRIAL LUGUME SOCIEDAD ANONIMA"/>
    <x v="7"/>
    <m/>
    <m/>
  </r>
  <r>
    <x v="0"/>
    <x v="2"/>
    <x v="0"/>
    <m/>
    <x v="0"/>
    <x v="3"/>
    <m/>
    <s v="Dólares"/>
    <n v="245.13"/>
    <s v="Tecnibandas S.A"/>
    <x v="7"/>
    <m/>
    <m/>
  </r>
  <r>
    <x v="0"/>
    <x v="2"/>
    <x v="0"/>
    <m/>
    <x v="0"/>
    <x v="3"/>
    <m/>
    <s v="Dólares"/>
    <n v="3004.49"/>
    <s v="KPO ALPHA INC SOCIEDAD ANONIMA"/>
    <x v="7"/>
    <m/>
    <m/>
  </r>
  <r>
    <x v="0"/>
    <x v="2"/>
    <x v="0"/>
    <m/>
    <x v="0"/>
    <x v="3"/>
    <m/>
    <s v="Dólares"/>
    <n v="94134.92"/>
    <s v="HERAEUS MEDICAL COMPONENTS SOCIEDAD DE RESPONSABILIDAD LIMITADA"/>
    <x v="7"/>
    <m/>
    <m/>
  </r>
  <r>
    <x v="0"/>
    <x v="2"/>
    <x v="0"/>
    <m/>
    <x v="0"/>
    <x v="3"/>
    <m/>
    <s v="Dólares"/>
    <n v="109032.52"/>
    <s v="CSI LEASING DE CENTROAMERICA "/>
    <x v="7"/>
    <m/>
    <m/>
  </r>
  <r>
    <x v="0"/>
    <x v="1"/>
    <x v="1"/>
    <m/>
    <x v="0"/>
    <x v="3"/>
    <m/>
    <s v="Dólares"/>
    <n v="126500"/>
    <s v="3-101-820946 S.A."/>
    <x v="7"/>
    <m/>
    <m/>
  </r>
  <r>
    <x v="0"/>
    <x v="2"/>
    <x v="1"/>
    <m/>
    <x v="0"/>
    <x v="3"/>
    <m/>
    <s v="Dólares"/>
    <n v="147372"/>
    <s v="PriceSmart Guatemala"/>
    <x v="7"/>
    <m/>
    <m/>
  </r>
  <r>
    <x v="2"/>
    <x v="3"/>
    <x v="0"/>
    <m/>
    <x v="0"/>
    <x v="3"/>
    <m/>
    <s v="Dólares"/>
    <n v="20000"/>
    <s v="PROYECCION SEMANA 03 OUTLET JULIO"/>
    <x v="7"/>
    <m/>
    <m/>
  </r>
  <r>
    <x v="0"/>
    <x v="3"/>
    <x v="0"/>
    <m/>
    <x v="0"/>
    <x v="3"/>
    <m/>
    <s v="Dólares"/>
    <n v="9089.4500000000007"/>
    <s v="SAMTEC INTERCONNECT ASSEMBLY SIA COSTA RICA S.R.L"/>
    <x v="7"/>
    <m/>
    <m/>
  </r>
  <r>
    <x v="0"/>
    <x v="3"/>
    <x v="0"/>
    <m/>
    <x v="0"/>
    <x v="3"/>
    <m/>
    <s v="Dólares"/>
    <n v="2546.66"/>
    <s v="CAFETAL DOS DE BELEN S.A"/>
    <x v="7"/>
    <m/>
    <m/>
  </r>
  <r>
    <x v="0"/>
    <x v="3"/>
    <x v="0"/>
    <m/>
    <x v="0"/>
    <x v="3"/>
    <m/>
    <s v="Dólares"/>
    <n v="682.86"/>
    <s v="ELEMENTS DECO SOCIEDAD ANONIMA"/>
    <x v="7"/>
    <m/>
    <m/>
  </r>
  <r>
    <x v="0"/>
    <x v="3"/>
    <x v="2"/>
    <m/>
    <x v="0"/>
    <x v="3"/>
    <m/>
    <s v="Dólares"/>
    <n v="262.27999999999997"/>
    <s v="JONES LANG LASALLE LIMITADA"/>
    <x v="7"/>
    <m/>
    <m/>
  </r>
  <r>
    <x v="3"/>
    <x v="3"/>
    <x v="2"/>
    <m/>
    <x v="0"/>
    <x v="3"/>
    <m/>
    <s v="Dólares"/>
    <n v="1770.36"/>
    <s v="HARLAND MEDICAL SYSTEMS COSTA RICA SOCIEDAD DE RESPONSABILIDAD LIMITADA"/>
    <x v="7"/>
    <m/>
    <m/>
  </r>
  <r>
    <x v="3"/>
    <x v="3"/>
    <x v="2"/>
    <m/>
    <x v="0"/>
    <x v="3"/>
    <m/>
    <s v="Dólares"/>
    <n v="8940"/>
    <s v="GFI PHARMA LOGISTIC S.A"/>
    <x v="7"/>
    <m/>
    <m/>
  </r>
  <r>
    <x v="3"/>
    <x v="3"/>
    <x v="0"/>
    <m/>
    <x v="0"/>
    <x v="3"/>
    <m/>
    <s v="Dólares"/>
    <n v="341.26"/>
    <s v="Universidad de Costa Rica"/>
    <x v="7"/>
    <m/>
    <m/>
  </r>
  <r>
    <x v="3"/>
    <x v="3"/>
    <x v="0"/>
    <m/>
    <x v="0"/>
    <x v="3"/>
    <m/>
    <s v="Dólares"/>
    <n v="800"/>
    <s v="OKAY INDUSTRIES COSTA RICA SOCIEDAD DE RESPONSABILIDAD LIMITADA"/>
    <x v="7"/>
    <m/>
    <m/>
  </r>
  <r>
    <x v="3"/>
    <x v="3"/>
    <x v="0"/>
    <m/>
    <x v="0"/>
    <x v="3"/>
    <m/>
    <s v="Dólares"/>
    <n v="791"/>
    <s v="CHIQUITA BRANDS COSTA RICA SRL"/>
    <x v="7"/>
    <m/>
    <m/>
  </r>
  <r>
    <x v="3"/>
    <x v="3"/>
    <x v="1"/>
    <m/>
    <x v="0"/>
    <x v="3"/>
    <m/>
    <s v="Dólares"/>
    <n v="50493"/>
    <s v="BILCO EPSILON"/>
    <x v="7"/>
    <m/>
    <m/>
  </r>
  <r>
    <x v="0"/>
    <x v="1"/>
    <x v="0"/>
    <m/>
    <x v="0"/>
    <x v="3"/>
    <m/>
    <s v="Dólares"/>
    <n v="24614.48"/>
    <s v="3-101-747864 S.A."/>
    <x v="7"/>
    <m/>
    <m/>
  </r>
  <r>
    <x v="0"/>
    <x v="3"/>
    <x v="2"/>
    <m/>
    <x v="0"/>
    <x v="3"/>
    <m/>
    <s v="Dólares"/>
    <n v="94400"/>
    <s v="P Y P CONSTRUCCIONES SOCIEDAD ANONIMA"/>
    <x v="9"/>
    <m/>
    <m/>
  </r>
  <r>
    <x v="0"/>
    <x v="3"/>
    <x v="0"/>
    <m/>
    <x v="0"/>
    <x v="3"/>
    <m/>
    <s v="Dólares"/>
    <n v="20000"/>
    <s v="PROYECCION SEMANA 03 OUTLET SETIEMBRE"/>
    <x v="9"/>
    <m/>
    <m/>
  </r>
  <r>
    <x v="0"/>
    <x v="0"/>
    <x v="0"/>
    <m/>
    <x v="0"/>
    <x v="3"/>
    <m/>
    <s v="Dólares"/>
    <n v="60000"/>
    <s v="Clientes Nuevos"/>
    <x v="9"/>
    <m/>
    <m/>
  </r>
  <r>
    <x v="0"/>
    <x v="2"/>
    <x v="0"/>
    <m/>
    <x v="0"/>
    <x v="3"/>
    <m/>
    <s v="Dólares"/>
    <n v="44275.97"/>
    <s v="FREUDENBERG MEDICAL SOCIEDAD DE RESPONSABILIDAD LIMITADA"/>
    <x v="9"/>
    <m/>
    <m/>
  </r>
  <r>
    <x v="0"/>
    <x v="2"/>
    <x v="0"/>
    <m/>
    <x v="0"/>
    <x v="3"/>
    <m/>
    <s v="Dólares"/>
    <n v="5977.91"/>
    <s v="AE LOGISTICS SEL SOCIEDAD ANONIMA"/>
    <x v="9"/>
    <m/>
    <m/>
  </r>
  <r>
    <x v="0"/>
    <x v="2"/>
    <x v="1"/>
    <m/>
    <x v="0"/>
    <x v="3"/>
    <m/>
    <s v="Dólares"/>
    <n v="310000"/>
    <s v="NUEVOS ALMACENES"/>
    <x v="9"/>
    <m/>
    <m/>
  </r>
  <r>
    <x v="0"/>
    <x v="3"/>
    <x v="0"/>
    <m/>
    <x v="0"/>
    <x v="3"/>
    <m/>
    <s v="Dólares"/>
    <n v="10206.16"/>
    <s v="CONSTRIAL SOCIEDAD ANONIMA"/>
    <x v="9"/>
    <m/>
    <m/>
  </r>
  <r>
    <x v="0"/>
    <x v="1"/>
    <x v="1"/>
    <m/>
    <x v="0"/>
    <x v="3"/>
    <m/>
    <s v="Dólares"/>
    <n v="46109.22"/>
    <s v="Consultora T Tres"/>
    <x v="9"/>
    <m/>
    <m/>
  </r>
  <r>
    <x v="3"/>
    <x v="3"/>
    <x v="2"/>
    <m/>
    <x v="0"/>
    <x v="3"/>
    <m/>
    <s v="Dólares"/>
    <n v="4035"/>
    <s v="CONICO, CONSULTORIA INTEGRAL DE LA CONSTRUCCION, SOCIEDAD ANONIMA"/>
    <x v="9"/>
    <m/>
    <m/>
  </r>
  <r>
    <x v="1"/>
    <x v="0"/>
    <x v="0"/>
    <m/>
    <x v="0"/>
    <x v="3"/>
    <m/>
    <s v="Dólares"/>
    <n v="292105.88829999999"/>
    <s v="ECODESARROLLO PAPAGAYO - DP11"/>
    <x v="8"/>
    <m/>
    <m/>
  </r>
  <r>
    <x v="0"/>
    <x v="0"/>
    <x v="0"/>
    <m/>
    <x v="0"/>
    <x v="3"/>
    <m/>
    <s v="Dólares"/>
    <n v="60000"/>
    <s v="PAGO INICIO DE INSTALACIONES HOGAR"/>
    <x v="8"/>
    <m/>
    <m/>
  </r>
  <r>
    <x v="1"/>
    <x v="0"/>
    <x v="0"/>
    <m/>
    <x v="0"/>
    <x v="3"/>
    <m/>
    <s v="Dólares"/>
    <n v="25000"/>
    <s v="CLIENTE NUEVOS MULTICLAMP"/>
    <x v="8"/>
    <m/>
    <m/>
  </r>
  <r>
    <x v="0"/>
    <x v="3"/>
    <x v="2"/>
    <m/>
    <x v="0"/>
    <x v="3"/>
    <m/>
    <s v="Dólares"/>
    <n v="34374"/>
    <s v="AJIP INGENIERIA LIMITADA"/>
    <x v="8"/>
    <m/>
    <m/>
  </r>
  <r>
    <x v="0"/>
    <x v="3"/>
    <x v="2"/>
    <m/>
    <x v="0"/>
    <x v="3"/>
    <m/>
    <s v="Dólares"/>
    <n v="46667.29"/>
    <s v="UNIVERSIDAD ESTATAL A DISTANCIA"/>
    <x v="8"/>
    <m/>
    <m/>
  </r>
  <r>
    <x v="3"/>
    <x v="3"/>
    <x v="2"/>
    <m/>
    <x v="0"/>
    <x v="3"/>
    <m/>
    <s v="Dólares"/>
    <n v="6012.5"/>
    <s v="FINANCIERA CAFSA SOCIEDAD ANONIMA"/>
    <x v="8"/>
    <m/>
    <m/>
  </r>
  <r>
    <x v="2"/>
    <x v="3"/>
    <x v="0"/>
    <m/>
    <x v="0"/>
    <x v="3"/>
    <m/>
    <s v="Dólares"/>
    <n v="20000"/>
    <s v="PAGO EXPRESS"/>
    <x v="8"/>
    <m/>
    <m/>
  </r>
  <r>
    <x v="0"/>
    <x v="2"/>
    <x v="2"/>
    <m/>
    <x v="0"/>
    <x v="3"/>
    <m/>
    <s v="Dólares"/>
    <n v="5024"/>
    <s v="COMERCIAL ALEMORA SOCIEDAD ANONIMA"/>
    <x v="8"/>
    <m/>
    <m/>
  </r>
  <r>
    <x v="0"/>
    <x v="1"/>
    <x v="1"/>
    <m/>
    <x v="0"/>
    <x v="3"/>
    <m/>
    <s v="Dólares"/>
    <n v="109377"/>
    <s v="PALERMO HOME"/>
    <x v="8"/>
    <m/>
    <m/>
  </r>
  <r>
    <x v="0"/>
    <x v="1"/>
    <x v="0"/>
    <m/>
    <x v="0"/>
    <x v="3"/>
    <m/>
    <s v="Dólares"/>
    <n v="11252.1"/>
    <s v="VOLIO &amp; TREJOS ASOCIADOS S.A."/>
    <x v="8"/>
    <m/>
    <m/>
  </r>
  <r>
    <x v="0"/>
    <x v="2"/>
    <x v="0"/>
    <m/>
    <x v="0"/>
    <x v="3"/>
    <m/>
    <s v="Dólares"/>
    <n v="9303"/>
    <s v="TERADYNE DECOSTA RICA SOCIEDAD DE RESPONSABILIDAD LIMITADA"/>
    <x v="8"/>
    <m/>
    <m/>
  </r>
  <r>
    <x v="0"/>
    <x v="2"/>
    <x v="0"/>
    <m/>
    <x v="0"/>
    <x v="3"/>
    <m/>
    <s v="Dólares"/>
    <n v="15339"/>
    <s v="ROMA PRINCE SOCIEDAD ANONIMA"/>
    <x v="8"/>
    <m/>
    <m/>
  </r>
  <r>
    <x v="0"/>
    <x v="2"/>
    <x v="0"/>
    <m/>
    <x v="0"/>
    <x v="3"/>
    <m/>
    <s v="Dólares"/>
    <n v="42815"/>
    <s v="PRICESMART"/>
    <x v="8"/>
    <m/>
    <m/>
  </r>
  <r>
    <x v="0"/>
    <x v="3"/>
    <x v="2"/>
    <m/>
    <x v="0"/>
    <x v="4"/>
    <m/>
    <s v="Dólares"/>
    <n v="42477.83"/>
    <s v="PROYECTOS DE ACCESO PROA S.A"/>
    <x v="5"/>
    <m/>
    <m/>
  </r>
  <r>
    <x v="0"/>
    <x v="3"/>
    <x v="2"/>
    <m/>
    <x v="0"/>
    <x v="4"/>
    <m/>
    <s v="Dólares"/>
    <n v="23636.48"/>
    <s v="PROYECTOS DE ACCESO PROA S.A"/>
    <x v="5"/>
    <m/>
    <m/>
  </r>
  <r>
    <x v="0"/>
    <x v="3"/>
    <x v="0"/>
    <m/>
    <x v="0"/>
    <x v="4"/>
    <m/>
    <s v="Dólares"/>
    <n v="22736.54"/>
    <s v="JONES LANG LASALLE LIMITADA"/>
    <x v="5"/>
    <m/>
    <m/>
  </r>
  <r>
    <x v="3"/>
    <x v="3"/>
    <x v="2"/>
    <m/>
    <x v="0"/>
    <x v="4"/>
    <m/>
    <s v="Dólares"/>
    <n v="21823.65"/>
    <s v="CONICO, CONSULTORIA INTEGRAL DE LA CONSTRUCCION, SOCIEDAD ANONIMA"/>
    <x v="5"/>
    <s v="SI"/>
    <n v="4000"/>
  </r>
  <r>
    <x v="2"/>
    <x v="3"/>
    <x v="0"/>
    <m/>
    <x v="0"/>
    <x v="4"/>
    <m/>
    <s v="Dólares"/>
    <n v="20000"/>
    <s v="PROYECCION SEMANA 04 OUTLET JUNIO"/>
    <x v="5"/>
    <m/>
    <m/>
  </r>
  <r>
    <x v="0"/>
    <x v="3"/>
    <x v="2"/>
    <m/>
    <x v="0"/>
    <x v="4"/>
    <m/>
    <s v="Dólares"/>
    <n v="15000"/>
    <s v="FEDERACION COSTARRICENSE DE FUTBOL"/>
    <x v="5"/>
    <m/>
    <m/>
  </r>
  <r>
    <x v="3"/>
    <x v="3"/>
    <x v="2"/>
    <m/>
    <x v="0"/>
    <x v="4"/>
    <m/>
    <s v="Dólares"/>
    <n v="12600"/>
    <s v="GOSOCKET SHARED SERVICES S.A"/>
    <x v="5"/>
    <m/>
    <m/>
  </r>
  <r>
    <x v="0"/>
    <x v="3"/>
    <x v="0"/>
    <m/>
    <x v="0"/>
    <x v="4"/>
    <m/>
    <s v="Dólares"/>
    <n v="9695.56"/>
    <s v="TRIBUNAL SUPREMO DE ELECCIONES"/>
    <x v="5"/>
    <m/>
    <m/>
  </r>
  <r>
    <x v="0"/>
    <x v="1"/>
    <x v="1"/>
    <m/>
    <x v="0"/>
    <x v="4"/>
    <m/>
    <s v="Dólares"/>
    <n v="335000"/>
    <s v="CIELO NUNCIATURA"/>
    <x v="5"/>
    <m/>
    <m/>
  </r>
  <r>
    <x v="1"/>
    <x v="0"/>
    <x v="1"/>
    <m/>
    <x v="0"/>
    <x v="4"/>
    <m/>
    <s v="Dólares"/>
    <n v="5000"/>
    <s v="Clientes Nuevos"/>
    <x v="5"/>
    <m/>
    <m/>
  </r>
  <r>
    <x v="0"/>
    <x v="0"/>
    <x v="1"/>
    <m/>
    <x v="0"/>
    <x v="4"/>
    <m/>
    <s v="Dólares"/>
    <n v="17212"/>
    <s v="Clientes Nuevos"/>
    <x v="5"/>
    <m/>
    <m/>
  </r>
  <r>
    <x v="1"/>
    <x v="0"/>
    <x v="0"/>
    <m/>
    <x v="0"/>
    <x v="4"/>
    <m/>
    <s v="Dólares"/>
    <n v="16875"/>
    <s v="Clientes Nuevos"/>
    <x v="5"/>
    <m/>
    <m/>
  </r>
  <r>
    <x v="0"/>
    <x v="0"/>
    <x v="0"/>
    <m/>
    <x v="0"/>
    <x v="4"/>
    <m/>
    <s v="Dólares"/>
    <n v="96062"/>
    <s v="Clientes Nuevos"/>
    <x v="5"/>
    <m/>
    <m/>
  </r>
  <r>
    <x v="3"/>
    <x v="3"/>
    <x v="2"/>
    <m/>
    <x v="0"/>
    <x v="4"/>
    <m/>
    <s v="Dólares"/>
    <n v="9248.4500000000007"/>
    <s v="ROCHE SERVICES AMERICAS SOCIEDAD DE RESPONSABILIDAD LIMITADA"/>
    <x v="5"/>
    <m/>
    <m/>
  </r>
  <r>
    <x v="3"/>
    <x v="3"/>
    <x v="2"/>
    <m/>
    <x v="0"/>
    <x v="4"/>
    <m/>
    <s v="Dólares"/>
    <n v="7835.26"/>
    <s v="ROCHE SERVICES AMERICAS SOCIEDAD DE RESPONSABILIDAD LIMITADA"/>
    <x v="5"/>
    <m/>
    <m/>
  </r>
  <r>
    <x v="0"/>
    <x v="3"/>
    <x v="2"/>
    <m/>
    <x v="0"/>
    <x v="4"/>
    <m/>
    <s v="Dólares"/>
    <n v="7500"/>
    <s v="COMPANIA CONSTRUCTORA VAN DER LAAT Y JIMENEZ S.A."/>
    <x v="5"/>
    <m/>
    <m/>
  </r>
  <r>
    <x v="0"/>
    <x v="3"/>
    <x v="2"/>
    <m/>
    <x v="0"/>
    <x v="4"/>
    <m/>
    <s v="Dólares"/>
    <n v="7500"/>
    <s v="COMPANIA CONSTRUCTORA VAN DER LAAT Y JIMENEZ S.A."/>
    <x v="5"/>
    <m/>
    <m/>
  </r>
  <r>
    <x v="0"/>
    <x v="3"/>
    <x v="2"/>
    <m/>
    <x v="0"/>
    <x v="4"/>
    <m/>
    <s v="Dólares"/>
    <n v="6256.97"/>
    <s v="COMPANIA CONSTRUCTORA VAN DER LAAT Y JIMENEZ S.A."/>
    <x v="5"/>
    <m/>
    <m/>
  </r>
  <r>
    <x v="0"/>
    <x v="3"/>
    <x v="2"/>
    <m/>
    <x v="0"/>
    <x v="4"/>
    <m/>
    <s v="Dólares"/>
    <n v="5678.07"/>
    <s v="COMPANIA CONSTRUCTORA VAN DER LAAT Y JIMENEZ S.A."/>
    <x v="5"/>
    <m/>
    <m/>
  </r>
  <r>
    <x v="3"/>
    <x v="3"/>
    <x v="2"/>
    <m/>
    <x v="0"/>
    <x v="4"/>
    <m/>
    <s v="Dólares"/>
    <n v="5661.31"/>
    <s v="ROCHE SERVICES AMERICAS SOCIEDAD DE RESPONSABILIDAD LIMITADA"/>
    <x v="5"/>
    <m/>
    <m/>
  </r>
  <r>
    <x v="0"/>
    <x v="3"/>
    <x v="2"/>
    <m/>
    <x v="0"/>
    <x v="4"/>
    <m/>
    <s v="Dólares"/>
    <n v="4581.16"/>
    <s v="COMPANIA CONSTRUCTORA VAN DER LAAT Y JIMENEZ S.A."/>
    <x v="5"/>
    <m/>
    <m/>
  </r>
  <r>
    <x v="3"/>
    <x v="3"/>
    <x v="2"/>
    <m/>
    <x v="0"/>
    <x v="4"/>
    <m/>
    <s v="Dólares"/>
    <n v="4213.7700000000004"/>
    <s v="ROCHE SERVICES AMERICAS SOCIEDAD DE RESPONSABILIDAD LIMITADA"/>
    <x v="5"/>
    <m/>
    <m/>
  </r>
  <r>
    <x v="3"/>
    <x v="3"/>
    <x v="0"/>
    <m/>
    <x v="0"/>
    <x v="4"/>
    <m/>
    <s v="Dólares"/>
    <n v="3698.59"/>
    <s v="CORPORACION GRUPO Q COSTA RICA SOCIEDAD ANONIMA"/>
    <x v="5"/>
    <m/>
    <m/>
  </r>
  <r>
    <x v="0"/>
    <x v="2"/>
    <x v="0"/>
    <m/>
    <x v="0"/>
    <x v="4"/>
    <m/>
    <s v="Dólares"/>
    <n v="16588.54"/>
    <s v="Cooperativa de Productores de leche Dos PinosR L"/>
    <x v="5"/>
    <m/>
    <m/>
  </r>
  <r>
    <x v="0"/>
    <x v="2"/>
    <x v="0"/>
    <m/>
    <x v="0"/>
    <x v="4"/>
    <m/>
    <s v="Dólares"/>
    <n v="21525.16"/>
    <s v="Cooperativa de Productores de leche Dos PinosR L"/>
    <x v="5"/>
    <m/>
    <m/>
  </r>
  <r>
    <x v="0"/>
    <x v="2"/>
    <x v="0"/>
    <m/>
    <x v="0"/>
    <x v="4"/>
    <m/>
    <s v="Dólares"/>
    <n v="3059.65"/>
    <s v="Cooperativa de Productores de leche Dos PinosR L"/>
    <x v="5"/>
    <m/>
    <m/>
  </r>
  <r>
    <x v="0"/>
    <x v="2"/>
    <x v="0"/>
    <m/>
    <x v="0"/>
    <x v="4"/>
    <m/>
    <s v="Dólares"/>
    <n v="4612.34"/>
    <s v="Cooperativa de Productores de leche Dos PinosR L"/>
    <x v="5"/>
    <m/>
    <m/>
  </r>
  <r>
    <x v="0"/>
    <x v="2"/>
    <x v="0"/>
    <m/>
    <x v="0"/>
    <x v="4"/>
    <m/>
    <s v="Dólares"/>
    <n v="13537.36"/>
    <s v="Cooperativa de Productores de leche Dos PinosR L"/>
    <x v="5"/>
    <m/>
    <m/>
  </r>
  <r>
    <x v="0"/>
    <x v="2"/>
    <x v="0"/>
    <m/>
    <x v="0"/>
    <x v="4"/>
    <m/>
    <s v="Dólares"/>
    <n v="19116.37"/>
    <s v="Cooperativa de Productores de leche Dos PinosR L"/>
    <x v="5"/>
    <m/>
    <m/>
  </r>
  <r>
    <x v="0"/>
    <x v="2"/>
    <x v="0"/>
    <m/>
    <x v="0"/>
    <x v="4"/>
    <m/>
    <s v="Dólares"/>
    <n v="24255.56"/>
    <s v="CORPORACION  FRIONET "/>
    <x v="5"/>
    <m/>
    <m/>
  </r>
  <r>
    <x v="0"/>
    <x v="2"/>
    <x v="2"/>
    <m/>
    <x v="0"/>
    <x v="4"/>
    <m/>
    <s v="Dólares"/>
    <n v="1744.67"/>
    <s v="CORPORACION DE COMPAÑIAS AGROINDUSTRIALES CCA SRL"/>
    <x v="5"/>
    <m/>
    <m/>
  </r>
  <r>
    <x v="0"/>
    <x v="2"/>
    <x v="0"/>
    <m/>
    <x v="0"/>
    <x v="4"/>
    <m/>
    <s v="Dólares"/>
    <n v="285.58999999999997"/>
    <s v="CORPORACION DE SUPERMERCADOS UNIDOS SOCIEDAD DE RESPONSABILIDAD LIMITADA"/>
    <x v="5"/>
    <m/>
    <m/>
  </r>
  <r>
    <x v="0"/>
    <x v="2"/>
    <x v="2"/>
    <m/>
    <x v="0"/>
    <x v="4"/>
    <m/>
    <s v="Dólares"/>
    <n v="286"/>
    <s v="CORPORACION DE SUPERMERCADOS UNIDOS SOCIEDAD DE RESPONSABILIDAD LIMITADA"/>
    <x v="5"/>
    <m/>
    <m/>
  </r>
  <r>
    <x v="0"/>
    <x v="2"/>
    <x v="2"/>
    <m/>
    <x v="0"/>
    <x v="4"/>
    <m/>
    <s v="Dólares"/>
    <n v="1102.3800000000001"/>
    <s v="CORPORACION DE SUPERMERCADOS UNIDOS SOCIEDAD DE RESPONSABILIDAD LIMITADA"/>
    <x v="5"/>
    <m/>
    <m/>
  </r>
  <r>
    <x v="0"/>
    <x v="2"/>
    <x v="0"/>
    <m/>
    <x v="0"/>
    <x v="4"/>
    <m/>
    <s v="Dólares"/>
    <n v="24590.720000000001"/>
    <s v="Corporacion de Supermercados Unidos SRL"/>
    <x v="5"/>
    <m/>
    <m/>
  </r>
  <r>
    <x v="0"/>
    <x v="2"/>
    <x v="2"/>
    <m/>
    <x v="0"/>
    <x v="4"/>
    <m/>
    <s v="Dólares"/>
    <n v="24104.65"/>
    <s v="Corporacion Frionet S.A"/>
    <x v="5"/>
    <m/>
    <m/>
  </r>
  <r>
    <x v="3"/>
    <x v="3"/>
    <x v="2"/>
    <m/>
    <x v="0"/>
    <x v="4"/>
    <m/>
    <s v="Dólares"/>
    <n v="2982.95"/>
    <s v="ROCHE SERVICES AMERICAS SOCIEDAD DE RESPONSABILIDAD LIMITADA"/>
    <x v="5"/>
    <m/>
    <m/>
  </r>
  <r>
    <x v="0"/>
    <x v="1"/>
    <x v="2"/>
    <m/>
    <x v="0"/>
    <x v="4"/>
    <m/>
    <s v="Dólares"/>
    <n v="10575"/>
    <s v="Diseño Ingenieria Arquitectura Metropolitana "/>
    <x v="5"/>
    <m/>
    <m/>
  </r>
  <r>
    <x v="0"/>
    <x v="1"/>
    <x v="0"/>
    <m/>
    <x v="0"/>
    <x v="4"/>
    <m/>
    <s v="Dólares"/>
    <n v="20000"/>
    <s v="Edica"/>
    <x v="5"/>
    <m/>
    <m/>
  </r>
  <r>
    <x v="0"/>
    <x v="3"/>
    <x v="2"/>
    <m/>
    <x v="0"/>
    <x v="4"/>
    <m/>
    <s v="Dólares"/>
    <n v="2821.72"/>
    <s v="ANC CAR SOCIEDAD ANONIMA"/>
    <x v="5"/>
    <m/>
    <m/>
  </r>
  <r>
    <x v="3"/>
    <x v="3"/>
    <x v="2"/>
    <m/>
    <x v="0"/>
    <x v="4"/>
    <m/>
    <s v="Dólares"/>
    <n v="2799.93"/>
    <s v="ROCHE SERVICES AMERICAS SOCIEDAD DE RESPONSABILIDAD LIMITADA"/>
    <x v="5"/>
    <m/>
    <m/>
  </r>
  <r>
    <x v="0"/>
    <x v="3"/>
    <x v="2"/>
    <m/>
    <x v="0"/>
    <x v="4"/>
    <m/>
    <s v="Dólares"/>
    <n v="2546.66"/>
    <s v="CAFETAL DOS DE BELEN S.A"/>
    <x v="5"/>
    <m/>
    <m/>
  </r>
  <r>
    <x v="3"/>
    <x v="3"/>
    <x v="0"/>
    <m/>
    <x v="0"/>
    <x v="4"/>
    <m/>
    <s v="Dólares"/>
    <n v="2299.42"/>
    <s v="INTERACTIVE LIGHTNING SOCIEDAD ANONIMA"/>
    <x v="5"/>
    <m/>
    <m/>
  </r>
  <r>
    <x v="0"/>
    <x v="3"/>
    <x v="2"/>
    <m/>
    <x v="0"/>
    <x v="4"/>
    <m/>
    <s v="Dólares"/>
    <n v="2018.54"/>
    <s v="BANCO CENTROAMERICANO DE INTEGRACION ECONOMICA"/>
    <x v="5"/>
    <m/>
    <m/>
  </r>
  <r>
    <x v="0"/>
    <x v="2"/>
    <x v="0"/>
    <m/>
    <x v="0"/>
    <x v="4"/>
    <m/>
    <s v="Dólares"/>
    <n v="88805.81"/>
    <s v="INARI MEDICAL COSTA RICA SOCIEDAD ANONIMA"/>
    <x v="5"/>
    <m/>
    <m/>
  </r>
  <r>
    <x v="3"/>
    <x v="3"/>
    <x v="2"/>
    <m/>
    <x v="0"/>
    <x v="4"/>
    <m/>
    <s v="Dólares"/>
    <n v="1974.4"/>
    <s v="ROCHE SERVICES AMERICAS SOCIEDAD DE RESPONSABILIDAD LIMITADA"/>
    <x v="5"/>
    <m/>
    <m/>
  </r>
  <r>
    <x v="3"/>
    <x v="3"/>
    <x v="2"/>
    <m/>
    <x v="0"/>
    <x v="4"/>
    <m/>
    <s v="Dólares"/>
    <n v="1657.64"/>
    <s v="SERVICIOS COMPUTACIONALES NOVA COMP SOCIEDAD ANONIMA"/>
    <x v="5"/>
    <m/>
    <m/>
  </r>
  <r>
    <x v="0"/>
    <x v="3"/>
    <x v="2"/>
    <m/>
    <x v="0"/>
    <x v="4"/>
    <m/>
    <s v="Dólares"/>
    <n v="1643.11"/>
    <s v="COMPANIA CONSTRUCTORA VAN DER LAAT Y JIMENEZ S.A."/>
    <x v="5"/>
    <m/>
    <m/>
  </r>
  <r>
    <x v="1"/>
    <x v="0"/>
    <x v="2"/>
    <m/>
    <x v="0"/>
    <x v="4"/>
    <m/>
    <s v="Dólares"/>
    <n v="3000"/>
    <s v="MediPlus"/>
    <x v="5"/>
    <m/>
    <m/>
  </r>
  <r>
    <x v="3"/>
    <x v="3"/>
    <x v="2"/>
    <m/>
    <x v="0"/>
    <x v="4"/>
    <m/>
    <s v="Dólares"/>
    <n v="1578.39"/>
    <s v="GOSOCKET SHARED SERVICES S.A"/>
    <x v="5"/>
    <m/>
    <m/>
  </r>
  <r>
    <x v="0"/>
    <x v="3"/>
    <x v="2"/>
    <m/>
    <x v="0"/>
    <x v="4"/>
    <m/>
    <s v="Dólares"/>
    <n v="1546.04"/>
    <s v="BANCO CENTROAMERICANO DE INTEGRACION ECONOMICA"/>
    <x v="5"/>
    <m/>
    <m/>
  </r>
  <r>
    <x v="0"/>
    <x v="2"/>
    <x v="0"/>
    <m/>
    <x v="0"/>
    <x v="4"/>
    <m/>
    <s v="Dólares"/>
    <n v="86107.58"/>
    <s v="PRIME LOGISTCS GAG SOCIEDAD ANONIMA"/>
    <x v="5"/>
    <m/>
    <m/>
  </r>
  <r>
    <x v="0"/>
    <x v="1"/>
    <x v="2"/>
    <m/>
    <x v="0"/>
    <x v="4"/>
    <m/>
    <s v="Dólares"/>
    <n v="10000"/>
    <s v="PRODEYCO"/>
    <x v="5"/>
    <m/>
    <m/>
  </r>
  <r>
    <x v="3"/>
    <x v="3"/>
    <x v="2"/>
    <m/>
    <x v="0"/>
    <x v="4"/>
    <m/>
    <s v="Dólares"/>
    <n v="1383.39"/>
    <s v="CENTRO COMERCIAL MULTIPLAZA SOCIEDAD ANONIMA"/>
    <x v="5"/>
    <m/>
    <m/>
  </r>
  <r>
    <x v="3"/>
    <x v="3"/>
    <x v="2"/>
    <m/>
    <x v="0"/>
    <x v="4"/>
    <m/>
    <s v="Dólares"/>
    <n v="1372.89"/>
    <s v="CENTRO COMERCIAL MULTIPLAZA SOCIEDAD ANONIMA"/>
    <x v="5"/>
    <m/>
    <m/>
  </r>
  <r>
    <x v="3"/>
    <x v="3"/>
    <x v="2"/>
    <m/>
    <x v="0"/>
    <x v="4"/>
    <m/>
    <s v="Dólares"/>
    <n v="1287"/>
    <s v="VOLIO &amp; TREJOS ASOCIADOS SOCIEDAD ANONIMA"/>
    <x v="5"/>
    <s v="SI"/>
    <m/>
  </r>
  <r>
    <x v="3"/>
    <x v="3"/>
    <x v="0"/>
    <m/>
    <x v="0"/>
    <x v="4"/>
    <m/>
    <s v="Dólares"/>
    <n v="1164.0999999999999"/>
    <s v="INSTITUTO COSTARRICENSE DE ACUEDUCTOS Y ALCANTARILLADOS"/>
    <x v="5"/>
    <m/>
    <m/>
  </r>
  <r>
    <x v="3"/>
    <x v="3"/>
    <x v="2"/>
    <m/>
    <x v="0"/>
    <x v="4"/>
    <m/>
    <s v="Dólares"/>
    <n v="1007.81"/>
    <s v="GOSOCKET SHARED SERVICES S.A"/>
    <x v="5"/>
    <m/>
    <m/>
  </r>
  <r>
    <x v="3"/>
    <x v="3"/>
    <x v="2"/>
    <m/>
    <x v="0"/>
    <x v="4"/>
    <m/>
    <s v="Dólares"/>
    <n v="1000"/>
    <s v="VOLIO &amp; TREJOS ASOCIADOS SOCIEDAD ANONIMA"/>
    <x v="5"/>
    <s v="NO"/>
    <m/>
  </r>
  <r>
    <x v="3"/>
    <x v="3"/>
    <x v="2"/>
    <m/>
    <x v="0"/>
    <x v="4"/>
    <m/>
    <s v="Dólares"/>
    <n v="914.62"/>
    <s v="NOVASHORE OUTSOURCING SOLUTIONS SOCIEDAD ANONIMA"/>
    <x v="5"/>
    <m/>
    <m/>
  </r>
  <r>
    <x v="0"/>
    <x v="3"/>
    <x v="2"/>
    <m/>
    <x v="0"/>
    <x v="4"/>
    <m/>
    <s v="Dólares"/>
    <n v="675.74"/>
    <s v="EDIFICAR S.A"/>
    <x v="5"/>
    <m/>
    <m/>
  </r>
  <r>
    <x v="0"/>
    <x v="3"/>
    <x v="2"/>
    <m/>
    <x v="0"/>
    <x v="4"/>
    <m/>
    <s v="Dólares"/>
    <n v="659.92"/>
    <s v="NUCLEO BUSINESS CENTER SOCIEDAD ANONIMA"/>
    <x v="5"/>
    <m/>
    <m/>
  </r>
  <r>
    <x v="0"/>
    <x v="3"/>
    <x v="2"/>
    <m/>
    <x v="0"/>
    <x v="4"/>
    <m/>
    <s v="Dólares"/>
    <n v="551.4"/>
    <s v="CAFETAL DOS DE BELEN S.A"/>
    <x v="5"/>
    <m/>
    <m/>
  </r>
  <r>
    <x v="1"/>
    <x v="0"/>
    <x v="2"/>
    <m/>
    <x v="0"/>
    <x v="4"/>
    <m/>
    <s v="Dólares"/>
    <n v="6000"/>
    <s v="RUA BRASIL SOCIEDAD ANONIMA"/>
    <x v="5"/>
    <m/>
    <m/>
  </r>
  <r>
    <x v="0"/>
    <x v="3"/>
    <x v="2"/>
    <m/>
    <x v="0"/>
    <x v="4"/>
    <m/>
    <s v="Dólares"/>
    <n v="410.4"/>
    <s v="COMPANIA CONSTRUCTORA VAN DER LAAT Y JIMENEZ S.A."/>
    <x v="5"/>
    <m/>
    <m/>
  </r>
  <r>
    <x v="3"/>
    <x v="3"/>
    <x v="2"/>
    <m/>
    <x v="0"/>
    <x v="4"/>
    <m/>
    <s v="Dólares"/>
    <n v="269.95999999999998"/>
    <s v="CENTRO COMERCIAL MULTIPLAZA SOCIEDAD ANONIMA"/>
    <x v="5"/>
    <m/>
    <m/>
  </r>
  <r>
    <x v="0"/>
    <x v="3"/>
    <x v="2"/>
    <m/>
    <x v="0"/>
    <x v="4"/>
    <m/>
    <s v="Dólares"/>
    <n v="169.97"/>
    <s v="COMPANIA CONSTRUCTORA VAN DER LAAT Y JIMENEZ S.A."/>
    <x v="5"/>
    <m/>
    <m/>
  </r>
  <r>
    <x v="3"/>
    <x v="3"/>
    <x v="2"/>
    <m/>
    <x v="0"/>
    <x v="4"/>
    <m/>
    <s v="Dólares"/>
    <n v="143.43"/>
    <s v="VOLIO &amp; TREJOS ASOCIADOS SOCIEDAD ANONIMA"/>
    <x v="5"/>
    <s v="SI"/>
    <m/>
  </r>
  <r>
    <x v="3"/>
    <x v="3"/>
    <x v="0"/>
    <m/>
    <x v="0"/>
    <x v="4"/>
    <m/>
    <s v="Dólares"/>
    <n v="81.239999999999995"/>
    <s v="CONTRACT WORKPLACES COSTA RICA SOCIEDAD ANONIMA"/>
    <x v="5"/>
    <m/>
    <m/>
  </r>
  <r>
    <x v="0"/>
    <x v="2"/>
    <x v="0"/>
    <m/>
    <x v="0"/>
    <x v="4"/>
    <m/>
    <s v="Dólares"/>
    <n v="16525.439999999999"/>
    <s v="Cooperativa de Productores de leche Dos PinosR L"/>
    <x v="7"/>
    <m/>
    <m/>
  </r>
  <r>
    <x v="0"/>
    <x v="2"/>
    <x v="0"/>
    <m/>
    <x v="0"/>
    <x v="4"/>
    <m/>
    <s v="Dólares"/>
    <n v="21443.27"/>
    <s v="Cooperativa de Productores de leche Dos PinosR L"/>
    <x v="7"/>
    <m/>
    <m/>
  </r>
  <r>
    <x v="0"/>
    <x v="2"/>
    <x v="0"/>
    <m/>
    <x v="0"/>
    <x v="4"/>
    <m/>
    <s v="Dólares"/>
    <n v="3048.01"/>
    <s v="Cooperativa de Productores de leche Dos PinosR L"/>
    <x v="7"/>
    <m/>
    <m/>
  </r>
  <r>
    <x v="0"/>
    <x v="2"/>
    <x v="0"/>
    <m/>
    <x v="0"/>
    <x v="4"/>
    <m/>
    <s v="Dólares"/>
    <n v="4594.79"/>
    <s v="Cooperativa de Productores de leche Dos PinosR L"/>
    <x v="7"/>
    <m/>
    <m/>
  </r>
  <r>
    <x v="0"/>
    <x v="2"/>
    <x v="0"/>
    <m/>
    <x v="0"/>
    <x v="4"/>
    <m/>
    <s v="Dólares"/>
    <n v="13485.86"/>
    <s v="Cooperativa de Productores de leche Dos PinosR L"/>
    <x v="7"/>
    <m/>
    <m/>
  </r>
  <r>
    <x v="0"/>
    <x v="2"/>
    <x v="0"/>
    <m/>
    <x v="0"/>
    <x v="4"/>
    <m/>
    <s v="Dólares"/>
    <n v="19043.64"/>
    <s v="Cooperativa de Productores de leche Dos PinosR L"/>
    <x v="7"/>
    <m/>
    <m/>
  </r>
  <r>
    <x v="4"/>
    <x v="1"/>
    <x v="2"/>
    <m/>
    <x v="0"/>
    <x v="4"/>
    <m/>
    <s v="Dólares"/>
    <n v="20944"/>
    <s v="PROYECTO RESIDENCIAL VIVA JACO "/>
    <x v="7"/>
    <m/>
    <m/>
  </r>
  <r>
    <x v="0"/>
    <x v="1"/>
    <x v="2"/>
    <m/>
    <x v="0"/>
    <x v="4"/>
    <m/>
    <s v="Dólares"/>
    <n v="10575"/>
    <s v="Diseño Ingenieria Arquitectura Metropolitana "/>
    <x v="7"/>
    <m/>
    <m/>
  </r>
  <r>
    <x v="0"/>
    <x v="2"/>
    <x v="1"/>
    <m/>
    <x v="0"/>
    <x v="4"/>
    <m/>
    <s v="Dólares"/>
    <n v="28500"/>
    <s v="Coca Cola Guatemala"/>
    <x v="7"/>
    <m/>
    <m/>
  </r>
  <r>
    <x v="2"/>
    <x v="3"/>
    <x v="0"/>
    <m/>
    <x v="0"/>
    <x v="4"/>
    <m/>
    <s v="Dólares"/>
    <n v="20000"/>
    <s v="PROYECCION SEMANA 04 OUTLET JULIO"/>
    <x v="7"/>
    <m/>
    <m/>
  </r>
  <r>
    <x v="0"/>
    <x v="3"/>
    <x v="0"/>
    <m/>
    <x v="0"/>
    <x v="4"/>
    <m/>
    <s v="Dólares"/>
    <n v="900.5"/>
    <s v="FONDO DE INVERSION INMOBILIARIO GIBRALTAR"/>
    <x v="7"/>
    <m/>
    <m/>
  </r>
  <r>
    <x v="0"/>
    <x v="3"/>
    <x v="0"/>
    <m/>
    <x v="0"/>
    <x v="4"/>
    <m/>
    <s v="Dólares"/>
    <n v="2018.54"/>
    <s v="BANCO CENTROAMERICANO DE INTEGRACION ECONOMICA"/>
    <x v="7"/>
    <m/>
    <m/>
  </r>
  <r>
    <x v="0"/>
    <x v="3"/>
    <x v="0"/>
    <m/>
    <x v="0"/>
    <x v="4"/>
    <m/>
    <s v="Dólares"/>
    <n v="22919.23"/>
    <s v="I M C INTERAMERICANA MEDIOS DE COMUNICACION SOCIEDAD ANONIMA"/>
    <x v="7"/>
    <m/>
    <m/>
  </r>
  <r>
    <x v="0"/>
    <x v="3"/>
    <x v="0"/>
    <m/>
    <x v="0"/>
    <x v="4"/>
    <m/>
    <s v="Dólares"/>
    <n v="64410"/>
    <s v="CONTRACT WORKPLACES COSTA RICA SOCIEDAD ANONIMA - KRAFT HEINZ"/>
    <x v="7"/>
    <m/>
    <m/>
  </r>
  <r>
    <x v="0"/>
    <x v="3"/>
    <x v="0"/>
    <m/>
    <x v="0"/>
    <x v="4"/>
    <m/>
    <s v="Dólares"/>
    <n v="1110.4000000000001"/>
    <s v="BAYER MEDICAL S.R.L."/>
    <x v="7"/>
    <m/>
    <m/>
  </r>
  <r>
    <x v="0"/>
    <x v="3"/>
    <x v="0"/>
    <m/>
    <x v="0"/>
    <x v="4"/>
    <m/>
    <s v="Dólares"/>
    <n v="1098.71"/>
    <s v="Corporacion de Supermercados Unidos SRL"/>
    <x v="7"/>
    <m/>
    <m/>
  </r>
  <r>
    <x v="0"/>
    <x v="3"/>
    <x v="2"/>
    <m/>
    <x v="0"/>
    <x v="4"/>
    <m/>
    <s v="Dólares"/>
    <n v="410.4"/>
    <s v="COMPANIA CONSTRUCTORA VAN DER LAAT Y JIMENEZ S.A."/>
    <x v="7"/>
    <m/>
    <m/>
  </r>
  <r>
    <x v="0"/>
    <x v="3"/>
    <x v="2"/>
    <m/>
    <x v="0"/>
    <x v="4"/>
    <m/>
    <s v="Dólares"/>
    <n v="284.97000000000003"/>
    <s v="COMPANIA CONSTRUCTORA VAN DER LAAT Y JIMENEZ S.A."/>
    <x v="7"/>
    <m/>
    <m/>
  </r>
  <r>
    <x v="0"/>
    <x v="3"/>
    <x v="2"/>
    <m/>
    <x v="0"/>
    <x v="4"/>
    <m/>
    <s v="Dólares"/>
    <n v="169.97"/>
    <s v="COMPANIA CONSTRUCTORA VAN DER LAAT Y JIMENEZ S.A."/>
    <x v="7"/>
    <m/>
    <m/>
  </r>
  <r>
    <x v="0"/>
    <x v="3"/>
    <x v="0"/>
    <m/>
    <x v="0"/>
    <x v="4"/>
    <m/>
    <s v="Dólares"/>
    <n v="100000"/>
    <s v="P Y P CONSTRUCCIONES SOCIEDAD ANONIMA"/>
    <x v="7"/>
    <m/>
    <m/>
  </r>
  <r>
    <x v="3"/>
    <x v="3"/>
    <x v="0"/>
    <m/>
    <x v="0"/>
    <x v="4"/>
    <m/>
    <s v="Dólares"/>
    <n v="1332.88"/>
    <s v="CONTRACT WORKPLACES COSTA RICA SOCIEDAD ANONIMA"/>
    <x v="7"/>
    <m/>
    <m/>
  </r>
  <r>
    <x v="3"/>
    <x v="3"/>
    <x v="0"/>
    <m/>
    <x v="0"/>
    <x v="4"/>
    <m/>
    <s v="Dólares"/>
    <n v="1332.88"/>
    <s v="CONTRACT WORKPLACES COSTA RICA SOCIEDAD ANONIMA"/>
    <x v="7"/>
    <m/>
    <m/>
  </r>
  <r>
    <x v="3"/>
    <x v="3"/>
    <x v="0"/>
    <m/>
    <x v="0"/>
    <x v="4"/>
    <m/>
    <s v="Dólares"/>
    <n v="447.82"/>
    <s v="CONTRACT WORKPLACES COSTA RICA SOCIEDAD ANONIMA"/>
    <x v="7"/>
    <m/>
    <m/>
  </r>
  <r>
    <x v="3"/>
    <x v="3"/>
    <x v="0"/>
    <m/>
    <x v="0"/>
    <x v="4"/>
    <m/>
    <s v="Dólares"/>
    <n v="223.91"/>
    <s v="CONTRACT WORKPLACES COSTA RICA SOCIEDAD ANONIMA"/>
    <x v="7"/>
    <m/>
    <m/>
  </r>
  <r>
    <x v="3"/>
    <x v="3"/>
    <x v="0"/>
    <m/>
    <x v="0"/>
    <x v="4"/>
    <m/>
    <s v="Dólares"/>
    <n v="74.64"/>
    <s v="CONTRACT WORKPLACES COSTA RICA SOCIEDAD ANONIMA"/>
    <x v="7"/>
    <m/>
    <m/>
  </r>
  <r>
    <x v="3"/>
    <x v="3"/>
    <x v="0"/>
    <m/>
    <x v="0"/>
    <x v="4"/>
    <m/>
    <s v="Dólares"/>
    <n v="4348.8100000000004"/>
    <s v="CONTRACT WORKPLACES COSTA RICA SOCIEDAD ANONIMA"/>
    <x v="7"/>
    <m/>
    <m/>
  </r>
  <r>
    <x v="3"/>
    <x v="3"/>
    <x v="0"/>
    <m/>
    <x v="0"/>
    <x v="4"/>
    <m/>
    <s v="Dólares"/>
    <n v="3450.19"/>
    <s v="CONTRACT WORKPLACES COSTA RICA SOCIEDAD ANONIMA"/>
    <x v="7"/>
    <m/>
    <m/>
  </r>
  <r>
    <x v="3"/>
    <x v="3"/>
    <x v="1"/>
    <m/>
    <x v="0"/>
    <x v="4"/>
    <m/>
    <s v="Dólares"/>
    <n v="29820"/>
    <s v="CONTRACT WORKPLACES COSTA RICA SOCIEDAD ANONIMA / EMBAJADA"/>
    <x v="7"/>
    <m/>
    <m/>
  </r>
  <r>
    <x v="3"/>
    <x v="3"/>
    <x v="1"/>
    <m/>
    <x v="0"/>
    <x v="4"/>
    <m/>
    <s v="Dólares"/>
    <n v="34500"/>
    <s v="BAC SAN JOSÉ "/>
    <x v="7"/>
    <m/>
    <m/>
  </r>
  <r>
    <x v="0"/>
    <x v="3"/>
    <x v="1"/>
    <m/>
    <x v="0"/>
    <x v="4"/>
    <m/>
    <s v="Dólares"/>
    <n v="19330"/>
    <s v="IMPROSA STEWART"/>
    <x v="7"/>
    <m/>
    <m/>
  </r>
  <r>
    <x v="0"/>
    <x v="3"/>
    <x v="2"/>
    <m/>
    <x v="0"/>
    <x v="4"/>
    <m/>
    <s v="Dólares"/>
    <n v="50887"/>
    <s v="UNIVERSIDAD ESTATAL A DISTANCIA"/>
    <x v="9"/>
    <m/>
    <m/>
  </r>
  <r>
    <x v="0"/>
    <x v="3"/>
    <x v="0"/>
    <m/>
    <x v="0"/>
    <x v="4"/>
    <m/>
    <s v="Dólares"/>
    <n v="28948.639999999999"/>
    <s v="EVOLUTION FREE ZONE SOCIEDAD ANONIMA"/>
    <x v="9"/>
    <m/>
    <m/>
  </r>
  <r>
    <x v="0"/>
    <x v="3"/>
    <x v="0"/>
    <m/>
    <x v="0"/>
    <x v="4"/>
    <m/>
    <s v="Dólares"/>
    <n v="24942.09"/>
    <s v="EDIFICADORA CENTROAMERICANA RAPIPAREDES S.A."/>
    <x v="9"/>
    <m/>
    <m/>
  </r>
  <r>
    <x v="0"/>
    <x v="3"/>
    <x v="0"/>
    <m/>
    <x v="0"/>
    <x v="4"/>
    <m/>
    <s v="Dólares"/>
    <n v="22919"/>
    <s v="I M C INTERAMERICANA MEDIOS DE COMUNICACION SOCIEDAD ANONIMA"/>
    <x v="9"/>
    <m/>
    <m/>
  </r>
  <r>
    <x v="0"/>
    <x v="0"/>
    <x v="0"/>
    <m/>
    <x v="0"/>
    <x v="4"/>
    <m/>
    <s v="Dólares"/>
    <n v="60000"/>
    <s v="Clientes Nuevos"/>
    <x v="9"/>
    <m/>
    <m/>
  </r>
  <r>
    <x v="0"/>
    <x v="2"/>
    <x v="0"/>
    <m/>
    <x v="0"/>
    <x v="4"/>
    <m/>
    <s v="Dólares"/>
    <n v="12753.57"/>
    <s v="PURDY MOTOR SOCIEDAD ANONIMA"/>
    <x v="9"/>
    <m/>
    <m/>
  </r>
  <r>
    <x v="0"/>
    <x v="2"/>
    <x v="0"/>
    <m/>
    <x v="0"/>
    <x v="4"/>
    <m/>
    <s v="Dólares"/>
    <n v="4172.5600000000004"/>
    <s v="VWR INTERNATIONAL LIMITADA"/>
    <x v="9"/>
    <m/>
    <m/>
  </r>
  <r>
    <x v="0"/>
    <x v="3"/>
    <x v="0"/>
    <m/>
    <x v="0"/>
    <x v="4"/>
    <m/>
    <s v="Dólares"/>
    <n v="20000"/>
    <s v="PROYECCION SEMANA 04 OUTLET SETIEMBRE"/>
    <x v="9"/>
    <m/>
    <m/>
  </r>
  <r>
    <x v="3"/>
    <x v="3"/>
    <x v="2"/>
    <m/>
    <x v="0"/>
    <x v="4"/>
    <m/>
    <s v="Dólares"/>
    <n v="12600"/>
    <s v="GOSOCKET SHARED SERVICES S.A"/>
    <x v="9"/>
    <m/>
    <m/>
  </r>
  <r>
    <x v="0"/>
    <x v="3"/>
    <x v="2"/>
    <m/>
    <x v="0"/>
    <x v="4"/>
    <m/>
    <s v="Dólares"/>
    <n v="9695.56"/>
    <s v="TRIBUNAL SUPREMO DE ELECCIONES"/>
    <x v="9"/>
    <m/>
    <m/>
  </r>
  <r>
    <x v="0"/>
    <x v="1"/>
    <x v="2"/>
    <m/>
    <x v="0"/>
    <x v="4"/>
    <m/>
    <s v="Dólares"/>
    <n v="10000"/>
    <s v="PRODEYCO"/>
    <x v="9"/>
    <m/>
    <m/>
  </r>
  <r>
    <x v="0"/>
    <x v="1"/>
    <x v="0"/>
    <m/>
    <x v="0"/>
    <x v="4"/>
    <m/>
    <s v="Dólares"/>
    <n v="27336.799999999999"/>
    <s v="Desarrollos Ecologicos El Canal"/>
    <x v="9"/>
    <m/>
    <m/>
  </r>
  <r>
    <x v="0"/>
    <x v="1"/>
    <x v="2"/>
    <m/>
    <x v="0"/>
    <x v="4"/>
    <m/>
    <s v="Dólares"/>
    <n v="10575"/>
    <s v="DISENO INGENIERIA ARQUITECTURA METROPOLITANA S.A."/>
    <x v="9"/>
    <m/>
    <m/>
  </r>
  <r>
    <x v="0"/>
    <x v="1"/>
    <x v="2"/>
    <m/>
    <x v="0"/>
    <x v="4"/>
    <m/>
    <s v="Dólares"/>
    <n v="69510"/>
    <s v="EDICA - TORRE VELO"/>
    <x v="9"/>
    <m/>
    <m/>
  </r>
  <r>
    <x v="0"/>
    <x v="1"/>
    <x v="0"/>
    <m/>
    <x v="0"/>
    <x v="4"/>
    <m/>
    <s v="Dólares"/>
    <n v="18750"/>
    <s v="Constructora La Itaba - Casa Max"/>
    <x v="9"/>
    <m/>
    <m/>
  </r>
  <r>
    <x v="0"/>
    <x v="1"/>
    <x v="0"/>
    <m/>
    <x v="0"/>
    <x v="4"/>
    <m/>
    <s v="Dólares"/>
    <n v="14309.19"/>
    <s v="Residencias de Santa Ana - Casa Max"/>
    <x v="9"/>
    <m/>
    <m/>
  </r>
  <r>
    <x v="0"/>
    <x v="1"/>
    <x v="0"/>
    <m/>
    <x v="0"/>
    <x v="4"/>
    <m/>
    <s v="Dólares"/>
    <n v="9718.6299999999992"/>
    <s v="PRODEYCO"/>
    <x v="9"/>
    <m/>
    <m/>
  </r>
  <r>
    <x v="0"/>
    <x v="1"/>
    <x v="1"/>
    <m/>
    <x v="0"/>
    <x v="4"/>
    <m/>
    <s v="Dólares"/>
    <n v="122911"/>
    <s v="3-101-873996 S.A - ECOMORAVIA "/>
    <x v="9"/>
    <m/>
    <m/>
  </r>
  <r>
    <x v="0"/>
    <x v="1"/>
    <x v="2"/>
    <m/>
    <x v="0"/>
    <x v="4"/>
    <m/>
    <s v="Dólares"/>
    <n v="11400"/>
    <s v="CONOBRA LIMITADA"/>
    <x v="9"/>
    <m/>
    <m/>
  </r>
  <r>
    <x v="0"/>
    <x v="0"/>
    <x v="0"/>
    <m/>
    <x v="0"/>
    <x v="4"/>
    <m/>
    <s v="Dólares"/>
    <n v="60000"/>
    <s v="PAGO INICIO DE INSTALACIONES HOGAR"/>
    <x v="8"/>
    <m/>
    <m/>
  </r>
  <r>
    <x v="1"/>
    <x v="0"/>
    <x v="0"/>
    <m/>
    <x v="0"/>
    <x v="4"/>
    <m/>
    <s v="Dólares"/>
    <n v="25000"/>
    <s v="CLIENTE NUEVOS MULTICLAMP"/>
    <x v="8"/>
    <m/>
    <m/>
  </r>
  <r>
    <x v="0"/>
    <x v="3"/>
    <x v="2"/>
    <m/>
    <x v="0"/>
    <x v="4"/>
    <m/>
    <s v="Dólares"/>
    <n v="32165.15"/>
    <s v="EVOLUTION FREE ZONE SOCIEDAD ANONIMA"/>
    <x v="8"/>
    <m/>
    <m/>
  </r>
  <r>
    <x v="0"/>
    <x v="3"/>
    <x v="2"/>
    <m/>
    <x v="0"/>
    <x v="4"/>
    <m/>
    <s v="Dólares"/>
    <n v="4701.76"/>
    <s v="JONES LANG LASALLE LIMITADA"/>
    <x v="8"/>
    <m/>
    <m/>
  </r>
  <r>
    <x v="0"/>
    <x v="3"/>
    <x v="2"/>
    <m/>
    <x v="0"/>
    <x v="4"/>
    <m/>
    <s v="Dólares"/>
    <n v="69400"/>
    <s v="P Y P CONSTRUCCIONES SOCIEDAD ANONIMA"/>
    <x v="8"/>
    <m/>
    <m/>
  </r>
  <r>
    <x v="0"/>
    <x v="3"/>
    <x v="0"/>
    <m/>
    <x v="0"/>
    <x v="4"/>
    <m/>
    <s v="Dólares"/>
    <n v="136371"/>
    <s v="CONCENTRIX"/>
    <x v="8"/>
    <m/>
    <m/>
  </r>
  <r>
    <x v="2"/>
    <x v="3"/>
    <x v="0"/>
    <m/>
    <x v="0"/>
    <x v="4"/>
    <m/>
    <s v="Dólares"/>
    <n v="20000"/>
    <s v="PAGO EXPRESS"/>
    <x v="8"/>
    <m/>
    <m/>
  </r>
  <r>
    <x v="0"/>
    <x v="3"/>
    <x v="1"/>
    <m/>
    <x v="0"/>
    <x v="4"/>
    <m/>
    <s v="Dólares"/>
    <n v="201200"/>
    <s v="EVOLUTION FREE ZONE SOCIEDAD ANONIMA - EPSILON"/>
    <x v="8"/>
    <m/>
    <m/>
  </r>
  <r>
    <x v="0"/>
    <x v="1"/>
    <x v="0"/>
    <m/>
    <x v="0"/>
    <x v="4"/>
    <m/>
    <s v="Dólares"/>
    <n v="61455"/>
    <s v="3-101-873996 S.A - NOVOGAR ECOMORAVIA"/>
    <x v="8"/>
    <m/>
    <m/>
  </r>
  <r>
    <x v="0"/>
    <x v="3"/>
    <x v="2"/>
    <m/>
    <x v="0"/>
    <x v="4"/>
    <m/>
    <s v="Dólares"/>
    <n v="23218.22"/>
    <s v="CONSEJO DE TRANSPORTE PUBLICO"/>
    <x v="8"/>
    <m/>
    <m/>
  </r>
  <r>
    <x v="0"/>
    <x v="3"/>
    <x v="0"/>
    <m/>
    <x v="0"/>
    <x v="4"/>
    <m/>
    <s v="Dólares"/>
    <n v="34125.54"/>
    <s v="BANCO PROMERICA DE COSTA RICA SOCIEDAD ANONIMA"/>
    <x v="8"/>
    <m/>
    <m/>
  </r>
  <r>
    <x v="3"/>
    <x v="3"/>
    <x v="0"/>
    <m/>
    <x v="0"/>
    <x v="4"/>
    <m/>
    <s v="Dólares"/>
    <n v="26673.1"/>
    <s v="EVOLUTION FREE ZONE SOCIEDAD ANONIMA - EPSILON"/>
    <x v="8"/>
    <m/>
    <m/>
  </r>
  <r>
    <x v="3"/>
    <x v="3"/>
    <x v="0"/>
    <m/>
    <x v="0"/>
    <x v="4"/>
    <m/>
    <s v="Dólares"/>
    <n v="21996.11"/>
    <s v="EVOLUTION FREE ZONE SOCIEDAD ANONIMA - EPSILON"/>
    <x v="8"/>
    <m/>
    <m/>
  </r>
  <r>
    <x v="0"/>
    <x v="2"/>
    <x v="0"/>
    <m/>
    <x v="0"/>
    <x v="4"/>
    <m/>
    <s v="Dólares"/>
    <n v="7396"/>
    <s v="GRUPO BM"/>
    <x v="8"/>
    <m/>
    <m/>
  </r>
  <r>
    <x v="0"/>
    <x v="2"/>
    <x v="0"/>
    <m/>
    <x v="0"/>
    <x v="1"/>
    <m/>
    <s v="Dólares"/>
    <n v="24255.56"/>
    <s v="Corporacion Frionet S.A"/>
    <x v="7"/>
    <m/>
    <m/>
  </r>
  <r>
    <x v="0"/>
    <x v="2"/>
    <x v="0"/>
    <m/>
    <x v="0"/>
    <x v="1"/>
    <m/>
    <s v="Dólares"/>
    <n v="31.94"/>
    <s v="MAYCA DISTRIBUIDORES, S.A"/>
    <x v="7"/>
    <m/>
    <m/>
  </r>
  <r>
    <x v="0"/>
    <x v="2"/>
    <x v="0"/>
    <m/>
    <x v="0"/>
    <x v="1"/>
    <m/>
    <s v="Dólares"/>
    <n v="285.58999999999997"/>
    <s v="CORPORACION DE SUPERMERCADOS UNIDOS SOCIEDAD DE RESPONSABILIDAD LIMITADA"/>
    <x v="7"/>
    <m/>
    <m/>
  </r>
  <r>
    <x v="0"/>
    <x v="2"/>
    <x v="2"/>
    <m/>
    <x v="0"/>
    <x v="1"/>
    <m/>
    <s v="Dólares"/>
    <n v="286"/>
    <s v="CORPORACION DE SUPERMERCADOS UNIDOS SOCIEDAD DE RESPONSABILIDAD LIMITADA"/>
    <x v="7"/>
    <m/>
    <m/>
  </r>
  <r>
    <x v="0"/>
    <x v="2"/>
    <x v="2"/>
    <m/>
    <x v="0"/>
    <x v="1"/>
    <m/>
    <s v="Dólares"/>
    <n v="1102.3800000000001"/>
    <s v="CORPORACION DE SUPERMERCADOS UNIDOS SOCIEDAD DE RESPONSABILIDAD LIMITADA"/>
    <x v="7"/>
    <m/>
    <m/>
  </r>
  <r>
    <x v="0"/>
    <x v="2"/>
    <x v="0"/>
    <m/>
    <x v="0"/>
    <x v="1"/>
    <m/>
    <s v="Dólares"/>
    <n v="31.12"/>
    <s v="ALMACENADORA HEREDIA S.A"/>
    <x v="7"/>
    <m/>
    <m/>
  </r>
  <r>
    <x v="2"/>
    <x v="3"/>
    <x v="0"/>
    <m/>
    <x v="0"/>
    <x v="1"/>
    <m/>
    <s v="Dólares"/>
    <n v="20000"/>
    <s v="PROYECCION SEMANA 05 OUTLET JULIO"/>
    <x v="7"/>
    <m/>
    <m/>
  </r>
  <r>
    <x v="0"/>
    <x v="3"/>
    <x v="2"/>
    <m/>
    <x v="0"/>
    <x v="1"/>
    <m/>
    <s v="Dólares"/>
    <n v="24520.39"/>
    <s v="UNIVERSIDAD NACIONAL DE COSTA RICA "/>
    <x v="7"/>
    <m/>
    <m/>
  </r>
  <r>
    <x v="0"/>
    <x v="3"/>
    <x v="2"/>
    <m/>
    <x v="0"/>
    <x v="1"/>
    <m/>
    <s v="Dólares"/>
    <n v="4581.16"/>
    <s v="COMPANIA CONSTRUCTORA VAN DER LAAT Y JIMENEZ S.A."/>
    <x v="7"/>
    <m/>
    <m/>
  </r>
  <r>
    <x v="0"/>
    <x v="3"/>
    <x v="0"/>
    <m/>
    <x v="0"/>
    <x v="1"/>
    <m/>
    <s v="Dólares"/>
    <n v="1643.11"/>
    <s v="COMPANIA CONSTRUCTORA VAN DER LAAT Y JIMENEZ S.A."/>
    <x v="7"/>
    <m/>
    <m/>
  </r>
  <r>
    <x v="0"/>
    <x v="3"/>
    <x v="0"/>
    <m/>
    <x v="0"/>
    <x v="1"/>
    <m/>
    <s v="Dólares"/>
    <n v="7457.99"/>
    <s v="NUCLEO BUSINESS CENTER SOCIEDAD ANONIMA"/>
    <x v="7"/>
    <m/>
    <m/>
  </r>
  <r>
    <x v="0"/>
    <x v="3"/>
    <x v="0"/>
    <m/>
    <x v="0"/>
    <x v="1"/>
    <m/>
    <s v="Dólares"/>
    <n v="5273.04"/>
    <s v="NUCLEO BUSINESS CENTER SOCIEDAD ANONIMA"/>
    <x v="7"/>
    <m/>
    <m/>
  </r>
  <r>
    <x v="0"/>
    <x v="3"/>
    <x v="0"/>
    <m/>
    <x v="0"/>
    <x v="1"/>
    <m/>
    <s v="Dólares"/>
    <n v="1682.46"/>
    <s v="NUCLEO BUSINESS CENTER SOCIEDAD ANONIMA"/>
    <x v="7"/>
    <m/>
    <m/>
  </r>
  <r>
    <x v="0"/>
    <x v="3"/>
    <x v="0"/>
    <m/>
    <x v="0"/>
    <x v="1"/>
    <m/>
    <s v="Dólares"/>
    <n v="1356"/>
    <s v="BILCO COSTA RICA S.A."/>
    <x v="7"/>
    <m/>
    <m/>
  </r>
  <r>
    <x v="0"/>
    <x v="3"/>
    <x v="0"/>
    <m/>
    <x v="0"/>
    <x v="1"/>
    <m/>
    <s v="Dólares"/>
    <n v="1009"/>
    <s v="TEGRA MEDICAL COSTA RICA SOCIEDAD ANONIMA"/>
    <x v="7"/>
    <m/>
    <m/>
  </r>
  <r>
    <x v="0"/>
    <x v="3"/>
    <x v="0"/>
    <m/>
    <x v="0"/>
    <x v="1"/>
    <m/>
    <s v="Dólares"/>
    <n v="452"/>
    <s v="Maersk Costa Rica S.A"/>
    <x v="7"/>
    <m/>
    <m/>
  </r>
  <r>
    <x v="3"/>
    <x v="3"/>
    <x v="2"/>
    <m/>
    <x v="0"/>
    <x v="1"/>
    <m/>
    <s v="Dólares"/>
    <n v="9248.4500000000007"/>
    <s v="ROCHE SERVICES AMERICAS SOCIEDAD DE RESPONSABILIDAD LIMITADA"/>
    <x v="7"/>
    <m/>
    <m/>
  </r>
  <r>
    <x v="3"/>
    <x v="3"/>
    <x v="2"/>
    <m/>
    <x v="0"/>
    <x v="1"/>
    <m/>
    <s v="Dólares"/>
    <n v="2799.93"/>
    <s v="ROCHE SERVICES AMERICAS SOCIEDAD DE RESPONSABILIDAD LIMITADA"/>
    <x v="7"/>
    <m/>
    <m/>
  </r>
  <r>
    <x v="3"/>
    <x v="3"/>
    <x v="2"/>
    <m/>
    <x v="0"/>
    <x v="1"/>
    <m/>
    <s v="Dólares"/>
    <n v="7835.26"/>
    <s v="ROCHE SERVICES AMERICAS SOCIEDAD DE RESPONSABILIDAD LIMITADA"/>
    <x v="7"/>
    <m/>
    <m/>
  </r>
  <r>
    <x v="3"/>
    <x v="3"/>
    <x v="2"/>
    <m/>
    <x v="0"/>
    <x v="1"/>
    <m/>
    <s v="Dólares"/>
    <n v="4213.7700000000004"/>
    <s v="ROCHE SERVICES AMERICAS SOCIEDAD DE RESPONSABILIDAD LIMITADA"/>
    <x v="7"/>
    <m/>
    <m/>
  </r>
  <r>
    <x v="3"/>
    <x v="3"/>
    <x v="2"/>
    <m/>
    <x v="0"/>
    <x v="1"/>
    <m/>
    <s v="Dólares"/>
    <n v="1974.4"/>
    <s v="ROCHE SERVICES AMERICAS SOCIEDAD DE RESPONSABILIDAD LIMITADA"/>
    <x v="7"/>
    <m/>
    <m/>
  </r>
  <r>
    <x v="3"/>
    <x v="3"/>
    <x v="2"/>
    <m/>
    <x v="0"/>
    <x v="1"/>
    <m/>
    <s v="Dólares"/>
    <n v="727.26"/>
    <s v="PARQUE CENTRAL SOCIEDAD ANONIMA"/>
    <x v="7"/>
    <m/>
    <m/>
  </r>
  <r>
    <x v="3"/>
    <x v="3"/>
    <x v="2"/>
    <m/>
    <x v="0"/>
    <x v="1"/>
    <m/>
    <s v="Dólares"/>
    <n v="5661.31"/>
    <s v="ROCHE SERVICES AMERICAS SOCIEDAD DE RESPONSABILIDAD LIMITADA"/>
    <x v="7"/>
    <m/>
    <m/>
  </r>
  <r>
    <x v="3"/>
    <x v="3"/>
    <x v="2"/>
    <m/>
    <x v="0"/>
    <x v="1"/>
    <m/>
    <s v="Dólares"/>
    <n v="2982.95"/>
    <s v="ROCHE SERVICES AMERICAS SOCIEDAD DE RESPONSABILIDAD LIMITADA"/>
    <x v="7"/>
    <m/>
    <m/>
  </r>
  <r>
    <x v="3"/>
    <x v="3"/>
    <x v="2"/>
    <m/>
    <x v="0"/>
    <x v="1"/>
    <m/>
    <s v="Dólares"/>
    <n v="1000"/>
    <s v="VOLIO &amp; TREJOS ASOCIADOS SOCIEDAD ANONIMA"/>
    <x v="7"/>
    <m/>
    <m/>
  </r>
  <r>
    <x v="3"/>
    <x v="3"/>
    <x v="2"/>
    <m/>
    <x v="0"/>
    <x v="1"/>
    <m/>
    <s v="Dólares"/>
    <n v="1372.89"/>
    <s v="CENTRO COMERCIAL MULTIPLAZA SOCIEDAD ANONIMA"/>
    <x v="7"/>
    <m/>
    <m/>
  </r>
  <r>
    <x v="3"/>
    <x v="3"/>
    <x v="2"/>
    <m/>
    <x v="0"/>
    <x v="1"/>
    <m/>
    <s v="Dólares"/>
    <n v="269.95999999999998"/>
    <s v="CENTRO COMERCIAL MULTIPLAZA SOCIEDAD ANONIMA"/>
    <x v="7"/>
    <m/>
    <m/>
  </r>
  <r>
    <x v="3"/>
    <x v="3"/>
    <x v="2"/>
    <m/>
    <x v="0"/>
    <x v="1"/>
    <m/>
    <s v="Dólares"/>
    <n v="1383.39"/>
    <s v="CENTRO COMERCIAL MULTIPLAZA SOCIEDAD ANONIMA"/>
    <x v="7"/>
    <m/>
    <m/>
  </r>
  <r>
    <x v="3"/>
    <x v="3"/>
    <x v="2"/>
    <m/>
    <x v="0"/>
    <x v="1"/>
    <m/>
    <s v="Dólares"/>
    <n v="2299.42"/>
    <s v="INTERACTIVE LIGHTNING SOCIEDAD ANONIMA"/>
    <x v="7"/>
    <m/>
    <m/>
  </r>
  <r>
    <x v="3"/>
    <x v="3"/>
    <x v="2"/>
    <m/>
    <x v="0"/>
    <x v="1"/>
    <m/>
    <s v="Dólares"/>
    <n v="1669.71"/>
    <s v="PARQUE CENTRAL SOCIEDAD ANONIMA"/>
    <x v="7"/>
    <m/>
    <m/>
  </r>
  <r>
    <x v="0"/>
    <x v="3"/>
    <x v="0"/>
    <m/>
    <x v="0"/>
    <x v="1"/>
    <m/>
    <s v="Dólares"/>
    <n v="125000"/>
    <s v="CONSTRUCTORA GONZALO DELGADO SOCIEDAD ANONIMA"/>
    <x v="9"/>
    <m/>
    <m/>
  </r>
  <r>
    <x v="0"/>
    <x v="3"/>
    <x v="0"/>
    <m/>
    <x v="0"/>
    <x v="1"/>
    <m/>
    <s v="Dólares"/>
    <n v="22600"/>
    <s v="TELEDOLAR SOCIEDAD ANONIMA"/>
    <x v="9"/>
    <m/>
    <m/>
  </r>
  <r>
    <x v="0"/>
    <x v="0"/>
    <x v="0"/>
    <m/>
    <x v="0"/>
    <x v="1"/>
    <m/>
    <s v="Dólares"/>
    <n v="30000"/>
    <s v="Clientes Nuevos"/>
    <x v="9"/>
    <m/>
    <m/>
  </r>
  <r>
    <x v="0"/>
    <x v="2"/>
    <x v="1"/>
    <m/>
    <x v="0"/>
    <x v="1"/>
    <m/>
    <s v="Dólares"/>
    <n v="350000"/>
    <s v="BOSTON"/>
    <x v="9"/>
    <m/>
    <m/>
  </r>
  <r>
    <x v="0"/>
    <x v="2"/>
    <x v="0"/>
    <m/>
    <x v="0"/>
    <x v="1"/>
    <m/>
    <s v="Dólares"/>
    <n v="35177"/>
    <s v="BRIDGESTONE DE COSTA RICA SOCIEDAD ANONIMA"/>
    <x v="9"/>
    <m/>
    <m/>
  </r>
  <r>
    <x v="0"/>
    <x v="3"/>
    <x v="0"/>
    <m/>
    <x v="0"/>
    <x v="1"/>
    <m/>
    <s v="Dólares"/>
    <n v="20000"/>
    <s v="PROYECCION SEMANA 05 OUTLET SETIEMBRE"/>
    <x v="9"/>
    <m/>
    <m/>
  </r>
  <r>
    <x v="0"/>
    <x v="1"/>
    <x v="0"/>
    <m/>
    <x v="0"/>
    <x v="1"/>
    <m/>
    <s v="Dólares"/>
    <n v="173016.82"/>
    <s v="FDO INV. DESARROLLO PROYECTOS MULTIFONDOS SECRT ESCALANTE"/>
    <x v="9"/>
    <m/>
    <m/>
  </r>
  <r>
    <x v="0"/>
    <x v="0"/>
    <x v="0"/>
    <m/>
    <x v="1"/>
    <x v="2"/>
    <d v="2026-01-12T00:00:00"/>
    <s v="Dólares"/>
    <n v="508.5"/>
    <s v="SIN IDENTIFICAR"/>
    <x v="3"/>
    <m/>
    <m/>
  </r>
  <r>
    <x v="3"/>
    <x v="3"/>
    <x v="0"/>
    <m/>
    <x v="1"/>
    <x v="3"/>
    <d v="2025-12-18T00:00:00"/>
    <s v="Dólares"/>
    <n v="13896.43"/>
    <s v="GRUPO ROBLE"/>
    <x v="8"/>
    <m/>
    <m/>
  </r>
  <r>
    <x v="0"/>
    <x v="3"/>
    <x v="0"/>
    <m/>
    <x v="1"/>
    <x v="3"/>
    <d v="2025-12-18T00:00:00"/>
    <s v="Colones"/>
    <n v="9300.4254901960776"/>
    <s v="TRIBUNAL SUPREMO DE ELECCIONES"/>
    <x v="8"/>
    <m/>
    <m/>
  </r>
  <r>
    <x v="0"/>
    <x v="0"/>
    <x v="0"/>
    <m/>
    <x v="1"/>
    <x v="2"/>
    <d v="2025-12-12T00:00:00"/>
    <s v="Dólares"/>
    <n v="503"/>
    <s v="Sabrina Alavarez"/>
    <x v="8"/>
    <m/>
    <m/>
  </r>
  <r>
    <x v="0"/>
    <x v="0"/>
    <x v="0"/>
    <m/>
    <x v="1"/>
    <x v="3"/>
    <d v="2025-12-18T00:00:00"/>
    <s v="Colones"/>
    <n v="8659.4901960784318"/>
    <s v="WENDY ZUMBADO"/>
    <x v="8"/>
    <m/>
    <m/>
  </r>
  <r>
    <x v="0"/>
    <x v="0"/>
    <x v="1"/>
    <m/>
    <x v="1"/>
    <x v="0"/>
    <d v="2025-06-04T00:00:00"/>
    <s v="Colones"/>
    <n v="501.96850393700788"/>
    <s v="ELKIN ANDRES SUAREZ DURALL"/>
    <x v="5"/>
    <m/>
    <m/>
  </r>
  <r>
    <x v="0"/>
    <x v="0"/>
    <x v="0"/>
    <n v="10026494"/>
    <x v="1"/>
    <x v="0"/>
    <d v="2025-05-02T00:00:00"/>
    <s v="Dólares"/>
    <n v="500"/>
    <s v="SILVIA ELENA ZUÑIGA JIMENEZ"/>
    <x v="0"/>
    <m/>
    <m/>
  </r>
  <r>
    <x v="0"/>
    <x v="1"/>
    <x v="0"/>
    <n v="10026676"/>
    <x v="1"/>
    <x v="1"/>
    <d v="2025-05-26T00:00:00"/>
    <s v="Dólares"/>
    <n v="500"/>
    <s v="CONOBRA LIMITADA"/>
    <x v="0"/>
    <m/>
    <m/>
  </r>
  <r>
    <x v="0"/>
    <x v="0"/>
    <x v="0"/>
    <m/>
    <x v="1"/>
    <x v="1"/>
    <d v="2025-05-29T00:00:00"/>
    <s v="Dólares"/>
    <n v="500"/>
    <s v="SILVIA ELENA ZUÑIGA JIMENEZ"/>
    <x v="0"/>
    <m/>
    <m/>
  </r>
  <r>
    <x v="0"/>
    <x v="0"/>
    <x v="0"/>
    <m/>
    <x v="1"/>
    <x v="0"/>
    <d v="2025-06-06T00:00:00"/>
    <s v="Dólares"/>
    <n v="500"/>
    <s v="ROSA EUGENIA PICADO SOLIS"/>
    <x v="5"/>
    <m/>
    <m/>
  </r>
  <r>
    <x v="0"/>
    <x v="0"/>
    <x v="0"/>
    <m/>
    <x v="1"/>
    <x v="4"/>
    <d v="2025-06-30T00:00:00"/>
    <s v="Dólares"/>
    <n v="500"/>
    <s v="SILVIA ELENA ZUÑIGA JIMENEZ"/>
    <x v="5"/>
    <m/>
    <m/>
  </r>
  <r>
    <x v="0"/>
    <x v="0"/>
    <x v="0"/>
    <n v="10027132"/>
    <x v="1"/>
    <x v="4"/>
    <d v="2025-07-22T00:00:00"/>
    <s v="Dólares"/>
    <n v="500"/>
    <s v="ERIC EDUARDO DE JESUS ALVAREZ PEREZ"/>
    <x v="7"/>
    <m/>
    <m/>
  </r>
  <r>
    <x v="0"/>
    <x v="0"/>
    <x v="0"/>
    <n v="10027137"/>
    <x v="1"/>
    <x v="4"/>
    <d v="2025-07-22T00:00:00"/>
    <s v="Dólares"/>
    <n v="500"/>
    <s v="ERIC EDUARDO DE JESUS ALVAREZ PEREZ"/>
    <x v="7"/>
    <m/>
    <m/>
  </r>
  <r>
    <x v="0"/>
    <x v="0"/>
    <x v="2"/>
    <m/>
    <x v="1"/>
    <x v="1"/>
    <d v="2025-07-30T00:00:00"/>
    <s v="Dólares"/>
    <n v="500"/>
    <s v="SILVIA ELENA ZUÑIGA JIMENEZ"/>
    <x v="7"/>
    <m/>
    <m/>
  </r>
  <r>
    <x v="0"/>
    <x v="0"/>
    <x v="0"/>
    <n v="10027239"/>
    <x v="1"/>
    <x v="0"/>
    <d v="2025-08-04T00:00:00"/>
    <s v="Dólares"/>
    <n v="500"/>
    <s v="PAOLA ANDREA CUERO  ANGULO"/>
    <x v="1"/>
    <m/>
    <m/>
  </r>
  <r>
    <x v="0"/>
    <x v="0"/>
    <x v="0"/>
    <m/>
    <x v="1"/>
    <x v="4"/>
    <d v="2025-08-29T00:00:00"/>
    <s v="Dólares"/>
    <n v="500"/>
    <s v="SILVIA ELENA ZUÑIGA JIMENEZ"/>
    <x v="1"/>
    <m/>
    <m/>
  </r>
  <r>
    <x v="0"/>
    <x v="0"/>
    <x v="0"/>
    <n v="10027672"/>
    <x v="1"/>
    <x v="1"/>
    <d v="2025-09-30T00:00:00"/>
    <s v="Dólares"/>
    <n v="500"/>
    <s v="SILVIA ELENA ZUÑIGA JIMENEZ"/>
    <x v="9"/>
    <m/>
    <m/>
  </r>
  <r>
    <x v="0"/>
    <x v="0"/>
    <x v="2"/>
    <m/>
    <x v="1"/>
    <x v="4"/>
    <d v="2025-11-27T00:00:00"/>
    <s v="Dólares"/>
    <n v="500"/>
    <s v="SILVIA ELENA ZUÑIGA"/>
    <x v="4"/>
    <m/>
    <m/>
  </r>
  <r>
    <x v="0"/>
    <x v="0"/>
    <x v="0"/>
    <n v="10028099"/>
    <x v="1"/>
    <x v="2"/>
    <d v="2025-12-06T00:00:00"/>
    <s v="Dólares"/>
    <n v="500"/>
    <s v="STEPHANY MELISSA BARBOZA CALLEJAS"/>
    <x v="8"/>
    <m/>
    <m/>
  </r>
  <r>
    <x v="0"/>
    <x v="0"/>
    <x v="0"/>
    <m/>
    <x v="1"/>
    <x v="0"/>
    <d v="2026-01-01T00:00:00"/>
    <s v="Dólares"/>
    <n v="500"/>
    <s v="SILVIA ELENA ZUÑIGA"/>
    <x v="3"/>
    <m/>
    <m/>
  </r>
  <r>
    <x v="0"/>
    <x v="2"/>
    <x v="0"/>
    <n v="10026811"/>
    <x v="1"/>
    <x v="2"/>
    <d v="2025-06-12T00:00:00"/>
    <s v="Dólares"/>
    <n v="495.63"/>
    <s v="GUALAPACK  COSTA RICA SOCIEDAD ANONIMA"/>
    <x v="5"/>
    <m/>
    <m/>
  </r>
  <r>
    <x v="0"/>
    <x v="1"/>
    <x v="0"/>
    <n v="10026572"/>
    <x v="1"/>
    <x v="2"/>
    <d v="2025-05-05T00:00:00"/>
    <s v="Dólares"/>
    <n v="493.28"/>
    <s v="JOSE ANTONIO ORTEGA ORLICH"/>
    <x v="0"/>
    <m/>
    <m/>
  </r>
  <r>
    <x v="3"/>
    <x v="3"/>
    <x v="0"/>
    <m/>
    <x v="1"/>
    <x v="3"/>
    <d v="2025-12-18T00:00:00"/>
    <s v="Dólares"/>
    <n v="8010.68"/>
    <s v="CONTRACT WORKPLACES"/>
    <x v="8"/>
    <m/>
    <m/>
  </r>
  <r>
    <x v="0"/>
    <x v="2"/>
    <x v="0"/>
    <m/>
    <x v="1"/>
    <x v="3"/>
    <d v="2025-12-18T00:00:00"/>
    <s v="Dólares"/>
    <n v="4372.95"/>
    <s v="STIA COMERCIALIZADORA"/>
    <x v="8"/>
    <m/>
    <m/>
  </r>
  <r>
    <x v="3"/>
    <x v="3"/>
    <x v="0"/>
    <m/>
    <x v="1"/>
    <x v="0"/>
    <d v="2025-11-07T00:00:00"/>
    <s v="Colones"/>
    <n v="491.5529411764706"/>
    <s v="CAJA COSTARRICENSE DE SEGURO SOCIAL (CENARE)"/>
    <x v="4"/>
    <m/>
    <m/>
  </r>
  <r>
    <x v="0"/>
    <x v="0"/>
    <x v="0"/>
    <n v="10027218"/>
    <x v="1"/>
    <x v="0"/>
    <d v="2025-08-01T00:00:00"/>
    <s v="Dólares"/>
    <n v="488.5"/>
    <s v="MIGUEL GOMEZ CESAR"/>
    <x v="1"/>
    <m/>
    <m/>
  </r>
  <r>
    <x v="0"/>
    <x v="0"/>
    <x v="0"/>
    <n v="10027952"/>
    <x v="1"/>
    <x v="2"/>
    <d v="2025-11-13T00:00:00"/>
    <s v="Dólares"/>
    <n v="488.5"/>
    <s v="MIGUEL GOMEZ CESAR"/>
    <x v="4"/>
    <m/>
    <m/>
  </r>
  <r>
    <x v="0"/>
    <x v="2"/>
    <x v="0"/>
    <n v="10026992"/>
    <x v="1"/>
    <x v="0"/>
    <d v="2025-07-01T00:00:00"/>
    <s v="Dólares"/>
    <n v="488.12"/>
    <s v="Cooperativa de Productores de leche Dos PinosR L"/>
    <x v="7"/>
    <m/>
    <m/>
  </r>
  <r>
    <x v="0"/>
    <x v="1"/>
    <x v="0"/>
    <m/>
    <x v="1"/>
    <x v="3"/>
    <d v="2025-12-18T00:00:00"/>
    <s v="Dólares"/>
    <n v="3629.93"/>
    <s v="INVERSIONES FUTURA ANDINO"/>
    <x v="8"/>
    <m/>
    <m/>
  </r>
  <r>
    <x v="0"/>
    <x v="0"/>
    <x v="0"/>
    <m/>
    <x v="1"/>
    <x v="2"/>
    <d v="2025-11-11T00:00:00"/>
    <s v="Colones"/>
    <n v="485.78431372549022"/>
    <s v="JOHNNY SEGURA MONGE"/>
    <x v="4"/>
    <m/>
    <m/>
  </r>
  <r>
    <x v="0"/>
    <x v="0"/>
    <x v="0"/>
    <m/>
    <x v="1"/>
    <x v="0"/>
    <d v="2025-06-05T00:00:00"/>
    <s v="Dólares"/>
    <n v="484.63"/>
    <s v="Fabian Sanchez Molina"/>
    <x v="5"/>
    <m/>
    <m/>
  </r>
  <r>
    <x v="0"/>
    <x v="1"/>
    <x v="0"/>
    <n v="10026657"/>
    <x v="1"/>
    <x v="4"/>
    <d v="2025-05-23T00:00:00"/>
    <s v="Dólares"/>
    <n v="480.72"/>
    <s v="BHORA SOCIEDAD ANONIMA"/>
    <x v="0"/>
    <m/>
    <m/>
  </r>
  <r>
    <x v="0"/>
    <x v="0"/>
    <x v="0"/>
    <n v="10027016"/>
    <x v="1"/>
    <x v="0"/>
    <d v="2025-07-04T00:00:00"/>
    <s v="Dólares"/>
    <n v="479"/>
    <s v="JOHN HENRY RONALD"/>
    <x v="7"/>
    <m/>
    <m/>
  </r>
  <r>
    <x v="0"/>
    <x v="0"/>
    <x v="0"/>
    <m/>
    <x v="1"/>
    <x v="2"/>
    <d v="2025-09-10T00:00:00"/>
    <s v="Dólares"/>
    <n v="471.21"/>
    <s v="HENRY NANNE"/>
    <x v="9"/>
    <m/>
    <m/>
  </r>
  <r>
    <x v="1"/>
    <x v="0"/>
    <x v="0"/>
    <m/>
    <x v="1"/>
    <x v="3"/>
    <d v="2025-12-18T00:00:00"/>
    <s v="Dólares"/>
    <n v="1460"/>
    <s v="JULY GABRIELA SHELEBY SANCHEZ"/>
    <x v="8"/>
    <m/>
    <m/>
  </r>
  <r>
    <x v="0"/>
    <x v="2"/>
    <x v="0"/>
    <n v="10027261"/>
    <x v="1"/>
    <x v="0"/>
    <d v="2025-08-07T00:00:00"/>
    <s v="Dólares"/>
    <n v="466.16"/>
    <s v="VIDENDUM PRODUCTION SOLUTIONS LTDA"/>
    <x v="1"/>
    <m/>
    <m/>
  </r>
  <r>
    <x v="0"/>
    <x v="0"/>
    <x v="0"/>
    <n v="10027126"/>
    <x v="1"/>
    <x v="0"/>
    <d v="2025-08-01T00:00:00"/>
    <s v="Dólares"/>
    <n v="462"/>
    <s v="ALMACEN Y DEPOSITO FYA S.A"/>
    <x v="1"/>
    <m/>
    <m/>
  </r>
  <r>
    <x v="0"/>
    <x v="0"/>
    <x v="0"/>
    <n v="10027497"/>
    <x v="1"/>
    <x v="0"/>
    <d v="2025-09-05T00:00:00"/>
    <s v="Dólares"/>
    <n v="462"/>
    <s v="FEDERICO RUIZ UGALDE "/>
    <x v="9"/>
    <m/>
    <m/>
  </r>
  <r>
    <x v="3"/>
    <x v="3"/>
    <x v="0"/>
    <m/>
    <x v="1"/>
    <x v="2"/>
    <d v="2025-08-13T00:00:00"/>
    <s v="Dólares"/>
    <n v="461.4"/>
    <s v="CONTRACT WORKPLACES - ULATINA"/>
    <x v="1"/>
    <m/>
    <m/>
  </r>
  <r>
    <x v="0"/>
    <x v="2"/>
    <x v="0"/>
    <n v="10026826"/>
    <x v="1"/>
    <x v="2"/>
    <d v="2025-06-13T00:00:00"/>
    <s v="Dólares"/>
    <n v="460.53"/>
    <s v="PORTAFOLIO AM SIETE SOCIEDAD ANONIMA"/>
    <x v="5"/>
    <m/>
    <m/>
  </r>
  <r>
    <x v="0"/>
    <x v="0"/>
    <x v="0"/>
    <n v="10027313"/>
    <x v="1"/>
    <x v="2"/>
    <d v="2025-08-14T00:00:00"/>
    <s v="Dólares"/>
    <n v="456.98"/>
    <s v="ANNELIE HOEPKER BAUDRIT"/>
    <x v="1"/>
    <m/>
    <m/>
  </r>
  <r>
    <x v="0"/>
    <x v="2"/>
    <x v="0"/>
    <m/>
    <x v="1"/>
    <x v="3"/>
    <d v="2025-12-18T00:00:00"/>
    <s v="Dólares"/>
    <n v="1140.75"/>
    <s v="EMBOTELLADORA CENTRAL"/>
    <x v="8"/>
    <m/>
    <m/>
  </r>
  <r>
    <x v="0"/>
    <x v="0"/>
    <x v="0"/>
    <m/>
    <x v="1"/>
    <x v="1"/>
    <d v="2025-05-28T00:00:00"/>
    <s v="Dólares"/>
    <n v="455.25"/>
    <s v="Juliana Maria Yglesias Luconi"/>
    <x v="0"/>
    <m/>
    <m/>
  </r>
  <r>
    <x v="0"/>
    <x v="3"/>
    <x v="2"/>
    <n v="10027253"/>
    <x v="1"/>
    <x v="0"/>
    <d v="2025-08-06T00:00:00"/>
    <s v="Dólares"/>
    <n v="452"/>
    <s v="Maersk Costa Rica S.A"/>
    <x v="1"/>
    <m/>
    <m/>
  </r>
  <r>
    <x v="0"/>
    <x v="0"/>
    <x v="0"/>
    <m/>
    <x v="1"/>
    <x v="3"/>
    <d v="2025-12-18T00:00:00"/>
    <s v="Dólares"/>
    <n v="750"/>
    <s v="Josue Gonzalez R"/>
    <x v="8"/>
    <m/>
    <m/>
  </r>
  <r>
    <x v="0"/>
    <x v="3"/>
    <x v="0"/>
    <m/>
    <x v="1"/>
    <x v="1"/>
    <d v="2025-12-29T00:00:00"/>
    <s v="Dólares"/>
    <n v="452"/>
    <s v="Maersk Costa Rica S.A"/>
    <x v="8"/>
    <m/>
    <m/>
  </r>
  <r>
    <x v="0"/>
    <x v="0"/>
    <x v="0"/>
    <m/>
    <x v="1"/>
    <x v="0"/>
    <d v="2026-01-08T00:00:00"/>
    <s v="Dólares"/>
    <n v="452"/>
    <s v="LAMINAS MELAMINA"/>
    <x v="3"/>
    <m/>
    <m/>
  </r>
  <r>
    <x v="0"/>
    <x v="3"/>
    <x v="0"/>
    <m/>
    <x v="1"/>
    <x v="0"/>
    <d v="2025-09-04T00:00:00"/>
    <s v="Dólares"/>
    <n v="449.23"/>
    <s v="COMECA"/>
    <x v="9"/>
    <m/>
    <m/>
  </r>
  <r>
    <x v="1"/>
    <x v="0"/>
    <x v="0"/>
    <m/>
    <x v="1"/>
    <x v="3"/>
    <d v="2025-12-18T00:00:00"/>
    <s v="Dólares"/>
    <n v="700"/>
    <s v="FRANK WOODBRIDGE"/>
    <x v="8"/>
    <m/>
    <m/>
  </r>
  <r>
    <x v="0"/>
    <x v="2"/>
    <x v="0"/>
    <n v="10026455"/>
    <x v="1"/>
    <x v="0"/>
    <d v="2025-05-02T00:00:00"/>
    <s v="Dólares"/>
    <n v="434.62"/>
    <s v="MAQUINARIA y TRACTORES LIMITADA"/>
    <x v="0"/>
    <m/>
    <m/>
  </r>
  <r>
    <x v="0"/>
    <x v="0"/>
    <x v="0"/>
    <m/>
    <x v="1"/>
    <x v="2"/>
    <d v="2025-06-09T00:00:00"/>
    <s v="Colones"/>
    <n v="432.27244094488185"/>
    <s v="Elam Javier Fernández Muñoz"/>
    <x v="5"/>
    <m/>
    <m/>
  </r>
  <r>
    <x v="0"/>
    <x v="0"/>
    <x v="0"/>
    <m/>
    <x v="1"/>
    <x v="0"/>
    <d v="2025-06-05T00:00:00"/>
    <s v="Dólares"/>
    <n v="430"/>
    <s v="ALMECCH DEL OESTE SRL"/>
    <x v="5"/>
    <m/>
    <m/>
  </r>
  <r>
    <x v="3"/>
    <x v="3"/>
    <x v="0"/>
    <m/>
    <x v="1"/>
    <x v="3"/>
    <d v="2025-12-18T00:00:00"/>
    <s v="Dólares"/>
    <n v="625"/>
    <s v="ALLERGAN"/>
    <x v="8"/>
    <m/>
    <m/>
  </r>
  <r>
    <x v="0"/>
    <x v="0"/>
    <x v="0"/>
    <m/>
    <x v="1"/>
    <x v="3"/>
    <d v="2025-12-18T00:00:00"/>
    <s v="Dólares"/>
    <n v="523"/>
    <s v="Tetyana Klinkov"/>
    <x v="8"/>
    <m/>
    <m/>
  </r>
  <r>
    <x v="0"/>
    <x v="0"/>
    <x v="0"/>
    <m/>
    <x v="1"/>
    <x v="2"/>
    <d v="2026-02-12T00:00:00"/>
    <s v="Dólares"/>
    <n v="540"/>
    <s v="Zolliane Hidalgo"/>
    <x v="6"/>
    <m/>
    <m/>
  </r>
  <r>
    <x v="0"/>
    <x v="0"/>
    <x v="0"/>
    <m/>
    <x v="1"/>
    <x v="4"/>
    <d v="2025-11-28T00:00:00"/>
    <s v="Dólares"/>
    <n v="427.14"/>
    <s v="LUX SOLUTIONS"/>
    <x v="4"/>
    <m/>
    <m/>
  </r>
  <r>
    <x v="0"/>
    <x v="0"/>
    <x v="0"/>
    <m/>
    <x v="1"/>
    <x v="0"/>
    <d v="2025-09-03T00:00:00"/>
    <s v="Dólares"/>
    <n v="426.16"/>
    <s v="IGZ DENTAL SOCIEDAD ANONIMA"/>
    <x v="9"/>
    <m/>
    <m/>
  </r>
  <r>
    <x v="0"/>
    <x v="0"/>
    <x v="0"/>
    <m/>
    <x v="1"/>
    <x v="0"/>
    <d v="2025-09-03T00:00:00"/>
    <s v="Dólares"/>
    <n v="426.16"/>
    <s v="IGZ DENTAL SOCIEDAD ANONIMA"/>
    <x v="9"/>
    <m/>
    <m/>
  </r>
  <r>
    <x v="0"/>
    <x v="0"/>
    <x v="0"/>
    <m/>
    <x v="1"/>
    <x v="0"/>
    <d v="2025-06-04T00:00:00"/>
    <s v="Colones"/>
    <n v="425.2232480314961"/>
    <s v="CULULU Y CAFLIN SOCIEDAD ANONIMA"/>
    <x v="5"/>
    <m/>
    <m/>
  </r>
  <r>
    <x v="0"/>
    <x v="3"/>
    <x v="2"/>
    <m/>
    <x v="1"/>
    <x v="2"/>
    <d v="2026-02-12T00:00:00"/>
    <s v="Dólares"/>
    <n v="181.08"/>
    <s v="DESARROLLOS INMOBILIARIOS"/>
    <x v="6"/>
    <m/>
    <m/>
  </r>
  <r>
    <x v="0"/>
    <x v="0"/>
    <x v="0"/>
    <n v="10028280"/>
    <x v="1"/>
    <x v="2"/>
    <d v="2026-01-14T00:00:00"/>
    <s v="Dólares"/>
    <n v="425.21"/>
    <s v="Carlos Calderón Sequeira"/>
    <x v="3"/>
    <m/>
    <m/>
  </r>
  <r>
    <x v="0"/>
    <x v="3"/>
    <x v="0"/>
    <m/>
    <x v="1"/>
    <x v="3"/>
    <d v="2025-12-18T00:00:00"/>
    <s v="Colones"/>
    <n v="493.01960784313724"/>
    <s v="ESTADO-MINISTERIO DE OBRAS PUBLICAS Y TRANSPORTE"/>
    <x v="8"/>
    <m/>
    <m/>
  </r>
  <r>
    <x v="0"/>
    <x v="0"/>
    <x v="0"/>
    <m/>
    <x v="1"/>
    <x v="1"/>
    <d v="2025-05-27T00:00:00"/>
    <s v="Dólares"/>
    <n v="424.5"/>
    <s v="MARIA GABRIELA VILLALOBOS ZUÑIGA"/>
    <x v="0"/>
    <m/>
    <m/>
  </r>
  <r>
    <x v="0"/>
    <x v="0"/>
    <x v="0"/>
    <n v="10027026"/>
    <x v="1"/>
    <x v="2"/>
    <d v="2025-07-08T00:00:00"/>
    <s v="Dólares"/>
    <n v="424.5"/>
    <s v="ROXANA FIATT CALVO"/>
    <x v="7"/>
    <m/>
    <m/>
  </r>
  <r>
    <x v="0"/>
    <x v="0"/>
    <x v="0"/>
    <n v="10027168"/>
    <x v="1"/>
    <x v="4"/>
    <d v="2025-07-26T00:00:00"/>
    <s v="Dólares"/>
    <n v="424"/>
    <s v="TOMAS CARVAJAL"/>
    <x v="7"/>
    <m/>
    <m/>
  </r>
  <r>
    <x v="0"/>
    <x v="2"/>
    <x v="1"/>
    <n v="10027425"/>
    <x v="1"/>
    <x v="2"/>
    <d v="2025-08-13T00:00:00"/>
    <s v="Dólares"/>
    <n v="423.75"/>
    <s v="IMPORTACIONES BALTIC "/>
    <x v="1"/>
    <m/>
    <m/>
  </r>
  <r>
    <x v="0"/>
    <x v="2"/>
    <x v="0"/>
    <m/>
    <x v="1"/>
    <x v="4"/>
    <d v="2025-09-25T00:00:00"/>
    <s v="Dólares"/>
    <n v="423.75"/>
    <s v="IMPORTACIONES BALTICA"/>
    <x v="9"/>
    <m/>
    <m/>
  </r>
  <r>
    <x v="0"/>
    <x v="0"/>
    <x v="0"/>
    <m/>
    <x v="1"/>
    <x v="3"/>
    <d v="2025-12-18T00:00:00"/>
    <s v="Dólares"/>
    <n v="468"/>
    <s v="Sergio Leiva Gallardo"/>
    <x v="8"/>
    <m/>
    <m/>
  </r>
  <r>
    <x v="0"/>
    <x v="1"/>
    <x v="0"/>
    <m/>
    <x v="1"/>
    <x v="3"/>
    <d v="2025-12-19T00:00:00"/>
    <s v="Dólares"/>
    <n v="51336.7"/>
    <s v="CONSTRUCTORA PROYCON"/>
    <x v="8"/>
    <m/>
    <m/>
  </r>
  <r>
    <x v="0"/>
    <x v="1"/>
    <x v="0"/>
    <n v="10027208"/>
    <x v="1"/>
    <x v="1"/>
    <d v="2025-07-31T00:00:00"/>
    <s v="Dólares"/>
    <n v="419.16"/>
    <s v="3101802628 S.A"/>
    <x v="7"/>
    <m/>
    <m/>
  </r>
  <r>
    <x v="0"/>
    <x v="1"/>
    <x v="0"/>
    <m/>
    <x v="1"/>
    <x v="0"/>
    <d v="2025-08-01T00:00:00"/>
    <s v="Dólares"/>
    <n v="419.16"/>
    <s v="EURO - LINDORA"/>
    <x v="1"/>
    <m/>
    <m/>
  </r>
  <r>
    <x v="0"/>
    <x v="0"/>
    <x v="0"/>
    <m/>
    <x v="1"/>
    <x v="1"/>
    <d v="2025-07-30T00:00:00"/>
    <s v="Dólares"/>
    <n v="418.1"/>
    <s v="LORNA CASTRO ARAYA"/>
    <x v="7"/>
    <m/>
    <m/>
  </r>
  <r>
    <x v="0"/>
    <x v="2"/>
    <x v="0"/>
    <n v="10026542"/>
    <x v="1"/>
    <x v="2"/>
    <d v="2025-05-08T00:00:00"/>
    <s v="Dólares"/>
    <n v="415.44850393700784"/>
    <s v="DISTRIBUIDRA LA FLORIDA "/>
    <x v="0"/>
    <m/>
    <m/>
  </r>
  <r>
    <x v="0"/>
    <x v="1"/>
    <x v="0"/>
    <n v="10027133"/>
    <x v="1"/>
    <x v="4"/>
    <d v="2025-07-22T00:00:00"/>
    <s v="Dólares"/>
    <n v="413"/>
    <s v="SEBASTIAN AGUILAR MUÑOZ"/>
    <x v="7"/>
    <m/>
    <m/>
  </r>
  <r>
    <x v="0"/>
    <x v="0"/>
    <x v="0"/>
    <n v="10026576"/>
    <x v="1"/>
    <x v="2"/>
    <d v="2025-05-10T00:00:00"/>
    <s v="Dólares"/>
    <n v="412.91"/>
    <s v="BRANDON BARRANTES"/>
    <x v="0"/>
    <m/>
    <m/>
  </r>
  <r>
    <x v="0"/>
    <x v="3"/>
    <x v="1"/>
    <m/>
    <x v="1"/>
    <x v="1"/>
    <d v="2025-10-29T00:00:00"/>
    <s v="Dólares"/>
    <n v="409.57"/>
    <s v="A3 ARQUITECTOS"/>
    <x v="2"/>
    <m/>
    <m/>
  </r>
  <r>
    <x v="0"/>
    <x v="0"/>
    <x v="0"/>
    <m/>
    <x v="0"/>
    <x v="0"/>
    <m/>
    <s v="Dólares"/>
    <n v="60000"/>
    <s v="PAGO INICIO DE INSTALACIONES HOGAR"/>
    <x v="3"/>
    <m/>
    <m/>
  </r>
  <r>
    <x v="1"/>
    <x v="0"/>
    <x v="0"/>
    <m/>
    <x v="0"/>
    <x v="0"/>
    <m/>
    <s v="Dólares"/>
    <n v="25000"/>
    <s v="CLIENTE NUEVOS MULTICLAMP"/>
    <x v="3"/>
    <m/>
    <m/>
  </r>
  <r>
    <x v="0"/>
    <x v="0"/>
    <x v="0"/>
    <m/>
    <x v="0"/>
    <x v="2"/>
    <m/>
    <s v="Dólares"/>
    <n v="60000"/>
    <s v="PAGO INICIO DE INSTALACIONES HOGAR"/>
    <x v="3"/>
    <m/>
    <m/>
  </r>
  <r>
    <x v="1"/>
    <x v="0"/>
    <x v="0"/>
    <m/>
    <x v="0"/>
    <x v="2"/>
    <m/>
    <s v="Dólares"/>
    <n v="25000"/>
    <s v="CLIENTE NUEVOS MULTICLAMP"/>
    <x v="3"/>
    <m/>
    <m/>
  </r>
  <r>
    <x v="1"/>
    <x v="0"/>
    <x v="0"/>
    <m/>
    <x v="0"/>
    <x v="0"/>
    <m/>
    <s v="Dólares"/>
    <n v="292105.88829999999"/>
    <s v="ECODESARROLLO PAPAGAYO - DP11"/>
    <x v="3"/>
    <m/>
    <m/>
  </r>
  <r>
    <x v="0"/>
    <x v="0"/>
    <x v="0"/>
    <m/>
    <x v="0"/>
    <x v="3"/>
    <m/>
    <s v="Dólares"/>
    <n v="60000"/>
    <s v="PAGO INICIO DE INSTALACIONES HOGAR"/>
    <x v="3"/>
    <m/>
    <m/>
  </r>
  <r>
    <x v="1"/>
    <x v="0"/>
    <x v="0"/>
    <m/>
    <x v="0"/>
    <x v="3"/>
    <m/>
    <s v="Dólares"/>
    <n v="25000"/>
    <s v="CLIENTE NUEVOS MULTICLAMP"/>
    <x v="3"/>
    <m/>
    <m/>
  </r>
  <r>
    <x v="0"/>
    <x v="0"/>
    <x v="0"/>
    <m/>
    <x v="0"/>
    <x v="4"/>
    <m/>
    <s v="Dólares"/>
    <n v="60000"/>
    <s v="PAGO INICIO DE INSTALACIONES HOGAR"/>
    <x v="3"/>
    <m/>
    <m/>
  </r>
  <r>
    <x v="1"/>
    <x v="0"/>
    <x v="0"/>
    <m/>
    <x v="0"/>
    <x v="4"/>
    <m/>
    <s v="Dólares"/>
    <n v="25000"/>
    <s v="CLIENTE NUEVOS MULTICLAMP"/>
    <x v="3"/>
    <m/>
    <m/>
  </r>
  <r>
    <x v="2"/>
    <x v="3"/>
    <x v="0"/>
    <m/>
    <x v="0"/>
    <x v="0"/>
    <m/>
    <s v="Dólares"/>
    <n v="20000"/>
    <s v="PAGO EXPRESS"/>
    <x v="3"/>
    <m/>
    <m/>
  </r>
  <r>
    <x v="2"/>
    <x v="3"/>
    <x v="0"/>
    <m/>
    <x v="0"/>
    <x v="2"/>
    <m/>
    <s v="Dólares"/>
    <n v="20000"/>
    <s v="PAGO EXPRESS"/>
    <x v="3"/>
    <m/>
    <m/>
  </r>
  <r>
    <x v="2"/>
    <x v="3"/>
    <x v="0"/>
    <m/>
    <x v="0"/>
    <x v="3"/>
    <m/>
    <s v="Dólares"/>
    <n v="20000"/>
    <s v="PAGO EXPRESS"/>
    <x v="3"/>
    <m/>
    <m/>
  </r>
  <r>
    <x v="2"/>
    <x v="3"/>
    <x v="0"/>
    <m/>
    <x v="0"/>
    <x v="4"/>
    <m/>
    <s v="Dólares"/>
    <n v="20000"/>
    <s v="PAGO EXPRESS"/>
    <x v="3"/>
    <m/>
    <m/>
  </r>
  <r>
    <x v="0"/>
    <x v="3"/>
    <x v="2"/>
    <m/>
    <x v="0"/>
    <x v="2"/>
    <m/>
    <s v="Dólares"/>
    <n v="13475.25"/>
    <s v="AJIP INGENIERIA LIMITADA"/>
    <x v="3"/>
    <m/>
    <m/>
  </r>
  <r>
    <x v="0"/>
    <x v="3"/>
    <x v="0"/>
    <m/>
    <x v="0"/>
    <x v="0"/>
    <m/>
    <s v="Dólares"/>
    <n v="23152.799999999999"/>
    <s v="BILCO COSTA RICA S.A - INARI MEDICAL"/>
    <x v="3"/>
    <m/>
    <m/>
  </r>
  <r>
    <x v="0"/>
    <x v="3"/>
    <x v="1"/>
    <m/>
    <x v="0"/>
    <x v="3"/>
    <m/>
    <s v="Dólares"/>
    <n v="146147"/>
    <s v="CCP COMBO - PANELTECH"/>
    <x v="3"/>
    <m/>
    <m/>
  </r>
  <r>
    <x v="0"/>
    <x v="3"/>
    <x v="0"/>
    <m/>
    <x v="0"/>
    <x v="4"/>
    <m/>
    <s v="Dólares"/>
    <n v="10489.69"/>
    <s v="CCSS - PANELTECH"/>
    <x v="3"/>
    <m/>
    <m/>
  </r>
  <r>
    <x v="0"/>
    <x v="3"/>
    <x v="0"/>
    <m/>
    <x v="0"/>
    <x v="2"/>
    <m/>
    <s v="Dólares"/>
    <n v="72472"/>
    <s v="COMPAÑÍA NACIONAL DE FUERZA Y LUZ"/>
    <x v="3"/>
    <m/>
    <m/>
  </r>
  <r>
    <x v="0"/>
    <x v="3"/>
    <x v="1"/>
    <m/>
    <x v="0"/>
    <x v="4"/>
    <m/>
    <s v="Dólares"/>
    <n v="17840"/>
    <s v="CONTRACT - PANELTECH"/>
    <x v="3"/>
    <m/>
    <m/>
  </r>
  <r>
    <x v="0"/>
    <x v="3"/>
    <x v="1"/>
    <m/>
    <x v="0"/>
    <x v="2"/>
    <m/>
    <s v="Dólares"/>
    <n v="7089"/>
    <s v="CONTRACT - SQUAREFORCE - PANELTECH"/>
    <x v="3"/>
    <m/>
    <m/>
  </r>
  <r>
    <x v="0"/>
    <x v="3"/>
    <x v="1"/>
    <m/>
    <x v="0"/>
    <x v="2"/>
    <m/>
    <s v="Dólares"/>
    <n v="201200"/>
    <s v="EVOLUTION FREE ZONE SOCIEDAD ANONIMA - EPSILON"/>
    <x v="3"/>
    <m/>
    <m/>
  </r>
  <r>
    <x v="0"/>
    <x v="3"/>
    <x v="2"/>
    <m/>
    <x v="0"/>
    <x v="2"/>
    <m/>
    <s v="Dólares"/>
    <n v="6012.5"/>
    <s v="FINANCIERA CAFSA SOCIEDAD ANONIMA"/>
    <x v="3"/>
    <m/>
    <m/>
  </r>
  <r>
    <x v="0"/>
    <x v="3"/>
    <x v="2"/>
    <m/>
    <x v="0"/>
    <x v="4"/>
    <m/>
    <s v="Dólares"/>
    <n v="4701.76"/>
    <s v="JONES LANG LASALLE LIMITADA"/>
    <x v="3"/>
    <m/>
    <m/>
  </r>
  <r>
    <x v="0"/>
    <x v="3"/>
    <x v="0"/>
    <m/>
    <x v="0"/>
    <x v="0"/>
    <m/>
    <s v="Dólares"/>
    <n v="8321.5300000000007"/>
    <s v="MUTUAL ALAJUELA"/>
    <x v="3"/>
    <m/>
    <m/>
  </r>
  <r>
    <x v="0"/>
    <x v="3"/>
    <x v="2"/>
    <m/>
    <x v="0"/>
    <x v="3"/>
    <m/>
    <s v="Dólares"/>
    <n v="25000"/>
    <s v="P Y P CONSTRUCCIONES SOCIEDAD ANONIMA"/>
    <x v="3"/>
    <m/>
    <m/>
  </r>
  <r>
    <x v="0"/>
    <x v="3"/>
    <x v="0"/>
    <m/>
    <x v="0"/>
    <x v="2"/>
    <m/>
    <s v="Dólares"/>
    <n v="36955"/>
    <s v="RAE INGENIERIA"/>
    <x v="3"/>
    <m/>
    <m/>
  </r>
  <r>
    <x v="0"/>
    <x v="3"/>
    <x v="0"/>
    <m/>
    <x v="0"/>
    <x v="3"/>
    <m/>
    <s v="Dólares"/>
    <n v="35265.4"/>
    <s v="ULTRAPARK DOS SOCIEDAD ANONIMA"/>
    <x v="3"/>
    <m/>
    <m/>
  </r>
  <r>
    <x v="0"/>
    <x v="3"/>
    <x v="0"/>
    <m/>
    <x v="0"/>
    <x v="0"/>
    <m/>
    <s v="Dólares"/>
    <n v="30669"/>
    <s v="UNED - ATENAS"/>
    <x v="3"/>
    <m/>
    <m/>
  </r>
  <r>
    <x v="0"/>
    <x v="3"/>
    <x v="0"/>
    <m/>
    <x v="0"/>
    <x v="2"/>
    <m/>
    <s v="Dólares"/>
    <n v="31439.23"/>
    <s v="UNIVERSIDAD DE COSTA RICA"/>
    <x v="3"/>
    <m/>
    <m/>
  </r>
  <r>
    <x v="0"/>
    <x v="2"/>
    <x v="2"/>
    <m/>
    <x v="0"/>
    <x v="0"/>
    <m/>
    <s v="Dólares"/>
    <n v="21895.07"/>
    <s v="SIGMA ALIMENTOS COSTA RICA SOCIEDAD ANONIMA"/>
    <x v="3"/>
    <m/>
    <m/>
  </r>
  <r>
    <x v="0"/>
    <x v="2"/>
    <x v="0"/>
    <m/>
    <x v="0"/>
    <x v="0"/>
    <m/>
    <s v="Dólares"/>
    <n v="405.54"/>
    <s v="AE LOGISTIC"/>
    <x v="3"/>
    <m/>
    <m/>
  </r>
  <r>
    <x v="0"/>
    <x v="2"/>
    <x v="2"/>
    <m/>
    <x v="0"/>
    <x v="2"/>
    <m/>
    <s v="Dólares"/>
    <n v="22841.15"/>
    <s v="AYURVEDA CENTROAMERICANA SOCIEDAD ANONIMA"/>
    <x v="3"/>
    <m/>
    <m/>
  </r>
  <r>
    <x v="0"/>
    <x v="2"/>
    <x v="2"/>
    <m/>
    <x v="0"/>
    <x v="2"/>
    <m/>
    <s v="Dólares"/>
    <n v="5024"/>
    <s v="COMERCIAL ALEMORA SOCIEDAD ANONIMA"/>
    <x v="3"/>
    <m/>
    <m/>
  </r>
  <r>
    <x v="0"/>
    <x v="2"/>
    <x v="2"/>
    <m/>
    <x v="0"/>
    <x v="2"/>
    <m/>
    <s v="Dólares"/>
    <n v="81193"/>
    <s v="CORPORACION DE SUPERMERCADOS UNIDOS SOCIEDAD DE RESPONSABILIDAD LIMITADA"/>
    <x v="3"/>
    <m/>
    <m/>
  </r>
  <r>
    <x v="0"/>
    <x v="2"/>
    <x v="2"/>
    <m/>
    <x v="0"/>
    <x v="2"/>
    <m/>
    <s v="Dólares"/>
    <n v="19182"/>
    <s v="INVERSIONES 9.9013 S.A."/>
    <x v="3"/>
    <m/>
    <m/>
  </r>
  <r>
    <x v="0"/>
    <x v="2"/>
    <x v="0"/>
    <m/>
    <x v="0"/>
    <x v="2"/>
    <m/>
    <s v="Dólares"/>
    <n v="15339"/>
    <s v="ROMA PRINCE SOCIEDAD ANONIMA"/>
    <x v="3"/>
    <m/>
    <m/>
  </r>
  <r>
    <x v="0"/>
    <x v="2"/>
    <x v="0"/>
    <m/>
    <x v="0"/>
    <x v="3"/>
    <m/>
    <s v="Dólares"/>
    <n v="8014"/>
    <s v="BOSTON SCIENTIFIC DE COSTA RICA S.R.L"/>
    <x v="3"/>
    <m/>
    <m/>
  </r>
  <r>
    <x v="0"/>
    <x v="2"/>
    <x v="0"/>
    <m/>
    <x v="0"/>
    <x v="3"/>
    <m/>
    <s v="Dólares"/>
    <n v="19876"/>
    <s v="EVOLUTION FREE ZONE SOCIEDAD ANONIMA"/>
    <x v="3"/>
    <m/>
    <m/>
  </r>
  <r>
    <x v="0"/>
    <x v="2"/>
    <x v="0"/>
    <m/>
    <x v="0"/>
    <x v="3"/>
    <m/>
    <s v="Dólares"/>
    <n v="5141.7"/>
    <s v="GRUPO LOGISTICO SEA INTERNACIONAL"/>
    <x v="3"/>
    <m/>
    <m/>
  </r>
  <r>
    <x v="0"/>
    <x v="2"/>
    <x v="0"/>
    <m/>
    <x v="0"/>
    <x v="3"/>
    <m/>
    <s v="Dólares"/>
    <n v="5411"/>
    <s v="INDUSTRIAS GAREND SOCIEDAD ANONIMA"/>
    <x v="3"/>
    <m/>
    <m/>
  </r>
  <r>
    <x v="0"/>
    <x v="2"/>
    <x v="0"/>
    <m/>
    <x v="0"/>
    <x v="3"/>
    <m/>
    <s v="Dólares"/>
    <n v="19145"/>
    <s v="KIMBERLY CLARK COSTA RICA"/>
    <x v="3"/>
    <m/>
    <m/>
  </r>
  <r>
    <x v="0"/>
    <x v="2"/>
    <x v="0"/>
    <m/>
    <x v="0"/>
    <x v="3"/>
    <m/>
    <s v="Dólares"/>
    <n v="11081.5"/>
    <s v="MAQUINARIA Y TRACTORES"/>
    <x v="3"/>
    <m/>
    <m/>
  </r>
  <r>
    <x v="0"/>
    <x v="2"/>
    <x v="0"/>
    <m/>
    <x v="0"/>
    <x v="3"/>
    <m/>
    <s v="Dólares"/>
    <n v="5961.64"/>
    <s v="SECANT GROUP"/>
    <x v="3"/>
    <m/>
    <m/>
  </r>
  <r>
    <x v="0"/>
    <x v="2"/>
    <x v="0"/>
    <m/>
    <x v="0"/>
    <x v="3"/>
    <m/>
    <s v="Dólares"/>
    <n v="29553.48"/>
    <s v="UNIVERSIDAD DE COSTA RICA"/>
    <x v="3"/>
    <m/>
    <m/>
  </r>
  <r>
    <x v="0"/>
    <x v="2"/>
    <x v="2"/>
    <m/>
    <x v="0"/>
    <x v="4"/>
    <m/>
    <s v="Dólares"/>
    <n v="33569"/>
    <s v="AGUNSA GUATEMALA S.A."/>
    <x v="3"/>
    <m/>
    <m/>
  </r>
  <r>
    <x v="0"/>
    <x v="2"/>
    <x v="0"/>
    <m/>
    <x v="0"/>
    <x v="4"/>
    <m/>
    <s v="Dólares"/>
    <n v="16369"/>
    <s v="ALIMENTOS Y BEBIDAS ATLANTIDA S.A."/>
    <x v="3"/>
    <m/>
    <m/>
  </r>
  <r>
    <x v="0"/>
    <x v="2"/>
    <x v="0"/>
    <m/>
    <x v="0"/>
    <x v="4"/>
    <m/>
    <s v="Dólares"/>
    <n v="3740.75"/>
    <s v="BIMBO DE COSTA RICA SOCIEDAD ANONIMA"/>
    <x v="3"/>
    <m/>
    <m/>
  </r>
  <r>
    <x v="0"/>
    <x v="2"/>
    <x v="0"/>
    <m/>
    <x v="0"/>
    <x v="4"/>
    <m/>
    <s v="Dólares"/>
    <n v="39086"/>
    <s v="COMERCIALIZADORA Y PRODUCTORA DE BEBIDAS LOS VOLCANES S.A."/>
    <x v="3"/>
    <m/>
    <m/>
  </r>
  <r>
    <x v="0"/>
    <x v="2"/>
    <x v="0"/>
    <m/>
    <x v="0"/>
    <x v="4"/>
    <m/>
    <s v="Dólares"/>
    <n v="13966"/>
    <s v="EMBOTELLADORA CENTRAL S.A."/>
    <x v="3"/>
    <m/>
    <m/>
  </r>
  <r>
    <x v="0"/>
    <x v="2"/>
    <x v="0"/>
    <m/>
    <x v="0"/>
    <x v="4"/>
    <m/>
    <s v="Dólares"/>
    <n v="38228"/>
    <s v="HOLOGIC SURGICAL PRODUCTS COSTA RICA S.R.L"/>
    <x v="3"/>
    <m/>
    <m/>
  </r>
  <r>
    <x v="0"/>
    <x v="2"/>
    <x v="0"/>
    <m/>
    <x v="0"/>
    <x v="4"/>
    <m/>
    <s v="Dólares"/>
    <n v="170641"/>
    <s v="LANCO PAINTS GUATEMALA,  S.A."/>
    <x v="3"/>
    <m/>
    <m/>
  </r>
  <r>
    <x v="0"/>
    <x v="1"/>
    <x v="0"/>
    <m/>
    <x v="0"/>
    <x v="0"/>
    <m/>
    <s v="Dólares"/>
    <n v="41899.99"/>
    <s v="CIELO NUNCIATURA - ELECTROS"/>
    <x v="3"/>
    <m/>
    <m/>
  </r>
  <r>
    <x v="0"/>
    <x v="1"/>
    <x v="0"/>
    <m/>
    <x v="0"/>
    <x v="0"/>
    <m/>
    <s v="Dólares"/>
    <n v="26684"/>
    <s v="EURO LINDORA - LINDORA VILLAGE ETAPA 2"/>
    <x v="3"/>
    <m/>
    <m/>
  </r>
  <r>
    <x v="0"/>
    <x v="1"/>
    <x v="0"/>
    <m/>
    <x v="0"/>
    <x v="0"/>
    <m/>
    <s v="Dólares"/>
    <n v="8285.2999999999993"/>
    <s v="PROYCON - MAR AZUL"/>
    <x v="3"/>
    <m/>
    <m/>
  </r>
  <r>
    <x v="0"/>
    <x v="1"/>
    <x v="0"/>
    <m/>
    <x v="0"/>
    <x v="2"/>
    <m/>
    <s v="Dólares"/>
    <n v="210708"/>
    <s v="EURO LINDORA - LINDORA VILLAGE ETAPA 3"/>
    <x v="3"/>
    <m/>
    <m/>
  </r>
  <r>
    <x v="0"/>
    <x v="1"/>
    <x v="0"/>
    <m/>
    <x v="0"/>
    <x v="3"/>
    <m/>
    <s v="Dólares"/>
    <n v="12739.68"/>
    <s v="CONSTRUCTORA BRK"/>
    <x v="3"/>
    <m/>
    <m/>
  </r>
  <r>
    <x v="0"/>
    <x v="1"/>
    <x v="1"/>
    <m/>
    <x v="0"/>
    <x v="3"/>
    <m/>
    <s v="Dólares"/>
    <n v="109377"/>
    <s v="PALERMO HOME"/>
    <x v="3"/>
    <m/>
    <m/>
  </r>
  <r>
    <x v="0"/>
    <x v="1"/>
    <x v="0"/>
    <m/>
    <x v="0"/>
    <x v="4"/>
    <m/>
    <s v="Dólares"/>
    <n v="43601.35"/>
    <s v="EDICA - TORRE VELO"/>
    <x v="3"/>
    <m/>
    <m/>
  </r>
  <r>
    <x v="0"/>
    <x v="1"/>
    <x v="2"/>
    <m/>
    <x v="0"/>
    <x v="4"/>
    <m/>
    <s v="Dólares"/>
    <n v="23144"/>
    <s v="PRODEYCO"/>
    <x v="3"/>
    <m/>
    <m/>
  </r>
  <r>
    <x v="0"/>
    <x v="1"/>
    <x v="0"/>
    <m/>
    <x v="0"/>
    <x v="4"/>
    <m/>
    <s v="Dólares"/>
    <n v="11252.1"/>
    <s v="VOLIO &amp; TREJOS ASOCIADOS S.A."/>
    <x v="3"/>
    <m/>
    <m/>
  </r>
  <r>
    <x v="3"/>
    <x v="3"/>
    <x v="0"/>
    <m/>
    <x v="1"/>
    <x v="4"/>
    <d v="2025-12-23T00:00:00"/>
    <s v="Colones"/>
    <n v="408.7916274509804"/>
    <s v="COMPAÑÍA NACIONAL DE FUERZA Y LUZ"/>
    <x v="8"/>
    <m/>
    <m/>
  </r>
  <r>
    <x v="0"/>
    <x v="1"/>
    <x v="0"/>
    <m/>
    <x v="1"/>
    <x v="3"/>
    <d v="2025-12-19T00:00:00"/>
    <s v="Dólares"/>
    <n v="33982.839999999997"/>
    <s v="TORRE PARQUE DEL PERU"/>
    <x v="8"/>
    <m/>
    <m/>
  </r>
  <r>
    <x v="1"/>
    <x v="0"/>
    <x v="0"/>
    <m/>
    <x v="1"/>
    <x v="3"/>
    <d v="2025-12-19T00:00:00"/>
    <s v="Dólares"/>
    <n v="26436.080000000002"/>
    <s v="INTERIORISMO Y MUEBLES"/>
    <x v="8"/>
    <m/>
    <m/>
  </r>
  <r>
    <x v="0"/>
    <x v="0"/>
    <x v="0"/>
    <m/>
    <x v="1"/>
    <x v="3"/>
    <d v="2025-12-19T00:00:00"/>
    <s v="Dólares"/>
    <n v="19550"/>
    <s v="SANDINO ACEVEDO"/>
    <x v="8"/>
    <m/>
    <m/>
  </r>
  <r>
    <x v="0"/>
    <x v="0"/>
    <x v="0"/>
    <m/>
    <x v="1"/>
    <x v="4"/>
    <d v="2025-11-25T00:00:00"/>
    <s v="Dólares"/>
    <n v="405.54"/>
    <s v="SIN IDENTIFICAR"/>
    <x v="4"/>
    <m/>
    <m/>
  </r>
  <r>
    <x v="0"/>
    <x v="2"/>
    <x v="0"/>
    <m/>
    <x v="1"/>
    <x v="3"/>
    <d v="2025-12-19T00:00:00"/>
    <s v="Dólares"/>
    <n v="17782.439999999999"/>
    <s v="BOSTON CIENTIFIC"/>
    <x v="8"/>
    <m/>
    <m/>
  </r>
  <r>
    <x v="0"/>
    <x v="0"/>
    <x v="0"/>
    <n v="10027960"/>
    <x v="1"/>
    <x v="2"/>
    <d v="2025-11-14T00:00:00"/>
    <s v="Dólares"/>
    <n v="405.5"/>
    <s v="ULACIT S.A"/>
    <x v="4"/>
    <m/>
    <m/>
  </r>
  <r>
    <x v="0"/>
    <x v="0"/>
    <x v="0"/>
    <m/>
    <x v="1"/>
    <x v="0"/>
    <d v="2025-06-03T00:00:00"/>
    <s v="Dólares"/>
    <n v="404.07"/>
    <s v="Alberto Tagle Reategu"/>
    <x v="5"/>
    <m/>
    <m/>
  </r>
  <r>
    <x v="0"/>
    <x v="3"/>
    <x v="2"/>
    <m/>
    <x v="1"/>
    <x v="2"/>
    <d v="2025-09-12T00:00:00"/>
    <s v="Dólares"/>
    <n v="401.67"/>
    <s v="PORCINA CERHIMA LIMITADA"/>
    <x v="9"/>
    <m/>
    <m/>
  </r>
  <r>
    <x v="0"/>
    <x v="3"/>
    <x v="0"/>
    <m/>
    <x v="1"/>
    <x v="3"/>
    <d v="2025-12-19T00:00:00"/>
    <s v="Dólares"/>
    <n v="16652.32"/>
    <s v="SAGA INGENIERIA"/>
    <x v="8"/>
    <m/>
    <m/>
  </r>
  <r>
    <x v="0"/>
    <x v="0"/>
    <x v="0"/>
    <m/>
    <x v="1"/>
    <x v="2"/>
    <d v="2025-12-08T00:00:00"/>
    <s v="Dólares"/>
    <n v="400"/>
    <s v="Jeffrey McInnes"/>
    <x v="8"/>
    <m/>
    <m/>
  </r>
  <r>
    <x v="0"/>
    <x v="4"/>
    <x v="0"/>
    <m/>
    <x v="1"/>
    <x v="3"/>
    <d v="2025-12-19T00:00:00"/>
    <s v="Dólares"/>
    <n v="12251.46"/>
    <s v="ALTEA G Y E SOCIEDAD ANONIMA."/>
    <x v="8"/>
    <m/>
    <m/>
  </r>
  <r>
    <x v="0"/>
    <x v="0"/>
    <x v="0"/>
    <m/>
    <x v="1"/>
    <x v="4"/>
    <d v="2025-06-27T00:00:00"/>
    <s v="Dólares"/>
    <n v="398"/>
    <s v="GINES HOGAR SOCIEDAD ANONIMA"/>
    <x v="5"/>
    <m/>
    <m/>
  </r>
  <r>
    <x v="1"/>
    <x v="0"/>
    <x v="0"/>
    <m/>
    <x v="1"/>
    <x v="3"/>
    <d v="2025-12-19T00:00:00"/>
    <s v="Dólares"/>
    <n v="8301"/>
    <s v="JARDIN DEL ESCALANTE"/>
    <x v="8"/>
    <m/>
    <m/>
  </r>
  <r>
    <x v="0"/>
    <x v="0"/>
    <x v="0"/>
    <m/>
    <x v="1"/>
    <x v="4"/>
    <d v="2025-10-23T00:00:00"/>
    <s v="Dólares"/>
    <n v="396.72"/>
    <s v="SUSANNE DRUCK"/>
    <x v="2"/>
    <m/>
    <m/>
  </r>
  <r>
    <x v="0"/>
    <x v="3"/>
    <x v="2"/>
    <n v="10027603"/>
    <x v="1"/>
    <x v="4"/>
    <d v="2025-09-22T00:00:00"/>
    <s v="Colones"/>
    <n v="396.17729411764708"/>
    <s v="CAJA COSTARRICENSE DE SEGURO SOCIAL (CENARE)"/>
    <x v="9"/>
    <m/>
    <m/>
  </r>
  <r>
    <x v="0"/>
    <x v="3"/>
    <x v="0"/>
    <m/>
    <x v="1"/>
    <x v="4"/>
    <d v="2025-08-28T00:00:00"/>
    <s v="Dólares"/>
    <n v="388.99"/>
    <s v="COSTA RICA ZF"/>
    <x v="1"/>
    <m/>
    <m/>
  </r>
  <r>
    <x v="0"/>
    <x v="1"/>
    <x v="0"/>
    <n v="10026469"/>
    <x v="1"/>
    <x v="0"/>
    <d v="2025-05-02T00:00:00"/>
    <s v="Dólares"/>
    <n v="384.75"/>
    <s v="3101802628 S.A"/>
    <x v="0"/>
    <m/>
    <m/>
  </r>
  <r>
    <x v="1"/>
    <x v="0"/>
    <x v="0"/>
    <m/>
    <x v="1"/>
    <x v="3"/>
    <d v="2025-12-19T00:00:00"/>
    <s v="Dólares"/>
    <n v="6873"/>
    <s v="ABREU Y ABREU S.A"/>
    <x v="8"/>
    <m/>
    <m/>
  </r>
  <r>
    <x v="0"/>
    <x v="0"/>
    <x v="0"/>
    <m/>
    <x v="1"/>
    <x v="4"/>
    <d v="2025-09-25T00:00:00"/>
    <s v="Dólares"/>
    <n v="381.94"/>
    <s v="ALONSO MORERA MARCHENA"/>
    <x v="9"/>
    <m/>
    <m/>
  </r>
  <r>
    <x v="0"/>
    <x v="2"/>
    <x v="0"/>
    <n v="10027013"/>
    <x v="1"/>
    <x v="2"/>
    <d v="2025-07-08T00:00:00"/>
    <s v="Dólares"/>
    <n v="381.05"/>
    <s v="INDUSTRIAL LUGUME SOCIEDAD ANONIMA"/>
    <x v="7"/>
    <m/>
    <m/>
  </r>
  <r>
    <x v="0"/>
    <x v="2"/>
    <x v="0"/>
    <m/>
    <x v="1"/>
    <x v="2"/>
    <d v="2026-02-13T00:00:00"/>
    <s v="Dólares"/>
    <n v="206769.37"/>
    <s v="SIN IDENTIFICAR"/>
    <x v="6"/>
    <m/>
    <m/>
  </r>
  <r>
    <x v="0"/>
    <x v="0"/>
    <x v="0"/>
    <n v="10028157"/>
    <x v="1"/>
    <x v="3"/>
    <d v="2025-12-19T00:00:00"/>
    <s v="Dólares"/>
    <n v="6700"/>
    <s v="MANFRED WILHELM PETERS BATALLA"/>
    <x v="8"/>
    <m/>
    <m/>
  </r>
  <r>
    <x v="0"/>
    <x v="0"/>
    <x v="0"/>
    <m/>
    <x v="1"/>
    <x v="2"/>
    <d v="2025-10-07T00:00:00"/>
    <s v="Dólares"/>
    <n v="377"/>
    <s v="JOSE BONILLA"/>
    <x v="2"/>
    <m/>
    <m/>
  </r>
  <r>
    <x v="0"/>
    <x v="0"/>
    <x v="0"/>
    <m/>
    <x v="1"/>
    <x v="1"/>
    <d v="2025-10-30T00:00:00"/>
    <s v="Dólares"/>
    <n v="376.72"/>
    <s v="ECOTANK"/>
    <x v="2"/>
    <m/>
    <m/>
  </r>
  <r>
    <x v="0"/>
    <x v="2"/>
    <x v="0"/>
    <m/>
    <x v="1"/>
    <x v="0"/>
    <d v="2025-12-04T00:00:00"/>
    <s v="Dólares"/>
    <n v="376.66"/>
    <s v="SABO"/>
    <x v="8"/>
    <m/>
    <m/>
  </r>
  <r>
    <x v="0"/>
    <x v="0"/>
    <x v="0"/>
    <m/>
    <x v="1"/>
    <x v="3"/>
    <d v="2025-12-19T00:00:00"/>
    <s v="Dólares"/>
    <n v="4957"/>
    <s v="Proyectos Ecológicos Proeco S.A"/>
    <x v="8"/>
    <m/>
    <m/>
  </r>
  <r>
    <x v="3"/>
    <x v="3"/>
    <x v="0"/>
    <m/>
    <x v="1"/>
    <x v="2"/>
    <d v="2026-02-13T00:00:00"/>
    <s v="Colones"/>
    <n v="36794.400161290323"/>
    <s v="COMPAÑÍA NACIONAL DE FUERZA Y LUZ"/>
    <x v="6"/>
    <m/>
    <m/>
  </r>
  <r>
    <x v="0"/>
    <x v="2"/>
    <x v="2"/>
    <n v="10026559"/>
    <x v="1"/>
    <x v="2"/>
    <d v="2025-05-09T00:00:00"/>
    <s v="Dólares"/>
    <n v="373.5"/>
    <s v="CORPORACION DE COMPAÑIAS AGROINDUSTRIALES CCA SRL"/>
    <x v="0"/>
    <m/>
    <m/>
  </r>
  <r>
    <x v="0"/>
    <x v="0"/>
    <x v="0"/>
    <n v="10028195"/>
    <x v="1"/>
    <x v="3"/>
    <d v="2025-12-19T00:00:00"/>
    <s v="Dólares"/>
    <n v="4000"/>
    <s v="Michel Huppé"/>
    <x v="8"/>
    <m/>
    <m/>
  </r>
  <r>
    <x v="0"/>
    <x v="0"/>
    <x v="0"/>
    <n v="10027480"/>
    <x v="1"/>
    <x v="0"/>
    <d v="2025-09-05T00:00:00"/>
    <s v="Dólares"/>
    <n v="372.45"/>
    <s v="ORLANDO CASTRO JIMENEZ"/>
    <x v="9"/>
    <m/>
    <m/>
  </r>
  <r>
    <x v="0"/>
    <x v="0"/>
    <x v="0"/>
    <m/>
    <x v="1"/>
    <x v="4"/>
    <d v="2025-12-23T00:00:00"/>
    <s v="Dólares"/>
    <n v="370.72"/>
    <s v="INDIANA LEAL SOTO"/>
    <x v="8"/>
    <m/>
    <m/>
  </r>
  <r>
    <x v="0"/>
    <x v="3"/>
    <x v="0"/>
    <m/>
    <x v="1"/>
    <x v="4"/>
    <d v="2025-11-26T00:00:00"/>
    <s v="Colones"/>
    <n v="370.51531372549022"/>
    <s v="MUNICIPALIDAD DE ACOSTA"/>
    <x v="4"/>
    <m/>
    <m/>
  </r>
  <r>
    <x v="0"/>
    <x v="0"/>
    <x v="0"/>
    <n v="10027369"/>
    <x v="1"/>
    <x v="4"/>
    <d v="2025-08-22T00:00:00"/>
    <s v="Colones"/>
    <n v="369.87205882352941"/>
    <s v="ADRIAN CASTRO MONTEALEGRE"/>
    <x v="1"/>
    <m/>
    <m/>
  </r>
  <r>
    <x v="0"/>
    <x v="3"/>
    <x v="0"/>
    <m/>
    <x v="1"/>
    <x v="3"/>
    <d v="2025-12-19T00:00:00"/>
    <s v="Dólares"/>
    <n v="2068.56"/>
    <s v="MICROVENTION"/>
    <x v="8"/>
    <m/>
    <m/>
  </r>
  <r>
    <x v="1"/>
    <x v="0"/>
    <x v="0"/>
    <m/>
    <x v="1"/>
    <x v="3"/>
    <d v="2025-12-19T00:00:00"/>
    <s v="Dólares"/>
    <n v="2000"/>
    <s v="JULY GABRIELA SHELEBY SANCHEZ"/>
    <x v="8"/>
    <m/>
    <m/>
  </r>
  <r>
    <x v="0"/>
    <x v="0"/>
    <x v="0"/>
    <m/>
    <x v="1"/>
    <x v="4"/>
    <d v="2026-01-31T00:00:00"/>
    <s v="Dólares"/>
    <n v="367.52"/>
    <s v="ANGELA ANDREA SOTO"/>
    <x v="3"/>
    <m/>
    <m/>
  </r>
  <r>
    <x v="0"/>
    <x v="0"/>
    <x v="0"/>
    <n v="10028429"/>
    <x v="1"/>
    <x v="4"/>
    <d v="2026-01-31T00:00:00"/>
    <s v="Dólares"/>
    <n v="367.52"/>
    <s v="ANGELA ANDREA SOTO ZAMORA"/>
    <x v="3"/>
    <m/>
    <m/>
  </r>
  <r>
    <x v="0"/>
    <x v="3"/>
    <x v="0"/>
    <m/>
    <x v="1"/>
    <x v="4"/>
    <d v="2026-01-28T00:00:00"/>
    <s v="Colones"/>
    <n v="366.6383266129032"/>
    <s v="UNIVERSIDAD DE COSTA RICA"/>
    <x v="3"/>
    <m/>
    <m/>
  </r>
  <r>
    <x v="0"/>
    <x v="0"/>
    <x v="0"/>
    <m/>
    <x v="1"/>
    <x v="2"/>
    <d v="2025-09-10T00:00:00"/>
    <s v="Dólares"/>
    <n v="365"/>
    <s v="URBANISMO RIGLO LIMITADA"/>
    <x v="9"/>
    <m/>
    <m/>
  </r>
  <r>
    <x v="0"/>
    <x v="0"/>
    <x v="0"/>
    <m/>
    <x v="1"/>
    <x v="4"/>
    <d v="2026-01-30T00:00:00"/>
    <s v="Dólares"/>
    <n v="364.27"/>
    <s v="JOHANNA CALVO RODRIGUEZ"/>
    <x v="3"/>
    <m/>
    <m/>
  </r>
  <r>
    <x v="0"/>
    <x v="2"/>
    <x v="0"/>
    <m/>
    <x v="1"/>
    <x v="4"/>
    <d v="2025-09-24T00:00:00"/>
    <s v="Dólares"/>
    <n v="359.14"/>
    <s v="TARIMA S.A"/>
    <x v="9"/>
    <m/>
    <m/>
  </r>
  <r>
    <x v="1"/>
    <x v="0"/>
    <x v="0"/>
    <m/>
    <x v="1"/>
    <x v="2"/>
    <d v="2026-02-13T00:00:00"/>
    <s v="Dólares"/>
    <n v="25659"/>
    <s v="SPG HOLDING CORPORATION"/>
    <x v="6"/>
    <m/>
    <m/>
  </r>
  <r>
    <x v="0"/>
    <x v="2"/>
    <x v="0"/>
    <m/>
    <x v="1"/>
    <x v="3"/>
    <d v="2025-12-19T00:00:00"/>
    <s v="Dólares"/>
    <n v="1366.06"/>
    <s v="INARI MEDICAL"/>
    <x v="8"/>
    <m/>
    <m/>
  </r>
  <r>
    <x v="0"/>
    <x v="1"/>
    <x v="0"/>
    <n v="10026667"/>
    <x v="1"/>
    <x v="4"/>
    <d v="2025-05-23T00:00:00"/>
    <s v="Dólares"/>
    <n v="354.48"/>
    <s v="BAMBU RIVERA CLUB RESEDENCES SOCIEDAD ANONIMA"/>
    <x v="0"/>
    <m/>
    <m/>
  </r>
  <r>
    <x v="0"/>
    <x v="2"/>
    <x v="0"/>
    <m/>
    <x v="1"/>
    <x v="2"/>
    <d v="2025-10-09T00:00:00"/>
    <s v="Dólares"/>
    <n v="354.46"/>
    <s v="ZONA FRANCA PARQUE COYOL TRES SOCIEDAD DE RESPONSABILIDAD LIMITADA"/>
    <x v="2"/>
    <m/>
    <m/>
  </r>
  <r>
    <x v="0"/>
    <x v="2"/>
    <x v="0"/>
    <m/>
    <x v="1"/>
    <x v="2"/>
    <d v="2025-11-14T00:00:00"/>
    <s v="Dólares"/>
    <n v="353.86"/>
    <s v="BM CEDI"/>
    <x v="4"/>
    <m/>
    <m/>
  </r>
  <r>
    <x v="0"/>
    <x v="0"/>
    <x v="0"/>
    <n v="10028161"/>
    <x v="1"/>
    <x v="3"/>
    <d v="2025-12-19T00:00:00"/>
    <s v="Dólares"/>
    <n v="382.5"/>
    <s v="IVANNIA HASBUM FERNANDEZ"/>
    <x v="8"/>
    <m/>
    <m/>
  </r>
  <r>
    <x v="0"/>
    <x v="3"/>
    <x v="1"/>
    <s v="54283 / 10027587"/>
    <x v="1"/>
    <x v="4"/>
    <d v="2025-09-22T00:00:00"/>
    <s v="Dólares"/>
    <n v="350"/>
    <s v="P Y P CONSTRUCCIONES SOCIEDAD ANONIMA"/>
    <x v="9"/>
    <m/>
    <m/>
  </r>
  <r>
    <x v="0"/>
    <x v="3"/>
    <x v="0"/>
    <m/>
    <x v="1"/>
    <x v="4"/>
    <d v="2025-09-25T00:00:00"/>
    <s v="Dólares"/>
    <n v="350"/>
    <s v="SENSOR MARKETING"/>
    <x v="9"/>
    <m/>
    <m/>
  </r>
  <r>
    <x v="0"/>
    <x v="0"/>
    <x v="0"/>
    <m/>
    <x v="1"/>
    <x v="2"/>
    <d v="2025-12-08T00:00:00"/>
    <s v="Dólares"/>
    <n v="350"/>
    <s v="MARCO ANTONIO RIVERA"/>
    <x v="8"/>
    <m/>
    <m/>
  </r>
  <r>
    <x v="1"/>
    <x v="0"/>
    <x v="0"/>
    <n v="10857"/>
    <x v="1"/>
    <x v="4"/>
    <d v="2025-12-23T00:00:00"/>
    <s v="Dólares"/>
    <n v="350"/>
    <s v="Nubia Thompson"/>
    <x v="8"/>
    <m/>
    <m/>
  </r>
  <r>
    <x v="0"/>
    <x v="0"/>
    <x v="0"/>
    <m/>
    <x v="1"/>
    <x v="4"/>
    <d v="2025-06-30T00:00:00"/>
    <s v="Dólares"/>
    <n v="349"/>
    <s v="ARLENE MARIA ROBERT BONILLA"/>
    <x v="5"/>
    <m/>
    <m/>
  </r>
  <r>
    <x v="0"/>
    <x v="0"/>
    <x v="0"/>
    <m/>
    <x v="1"/>
    <x v="3"/>
    <d v="2025-12-19T00:00:00"/>
    <s v="Dólares"/>
    <n v="339.27"/>
    <s v="NICOLAS PIERRE DIENOT"/>
    <x v="8"/>
    <m/>
    <m/>
  </r>
  <r>
    <x v="0"/>
    <x v="0"/>
    <x v="0"/>
    <n v="10028288"/>
    <x v="1"/>
    <x v="2"/>
    <d v="2025-12-12T00:00:00"/>
    <s v="Dólares"/>
    <n v="346.2"/>
    <s v="SABRINA ALVAREZ LEAL"/>
    <x v="8"/>
    <m/>
    <m/>
  </r>
  <r>
    <x v="0"/>
    <x v="0"/>
    <x v="0"/>
    <n v="10026507"/>
    <x v="1"/>
    <x v="2"/>
    <d v="2025-05-06T00:00:00"/>
    <s v="Dólares"/>
    <n v="345"/>
    <s v="FRANRO S.A"/>
    <x v="0"/>
    <m/>
    <m/>
  </r>
  <r>
    <x v="0"/>
    <x v="3"/>
    <x v="0"/>
    <m/>
    <x v="1"/>
    <x v="4"/>
    <d v="2026-01-26T00:00:00"/>
    <s v="Dólares"/>
    <n v="344.65"/>
    <s v="TELEDOLAR SOCIEDAD ANONIMA"/>
    <x v="3"/>
    <m/>
    <m/>
  </r>
  <r>
    <x v="1"/>
    <x v="0"/>
    <x v="0"/>
    <m/>
    <x v="1"/>
    <x v="3"/>
    <d v="2025-12-19T00:00:00"/>
    <s v="Dólares"/>
    <n v="75"/>
    <s v="FABIO CHENG"/>
    <x v="8"/>
    <m/>
    <m/>
  </r>
  <r>
    <x v="0"/>
    <x v="3"/>
    <x v="0"/>
    <m/>
    <x v="1"/>
    <x v="0"/>
    <d v="2025-11-07T00:00:00"/>
    <s v="Colones"/>
    <n v="341.53119607843138"/>
    <s v="COMPAÑÍA NACIONAL DE FUERZA Y LUZ"/>
    <x v="4"/>
    <m/>
    <m/>
  </r>
  <r>
    <x v="0"/>
    <x v="3"/>
    <x v="0"/>
    <m/>
    <x v="1"/>
    <x v="3"/>
    <d v="2025-12-19T00:00:00"/>
    <s v="Dólares"/>
    <n v="56"/>
    <s v="ADMEDES"/>
    <x v="8"/>
    <m/>
    <m/>
  </r>
  <r>
    <x v="2"/>
    <x v="3"/>
    <x v="0"/>
    <m/>
    <x v="1"/>
    <x v="3"/>
    <d v="2025-12-20T00:00:00"/>
    <s v="Dólares"/>
    <n v="15322.06"/>
    <s v="SEMANA 03 EXPRESS"/>
    <x v="8"/>
    <m/>
    <m/>
  </r>
  <r>
    <x v="0"/>
    <x v="1"/>
    <x v="0"/>
    <m/>
    <x v="1"/>
    <x v="2"/>
    <d v="2026-02-13T00:00:00"/>
    <s v="Dólares"/>
    <n v="17753.36"/>
    <s v="LINDORA EUROMOBILIA 80198"/>
    <x v="6"/>
    <m/>
    <m/>
  </r>
  <r>
    <x v="0"/>
    <x v="3"/>
    <x v="0"/>
    <m/>
    <x v="1"/>
    <x v="0"/>
    <d v="2025-12-02T00:00:00"/>
    <s v="Dólares"/>
    <n v="339"/>
    <s v="PURDY MOTOR"/>
    <x v="8"/>
    <m/>
    <m/>
  </r>
  <r>
    <x v="0"/>
    <x v="3"/>
    <x v="0"/>
    <m/>
    <x v="1"/>
    <x v="0"/>
    <d v="2025-12-04T00:00:00"/>
    <s v="Dólares"/>
    <n v="339"/>
    <s v="PURDY MOTOR"/>
    <x v="8"/>
    <m/>
    <m/>
  </r>
  <r>
    <x v="0"/>
    <x v="3"/>
    <x v="2"/>
    <m/>
    <x v="1"/>
    <x v="2"/>
    <d v="2025-11-12T00:00:00"/>
    <s v="Dólares"/>
    <n v="337.87"/>
    <s v="ARTHOCARE"/>
    <x v="4"/>
    <m/>
    <m/>
  </r>
  <r>
    <x v="0"/>
    <x v="3"/>
    <x v="2"/>
    <m/>
    <x v="1"/>
    <x v="4"/>
    <d v="2025-12-23T00:00:00"/>
    <s v="Dólares"/>
    <n v="337.87"/>
    <s v="ARTHOCARE"/>
    <x v="8"/>
    <m/>
    <m/>
  </r>
  <r>
    <x v="0"/>
    <x v="1"/>
    <x v="0"/>
    <m/>
    <x v="1"/>
    <x v="0"/>
    <d v="2025-12-04T00:00:00"/>
    <s v="Dólares"/>
    <n v="332"/>
    <s v="VOLIO &amp; TREJOS ASOCIADOS S.A."/>
    <x v="8"/>
    <m/>
    <m/>
  </r>
  <r>
    <x v="0"/>
    <x v="0"/>
    <x v="0"/>
    <m/>
    <x v="1"/>
    <x v="3"/>
    <d v="2025-12-21T00:00:00"/>
    <s v="Dólares"/>
    <n v="1559.13"/>
    <s v="LAWRENCE HUNTING"/>
    <x v="8"/>
    <m/>
    <m/>
  </r>
  <r>
    <x v="0"/>
    <x v="0"/>
    <x v="0"/>
    <n v="10027359"/>
    <x v="1"/>
    <x v="2"/>
    <d v="2025-08-14T00:00:00"/>
    <s v="Dólares"/>
    <n v="330"/>
    <s v="COMERCIAL BANTE SOCIEDAD ANONIMA"/>
    <x v="1"/>
    <m/>
    <m/>
  </r>
  <r>
    <x v="3"/>
    <x v="3"/>
    <x v="0"/>
    <m/>
    <x v="1"/>
    <x v="0"/>
    <d v="2025-12-02T00:00:00"/>
    <s v="Colones"/>
    <n v="328.91511764705882"/>
    <s v="UNIVERSIDAD DE COSTA RICA"/>
    <x v="8"/>
    <m/>
    <m/>
  </r>
  <r>
    <x v="0"/>
    <x v="0"/>
    <x v="0"/>
    <m/>
    <x v="1"/>
    <x v="4"/>
    <d v="2026-01-29T00:00:00"/>
    <s v="Dólares"/>
    <n v="326.47000000000003"/>
    <s v="MIGUEL GOMEZ"/>
    <x v="3"/>
    <m/>
    <m/>
  </r>
  <r>
    <x v="0"/>
    <x v="3"/>
    <x v="0"/>
    <n v="10026731"/>
    <x v="1"/>
    <x v="1"/>
    <d v="2025-05-29T00:00:00"/>
    <s v="Dólares"/>
    <n v="325"/>
    <s v="MICROVENTION COSTA RICA SRL"/>
    <x v="0"/>
    <m/>
    <m/>
  </r>
  <r>
    <x v="0"/>
    <x v="3"/>
    <x v="0"/>
    <m/>
    <x v="1"/>
    <x v="4"/>
    <d v="2025-09-26T00:00:00"/>
    <s v="Dólares"/>
    <n v="319.12099999999998"/>
    <s v="PURDY MOTOR SOCIEDAD ANONIMA"/>
    <x v="9"/>
    <m/>
    <m/>
  </r>
  <r>
    <x v="0"/>
    <x v="3"/>
    <x v="1"/>
    <s v="54275 / 10027297"/>
    <x v="1"/>
    <x v="2"/>
    <d v="2025-08-12T00:00:00"/>
    <s v="Dólares"/>
    <n v="318.73"/>
    <s v="SERVICIOS DE CONSULTORÍA RPM"/>
    <x v="1"/>
    <m/>
    <m/>
  </r>
  <r>
    <x v="0"/>
    <x v="0"/>
    <x v="0"/>
    <n v="10028376"/>
    <x v="1"/>
    <x v="4"/>
    <d v="2026-01-27T00:00:00"/>
    <s v="Dólares"/>
    <n v="309"/>
    <s v="ORANGE CONSTRUCTORA"/>
    <x v="3"/>
    <m/>
    <m/>
  </r>
  <r>
    <x v="0"/>
    <x v="0"/>
    <x v="0"/>
    <n v="10028265"/>
    <x v="1"/>
    <x v="3"/>
    <d v="2025-12-24T00:00:00"/>
    <s v="Dólares"/>
    <n v="1145"/>
    <s v="FANNY MARIA SEQUEIRA MATA"/>
    <x v="8"/>
    <m/>
    <m/>
  </r>
  <r>
    <x v="3"/>
    <x v="3"/>
    <x v="2"/>
    <m/>
    <x v="1"/>
    <x v="2"/>
    <d v="2026-02-13T00:00:00"/>
    <s v="Colones"/>
    <n v="14701.991612903226"/>
    <s v="MUNICIPALIDAD DE MONTES DE OCA"/>
    <x v="6"/>
    <m/>
    <m/>
  </r>
  <r>
    <x v="0"/>
    <x v="0"/>
    <x v="0"/>
    <m/>
    <x v="1"/>
    <x v="2"/>
    <d v="2025-07-07T00:00:00"/>
    <s v="Dólares"/>
    <n v="300"/>
    <s v="MIGUEL GOMEZ CESAR"/>
    <x v="7"/>
    <m/>
    <m/>
  </r>
  <r>
    <x v="0"/>
    <x v="0"/>
    <x v="0"/>
    <m/>
    <x v="1"/>
    <x v="2"/>
    <d v="2025-08-12T00:00:00"/>
    <s v="Dólares"/>
    <n v="300"/>
    <s v="ALBERTO DENT ZELEDON"/>
    <x v="1"/>
    <m/>
    <m/>
  </r>
  <r>
    <x v="0"/>
    <x v="0"/>
    <x v="0"/>
    <m/>
    <x v="1"/>
    <x v="4"/>
    <d v="2025-08-29T00:00:00"/>
    <s v="Dólares"/>
    <n v="300"/>
    <s v="WILHEM HENDRICK MELCHIOR"/>
    <x v="1"/>
    <m/>
    <m/>
  </r>
  <r>
    <x v="0"/>
    <x v="3"/>
    <x v="2"/>
    <n v="10027847"/>
    <x v="1"/>
    <x v="4"/>
    <d v="2025-10-24T00:00:00"/>
    <s v="Dólares"/>
    <n v="300"/>
    <s v="COOPERMEDICAL SRL"/>
    <x v="2"/>
    <m/>
    <m/>
  </r>
  <r>
    <x v="0"/>
    <x v="0"/>
    <x v="0"/>
    <m/>
    <x v="1"/>
    <x v="0"/>
    <d v="2026-01-06T00:00:00"/>
    <s v="Dólares"/>
    <n v="300"/>
    <s v="WIELHELM DIERMI"/>
    <x v="3"/>
    <m/>
    <m/>
  </r>
  <r>
    <x v="0"/>
    <x v="0"/>
    <x v="0"/>
    <m/>
    <x v="1"/>
    <x v="4"/>
    <d v="2026-01-27T00:00:00"/>
    <s v="Dólares"/>
    <n v="300"/>
    <s v="SIN IDENTIFICAR"/>
    <x v="3"/>
    <m/>
    <m/>
  </r>
  <r>
    <x v="0"/>
    <x v="0"/>
    <x v="0"/>
    <n v="10028326"/>
    <x v="1"/>
    <x v="3"/>
    <d v="2026-01-15T00:00:00"/>
    <s v="Dólares"/>
    <n v="150"/>
    <s v="ZHICHAO LI"/>
    <x v="3"/>
    <m/>
    <m/>
  </r>
  <r>
    <x v="0"/>
    <x v="1"/>
    <x v="0"/>
    <n v="10026895"/>
    <x v="1"/>
    <x v="0"/>
    <d v="2025-06-06T00:00:00"/>
    <s v="Dólares"/>
    <n v="287.58999999999997"/>
    <s v="JOSE FRANCISCO DE LO CERVANTES LOAIZA"/>
    <x v="5"/>
    <m/>
    <m/>
  </r>
  <r>
    <x v="0"/>
    <x v="0"/>
    <x v="0"/>
    <n v="10027190"/>
    <x v="1"/>
    <x v="4"/>
    <d v="2025-07-23T00:00:00"/>
    <s v="Dólares"/>
    <n v="285.05"/>
    <s v="ULACIT S,A"/>
    <x v="7"/>
    <m/>
    <m/>
  </r>
  <r>
    <x v="0"/>
    <x v="2"/>
    <x v="1"/>
    <m/>
    <x v="1"/>
    <x v="2"/>
    <d v="2026-02-13T00:00:00"/>
    <s v="Dólares"/>
    <n v="13639.2"/>
    <s v="NITINOL "/>
    <x v="6"/>
    <m/>
    <m/>
  </r>
  <r>
    <x v="0"/>
    <x v="2"/>
    <x v="0"/>
    <m/>
    <x v="1"/>
    <x v="0"/>
    <d v="2025-08-06T00:00:00"/>
    <s v="Dólares"/>
    <n v="278.45999999999998"/>
    <s v="SERACSA COMERCIAL"/>
    <x v="1"/>
    <m/>
    <m/>
  </r>
  <r>
    <x v="0"/>
    <x v="1"/>
    <x v="1"/>
    <m/>
    <x v="1"/>
    <x v="3"/>
    <d v="2026-01-19T00:00:00"/>
    <s v="Dólares"/>
    <n v="76569.84"/>
    <s v="CDS - ESCAZU 121 PUERTAS"/>
    <x v="3"/>
    <m/>
    <m/>
  </r>
  <r>
    <x v="0"/>
    <x v="0"/>
    <x v="0"/>
    <n v="10027605"/>
    <x v="1"/>
    <x v="4"/>
    <d v="2025-09-23T00:00:00"/>
    <s v="Dólares"/>
    <n v="276.75"/>
    <s v="GUIDO ALBERTO ROMERO SOLANO"/>
    <x v="9"/>
    <m/>
    <m/>
  </r>
  <r>
    <x v="0"/>
    <x v="0"/>
    <x v="0"/>
    <m/>
    <x v="1"/>
    <x v="2"/>
    <d v="2025-10-07T00:00:00"/>
    <s v="Dólares"/>
    <n v="275"/>
    <s v="GUIDO MONTERO"/>
    <x v="2"/>
    <m/>
    <m/>
  </r>
  <r>
    <x v="0"/>
    <x v="0"/>
    <x v="0"/>
    <n v="10027368"/>
    <x v="1"/>
    <x v="4"/>
    <d v="2025-08-22T00:00:00"/>
    <s v="Colones"/>
    <n v="274.83445098039215"/>
    <s v="PABLO PADILLA MENDEZ"/>
    <x v="1"/>
    <m/>
    <m/>
  </r>
  <r>
    <x v="0"/>
    <x v="0"/>
    <x v="0"/>
    <m/>
    <x v="1"/>
    <x v="4"/>
    <d v="2025-11-26T00:00:00"/>
    <s v="Dólares"/>
    <n v="272.05"/>
    <s v="Jessica Alfaro Coles"/>
    <x v="4"/>
    <m/>
    <m/>
  </r>
  <r>
    <x v="0"/>
    <x v="1"/>
    <x v="0"/>
    <m/>
    <x v="1"/>
    <x v="3"/>
    <d v="2026-01-19T00:00:00"/>
    <s v="Dólares"/>
    <n v="16370.31"/>
    <s v="GN_TWCR"/>
    <x v="3"/>
    <m/>
    <m/>
  </r>
  <r>
    <x v="3"/>
    <x v="3"/>
    <x v="0"/>
    <m/>
    <x v="1"/>
    <x v="3"/>
    <d v="2026-01-19T00:00:00"/>
    <s v="Colones"/>
    <n v="8604.7177217741937"/>
    <s v="MUNICIPALIDAD DE ALAJUELA"/>
    <x v="3"/>
    <m/>
    <m/>
  </r>
  <r>
    <x v="0"/>
    <x v="0"/>
    <x v="0"/>
    <m/>
    <x v="1"/>
    <x v="0"/>
    <d v="2025-09-04T00:00:00"/>
    <s v="Dólares"/>
    <n v="261"/>
    <s v="GEOVANNY ALBERTO"/>
    <x v="9"/>
    <m/>
    <m/>
  </r>
  <r>
    <x v="0"/>
    <x v="2"/>
    <x v="0"/>
    <m/>
    <x v="1"/>
    <x v="2"/>
    <d v="2026-02-13T00:00:00"/>
    <s v="Dólares"/>
    <n v="3187.48"/>
    <s v="INARI MEDICAL"/>
    <x v="6"/>
    <m/>
    <m/>
  </r>
  <r>
    <x v="0"/>
    <x v="0"/>
    <x v="0"/>
    <n v="10027279"/>
    <x v="1"/>
    <x v="2"/>
    <d v="2025-08-11T00:00:00"/>
    <s v="Dólares"/>
    <n v="260"/>
    <s v="JAQUELINE VELASQUEZ GUZMAN"/>
    <x v="1"/>
    <m/>
    <m/>
  </r>
  <r>
    <x v="0"/>
    <x v="0"/>
    <x v="0"/>
    <m/>
    <x v="1"/>
    <x v="2"/>
    <d v="2026-01-14T00:00:00"/>
    <s v="Dólares"/>
    <n v="260"/>
    <s v="TIMBER TRADING COMPANY"/>
    <x v="3"/>
    <m/>
    <m/>
  </r>
  <r>
    <x v="0"/>
    <x v="3"/>
    <x v="0"/>
    <m/>
    <x v="1"/>
    <x v="2"/>
    <d v="2025-12-11T00:00:00"/>
    <s v="Colones"/>
    <n v="256.380568627451"/>
    <s v="Universidad de Costa Rica"/>
    <x v="8"/>
    <m/>
    <m/>
  </r>
  <r>
    <x v="3"/>
    <x v="3"/>
    <x v="0"/>
    <n v="15165"/>
    <x v="1"/>
    <x v="2"/>
    <d v="2025-06-12T00:00:00"/>
    <s v="Dólares"/>
    <n v="254.55"/>
    <s v="CHIQUITA BRANDS COSTA RICA SRL"/>
    <x v="5"/>
    <m/>
    <m/>
  </r>
  <r>
    <x v="3"/>
    <x v="3"/>
    <x v="0"/>
    <n v="15239"/>
    <x v="1"/>
    <x v="2"/>
    <d v="2025-10-07T00:00:00"/>
    <s v="Colones"/>
    <n v="254.11764705882354"/>
    <s v="Universidad de Costa Rica"/>
    <x v="2"/>
    <m/>
    <m/>
  </r>
  <r>
    <x v="3"/>
    <x v="3"/>
    <x v="0"/>
    <m/>
    <x v="1"/>
    <x v="4"/>
    <d v="2025-12-23T00:00:00"/>
    <s v="Colones"/>
    <n v="253.05823529411765"/>
    <s v="COMPAÑÍA NACIONAL DE FUERZA Y LUZ"/>
    <x v="8"/>
    <m/>
    <m/>
  </r>
  <r>
    <x v="0"/>
    <x v="0"/>
    <x v="0"/>
    <m/>
    <x v="1"/>
    <x v="3"/>
    <d v="2026-01-19T00:00:00"/>
    <s v="Dólares"/>
    <n v="5276.6"/>
    <s v="Karla campos"/>
    <x v="3"/>
    <m/>
    <m/>
  </r>
  <r>
    <x v="0"/>
    <x v="0"/>
    <x v="0"/>
    <m/>
    <x v="1"/>
    <x v="4"/>
    <d v="2025-08-29T00:00:00"/>
    <s v="Dólares"/>
    <n v="252.57"/>
    <s v="MARIA MARGARITA URDANETA"/>
    <x v="1"/>
    <m/>
    <m/>
  </r>
  <r>
    <x v="0"/>
    <x v="1"/>
    <x v="0"/>
    <n v="10026746"/>
    <x v="1"/>
    <x v="0"/>
    <d v="2025-06-04T00:00:00"/>
    <s v="Dólares"/>
    <n v="252.5"/>
    <s v="PRODEYCO S.A"/>
    <x v="5"/>
    <m/>
    <m/>
  </r>
  <r>
    <x v="0"/>
    <x v="2"/>
    <x v="0"/>
    <n v="10026643"/>
    <x v="1"/>
    <x v="4"/>
    <d v="2025-05-20T00:00:00"/>
    <s v="Dólares"/>
    <n v="251.54"/>
    <s v="CONSTRUCCION Y REDES COSTA RICA SOCIEDAD DE RESPONSABILIDAD"/>
    <x v="0"/>
    <m/>
    <m/>
  </r>
  <r>
    <x v="0"/>
    <x v="0"/>
    <x v="0"/>
    <m/>
    <x v="1"/>
    <x v="3"/>
    <d v="2026-01-19T00:00:00"/>
    <s v="Dólares"/>
    <n v="4920"/>
    <s v="Altmann Garnier"/>
    <x v="3"/>
    <m/>
    <m/>
  </r>
  <r>
    <x v="0"/>
    <x v="0"/>
    <x v="0"/>
    <n v="10027730"/>
    <x v="1"/>
    <x v="2"/>
    <d v="2025-10-09T00:00:00"/>
    <s v="Dólares"/>
    <n v="250"/>
    <s v="SUSANNE DRUCK"/>
    <x v="2"/>
    <m/>
    <m/>
  </r>
  <r>
    <x v="0"/>
    <x v="0"/>
    <x v="0"/>
    <m/>
    <x v="1"/>
    <x v="3"/>
    <d v="2026-01-19T00:00:00"/>
    <s v="Dólares"/>
    <n v="4700"/>
    <s v="ALFREDO VARGAS"/>
    <x v="3"/>
    <m/>
    <m/>
  </r>
  <r>
    <x v="0"/>
    <x v="1"/>
    <x v="0"/>
    <m/>
    <x v="1"/>
    <x v="3"/>
    <d v="2026-01-19T00:00:00"/>
    <s v="Dólares"/>
    <n v="2461.0300000000002"/>
    <s v="GN_TWCR"/>
    <x v="3"/>
    <m/>
    <m/>
  </r>
  <r>
    <x v="0"/>
    <x v="0"/>
    <x v="0"/>
    <m/>
    <x v="1"/>
    <x v="4"/>
    <d v="2025-09-26T00:00:00"/>
    <s v="Dólares"/>
    <n v="249.47"/>
    <s v="FREDDY ARIAS MORA"/>
    <x v="9"/>
    <m/>
    <m/>
  </r>
  <r>
    <x v="3"/>
    <x v="3"/>
    <x v="0"/>
    <m/>
    <x v="1"/>
    <x v="4"/>
    <d v="2025-12-22T00:00:00"/>
    <s v="Colones"/>
    <n v="246.24772549019607"/>
    <s v="CAJA COSTARRICENSE DE SEGURO SOCIAL"/>
    <x v="8"/>
    <m/>
    <m/>
  </r>
  <r>
    <x v="0"/>
    <x v="2"/>
    <x v="0"/>
    <n v="10026803"/>
    <x v="1"/>
    <x v="2"/>
    <d v="2025-06-12T00:00:00"/>
    <s v="Dólares"/>
    <n v="245.75"/>
    <s v="DISTRIBUIDORA LA FLORIDA S.A."/>
    <x v="5"/>
    <m/>
    <m/>
  </r>
  <r>
    <x v="0"/>
    <x v="2"/>
    <x v="0"/>
    <n v="10027008"/>
    <x v="1"/>
    <x v="2"/>
    <d v="2025-07-07T00:00:00"/>
    <s v="Dólares"/>
    <n v="245.13"/>
    <s v="Tecnibandas S.A"/>
    <x v="7"/>
    <m/>
    <m/>
  </r>
  <r>
    <x v="0"/>
    <x v="0"/>
    <x v="0"/>
    <m/>
    <x v="1"/>
    <x v="3"/>
    <d v="2026-01-19T00:00:00"/>
    <s v="Dólares"/>
    <n v="2000"/>
    <s v="Cordero Mainieri"/>
    <x v="3"/>
    <m/>
    <m/>
  </r>
  <r>
    <x v="3"/>
    <x v="3"/>
    <x v="0"/>
    <m/>
    <x v="1"/>
    <x v="3"/>
    <d v="2026-01-19T00:00:00"/>
    <s v="Colones"/>
    <n v="1682.4012701612903"/>
    <s v="MUNICIPALIDAD DE ALAJUELA"/>
    <x v="3"/>
    <m/>
    <m/>
  </r>
  <r>
    <x v="0"/>
    <x v="0"/>
    <x v="0"/>
    <m/>
    <x v="1"/>
    <x v="4"/>
    <d v="2026-01-27T00:00:00"/>
    <s v="Colones"/>
    <n v="241.93548387096774"/>
    <s v="RCPCONTINENTAL"/>
    <x v="3"/>
    <m/>
    <m/>
  </r>
  <r>
    <x v="3"/>
    <x v="3"/>
    <x v="0"/>
    <m/>
    <x v="1"/>
    <x v="3"/>
    <d v="2026-01-19T00:00:00"/>
    <s v="Colones"/>
    <n v="1557.5543951612904"/>
    <s v="MUNICIPALIDAD DE ALAJUELA"/>
    <x v="3"/>
    <m/>
    <m/>
  </r>
  <r>
    <x v="0"/>
    <x v="0"/>
    <x v="0"/>
    <n v="10027669"/>
    <x v="1"/>
    <x v="1"/>
    <d v="2025-09-30T00:00:00"/>
    <s v="Dólares"/>
    <n v="236"/>
    <s v="KARIN JOHANNA ERIKSSON"/>
    <x v="9"/>
    <m/>
    <m/>
  </r>
  <r>
    <x v="0"/>
    <x v="0"/>
    <x v="0"/>
    <m/>
    <x v="1"/>
    <x v="3"/>
    <d v="2026-01-19T00:00:00"/>
    <s v="Dólares"/>
    <n v="1362.96"/>
    <s v="Anaïs Mullee"/>
    <x v="3"/>
    <m/>
    <m/>
  </r>
  <r>
    <x v="0"/>
    <x v="0"/>
    <x v="0"/>
    <n v="10027019"/>
    <x v="1"/>
    <x v="2"/>
    <d v="2025-07-06T00:00:00"/>
    <s v="Dólares"/>
    <n v="235.6"/>
    <s v="ANDRES ARIAS"/>
    <x v="7"/>
    <m/>
    <m/>
  </r>
  <r>
    <x v="0"/>
    <x v="0"/>
    <x v="0"/>
    <m/>
    <x v="1"/>
    <x v="3"/>
    <d v="2026-01-19T00:00:00"/>
    <s v="Dólares"/>
    <n v="743"/>
    <s v="Juan Carlos R Morun"/>
    <x v="3"/>
    <m/>
    <m/>
  </r>
  <r>
    <x v="0"/>
    <x v="0"/>
    <x v="0"/>
    <m/>
    <x v="1"/>
    <x v="3"/>
    <d v="2026-01-19T00:00:00"/>
    <s v="Dólares"/>
    <n v="244"/>
    <s v="María Vanessa Palacios"/>
    <x v="3"/>
    <m/>
    <m/>
  </r>
  <r>
    <x v="0"/>
    <x v="0"/>
    <x v="0"/>
    <m/>
    <x v="1"/>
    <x v="3"/>
    <d v="2026-01-19T00:00:00"/>
    <s v="Dólares"/>
    <n v="222"/>
    <s v="PROPIEDADES CARIBE"/>
    <x v="3"/>
    <m/>
    <m/>
  </r>
  <r>
    <x v="3"/>
    <x v="3"/>
    <x v="0"/>
    <n v="15227"/>
    <x v="1"/>
    <x v="4"/>
    <d v="2025-09-24T00:00:00"/>
    <s v="Dólares"/>
    <n v="233.29"/>
    <s v="CONTRACT WORKPLACES COSTA RICA SOCIEDAD ANONIMA "/>
    <x v="9"/>
    <m/>
    <m/>
  </r>
  <r>
    <x v="0"/>
    <x v="0"/>
    <x v="0"/>
    <m/>
    <x v="1"/>
    <x v="2"/>
    <d v="2025-09-13T00:00:00"/>
    <s v="Dólares"/>
    <n v="232.8156862745098"/>
    <s v="MARVIN AGUILAR REDONDO"/>
    <x v="9"/>
    <m/>
    <m/>
  </r>
  <r>
    <x v="0"/>
    <x v="0"/>
    <x v="0"/>
    <m/>
    <x v="1"/>
    <x v="4"/>
    <d v="2025-09-26T00:00:00"/>
    <s v="Dólares"/>
    <n v="231.09"/>
    <s v="ANA CECILIA MONTERO"/>
    <x v="9"/>
    <m/>
    <m/>
  </r>
  <r>
    <x v="0"/>
    <x v="3"/>
    <x v="0"/>
    <m/>
    <x v="1"/>
    <x v="2"/>
    <d v="2025-11-10T00:00:00"/>
    <s v="Colones"/>
    <n v="228.81705882352941"/>
    <s v="UNIVERSIDAD DE COSTA RICA"/>
    <x v="4"/>
    <m/>
    <m/>
  </r>
  <r>
    <x v="0"/>
    <x v="0"/>
    <x v="0"/>
    <m/>
    <x v="1"/>
    <x v="0"/>
    <d v="2025-06-07T00:00:00"/>
    <s v="Dólares"/>
    <n v="227.7"/>
    <s v="Maria Vicente"/>
    <x v="5"/>
    <m/>
    <m/>
  </r>
  <r>
    <x v="0"/>
    <x v="0"/>
    <x v="1"/>
    <m/>
    <x v="1"/>
    <x v="2"/>
    <d v="2025-06-13T00:00:00"/>
    <s v="Dólares"/>
    <n v="227.7"/>
    <s v="yarib alpizar leon"/>
    <x v="5"/>
    <m/>
    <m/>
  </r>
  <r>
    <x v="0"/>
    <x v="2"/>
    <x v="2"/>
    <m/>
    <x v="1"/>
    <x v="2"/>
    <d v="2025-10-08T00:00:00"/>
    <s v="Dólares"/>
    <n v="227.23"/>
    <s v="BAYERN MEDICAL"/>
    <x v="2"/>
    <m/>
    <m/>
  </r>
  <r>
    <x v="3"/>
    <x v="3"/>
    <x v="1"/>
    <n v="15228"/>
    <x v="1"/>
    <x v="0"/>
    <d v="2025-09-05T00:00:00"/>
    <s v="Dólares"/>
    <n v="227.13"/>
    <s v="DIAGNOSTIKA SOCIEDAD"/>
    <x v="9"/>
    <m/>
    <m/>
  </r>
  <r>
    <x v="1"/>
    <x v="0"/>
    <x v="0"/>
    <n v="10775"/>
    <x v="1"/>
    <x v="0"/>
    <d v="2025-09-04T00:00:00"/>
    <s v="Dólares"/>
    <n v="226.4"/>
    <s v="Stealth Constructora S.A."/>
    <x v="9"/>
    <m/>
    <m/>
  </r>
  <r>
    <x v="0"/>
    <x v="2"/>
    <x v="0"/>
    <m/>
    <x v="1"/>
    <x v="4"/>
    <d v="2025-10-21T00:00:00"/>
    <s v="Dólares"/>
    <n v="226.11"/>
    <s v="SINTER SOCIEDAD ANONIMA"/>
    <x v="2"/>
    <m/>
    <m/>
  </r>
  <r>
    <x v="0"/>
    <x v="2"/>
    <x v="0"/>
    <m/>
    <x v="1"/>
    <x v="2"/>
    <d v="2025-11-10T00:00:00"/>
    <s v="Dólares"/>
    <n v="226"/>
    <s v="BIOCIENTIFICA"/>
    <x v="4"/>
    <m/>
    <m/>
  </r>
  <r>
    <x v="0"/>
    <x v="0"/>
    <x v="0"/>
    <m/>
    <x v="1"/>
    <x v="4"/>
    <d v="2025-08-28T00:00:00"/>
    <s v="Dólares"/>
    <n v="225"/>
    <s v="INVERSIONES QT "/>
    <x v="1"/>
    <m/>
    <m/>
  </r>
  <r>
    <x v="3"/>
    <x v="3"/>
    <x v="0"/>
    <m/>
    <x v="1"/>
    <x v="4"/>
    <d v="2025-11-26T00:00:00"/>
    <s v="Colones"/>
    <n v="224.08709803921568"/>
    <s v="UNIVERSIDAD DE COSTA RICA"/>
    <x v="4"/>
    <m/>
    <m/>
  </r>
  <r>
    <x v="0"/>
    <x v="0"/>
    <x v="0"/>
    <m/>
    <x v="1"/>
    <x v="0"/>
    <d v="2026-01-06T00:00:00"/>
    <s v="Dólares"/>
    <n v="222"/>
    <s v="HERNANDEZ CORDOBA"/>
    <x v="3"/>
    <m/>
    <m/>
  </r>
  <r>
    <x v="0"/>
    <x v="0"/>
    <x v="0"/>
    <m/>
    <x v="1"/>
    <x v="3"/>
    <d v="2026-01-19T00:00:00"/>
    <s v="Dólares"/>
    <n v="171.5"/>
    <s v="Diana Zamora"/>
    <x v="3"/>
    <m/>
    <m/>
  </r>
  <r>
    <x v="0"/>
    <x v="2"/>
    <x v="0"/>
    <n v="10026826"/>
    <x v="1"/>
    <x v="2"/>
    <d v="2025-06-13T00:00:00"/>
    <s v="Dólares"/>
    <n v="221.57"/>
    <s v="PORTAFOLIO AM SIETE SOCIEDAD ANONIMA"/>
    <x v="5"/>
    <m/>
    <m/>
  </r>
  <r>
    <x v="0"/>
    <x v="0"/>
    <x v="0"/>
    <m/>
    <x v="1"/>
    <x v="3"/>
    <d v="2026-01-19T00:00:00"/>
    <s v="Dólares"/>
    <n v="150"/>
    <s v="IRIABEL LOPEZ"/>
    <x v="3"/>
    <m/>
    <m/>
  </r>
  <r>
    <x v="0"/>
    <x v="0"/>
    <x v="0"/>
    <m/>
    <x v="1"/>
    <x v="3"/>
    <d v="2026-01-19T00:00:00"/>
    <s v="Dólares"/>
    <n v="150"/>
    <s v="MIKE LUKOWIECKY"/>
    <x v="3"/>
    <m/>
    <m/>
  </r>
  <r>
    <x v="0"/>
    <x v="2"/>
    <x v="0"/>
    <m/>
    <x v="1"/>
    <x v="3"/>
    <d v="2026-01-20T00:00:00"/>
    <s v="Dólares"/>
    <n v="38228.71"/>
    <s v="HOLOGIC SURGICAL PRODUCTS COSTA RICA S.R.L"/>
    <x v="3"/>
    <m/>
    <m/>
  </r>
  <r>
    <x v="0"/>
    <x v="1"/>
    <x v="2"/>
    <m/>
    <x v="1"/>
    <x v="4"/>
    <d v="2025-09-25T00:00:00"/>
    <s v="Dólares"/>
    <n v="217.42"/>
    <s v="VOLIO Y TREJOS ASOCIADOS S.A"/>
    <x v="9"/>
    <m/>
    <m/>
  </r>
  <r>
    <x v="0"/>
    <x v="0"/>
    <x v="0"/>
    <n v="10027182"/>
    <x v="1"/>
    <x v="1"/>
    <d v="2025-07-29T00:00:00"/>
    <s v="Dólares"/>
    <n v="217"/>
    <s v="EXPOTEAK S.A"/>
    <x v="7"/>
    <m/>
    <m/>
  </r>
  <r>
    <x v="3"/>
    <x v="3"/>
    <x v="0"/>
    <n v="15165"/>
    <x v="1"/>
    <x v="2"/>
    <d v="2025-06-12T00:00:00"/>
    <s v="Dólares"/>
    <n v="216.96"/>
    <s v="CHIQUITA BRANDS COSTA RICA SRL"/>
    <x v="5"/>
    <m/>
    <m/>
  </r>
  <r>
    <x v="3"/>
    <x v="3"/>
    <x v="0"/>
    <m/>
    <x v="1"/>
    <x v="4"/>
    <d v="2026-01-26T00:00:00"/>
    <s v="Dólares"/>
    <n v="216.6"/>
    <s v="ELECTRONICA CENTROAMERICANA"/>
    <x v="3"/>
    <m/>
    <m/>
  </r>
  <r>
    <x v="0"/>
    <x v="0"/>
    <x v="0"/>
    <m/>
    <x v="1"/>
    <x v="3"/>
    <d v="2026-01-20T00:00:00"/>
    <s v="Dólares"/>
    <n v="10000"/>
    <s v="EDUARDO GAZELLE"/>
    <x v="3"/>
    <m/>
    <m/>
  </r>
  <r>
    <x v="0"/>
    <x v="2"/>
    <x v="1"/>
    <m/>
    <x v="1"/>
    <x v="2"/>
    <d v="2026-02-13T00:00:00"/>
    <s v="Dólares"/>
    <n v="2746.96"/>
    <s v="INTACO COSTA RICA"/>
    <x v="6"/>
    <m/>
    <m/>
  </r>
  <r>
    <x v="0"/>
    <x v="0"/>
    <x v="0"/>
    <n v="10027693"/>
    <x v="1"/>
    <x v="0"/>
    <d v="2025-10-01T00:00:00"/>
    <s v="Dólares"/>
    <n v="211"/>
    <s v="NURIA PATRICIA DE LO HERRERA AGUERO"/>
    <x v="2"/>
    <m/>
    <m/>
  </r>
  <r>
    <x v="0"/>
    <x v="3"/>
    <x v="1"/>
    <n v="10027604"/>
    <x v="1"/>
    <x v="4"/>
    <d v="2025-09-19T00:00:00"/>
    <s v="Dólares"/>
    <n v="207.75"/>
    <s v="ADMEDES SOCIEDAD ANONIMA"/>
    <x v="9"/>
    <m/>
    <m/>
  </r>
  <r>
    <x v="0"/>
    <x v="1"/>
    <x v="1"/>
    <m/>
    <x v="1"/>
    <x v="0"/>
    <d v="2025-08-05T00:00:00"/>
    <s v="Colones"/>
    <n v="206.20980392156864"/>
    <s v="SIN IDENTIFICAR"/>
    <x v="1"/>
    <m/>
    <m/>
  </r>
  <r>
    <x v="0"/>
    <x v="0"/>
    <x v="0"/>
    <m/>
    <x v="1"/>
    <x v="4"/>
    <d v="2026-01-29T00:00:00"/>
    <s v="Dólares"/>
    <n v="202"/>
    <s v="MARICRUZ SANCHO MONGE"/>
    <x v="3"/>
    <m/>
    <m/>
  </r>
  <r>
    <x v="0"/>
    <x v="0"/>
    <x v="0"/>
    <m/>
    <x v="1"/>
    <x v="0"/>
    <d v="2025-12-05T00:00:00"/>
    <s v="Dólares"/>
    <n v="200.5"/>
    <s v="Laura Uzinka"/>
    <x v="8"/>
    <m/>
    <m/>
  </r>
  <r>
    <x v="3"/>
    <x v="3"/>
    <x v="2"/>
    <m/>
    <x v="1"/>
    <x v="2"/>
    <d v="2025-09-11T00:00:00"/>
    <s v="Dólares"/>
    <n v="200.28"/>
    <s v="Universidad de Costa Rica"/>
    <x v="9"/>
    <m/>
    <m/>
  </r>
  <r>
    <x v="0"/>
    <x v="3"/>
    <x v="1"/>
    <n v="10027737"/>
    <x v="1"/>
    <x v="2"/>
    <d v="2025-10-08T00:00:00"/>
    <s v="Dólares"/>
    <n v="200.01"/>
    <s v="PORCINA CERHIMA LIMITADA"/>
    <x v="2"/>
    <m/>
    <m/>
  </r>
  <r>
    <x v="0"/>
    <x v="0"/>
    <x v="0"/>
    <n v="10026492"/>
    <x v="1"/>
    <x v="2"/>
    <d v="2025-05-05T00:00:00"/>
    <s v="Dólares"/>
    <n v="200"/>
    <s v="ADA ESTHER FIGUEROA CRESPO"/>
    <x v="0"/>
    <m/>
    <m/>
  </r>
  <r>
    <x v="1"/>
    <x v="0"/>
    <x v="0"/>
    <n v="10873"/>
    <x v="1"/>
    <x v="3"/>
    <d v="2026-01-20T00:00:00"/>
    <s v="Dólares"/>
    <n v="3116"/>
    <s v="MARIELLA CABEZAS UJUETA"/>
    <x v="3"/>
    <m/>
    <m/>
  </r>
  <r>
    <x v="0"/>
    <x v="0"/>
    <x v="0"/>
    <m/>
    <x v="1"/>
    <x v="2"/>
    <d v="2025-06-09T00:00:00"/>
    <s v="Dólares"/>
    <n v="200"/>
    <s v="ADA ESTHER FIGUEROA CRESPO"/>
    <x v="5"/>
    <m/>
    <m/>
  </r>
  <r>
    <x v="0"/>
    <x v="0"/>
    <x v="0"/>
    <m/>
    <x v="1"/>
    <x v="3"/>
    <d v="2026-01-20T00:00:00"/>
    <s v="Dólares"/>
    <n v="1355"/>
    <s v="Rodrigo Santiago Tambo"/>
    <x v="3"/>
    <m/>
    <m/>
  </r>
  <r>
    <x v="0"/>
    <x v="0"/>
    <x v="0"/>
    <n v="10027170"/>
    <x v="1"/>
    <x v="4"/>
    <d v="2025-07-26T00:00:00"/>
    <s v="Dólares"/>
    <n v="200"/>
    <s v="ANA ELISA SAENZ"/>
    <x v="7"/>
    <m/>
    <m/>
  </r>
  <r>
    <x v="0"/>
    <x v="0"/>
    <x v="0"/>
    <m/>
    <x v="1"/>
    <x v="2"/>
    <d v="2025-08-14T00:00:00"/>
    <s v="Dólares"/>
    <n v="200"/>
    <s v="ADA FIGUEROA CRESPO"/>
    <x v="1"/>
    <m/>
    <m/>
  </r>
  <r>
    <x v="0"/>
    <x v="1"/>
    <x v="0"/>
    <m/>
    <x v="1"/>
    <x v="4"/>
    <d v="2025-08-28T00:00:00"/>
    <s v="Colones"/>
    <n v="200"/>
    <s v="VOLIO Y TREJOS ASOCIADOS S.A"/>
    <x v="1"/>
    <m/>
    <m/>
  </r>
  <r>
    <x v="0"/>
    <x v="0"/>
    <x v="0"/>
    <n v="10027484"/>
    <x v="1"/>
    <x v="0"/>
    <d v="2025-09-03T00:00:00"/>
    <s v="Colones"/>
    <n v="200"/>
    <s v="TERMINTEU CRISTINA ROPER WILLIAMS"/>
    <x v="9"/>
    <m/>
    <m/>
  </r>
  <r>
    <x v="0"/>
    <x v="0"/>
    <x v="0"/>
    <n v="10027617"/>
    <x v="1"/>
    <x v="4"/>
    <d v="2025-09-24T00:00:00"/>
    <s v="Dólares"/>
    <n v="200"/>
    <s v="ADA ESTHER FIGUEROA CRESPO "/>
    <x v="9"/>
    <m/>
    <m/>
  </r>
  <r>
    <x v="0"/>
    <x v="0"/>
    <x v="0"/>
    <n v="10027690"/>
    <x v="1"/>
    <x v="0"/>
    <d v="2025-10-01T00:00:00"/>
    <s v="Dólares"/>
    <n v="200"/>
    <s v="ALFONSO QUESADA FERNANDEZ"/>
    <x v="2"/>
    <m/>
    <m/>
  </r>
  <r>
    <x v="0"/>
    <x v="0"/>
    <x v="0"/>
    <n v="10027732"/>
    <x v="1"/>
    <x v="2"/>
    <d v="2025-10-09T00:00:00"/>
    <s v="Dólares"/>
    <n v="200"/>
    <s v="JACQUELINE PICADO SANCHEZ"/>
    <x v="2"/>
    <m/>
    <m/>
  </r>
  <r>
    <x v="0"/>
    <x v="0"/>
    <x v="0"/>
    <m/>
    <x v="1"/>
    <x v="4"/>
    <d v="2025-11-24T00:00:00"/>
    <s v="Dólares"/>
    <n v="200"/>
    <s v="ADA CRESPO FIGUEROA"/>
    <x v="4"/>
    <m/>
    <m/>
  </r>
  <r>
    <x v="0"/>
    <x v="0"/>
    <x v="0"/>
    <n v="10028397"/>
    <x v="1"/>
    <x v="4"/>
    <d v="2026-01-30T00:00:00"/>
    <s v="Dólares"/>
    <n v="200"/>
    <s v="HELLEN CAMACHO"/>
    <x v="3"/>
    <m/>
    <m/>
  </r>
  <r>
    <x v="0"/>
    <x v="0"/>
    <x v="0"/>
    <m/>
    <x v="1"/>
    <x v="3"/>
    <d v="2026-01-20T00:00:00"/>
    <s v="Colones"/>
    <n v="712.24"/>
    <s v="SAMUEL RABINOVICH"/>
    <x v="3"/>
    <m/>
    <m/>
  </r>
  <r>
    <x v="0"/>
    <x v="0"/>
    <x v="0"/>
    <m/>
    <x v="1"/>
    <x v="4"/>
    <d v="2025-09-25T00:00:00"/>
    <s v="Dólares"/>
    <n v="199.47"/>
    <s v="JUAN JOSE ROJAS SALAZAR"/>
    <x v="9"/>
    <m/>
    <m/>
  </r>
  <r>
    <x v="0"/>
    <x v="0"/>
    <x v="0"/>
    <n v="10026502"/>
    <x v="1"/>
    <x v="0"/>
    <d v="2025-05-01T00:00:00"/>
    <s v="Dólares"/>
    <n v="199.46"/>
    <s v="César Zúñiga Zamora"/>
    <x v="0"/>
    <m/>
    <m/>
  </r>
  <r>
    <x v="0"/>
    <x v="0"/>
    <x v="0"/>
    <n v="10026500"/>
    <x v="1"/>
    <x v="2"/>
    <d v="2025-05-05T00:00:00"/>
    <s v="Dólares"/>
    <n v="199.46"/>
    <s v="Patricia Segura Alvarado"/>
    <x v="0"/>
    <m/>
    <m/>
  </r>
  <r>
    <x v="0"/>
    <x v="0"/>
    <x v="0"/>
    <m/>
    <x v="1"/>
    <x v="3"/>
    <d v="2026-01-20T00:00:00"/>
    <s v="Dólares"/>
    <n v="657"/>
    <s v="DANIA YOLIMA GONZALEZ MARTINEZ"/>
    <x v="3"/>
    <m/>
    <m/>
  </r>
  <r>
    <x v="0"/>
    <x v="0"/>
    <x v="0"/>
    <m/>
    <x v="1"/>
    <x v="3"/>
    <d v="2026-01-20T00:00:00"/>
    <s v="Dólares"/>
    <n v="655"/>
    <s v="Giovanni Papili"/>
    <x v="3"/>
    <m/>
    <m/>
  </r>
  <r>
    <x v="0"/>
    <x v="0"/>
    <x v="0"/>
    <m/>
    <x v="1"/>
    <x v="4"/>
    <d v="2025-08-24T00:00:00"/>
    <s v="Colones"/>
    <n v="199.46"/>
    <s v="SEBASTIAN QUESADA"/>
    <x v="1"/>
    <m/>
    <m/>
  </r>
  <r>
    <x v="0"/>
    <x v="0"/>
    <x v="0"/>
    <n v="10027030"/>
    <x v="1"/>
    <x v="2"/>
    <d v="2025-07-07T00:00:00"/>
    <s v="Colones"/>
    <n v="199.33297244094487"/>
    <s v="CRISTIAN BALTODANO VARGAS"/>
    <x v="7"/>
    <m/>
    <m/>
  </r>
  <r>
    <x v="0"/>
    <x v="0"/>
    <x v="0"/>
    <m/>
    <x v="1"/>
    <x v="4"/>
    <d v="2025-06-28T00:00:00"/>
    <s v="Colones"/>
    <n v="199.10968503937008"/>
    <s v="SUYIN DEL CARMEN GUTIERREZ RODRIGUEZ"/>
    <x v="5"/>
    <m/>
    <m/>
  </r>
  <r>
    <x v="0"/>
    <x v="0"/>
    <x v="0"/>
    <n v="10026488"/>
    <x v="1"/>
    <x v="0"/>
    <d v="2025-05-01T00:00:00"/>
    <s v="Dólares"/>
    <n v="199"/>
    <s v="ROGER GUADAMUZ RIVERA"/>
    <x v="0"/>
    <m/>
    <m/>
  </r>
  <r>
    <x v="0"/>
    <x v="0"/>
    <x v="0"/>
    <m/>
    <x v="1"/>
    <x v="3"/>
    <d v="2026-01-20T00:00:00"/>
    <s v="Dólares"/>
    <n v="571.20000000000005"/>
    <s v="Rosa Lara Gonzalez"/>
    <x v="3"/>
    <m/>
    <m/>
  </r>
  <r>
    <x v="0"/>
    <x v="0"/>
    <x v="0"/>
    <m/>
    <x v="1"/>
    <x v="2"/>
    <d v="2025-10-09T00:00:00"/>
    <s v="Dólares"/>
    <n v="199"/>
    <s v="SANTIAGO ALCIDES AGUILAR RODRIGUEZ"/>
    <x v="2"/>
    <m/>
    <m/>
  </r>
  <r>
    <x v="0"/>
    <x v="0"/>
    <x v="0"/>
    <m/>
    <x v="1"/>
    <x v="2"/>
    <d v="2025-12-10T00:00:00"/>
    <s v="Colones"/>
    <n v="198.8235294117647"/>
    <s v="MARIO ADOLFO VARGAS"/>
    <x v="8"/>
    <m/>
    <m/>
  </r>
  <r>
    <x v="0"/>
    <x v="0"/>
    <x v="0"/>
    <n v="10027146"/>
    <x v="1"/>
    <x v="4"/>
    <d v="2025-07-23T00:00:00"/>
    <s v="Colones"/>
    <n v="198.37204724409449"/>
    <s v="MADELINE QUIROS"/>
    <x v="7"/>
    <m/>
    <m/>
  </r>
  <r>
    <x v="0"/>
    <x v="0"/>
    <x v="0"/>
    <n v="10027670"/>
    <x v="1"/>
    <x v="4"/>
    <d v="2025-09-27T00:00:00"/>
    <s v="Colones"/>
    <n v="198.03458823529411"/>
    <s v="LAURA GARCIA CHAVEZ"/>
    <x v="9"/>
    <m/>
    <m/>
  </r>
  <r>
    <x v="0"/>
    <x v="0"/>
    <x v="0"/>
    <n v="10027671"/>
    <x v="1"/>
    <x v="1"/>
    <d v="2025-09-29T00:00:00"/>
    <s v="Colones"/>
    <n v="198.03458823529411"/>
    <s v="MRBMMA SRL"/>
    <x v="9"/>
    <m/>
    <m/>
  </r>
  <r>
    <x v="0"/>
    <x v="0"/>
    <x v="0"/>
    <m/>
    <x v="1"/>
    <x v="4"/>
    <d v="2025-08-28T00:00:00"/>
    <s v="Dólares"/>
    <n v="197.75"/>
    <s v="VERONICA DEBUISSON"/>
    <x v="1"/>
    <m/>
    <m/>
  </r>
  <r>
    <x v="3"/>
    <x v="3"/>
    <x v="0"/>
    <n v="15319"/>
    <x v="1"/>
    <x v="3"/>
    <d v="2026-01-20T00:00:00"/>
    <s v="Dólares"/>
    <n v="421.15"/>
    <s v="PUBLIEFECTO SOCIEDAD ANONIMA"/>
    <x v="3"/>
    <m/>
    <m/>
  </r>
  <r>
    <x v="0"/>
    <x v="0"/>
    <x v="0"/>
    <n v="10028331"/>
    <x v="1"/>
    <x v="3"/>
    <d v="2026-01-20T00:00:00"/>
    <s v="Dólares"/>
    <n v="100"/>
    <s v="MIGUEL RAMOS GAYTAN"/>
    <x v="3"/>
    <m/>
    <m/>
  </r>
  <r>
    <x v="3"/>
    <x v="3"/>
    <x v="0"/>
    <m/>
    <x v="1"/>
    <x v="4"/>
    <d v="2026-01-28T00:00:00"/>
    <s v="Colones"/>
    <n v="195.0020564516129"/>
    <s v="UNIVERSIDAD DE COSTA RICA"/>
    <x v="3"/>
    <m/>
    <m/>
  </r>
  <r>
    <x v="0"/>
    <x v="0"/>
    <x v="0"/>
    <m/>
    <x v="1"/>
    <x v="0"/>
    <d v="2025-06-05T00:00:00"/>
    <s v="Dólares"/>
    <n v="195"/>
    <s v="HAI WANG"/>
    <x v="5"/>
    <m/>
    <m/>
  </r>
  <r>
    <x v="0"/>
    <x v="1"/>
    <x v="0"/>
    <n v="10028297"/>
    <x v="1"/>
    <x v="2"/>
    <d v="2026-01-16T00:00:00"/>
    <s v="Dólares"/>
    <n v="194.11"/>
    <s v="VALENTINA STARICCO SIBILS"/>
    <x v="3"/>
    <m/>
    <m/>
  </r>
  <r>
    <x v="0"/>
    <x v="0"/>
    <x v="0"/>
    <m/>
    <x v="1"/>
    <x v="3"/>
    <d v="2026-01-21T00:00:00"/>
    <s v="Dólares"/>
    <n v="2800"/>
    <s v="EDUARDO ANDRES JILIBERTO FRITIS"/>
    <x v="3"/>
    <m/>
    <m/>
  </r>
  <r>
    <x v="0"/>
    <x v="0"/>
    <x v="0"/>
    <n v="10027612"/>
    <x v="1"/>
    <x v="4"/>
    <d v="2025-09-23T00:00:00"/>
    <s v="Dólares"/>
    <n v="192.66"/>
    <s v="PURA VIDA ESPAIS PVE SRL"/>
    <x v="9"/>
    <m/>
    <m/>
  </r>
  <r>
    <x v="0"/>
    <x v="3"/>
    <x v="0"/>
    <m/>
    <x v="1"/>
    <x v="0"/>
    <d v="2025-09-03T00:00:00"/>
    <s v="Dólares"/>
    <n v="187.89"/>
    <s v="PORCINA CERHIMA"/>
    <x v="9"/>
    <m/>
    <m/>
  </r>
  <r>
    <x v="0"/>
    <x v="2"/>
    <x v="1"/>
    <m/>
    <x v="1"/>
    <x v="2"/>
    <d v="2026-02-13T00:00:00"/>
    <s v="Dólares"/>
    <n v="969.45"/>
    <s v="GREIF DE COSTA RICA"/>
    <x v="6"/>
    <m/>
    <m/>
  </r>
  <r>
    <x v="0"/>
    <x v="1"/>
    <x v="0"/>
    <m/>
    <x v="1"/>
    <x v="2"/>
    <d v="2025-11-10T00:00:00"/>
    <s v="Dólares"/>
    <n v="182.38"/>
    <s v="CONOBRA"/>
    <x v="4"/>
    <m/>
    <m/>
  </r>
  <r>
    <x v="0"/>
    <x v="3"/>
    <x v="1"/>
    <m/>
    <x v="1"/>
    <x v="2"/>
    <d v="2026-02-13T00:00:00"/>
    <s v="Dólares"/>
    <n v="261"/>
    <s v="AS NARANJO - CGD"/>
    <x v="6"/>
    <m/>
    <m/>
  </r>
  <r>
    <x v="0"/>
    <x v="0"/>
    <x v="0"/>
    <n v="10027025"/>
    <x v="1"/>
    <x v="2"/>
    <d v="2025-07-08T00:00:00"/>
    <s v="Dólares"/>
    <n v="180"/>
    <s v="CAROL QUIROS ACUÑA"/>
    <x v="7"/>
    <m/>
    <m/>
  </r>
  <r>
    <x v="0"/>
    <x v="0"/>
    <x v="0"/>
    <m/>
    <x v="1"/>
    <x v="2"/>
    <d v="2025-10-06T00:00:00"/>
    <s v="Dólares"/>
    <n v="175"/>
    <s v="GUIDO MONTERO"/>
    <x v="2"/>
    <m/>
    <m/>
  </r>
  <r>
    <x v="0"/>
    <x v="1"/>
    <x v="0"/>
    <m/>
    <x v="1"/>
    <x v="0"/>
    <d v="2025-09-04T00:00:00"/>
    <s v="Dólares"/>
    <n v="174.92"/>
    <s v="CINTRON MACHON - LLAVINES"/>
    <x v="9"/>
    <m/>
    <m/>
  </r>
  <r>
    <x v="0"/>
    <x v="0"/>
    <x v="0"/>
    <m/>
    <x v="1"/>
    <x v="2"/>
    <d v="2025-12-09T00:00:00"/>
    <s v="Dólares"/>
    <n v="173"/>
    <s v="KATHERINE CHINCHILLA"/>
    <x v="8"/>
    <m/>
    <m/>
  </r>
  <r>
    <x v="0"/>
    <x v="0"/>
    <x v="0"/>
    <m/>
    <x v="1"/>
    <x v="4"/>
    <d v="2025-08-25T00:00:00"/>
    <s v="Colones"/>
    <n v="171.62"/>
    <s v="ROBERTO SASSO"/>
    <x v="1"/>
    <m/>
    <m/>
  </r>
  <r>
    <x v="0"/>
    <x v="0"/>
    <x v="0"/>
    <m/>
    <x v="1"/>
    <x v="3"/>
    <d v="2026-01-21T00:00:00"/>
    <s v="Dólares"/>
    <n v="2725.2"/>
    <s v="PROPERTY MANAGER"/>
    <x v="3"/>
    <m/>
    <m/>
  </r>
  <r>
    <x v="0"/>
    <x v="2"/>
    <x v="0"/>
    <m/>
    <x v="1"/>
    <x v="3"/>
    <d v="2026-01-21T00:00:00"/>
    <s v="Dólares"/>
    <n v="2637.45"/>
    <s v="VIDENDUM"/>
    <x v="3"/>
    <m/>
    <m/>
  </r>
  <r>
    <x v="0"/>
    <x v="0"/>
    <x v="0"/>
    <m/>
    <x v="1"/>
    <x v="2"/>
    <d v="2025-08-12T00:00:00"/>
    <s v="Dólares"/>
    <n v="169.5"/>
    <s v="JOSE LEON FROIMZON"/>
    <x v="1"/>
    <m/>
    <m/>
  </r>
  <r>
    <x v="0"/>
    <x v="3"/>
    <x v="0"/>
    <m/>
    <x v="1"/>
    <x v="2"/>
    <d v="2025-09-10T00:00:00"/>
    <s v="Dólares"/>
    <n v="165"/>
    <s v="INCASA"/>
    <x v="9"/>
    <m/>
    <m/>
  </r>
  <r>
    <x v="0"/>
    <x v="0"/>
    <x v="0"/>
    <m/>
    <x v="1"/>
    <x v="2"/>
    <d v="2025-06-11T00:00:00"/>
    <s v="Dólares"/>
    <n v="164.5"/>
    <s v="DARUMA BOCHICA "/>
    <x v="5"/>
    <m/>
    <m/>
  </r>
  <r>
    <x v="0"/>
    <x v="0"/>
    <x v="0"/>
    <m/>
    <x v="1"/>
    <x v="3"/>
    <d v="2026-01-21T00:00:00"/>
    <s v="Dólares"/>
    <n v="2436.4"/>
    <s v="Elke Maria Steinvorth"/>
    <x v="3"/>
    <m/>
    <m/>
  </r>
  <r>
    <x v="0"/>
    <x v="0"/>
    <x v="0"/>
    <m/>
    <x v="1"/>
    <x v="4"/>
    <d v="2025-05-20T00:00:00"/>
    <s v="Dólares"/>
    <n v="163.80000000000001"/>
    <s v="MARIA FERNANDA SANCHEZ HIDALGO"/>
    <x v="0"/>
    <m/>
    <m/>
  </r>
  <r>
    <x v="3"/>
    <x v="3"/>
    <x v="0"/>
    <m/>
    <x v="1"/>
    <x v="2"/>
    <d v="2026-02-13T00:00:00"/>
    <s v="Colones"/>
    <n v="184.13306451612902"/>
    <s v="SIN IDENTIFICAR"/>
    <x v="6"/>
    <m/>
    <m/>
  </r>
  <r>
    <x v="2"/>
    <x v="3"/>
    <x v="0"/>
    <m/>
    <x v="1"/>
    <x v="2"/>
    <d v="2026-02-14T00:00:00"/>
    <s v="Dólares"/>
    <n v="14449.73"/>
    <s v="SEMANA 02 EXPRESS"/>
    <x v="6"/>
    <m/>
    <m/>
  </r>
  <r>
    <x v="0"/>
    <x v="0"/>
    <x v="0"/>
    <m/>
    <x v="1"/>
    <x v="4"/>
    <d v="2026-01-27T00:00:00"/>
    <s v="Dólares"/>
    <n v="160.18"/>
    <s v="ENSITIO SOLUCIONES SOCIEDAD DE RESPONSABILIDAD LIMITADA"/>
    <x v="3"/>
    <m/>
    <m/>
  </r>
  <r>
    <x v="0"/>
    <x v="1"/>
    <x v="0"/>
    <m/>
    <x v="1"/>
    <x v="0"/>
    <d v="2025-08-08T00:00:00"/>
    <s v="Dólares"/>
    <n v="158.16"/>
    <s v="RESERVA MORAVIA"/>
    <x v="1"/>
    <m/>
    <m/>
  </r>
  <r>
    <x v="0"/>
    <x v="0"/>
    <x v="0"/>
    <m/>
    <x v="1"/>
    <x v="4"/>
    <d v="2026-01-29T00:00:00"/>
    <s v="Dólares"/>
    <n v="158"/>
    <s v="EDUARDO MORA"/>
    <x v="3"/>
    <m/>
    <m/>
  </r>
  <r>
    <x v="0"/>
    <x v="0"/>
    <x v="0"/>
    <m/>
    <x v="1"/>
    <x v="3"/>
    <d v="2026-01-21T00:00:00"/>
    <s v="Dólares"/>
    <n v="2271"/>
    <s v="PURA VIDA ESPAIS"/>
    <x v="3"/>
    <m/>
    <m/>
  </r>
  <r>
    <x v="0"/>
    <x v="0"/>
    <x v="0"/>
    <n v="10027367"/>
    <x v="1"/>
    <x v="4"/>
    <d v="2025-08-23T00:00:00"/>
    <s v="Dólares"/>
    <n v="150.5"/>
    <s v="ANDRIUS VERDE MUSSET"/>
    <x v="1"/>
    <m/>
    <m/>
  </r>
  <r>
    <x v="0"/>
    <x v="0"/>
    <x v="0"/>
    <m/>
    <x v="1"/>
    <x v="2"/>
    <d v="2026-01-16T00:00:00"/>
    <s v="Dólares"/>
    <n v="150.5"/>
    <s v="María José Orozco"/>
    <x v="3"/>
    <m/>
    <m/>
  </r>
  <r>
    <x v="0"/>
    <x v="0"/>
    <x v="0"/>
    <m/>
    <x v="1"/>
    <x v="0"/>
    <d v="2025-06-05T00:00:00"/>
    <s v="Dólares"/>
    <n v="150"/>
    <s v="DANAN R. D. S. SOCIEDAD ANONIMA"/>
    <x v="5"/>
    <m/>
    <m/>
  </r>
  <r>
    <x v="0"/>
    <x v="0"/>
    <x v="0"/>
    <m/>
    <x v="1"/>
    <x v="3"/>
    <d v="2026-01-21T00:00:00"/>
    <s v="Dólares"/>
    <n v="1355"/>
    <s v="Jorge Luis Chavarria"/>
    <x v="3"/>
    <m/>
    <m/>
  </r>
  <r>
    <x v="0"/>
    <x v="2"/>
    <x v="0"/>
    <m/>
    <x v="1"/>
    <x v="3"/>
    <d v="2026-01-21T00:00:00"/>
    <s v="Colones"/>
    <n v="989.54102822580637"/>
    <s v="Coopemapro"/>
    <x v="3"/>
    <m/>
    <m/>
  </r>
  <r>
    <x v="0"/>
    <x v="0"/>
    <x v="0"/>
    <m/>
    <x v="1"/>
    <x v="4"/>
    <d v="2025-06-20T00:00:00"/>
    <s v="Dólares"/>
    <n v="150"/>
    <s v="CLA ABOGADOS SOCIEDAD ANONIMA"/>
    <x v="5"/>
    <m/>
    <m/>
  </r>
  <r>
    <x v="0"/>
    <x v="0"/>
    <x v="0"/>
    <n v="10027018"/>
    <x v="1"/>
    <x v="2"/>
    <d v="2025-07-07T00:00:00"/>
    <s v="Dólares"/>
    <n v="150"/>
    <s v="ZHICHAO LI"/>
    <x v="7"/>
    <m/>
    <m/>
  </r>
  <r>
    <x v="0"/>
    <x v="2"/>
    <x v="0"/>
    <m/>
    <x v="1"/>
    <x v="3"/>
    <d v="2026-01-21T00:00:00"/>
    <s v="Dólares"/>
    <n v="405.54"/>
    <s v="AE LOGISTICS SEL SOCIEDAD ANONIMA"/>
    <x v="3"/>
    <m/>
    <m/>
  </r>
  <r>
    <x v="0"/>
    <x v="0"/>
    <x v="0"/>
    <n v="10027189"/>
    <x v="1"/>
    <x v="4"/>
    <d v="2025-07-23T00:00:00"/>
    <s v="Dólares"/>
    <n v="150"/>
    <s v="ULACIT S.A"/>
    <x v="7"/>
    <m/>
    <m/>
  </r>
  <r>
    <x v="0"/>
    <x v="0"/>
    <x v="0"/>
    <n v="10027295"/>
    <x v="1"/>
    <x v="2"/>
    <d v="2025-08-06T00:00:00"/>
    <s v="Dólares"/>
    <n v="150"/>
    <s v="ALBERTO DENT ZELEDON"/>
    <x v="1"/>
    <m/>
    <m/>
  </r>
  <r>
    <x v="0"/>
    <x v="0"/>
    <x v="0"/>
    <m/>
    <x v="1"/>
    <x v="3"/>
    <d v="2026-01-21T00:00:00"/>
    <s v="Dólares"/>
    <n v="400"/>
    <s v="Bruno Serrano Arias"/>
    <x v="3"/>
    <m/>
    <m/>
  </r>
  <r>
    <x v="0"/>
    <x v="0"/>
    <x v="0"/>
    <n v="10027438"/>
    <x v="1"/>
    <x v="0"/>
    <d v="2025-09-01T00:00:00"/>
    <s v="Dólares"/>
    <n v="150"/>
    <s v="JOHNNY ARAYA MONGE"/>
    <x v="9"/>
    <m/>
    <m/>
  </r>
  <r>
    <x v="0"/>
    <x v="0"/>
    <x v="0"/>
    <m/>
    <x v="1"/>
    <x v="0"/>
    <d v="2025-09-02T00:00:00"/>
    <s v="Dólares"/>
    <n v="150"/>
    <s v="CORPORACION DE MULTI"/>
    <x v="9"/>
    <m/>
    <m/>
  </r>
  <r>
    <x v="0"/>
    <x v="0"/>
    <x v="0"/>
    <n v="10027627"/>
    <x v="1"/>
    <x v="4"/>
    <d v="2025-09-26T00:00:00"/>
    <s v="Dólares"/>
    <n v="150"/>
    <s v="ANA LORENA DE JESUS SOTO PACHECO"/>
    <x v="9"/>
    <m/>
    <m/>
  </r>
  <r>
    <x v="0"/>
    <x v="0"/>
    <x v="0"/>
    <n v="10027897"/>
    <x v="1"/>
    <x v="0"/>
    <d v="2025-11-04T00:00:00"/>
    <s v="Dólares"/>
    <n v="150"/>
    <s v="ENILUZ GONZALEZ"/>
    <x v="4"/>
    <m/>
    <m/>
  </r>
  <r>
    <x v="0"/>
    <x v="0"/>
    <x v="0"/>
    <m/>
    <x v="1"/>
    <x v="3"/>
    <d v="2026-01-21T00:00:00"/>
    <s v="Dólares"/>
    <n v="242.52"/>
    <s v="Maria Fernanda Mojica"/>
    <x v="3"/>
    <m/>
    <m/>
  </r>
  <r>
    <x v="0"/>
    <x v="0"/>
    <x v="0"/>
    <m/>
    <x v="1"/>
    <x v="4"/>
    <d v="2025-11-25T00:00:00"/>
    <s v="Dólares"/>
    <n v="150"/>
    <s v="JOSEPH SAIDY"/>
    <x v="4"/>
    <m/>
    <m/>
  </r>
  <r>
    <x v="0"/>
    <x v="0"/>
    <x v="0"/>
    <m/>
    <x v="1"/>
    <x v="0"/>
    <d v="2025-12-05T00:00:00"/>
    <s v="Dólares"/>
    <n v="150"/>
    <s v="WILLEM HENDRICK"/>
    <x v="8"/>
    <m/>
    <m/>
  </r>
  <r>
    <x v="0"/>
    <x v="0"/>
    <x v="0"/>
    <m/>
    <x v="1"/>
    <x v="0"/>
    <d v="2025-12-05T00:00:00"/>
    <s v="Dólares"/>
    <n v="150"/>
    <s v="RUBEN SAFFATI"/>
    <x v="8"/>
    <m/>
    <m/>
  </r>
  <r>
    <x v="0"/>
    <x v="0"/>
    <x v="0"/>
    <m/>
    <x v="1"/>
    <x v="2"/>
    <d v="2025-12-08T00:00:00"/>
    <s v="Dólares"/>
    <n v="150"/>
    <s v="WILLEM HENDRICK"/>
    <x v="8"/>
    <m/>
    <m/>
  </r>
  <r>
    <x v="0"/>
    <x v="0"/>
    <x v="0"/>
    <m/>
    <x v="1"/>
    <x v="2"/>
    <d v="2025-12-09T00:00:00"/>
    <s v="Dólares"/>
    <n v="150"/>
    <s v="RAVEN WITHFORD"/>
    <x v="8"/>
    <m/>
    <m/>
  </r>
  <r>
    <x v="0"/>
    <x v="0"/>
    <x v="0"/>
    <n v="10028325"/>
    <x v="1"/>
    <x v="3"/>
    <d v="2026-01-21T00:00:00"/>
    <s v="Dólares"/>
    <n v="100"/>
    <s v="JEFFRY THONASSEN BURR"/>
    <x v="3"/>
    <m/>
    <m/>
  </r>
  <r>
    <x v="3"/>
    <x v="3"/>
    <x v="2"/>
    <m/>
    <x v="1"/>
    <x v="3"/>
    <d v="2026-01-22T00:00:00"/>
    <s v="Dólares"/>
    <n v="10435.67"/>
    <s v="CONTRACT WORKPLACES"/>
    <x v="3"/>
    <m/>
    <m/>
  </r>
  <r>
    <x v="0"/>
    <x v="2"/>
    <x v="2"/>
    <m/>
    <x v="1"/>
    <x v="3"/>
    <d v="2026-01-22T00:00:00"/>
    <s v="Dólares"/>
    <n v="5411.08"/>
    <s v="INDUSTRIAS GAREND SOCIEDAD ANONIMA"/>
    <x v="3"/>
    <m/>
    <m/>
  </r>
  <r>
    <x v="3"/>
    <x v="3"/>
    <x v="1"/>
    <m/>
    <x v="1"/>
    <x v="4"/>
    <d v="2025-05-23T00:00:00"/>
    <s v="Dólares"/>
    <n v="146.9"/>
    <s v="JOSE RAFAEL FERNANDEZ QUESADA"/>
    <x v="0"/>
    <m/>
    <m/>
  </r>
  <r>
    <x v="1"/>
    <x v="0"/>
    <x v="0"/>
    <n v="10866"/>
    <x v="1"/>
    <x v="4"/>
    <d v="2025-11-25T00:00:00"/>
    <s v="Dólares"/>
    <n v="146"/>
    <s v="GRETHEL MAGALY DE LO MASIS GUTIERREZ"/>
    <x v="4"/>
    <m/>
    <m/>
  </r>
  <r>
    <x v="1"/>
    <x v="0"/>
    <x v="0"/>
    <n v="10874"/>
    <x v="1"/>
    <x v="3"/>
    <d v="2026-01-22T00:00:00"/>
    <s v="Dólares"/>
    <n v="5000"/>
    <s v="VIRGINIA STEINVORTH KOBERG"/>
    <x v="3"/>
    <m/>
    <m/>
  </r>
  <r>
    <x v="1"/>
    <x v="0"/>
    <x v="0"/>
    <n v="10875"/>
    <x v="1"/>
    <x v="3"/>
    <d v="2026-01-22T00:00:00"/>
    <s v="Dólares"/>
    <n v="5000"/>
    <s v="VIRGINIA STEINVORTH KOBERG"/>
    <x v="3"/>
    <m/>
    <m/>
  </r>
  <r>
    <x v="1"/>
    <x v="0"/>
    <x v="0"/>
    <n v="10876"/>
    <x v="1"/>
    <x v="3"/>
    <d v="2026-01-22T00:00:00"/>
    <s v="Dólares"/>
    <n v="5000"/>
    <s v="VIRGINIA STEINVORTH KOBERG"/>
    <x v="3"/>
    <m/>
    <m/>
  </r>
  <r>
    <x v="1"/>
    <x v="0"/>
    <x v="0"/>
    <n v="10877"/>
    <x v="1"/>
    <x v="3"/>
    <d v="2026-01-22T00:00:00"/>
    <s v="Dólares"/>
    <n v="5000"/>
    <s v="VIRGINIA STEINVORTH KOBERG"/>
    <x v="3"/>
    <m/>
    <m/>
  </r>
  <r>
    <x v="0"/>
    <x v="0"/>
    <x v="0"/>
    <m/>
    <x v="1"/>
    <x v="4"/>
    <d v="2026-01-27T00:00:00"/>
    <s v="Dólares"/>
    <n v="134"/>
    <s v="MIKE LUKOWIECKY GRUNHAUS"/>
    <x v="3"/>
    <m/>
    <m/>
  </r>
  <r>
    <x v="0"/>
    <x v="0"/>
    <x v="0"/>
    <n v="10027694"/>
    <x v="1"/>
    <x v="0"/>
    <d v="2025-10-02T00:00:00"/>
    <s v="Dólares"/>
    <n v="131.52000000000001"/>
    <s v="PAUL THOMAS PEBLER / CLOSET"/>
    <x v="2"/>
    <m/>
    <m/>
  </r>
  <r>
    <x v="0"/>
    <x v="1"/>
    <x v="0"/>
    <n v="10026729"/>
    <x v="1"/>
    <x v="1"/>
    <d v="2025-05-31T00:00:00"/>
    <s v="Dólares"/>
    <n v="129.41"/>
    <s v="3101802628 S.A"/>
    <x v="0"/>
    <m/>
    <m/>
  </r>
  <r>
    <x v="0"/>
    <x v="0"/>
    <x v="0"/>
    <m/>
    <x v="1"/>
    <x v="3"/>
    <d v="2026-01-22T00:00:00"/>
    <s v="Dólares"/>
    <n v="4042"/>
    <s v="Danny Alvarez"/>
    <x v="3"/>
    <m/>
    <m/>
  </r>
  <r>
    <x v="0"/>
    <x v="1"/>
    <x v="0"/>
    <m/>
    <x v="0"/>
    <x v="4"/>
    <m/>
    <s v="Dólares"/>
    <n v="277500"/>
    <s v="EDICA - SKY GARDEN LLEGADA MATERIAL"/>
    <x v="6"/>
    <m/>
    <m/>
  </r>
  <r>
    <x v="0"/>
    <x v="0"/>
    <x v="0"/>
    <n v="10028344"/>
    <x v="1"/>
    <x v="3"/>
    <d v="2026-01-22T00:00:00"/>
    <s v="Dólares"/>
    <n v="3159.07"/>
    <s v="MARMARALYSA SOCIEDAD ANONIMA"/>
    <x v="3"/>
    <m/>
    <m/>
  </r>
  <r>
    <x v="0"/>
    <x v="0"/>
    <x v="0"/>
    <n v="10028340"/>
    <x v="1"/>
    <x v="3"/>
    <d v="2026-01-22T00:00:00"/>
    <s v="Dólares"/>
    <n v="55"/>
    <s v="EABE ARQUITECTORES Y ASOCIADOS S.A"/>
    <x v="3"/>
    <m/>
    <m/>
  </r>
  <r>
    <x v="0"/>
    <x v="2"/>
    <x v="0"/>
    <m/>
    <x v="0"/>
    <x v="0"/>
    <m/>
    <s v="Dólares"/>
    <n v="158461.71"/>
    <s v="DAVIVIENDA LEASING - SERVICA"/>
    <x v="6"/>
    <m/>
    <m/>
  </r>
  <r>
    <x v="0"/>
    <x v="1"/>
    <x v="1"/>
    <m/>
    <x v="0"/>
    <x v="3"/>
    <m/>
    <s v="Dólares"/>
    <n v="119812"/>
    <s v="AZUL PARAISO - PROYCON"/>
    <x v="6"/>
    <m/>
    <m/>
  </r>
  <r>
    <x v="0"/>
    <x v="1"/>
    <x v="0"/>
    <m/>
    <x v="0"/>
    <x v="4"/>
    <m/>
    <s v="Dólares"/>
    <n v="105349"/>
    <s v="LINDORA VILLAGE - ETAPA 3"/>
    <x v="6"/>
    <m/>
    <m/>
  </r>
  <r>
    <x v="0"/>
    <x v="2"/>
    <x v="0"/>
    <m/>
    <x v="0"/>
    <x v="3"/>
    <m/>
    <s v="Dólares"/>
    <n v="97321.32"/>
    <s v="BRIDGESTONE DE COSTA RICA SOCIEDAD ANONIMA"/>
    <x v="6"/>
    <m/>
    <m/>
  </r>
  <r>
    <x v="1"/>
    <x v="0"/>
    <x v="1"/>
    <m/>
    <x v="0"/>
    <x v="0"/>
    <m/>
    <s v="Dólares"/>
    <n v="70000"/>
    <s v="CONSTRUCTORA TOTEM"/>
    <x v="6"/>
    <m/>
    <m/>
  </r>
  <r>
    <x v="0"/>
    <x v="1"/>
    <x v="0"/>
    <m/>
    <x v="0"/>
    <x v="0"/>
    <m/>
    <s v="Dólares"/>
    <n v="68607"/>
    <s v="EURO LINDORA - LINDORA VILLAGE ETAPA 3"/>
    <x v="6"/>
    <m/>
    <m/>
  </r>
  <r>
    <x v="0"/>
    <x v="0"/>
    <x v="0"/>
    <m/>
    <x v="0"/>
    <x v="0"/>
    <m/>
    <s v="Dólares"/>
    <n v="60000"/>
    <s v="PAGO INICIO DE INSTALACIONES HOGAR"/>
    <x v="6"/>
    <m/>
    <m/>
  </r>
  <r>
    <x v="0"/>
    <x v="0"/>
    <x v="0"/>
    <n v="10027623"/>
    <x v="1"/>
    <x v="4"/>
    <d v="2025-09-25T00:00:00"/>
    <s v="Dólares"/>
    <n v="125"/>
    <s v="ALBA SOLANO RODRIGUEZ"/>
    <x v="9"/>
    <m/>
    <m/>
  </r>
  <r>
    <x v="0"/>
    <x v="0"/>
    <x v="0"/>
    <m/>
    <x v="0"/>
    <x v="3"/>
    <m/>
    <s v="Dólares"/>
    <n v="60000"/>
    <s v="PAGO INICIO DE INSTALACIONES HOGAR"/>
    <x v="6"/>
    <m/>
    <m/>
  </r>
  <r>
    <x v="0"/>
    <x v="0"/>
    <x v="0"/>
    <m/>
    <x v="0"/>
    <x v="4"/>
    <m/>
    <s v="Dólares"/>
    <n v="60000"/>
    <s v="PAGO INICIO DE INSTALACIONES HOGAR"/>
    <x v="6"/>
    <m/>
    <m/>
  </r>
  <r>
    <x v="0"/>
    <x v="2"/>
    <x v="2"/>
    <m/>
    <x v="0"/>
    <x v="0"/>
    <m/>
    <s v="Dólares"/>
    <n v="57269.760000000002"/>
    <s v="LANCO PAINTS GUATEMALA,  S.A."/>
    <x v="6"/>
    <m/>
    <m/>
  </r>
  <r>
    <x v="0"/>
    <x v="1"/>
    <x v="0"/>
    <m/>
    <x v="0"/>
    <x v="0"/>
    <m/>
    <s v="Dólares"/>
    <n v="56683"/>
    <s v="CIELO NUNCIATURA - ELECTROS 2DO PAQUETE"/>
    <x v="6"/>
    <m/>
    <m/>
  </r>
  <r>
    <x v="3"/>
    <x v="3"/>
    <x v="0"/>
    <m/>
    <x v="0"/>
    <x v="4"/>
    <m/>
    <s v="Dólares"/>
    <n v="54548.5"/>
    <s v="CONCENTRIX COSTA RICA SOCIEDAD ANONIMA"/>
    <x v="6"/>
    <m/>
    <m/>
  </r>
  <r>
    <x v="0"/>
    <x v="2"/>
    <x v="2"/>
    <m/>
    <x v="0"/>
    <x v="3"/>
    <m/>
    <s v="Dólares"/>
    <n v="54056.09"/>
    <s v="LANCO PAINTS GUATEMALA,  S.A."/>
    <x v="6"/>
    <m/>
    <m/>
  </r>
  <r>
    <x v="0"/>
    <x v="1"/>
    <x v="0"/>
    <n v="10026670"/>
    <x v="1"/>
    <x v="4"/>
    <d v="2025-05-20T00:00:00"/>
    <s v="Dólares"/>
    <n v="123.63"/>
    <s v="YADIRA ELIETH ARAYA CASTILLO"/>
    <x v="0"/>
    <m/>
    <m/>
  </r>
  <r>
    <x v="0"/>
    <x v="0"/>
    <x v="0"/>
    <n v="10027306"/>
    <x v="1"/>
    <x v="2"/>
    <d v="2025-08-13T00:00:00"/>
    <s v="Dólares"/>
    <n v="123.5"/>
    <s v="TOMAS CARVAJAL"/>
    <x v="1"/>
    <m/>
    <m/>
  </r>
  <r>
    <x v="0"/>
    <x v="2"/>
    <x v="0"/>
    <m/>
    <x v="0"/>
    <x v="0"/>
    <m/>
    <s v="Dólares"/>
    <n v="47965.2"/>
    <s v="PriceSmart, Inc."/>
    <x v="6"/>
    <m/>
    <m/>
  </r>
  <r>
    <x v="0"/>
    <x v="0"/>
    <x v="0"/>
    <n v="10026506"/>
    <x v="1"/>
    <x v="2"/>
    <d v="2025-05-06T00:00:00"/>
    <s v="Colones"/>
    <n v="122.24409448818898"/>
    <s v="FRANRO S.A"/>
    <x v="0"/>
    <m/>
    <m/>
  </r>
  <r>
    <x v="0"/>
    <x v="2"/>
    <x v="0"/>
    <m/>
    <x v="0"/>
    <x v="0"/>
    <m/>
    <s v="Dólares"/>
    <n v="43981.77"/>
    <s v="PriceSmart, Inc."/>
    <x v="6"/>
    <m/>
    <m/>
  </r>
  <r>
    <x v="0"/>
    <x v="2"/>
    <x v="0"/>
    <m/>
    <x v="0"/>
    <x v="0"/>
    <m/>
    <s v="Dólares"/>
    <n v="42003.75"/>
    <s v="PriceSmart, Inc."/>
    <x v="6"/>
    <m/>
    <m/>
  </r>
  <r>
    <x v="0"/>
    <x v="1"/>
    <x v="0"/>
    <m/>
    <x v="0"/>
    <x v="0"/>
    <m/>
    <s v="Dólares"/>
    <n v="41900"/>
    <s v="CIELO NUNCIATURA - ELECTROS 1ER PAQUETE"/>
    <x v="6"/>
    <m/>
    <m/>
  </r>
  <r>
    <x v="0"/>
    <x v="3"/>
    <x v="2"/>
    <m/>
    <x v="0"/>
    <x v="3"/>
    <m/>
    <s v="Dólares"/>
    <n v="37894.370000000003"/>
    <s v="Compania Nacional de Fuerza y Luz S.A."/>
    <x v="6"/>
    <m/>
    <m/>
  </r>
  <r>
    <x v="0"/>
    <x v="3"/>
    <x v="2"/>
    <m/>
    <x v="0"/>
    <x v="0"/>
    <m/>
    <s v="Dólares"/>
    <n v="36955.56"/>
    <s v="RAE INGENIEROS SOCIEDAD ANONIMA"/>
    <x v="6"/>
    <m/>
    <m/>
  </r>
  <r>
    <x v="0"/>
    <x v="3"/>
    <x v="0"/>
    <m/>
    <x v="0"/>
    <x v="0"/>
    <m/>
    <s v="Dólares"/>
    <n v="29553.48"/>
    <s v="UNIVERSIDAD DE COSTA RICA"/>
    <x v="6"/>
    <m/>
    <m/>
  </r>
  <r>
    <x v="1"/>
    <x v="0"/>
    <x v="0"/>
    <m/>
    <x v="0"/>
    <x v="0"/>
    <m/>
    <s v="Dólares"/>
    <n v="25000"/>
    <s v="CLIENTE NUEVOS MULTICLAMP"/>
    <x v="6"/>
    <m/>
    <m/>
  </r>
  <r>
    <x v="0"/>
    <x v="0"/>
    <x v="0"/>
    <n v="10027774"/>
    <x v="1"/>
    <x v="2"/>
    <d v="2025-10-06T00:00:00"/>
    <s v="Dólares"/>
    <n v="120"/>
    <s v="MARISOL SAUMA VARGAS"/>
    <x v="2"/>
    <m/>
    <m/>
  </r>
  <r>
    <x v="1"/>
    <x v="0"/>
    <x v="0"/>
    <m/>
    <x v="0"/>
    <x v="3"/>
    <m/>
    <s v="Dólares"/>
    <n v="25000"/>
    <s v="CLIENTE NUEVOS MULTICLAMP"/>
    <x v="6"/>
    <m/>
    <m/>
  </r>
  <r>
    <x v="1"/>
    <x v="0"/>
    <x v="0"/>
    <m/>
    <x v="0"/>
    <x v="4"/>
    <m/>
    <s v="Dólares"/>
    <n v="25000"/>
    <s v="CLIENTE NUEVOS MULTICLAMP"/>
    <x v="6"/>
    <m/>
    <m/>
  </r>
  <r>
    <x v="0"/>
    <x v="0"/>
    <x v="0"/>
    <m/>
    <x v="1"/>
    <x v="4"/>
    <d v="2025-11-25T00:00:00"/>
    <s v="Dólares"/>
    <n v="120"/>
    <s v="LAURA PIEDRA"/>
    <x v="4"/>
    <m/>
    <m/>
  </r>
  <r>
    <x v="0"/>
    <x v="3"/>
    <x v="1"/>
    <m/>
    <x v="1"/>
    <x v="3"/>
    <d v="2026-01-23T00:00:00"/>
    <s v="Dólares"/>
    <n v="201436.02"/>
    <s v="EVOLUTION FREE ZONE SOCIEDAD ANONIMA"/>
    <x v="3"/>
    <m/>
    <m/>
  </r>
  <r>
    <x v="0"/>
    <x v="1"/>
    <x v="2"/>
    <m/>
    <x v="0"/>
    <x v="4"/>
    <m/>
    <s v="Dólares"/>
    <n v="23144"/>
    <s v="PRODEYCO - TORRE MAR A MAR"/>
    <x v="6"/>
    <m/>
    <m/>
  </r>
  <r>
    <x v="0"/>
    <x v="3"/>
    <x v="2"/>
    <m/>
    <x v="0"/>
    <x v="4"/>
    <m/>
    <s v="Dólares"/>
    <n v="20899.349999999999"/>
    <s v="AJIP INGENIERIA LIMITADA"/>
    <x v="6"/>
    <m/>
    <m/>
  </r>
  <r>
    <x v="2"/>
    <x v="3"/>
    <x v="0"/>
    <m/>
    <x v="0"/>
    <x v="0"/>
    <d v="2026-02-06T00:00:00"/>
    <s v="Dólares"/>
    <n v="20000"/>
    <s v="SEMANA 01 EXPRESS"/>
    <x v="6"/>
    <m/>
    <m/>
  </r>
  <r>
    <x v="0"/>
    <x v="0"/>
    <x v="0"/>
    <n v="10027610"/>
    <x v="1"/>
    <x v="4"/>
    <d v="2025-09-23T00:00:00"/>
    <s v="Dólares"/>
    <n v="119"/>
    <s v="JUAN RAFAEL RAVEN WITHFORD"/>
    <x v="9"/>
    <m/>
    <m/>
  </r>
  <r>
    <x v="2"/>
    <x v="3"/>
    <x v="0"/>
    <m/>
    <x v="0"/>
    <x v="3"/>
    <d v="2026-02-20T00:00:00"/>
    <s v="Dólares"/>
    <n v="20000"/>
    <s v="SEMANA 03 EXPRESS"/>
    <x v="6"/>
    <m/>
    <m/>
  </r>
  <r>
    <x v="2"/>
    <x v="3"/>
    <x v="0"/>
    <m/>
    <x v="0"/>
    <x v="4"/>
    <d v="2026-02-27T00:00:00"/>
    <s v="Dólares"/>
    <n v="20000"/>
    <s v="SEMANA 04 EXPRESS"/>
    <x v="6"/>
    <m/>
    <m/>
  </r>
  <r>
    <x v="0"/>
    <x v="0"/>
    <x v="0"/>
    <n v="10027891"/>
    <x v="1"/>
    <x v="0"/>
    <d v="2025-11-03T00:00:00"/>
    <s v="Colones"/>
    <n v="118.82352941176471"/>
    <s v="JUAN CARLOS DIAZ RAMIREZ"/>
    <x v="4"/>
    <m/>
    <m/>
  </r>
  <r>
    <x v="0"/>
    <x v="2"/>
    <x v="2"/>
    <m/>
    <x v="0"/>
    <x v="0"/>
    <m/>
    <s v="Dólares"/>
    <n v="19182.32"/>
    <s v="INVERSIONES 9.9013 S.A."/>
    <x v="6"/>
    <m/>
    <m/>
  </r>
  <r>
    <x v="0"/>
    <x v="3"/>
    <x v="0"/>
    <m/>
    <x v="0"/>
    <x v="3"/>
    <m/>
    <s v="Dólares"/>
    <n v="18520.7"/>
    <s v="ASOCIACIÓN DE SERVICIOS MEDICOS COSTARRICENSES"/>
    <x v="6"/>
    <m/>
    <m/>
  </r>
  <r>
    <x v="0"/>
    <x v="2"/>
    <x v="2"/>
    <m/>
    <x v="0"/>
    <x v="0"/>
    <m/>
    <s v="Dólares"/>
    <n v="17873.919999999998"/>
    <s v="CREGANNA MEDICAL, SOCIEDAD DE RESPONSABILIDAD LIMITADA"/>
    <x v="6"/>
    <m/>
    <m/>
  </r>
  <r>
    <x v="3"/>
    <x v="3"/>
    <x v="0"/>
    <m/>
    <x v="0"/>
    <x v="3"/>
    <m/>
    <s v="Dólares"/>
    <n v="17260.060000000001"/>
    <s v="TTA PROJECT MANAGEMENT SOCIEDAD DE RESPONSABILIDAD LIMITADA"/>
    <x v="6"/>
    <m/>
    <m/>
  </r>
  <r>
    <x v="0"/>
    <x v="3"/>
    <x v="2"/>
    <m/>
    <x v="0"/>
    <x v="0"/>
    <m/>
    <s v="Dólares"/>
    <n v="16798.22"/>
    <s v="RAE INGENIEROS SOCIEDAD ANONIMA"/>
    <x v="6"/>
    <m/>
    <m/>
  </r>
  <r>
    <x v="0"/>
    <x v="3"/>
    <x v="2"/>
    <m/>
    <x v="0"/>
    <x v="3"/>
    <m/>
    <s v="Dólares"/>
    <n v="16497.86"/>
    <s v="CAJA COSTARRICENSE DE SEGURO SOCIAL"/>
    <x v="6"/>
    <m/>
    <m/>
  </r>
  <r>
    <x v="0"/>
    <x v="2"/>
    <x v="0"/>
    <m/>
    <x v="0"/>
    <x v="3"/>
    <m/>
    <s v="Dólares"/>
    <n v="16099"/>
    <s v="BRIDGESTONE DE COSTA RICA SOCIEDAD ANONIMA"/>
    <x v="6"/>
    <m/>
    <m/>
  </r>
  <r>
    <x v="0"/>
    <x v="3"/>
    <x v="1"/>
    <n v="10027067"/>
    <x v="1"/>
    <x v="2"/>
    <d v="2025-07-09T00:00:00"/>
    <s v="Dólares"/>
    <n v="118.65"/>
    <s v="MANUEL ANTONIO SERRANO GARCIA"/>
    <x v="7"/>
    <m/>
    <m/>
  </r>
  <r>
    <x v="0"/>
    <x v="2"/>
    <x v="0"/>
    <m/>
    <x v="0"/>
    <x v="3"/>
    <m/>
    <s v="Dólares"/>
    <n v="15339.52"/>
    <s v="ROMA PRINCE SOCIEDAD ANONIMA"/>
    <x v="6"/>
    <m/>
    <m/>
  </r>
  <r>
    <x v="0"/>
    <x v="2"/>
    <x v="0"/>
    <m/>
    <x v="0"/>
    <x v="3"/>
    <m/>
    <s v="Dólares"/>
    <n v="14598.83"/>
    <s v="ALIMENTOS Y BEBIDAS ATLANTIDA S.A."/>
    <x v="6"/>
    <m/>
    <m/>
  </r>
  <r>
    <x v="0"/>
    <x v="2"/>
    <x v="2"/>
    <m/>
    <x v="0"/>
    <x v="3"/>
    <m/>
    <s v="Dólares"/>
    <n v="14465.56"/>
    <s v="KIMBERLY CLARK COSTA RICA LIMITADA"/>
    <x v="6"/>
    <m/>
    <m/>
  </r>
  <r>
    <x v="0"/>
    <x v="3"/>
    <x v="2"/>
    <m/>
    <x v="0"/>
    <x v="4"/>
    <m/>
    <s v="Dólares"/>
    <n v="13475.25"/>
    <s v="AJIP INGENIERIA LIMITADA"/>
    <x v="6"/>
    <m/>
    <m/>
  </r>
  <r>
    <x v="0"/>
    <x v="0"/>
    <x v="0"/>
    <m/>
    <x v="1"/>
    <x v="4"/>
    <d v="2025-08-25T00:00:00"/>
    <s v="Dólares"/>
    <n v="113"/>
    <s v="MARINA PEZ VELA"/>
    <x v="1"/>
    <m/>
    <m/>
  </r>
  <r>
    <x v="0"/>
    <x v="3"/>
    <x v="0"/>
    <m/>
    <x v="0"/>
    <x v="3"/>
    <m/>
    <s v="Dólares"/>
    <n v="8627.9"/>
    <s v="EVOLUTION FREE ZONE SOCIEDAD ANONIMA"/>
    <x v="6"/>
    <m/>
    <m/>
  </r>
  <r>
    <x v="0"/>
    <x v="0"/>
    <x v="0"/>
    <m/>
    <x v="1"/>
    <x v="2"/>
    <d v="2025-06-10T00:00:00"/>
    <s v="Dólares"/>
    <n v="111"/>
    <s v="AZ RESIDENTIAL AND COMMERCIAL GROUP SOCIEDAD DE RESPONSABILIDAD LIMITADA"/>
    <x v="5"/>
    <m/>
    <m/>
  </r>
  <r>
    <x v="0"/>
    <x v="3"/>
    <x v="2"/>
    <m/>
    <x v="0"/>
    <x v="3"/>
    <m/>
    <s v="Dólares"/>
    <n v="7789.94"/>
    <s v="CSI LEASING DE CENTROAMERICA SOCIEDAD DE RESPONSAB"/>
    <x v="6"/>
    <m/>
    <m/>
  </r>
  <r>
    <x v="0"/>
    <x v="3"/>
    <x v="2"/>
    <m/>
    <x v="0"/>
    <x v="3"/>
    <m/>
    <s v="Dólares"/>
    <n v="7711.28"/>
    <s v="CONSTRUCTORA TOTEM SOCIEDAD ANONIMA"/>
    <x v="6"/>
    <m/>
    <m/>
  </r>
  <r>
    <x v="0"/>
    <x v="3"/>
    <x v="0"/>
    <m/>
    <x v="0"/>
    <x v="3"/>
    <m/>
    <s v="Dólares"/>
    <n v="5780.06"/>
    <s v="COMPAÑIA DE GALLETAS POZUELO DCR SOCIEDAD ANONIMA"/>
    <x v="6"/>
    <m/>
    <m/>
  </r>
  <r>
    <x v="3"/>
    <x v="3"/>
    <x v="2"/>
    <m/>
    <x v="0"/>
    <x v="3"/>
    <m/>
    <s v="Dólares"/>
    <n v="5451.45"/>
    <s v="ROBERT BOSCH SERVICE SOLUTIONS COSTA RICA SOCIEDAD ANONIMA"/>
    <x v="6"/>
    <m/>
    <m/>
  </r>
  <r>
    <x v="3"/>
    <x v="3"/>
    <x v="0"/>
    <m/>
    <x v="0"/>
    <x v="3"/>
    <m/>
    <s v="Dólares"/>
    <n v="5421.32"/>
    <s v="DISTRIBUIDORA LA FLORIDA S.A."/>
    <x v="6"/>
    <m/>
    <m/>
  </r>
  <r>
    <x v="0"/>
    <x v="0"/>
    <x v="0"/>
    <n v="10027711"/>
    <x v="1"/>
    <x v="2"/>
    <d v="2025-10-06T00:00:00"/>
    <s v="Dólares"/>
    <n v="111"/>
    <s v="ALFONSO QUESADA FERNANDEZ"/>
    <x v="2"/>
    <m/>
    <m/>
  </r>
  <r>
    <x v="0"/>
    <x v="1"/>
    <x v="0"/>
    <m/>
    <x v="1"/>
    <x v="3"/>
    <d v="2026-01-23T00:00:00"/>
    <s v="Dólares"/>
    <n v="136911.67999999999"/>
    <s v="EURO LINDORA - ETAPA 3"/>
    <x v="3"/>
    <m/>
    <m/>
  </r>
  <r>
    <x v="0"/>
    <x v="3"/>
    <x v="0"/>
    <m/>
    <x v="0"/>
    <x v="3"/>
    <m/>
    <s v="Dólares"/>
    <n v="4460"/>
    <s v="BOSTON SCIENTIFIC DE COSTA RICA S.R.L"/>
    <x v="6"/>
    <m/>
    <m/>
  </r>
  <r>
    <x v="0"/>
    <x v="0"/>
    <x v="0"/>
    <m/>
    <x v="1"/>
    <x v="1"/>
    <d v="2025-05-27T00:00:00"/>
    <s v="Dólares"/>
    <n v="109.49"/>
    <s v="MARIA GABRIELA VILLALOBOS ZUÑIGA"/>
    <x v="0"/>
    <m/>
    <m/>
  </r>
  <r>
    <x v="0"/>
    <x v="0"/>
    <x v="0"/>
    <m/>
    <x v="1"/>
    <x v="4"/>
    <d v="2025-05-20T00:00:00"/>
    <s v="Dólares"/>
    <n v="107.18503937007874"/>
    <s v="ERIKA GELBER"/>
    <x v="0"/>
    <m/>
    <m/>
  </r>
  <r>
    <x v="0"/>
    <x v="1"/>
    <x v="0"/>
    <m/>
    <x v="1"/>
    <x v="3"/>
    <d v="2026-01-23T00:00:00"/>
    <s v="Dólares"/>
    <n v="60000"/>
    <s v="EDICA - SKY GARDEN"/>
    <x v="3"/>
    <m/>
    <m/>
  </r>
  <r>
    <x v="1"/>
    <x v="0"/>
    <x v="0"/>
    <n v="10878"/>
    <x v="1"/>
    <x v="3"/>
    <d v="2026-01-23T00:00:00"/>
    <s v="Dólares"/>
    <n v="8000"/>
    <s v="LUIS DIEGO SALAS RAMIREZ"/>
    <x v="3"/>
    <m/>
    <m/>
  </r>
  <r>
    <x v="0"/>
    <x v="3"/>
    <x v="1"/>
    <m/>
    <x v="1"/>
    <x v="2"/>
    <d v="2025-09-09T00:00:00"/>
    <s v="Colones"/>
    <n v="101.7"/>
    <s v="INSTITUTO COSTARRICENSE DE PUERTOS DEL PACIFICO "/>
    <x v="9"/>
    <m/>
    <m/>
  </r>
  <r>
    <x v="0"/>
    <x v="0"/>
    <x v="0"/>
    <m/>
    <x v="1"/>
    <x v="2"/>
    <d v="2025-09-10T00:00:00"/>
    <s v="Colones"/>
    <n v="101.7"/>
    <s v="RECIBO DE CAJA"/>
    <x v="9"/>
    <m/>
    <m/>
  </r>
  <r>
    <x v="0"/>
    <x v="0"/>
    <x v="0"/>
    <m/>
    <x v="1"/>
    <x v="0"/>
    <d v="2026-01-09T00:00:00"/>
    <s v="Colones"/>
    <n v="100.80645161290323"/>
    <s v="Genesis Natasha Cordero"/>
    <x v="3"/>
    <m/>
    <m/>
  </r>
  <r>
    <x v="0"/>
    <x v="0"/>
    <x v="0"/>
    <m/>
    <x v="1"/>
    <x v="4"/>
    <d v="2025-06-26T00:00:00"/>
    <s v="Dólares"/>
    <n v="100"/>
    <s v="ELECTROMECANICA PABLO MURILLO SOCIEDAD ANONIMA"/>
    <x v="5"/>
    <m/>
    <m/>
  </r>
  <r>
    <x v="0"/>
    <x v="0"/>
    <x v="0"/>
    <n v="10027027"/>
    <x v="1"/>
    <x v="2"/>
    <d v="2025-07-08T00:00:00"/>
    <s v="Dólares"/>
    <n v="100"/>
    <s v="F CINCO CERO SEIS MEDIA CCV"/>
    <x v="7"/>
    <m/>
    <m/>
  </r>
  <r>
    <x v="0"/>
    <x v="0"/>
    <x v="0"/>
    <m/>
    <x v="1"/>
    <x v="3"/>
    <d v="2026-01-23T00:00:00"/>
    <s v="Dólares"/>
    <n v="5920"/>
    <s v="DUNIA MALLENI AGUILAR MORALES"/>
    <x v="3"/>
    <m/>
    <m/>
  </r>
  <r>
    <x v="0"/>
    <x v="0"/>
    <x v="0"/>
    <m/>
    <x v="1"/>
    <x v="0"/>
    <d v="2025-08-05T00:00:00"/>
    <s v="Dólares"/>
    <n v="100"/>
    <s v="FRANCISCO RODRIGUEZ"/>
    <x v="1"/>
    <m/>
    <m/>
  </r>
  <r>
    <x v="0"/>
    <x v="2"/>
    <x v="2"/>
    <m/>
    <x v="1"/>
    <x v="3"/>
    <d v="2026-01-23T00:00:00"/>
    <s v="Dólares"/>
    <n v="5141.7"/>
    <s v="GRUPO LOGISTICO SEA INTERNATIONAL SOCIEDAD DE RESPONSABILIDAD"/>
    <x v="3"/>
    <m/>
    <m/>
  </r>
  <r>
    <x v="0"/>
    <x v="0"/>
    <x v="0"/>
    <m/>
    <x v="1"/>
    <x v="2"/>
    <d v="2025-09-08T00:00:00"/>
    <s v="Dólares"/>
    <n v="100"/>
    <s v="MAYRA BONILLA SANABRIA"/>
    <x v="9"/>
    <m/>
    <m/>
  </r>
  <r>
    <x v="0"/>
    <x v="0"/>
    <x v="0"/>
    <m/>
    <x v="1"/>
    <x v="2"/>
    <d v="2025-09-10T00:00:00"/>
    <s v="Dólares"/>
    <n v="100"/>
    <s v="MELIDA GARCIA DE OUELLETTE"/>
    <x v="9"/>
    <m/>
    <m/>
  </r>
  <r>
    <x v="0"/>
    <x v="3"/>
    <x v="0"/>
    <m/>
    <x v="1"/>
    <x v="3"/>
    <d v="2026-01-23T00:00:00"/>
    <s v="Dólares"/>
    <n v="2285.9299999999998"/>
    <s v="EVOLUTION FREE ZONE SOCIEDAD ANONIMA"/>
    <x v="3"/>
    <m/>
    <m/>
  </r>
  <r>
    <x v="0"/>
    <x v="2"/>
    <x v="0"/>
    <m/>
    <x v="1"/>
    <x v="3"/>
    <d v="2026-01-23T00:00:00"/>
    <s v="Dólares"/>
    <n v="2270.48"/>
    <s v="BAC SAN JOSE LEASING S.A"/>
    <x v="3"/>
    <m/>
    <m/>
  </r>
  <r>
    <x v="0"/>
    <x v="0"/>
    <x v="0"/>
    <n v="10027680"/>
    <x v="1"/>
    <x v="4"/>
    <d v="2025-09-22T00:00:00"/>
    <s v="Dólares"/>
    <n v="100"/>
    <s v="DENNIS ALBERTO TORRES ZUÑIGA"/>
    <x v="9"/>
    <m/>
    <m/>
  </r>
  <r>
    <x v="0"/>
    <x v="0"/>
    <x v="0"/>
    <m/>
    <x v="1"/>
    <x v="4"/>
    <d v="2025-09-25T00:00:00"/>
    <s v="Dólares"/>
    <n v="100"/>
    <s v="CARLOS GUTIERREZ"/>
    <x v="9"/>
    <m/>
    <m/>
  </r>
  <r>
    <x v="0"/>
    <x v="0"/>
    <x v="0"/>
    <n v="10027630"/>
    <x v="1"/>
    <x v="4"/>
    <d v="2025-09-26T00:00:00"/>
    <s v="Dólares"/>
    <n v="100"/>
    <s v="LINDA MARIA NISKANEN"/>
    <x v="9"/>
    <m/>
    <m/>
  </r>
  <r>
    <x v="0"/>
    <x v="0"/>
    <x v="0"/>
    <n v="10027773"/>
    <x v="1"/>
    <x v="1"/>
    <d v="2025-09-29T00:00:00"/>
    <s v="Dólares"/>
    <n v="100"/>
    <s v="MARISOL SAUMA VARGAS"/>
    <x v="9"/>
    <m/>
    <m/>
  </r>
  <r>
    <x v="0"/>
    <x v="0"/>
    <x v="0"/>
    <n v="10027677"/>
    <x v="1"/>
    <x v="1"/>
    <d v="2025-09-30T00:00:00"/>
    <s v="Dólares"/>
    <n v="100"/>
    <s v="FAUSTO CASTILLO AMADOR"/>
    <x v="9"/>
    <m/>
    <m/>
  </r>
  <r>
    <x v="0"/>
    <x v="0"/>
    <x v="0"/>
    <n v="10027734"/>
    <x v="1"/>
    <x v="2"/>
    <d v="2025-10-09T00:00:00"/>
    <s v="Dólares"/>
    <n v="100"/>
    <s v="SERVICIOS Y TRANSACCIONES INTERNACIONALES DE CASA"/>
    <x v="2"/>
    <m/>
    <m/>
  </r>
  <r>
    <x v="0"/>
    <x v="2"/>
    <x v="0"/>
    <m/>
    <x v="1"/>
    <x v="3"/>
    <d v="2026-01-23T00:00:00"/>
    <s v="Dólares"/>
    <n v="1490.13"/>
    <s v="AUTO REPUESTOS AVENIDA 10 - LA GUACAMAYA"/>
    <x v="3"/>
    <m/>
    <m/>
  </r>
  <r>
    <x v="1"/>
    <x v="0"/>
    <x v="0"/>
    <m/>
    <x v="1"/>
    <x v="3"/>
    <d v="2026-01-23T00:00:00"/>
    <s v="Dólares"/>
    <n v="1000"/>
    <s v="SIN IDENTIFICAR"/>
    <x v="3"/>
    <m/>
    <m/>
  </r>
  <r>
    <x v="0"/>
    <x v="0"/>
    <x v="0"/>
    <m/>
    <x v="1"/>
    <x v="4"/>
    <d v="2025-11-25T00:00:00"/>
    <s v="Dólares"/>
    <n v="100"/>
    <s v="PAULA RODRIGUEZ"/>
    <x v="4"/>
    <m/>
    <m/>
  </r>
  <r>
    <x v="3"/>
    <x v="3"/>
    <x v="2"/>
    <m/>
    <x v="0"/>
    <x v="4"/>
    <m/>
    <s v="Dólares"/>
    <n v="4153.4399999999996"/>
    <s v="CONICO, CONSULTORIA INTEGRAL DE LA CONSTRUCCION, SOCIEDAD ANONIMA"/>
    <x v="6"/>
    <m/>
    <m/>
  </r>
  <r>
    <x v="0"/>
    <x v="3"/>
    <x v="2"/>
    <m/>
    <x v="0"/>
    <x v="4"/>
    <m/>
    <s v="Dólares"/>
    <n v="4082.49"/>
    <s v="CONSTRIAL SOCIEDAD ANONIMA"/>
    <x v="6"/>
    <m/>
    <m/>
  </r>
  <r>
    <x v="3"/>
    <x v="3"/>
    <x v="2"/>
    <m/>
    <x v="0"/>
    <x v="4"/>
    <m/>
    <s v="Dólares"/>
    <n v="4074.02"/>
    <s v="CONICO, CONSULTORIA INTEGRAL DE LA CONSTRUCCION, SOCIEDAD ANONIMA"/>
    <x v="6"/>
    <m/>
    <m/>
  </r>
  <r>
    <x v="3"/>
    <x v="3"/>
    <x v="0"/>
    <m/>
    <x v="0"/>
    <x v="4"/>
    <m/>
    <s v="Dólares"/>
    <n v="3922.94"/>
    <s v="TTA PROJECT MANAGEMENT SOCIEDAD DE RESPONSABILIDAD LIMITADA"/>
    <x v="6"/>
    <m/>
    <m/>
  </r>
  <r>
    <x v="0"/>
    <x v="0"/>
    <x v="0"/>
    <m/>
    <x v="1"/>
    <x v="0"/>
    <d v="2025-12-02T00:00:00"/>
    <s v="Dólares"/>
    <n v="100"/>
    <s v="PAULA RODRIGUEZ"/>
    <x v="8"/>
    <m/>
    <m/>
  </r>
  <r>
    <x v="0"/>
    <x v="0"/>
    <x v="0"/>
    <m/>
    <x v="1"/>
    <x v="0"/>
    <d v="2025-12-03T00:00:00"/>
    <s v="Dólares"/>
    <n v="100"/>
    <s v="PAULA RODRIGUEZ"/>
    <x v="8"/>
    <m/>
    <m/>
  </r>
  <r>
    <x v="0"/>
    <x v="0"/>
    <x v="0"/>
    <m/>
    <x v="1"/>
    <x v="2"/>
    <d v="2025-12-09T00:00:00"/>
    <s v="Dólares"/>
    <n v="100"/>
    <s v="AVILES ROBLETO"/>
    <x v="8"/>
    <m/>
    <m/>
  </r>
  <r>
    <x v="0"/>
    <x v="0"/>
    <x v="0"/>
    <m/>
    <x v="1"/>
    <x v="3"/>
    <d v="2026-01-23T00:00:00"/>
    <s v="Dólares"/>
    <n v="1000"/>
    <s v="CRISTINA ROPER"/>
    <x v="3"/>
    <m/>
    <m/>
  </r>
  <r>
    <x v="0"/>
    <x v="0"/>
    <x v="0"/>
    <m/>
    <x v="1"/>
    <x v="3"/>
    <d v="2026-01-23T00:00:00"/>
    <s v="Dólares"/>
    <n v="110"/>
    <s v="YIGAL BENZAQUEN"/>
    <x v="3"/>
    <m/>
    <m/>
  </r>
  <r>
    <x v="0"/>
    <x v="0"/>
    <x v="0"/>
    <m/>
    <x v="1"/>
    <x v="4"/>
    <d v="2026-01-27T00:00:00"/>
    <s v="Dólares"/>
    <n v="100"/>
    <s v="SIN IDENTIFICAR"/>
    <x v="3"/>
    <m/>
    <m/>
  </r>
  <r>
    <x v="0"/>
    <x v="0"/>
    <x v="0"/>
    <n v="10027896"/>
    <x v="1"/>
    <x v="0"/>
    <d v="2025-11-05T00:00:00"/>
    <s v="Colones"/>
    <n v="99.117647058823536"/>
    <s v="JUAN CARLOS DIAZ RAMIREZ"/>
    <x v="4"/>
    <m/>
    <m/>
  </r>
  <r>
    <x v="0"/>
    <x v="1"/>
    <x v="1"/>
    <m/>
    <x v="1"/>
    <x v="0"/>
    <d v="2025-08-04T00:00:00"/>
    <s v="Colones"/>
    <n v="98.039215686274517"/>
    <s v="SIN IDENTIFICAR"/>
    <x v="1"/>
    <m/>
    <m/>
  </r>
  <r>
    <x v="0"/>
    <x v="2"/>
    <x v="0"/>
    <m/>
    <x v="1"/>
    <x v="3"/>
    <d v="2026-01-23T00:00:00"/>
    <s v="Dólares"/>
    <n v="80.459999999999994"/>
    <s v="EQUIPOS Y ACCESORIOS"/>
    <x v="3"/>
    <m/>
    <m/>
  </r>
  <r>
    <x v="2"/>
    <x v="3"/>
    <x v="0"/>
    <m/>
    <x v="1"/>
    <x v="3"/>
    <d v="2026-01-24T00:00:00"/>
    <s v="Dólares"/>
    <n v="9132.08"/>
    <s v="SEMANA 03 EXPRESS"/>
    <x v="3"/>
    <m/>
    <m/>
  </r>
  <r>
    <x v="0"/>
    <x v="0"/>
    <x v="0"/>
    <m/>
    <x v="1"/>
    <x v="0"/>
    <d v="2025-12-05T00:00:00"/>
    <s v="Dólares"/>
    <n v="95.5"/>
    <s v="Luis Fernandez"/>
    <x v="8"/>
    <m/>
    <m/>
  </r>
  <r>
    <x v="2"/>
    <x v="3"/>
    <x v="0"/>
    <m/>
    <x v="0"/>
    <x v="2"/>
    <d v="2026-02-13T00:00:00"/>
    <s v="Dólares"/>
    <n v="20000"/>
    <s v="SEMANA 02 EXPRESS"/>
    <x v="6"/>
    <m/>
    <m/>
  </r>
  <r>
    <x v="0"/>
    <x v="2"/>
    <x v="1"/>
    <m/>
    <x v="0"/>
    <x v="2"/>
    <m/>
    <s v="Dólares"/>
    <n v="268167"/>
    <s v="BOSTON SCIENTIFIC DE COSTA RICA S.R.L"/>
    <x v="6"/>
    <m/>
    <m/>
  </r>
  <r>
    <x v="0"/>
    <x v="1"/>
    <x v="1"/>
    <m/>
    <x v="0"/>
    <x v="2"/>
    <m/>
    <s v="Dólares"/>
    <n v="187838.41"/>
    <s v="CONSTRUCTORA VANDER LAAT - TORRE DON BOSCO"/>
    <x v="6"/>
    <m/>
    <m/>
  </r>
  <r>
    <x v="0"/>
    <x v="0"/>
    <x v="0"/>
    <m/>
    <x v="0"/>
    <x v="2"/>
    <m/>
    <s v="Dólares"/>
    <n v="60000"/>
    <s v="PAGO INICIO DE INSTALACIONES HOGAR"/>
    <x v="6"/>
    <m/>
    <m/>
  </r>
  <r>
    <x v="3"/>
    <x v="3"/>
    <x v="0"/>
    <m/>
    <x v="0"/>
    <x v="2"/>
    <m/>
    <s v="Dólares"/>
    <n v="54011.92"/>
    <s v="EDIFISA CONSTRUCTORA SOCIEDAD ANONIMA"/>
    <x v="6"/>
    <m/>
    <m/>
  </r>
  <r>
    <x v="0"/>
    <x v="2"/>
    <x v="0"/>
    <m/>
    <x v="0"/>
    <x v="2"/>
    <m/>
    <s v="Dólares"/>
    <n v="50544.13"/>
    <s v="SERIGRAFICOS SURETKA SOCIEDAD ANONIMA"/>
    <x v="6"/>
    <m/>
    <m/>
  </r>
  <r>
    <x v="0"/>
    <x v="1"/>
    <x v="0"/>
    <m/>
    <x v="0"/>
    <x v="2"/>
    <m/>
    <s v="Dólares"/>
    <n v="46109"/>
    <s v="PANORAMA 270"/>
    <x v="6"/>
    <m/>
    <m/>
  </r>
  <r>
    <x v="1"/>
    <x v="0"/>
    <x v="0"/>
    <m/>
    <x v="0"/>
    <x v="2"/>
    <m/>
    <s v="Dólares"/>
    <n v="25000"/>
    <s v="CLIENTE NUEVOS MULTICLAMP"/>
    <x v="6"/>
    <m/>
    <m/>
  </r>
  <r>
    <x v="0"/>
    <x v="3"/>
    <x v="2"/>
    <m/>
    <x v="0"/>
    <x v="2"/>
    <m/>
    <s v="Dólares"/>
    <n v="25000"/>
    <s v="P Y P CONSTRUCCIONES SOCIEDAD ANONIMA"/>
    <x v="6"/>
    <m/>
    <m/>
  </r>
  <r>
    <x v="0"/>
    <x v="3"/>
    <x v="2"/>
    <m/>
    <x v="0"/>
    <x v="2"/>
    <m/>
    <s v="Dólares"/>
    <n v="24118.97"/>
    <s v="BILCO COSTA RICA S.A."/>
    <x v="6"/>
    <m/>
    <m/>
  </r>
  <r>
    <x v="0"/>
    <x v="2"/>
    <x v="2"/>
    <m/>
    <x v="0"/>
    <x v="2"/>
    <m/>
    <s v="Dólares"/>
    <n v="19875.95"/>
    <s v="EVOLUTION FREE ZONE SOCIEDAD ANONIMA"/>
    <x v="6"/>
    <m/>
    <m/>
  </r>
  <r>
    <x v="0"/>
    <x v="3"/>
    <x v="0"/>
    <m/>
    <x v="0"/>
    <x v="2"/>
    <m/>
    <s v="Dólares"/>
    <n v="16082.59"/>
    <s v="EVOLUTION FREE ZONE SOCIEDAD ANONIMA"/>
    <x v="6"/>
    <m/>
    <m/>
  </r>
  <r>
    <x v="0"/>
    <x v="1"/>
    <x v="2"/>
    <m/>
    <x v="0"/>
    <x v="2"/>
    <m/>
    <s v="Dólares"/>
    <n v="12232"/>
    <s v="AVIVA ROCCA - CONSTRUCTORA BRK"/>
    <x v="6"/>
    <m/>
    <m/>
  </r>
  <r>
    <x v="0"/>
    <x v="3"/>
    <x v="0"/>
    <m/>
    <x v="0"/>
    <x v="2"/>
    <m/>
    <s v="Dólares"/>
    <n v="8321.5300000000007"/>
    <s v="MUNICIPALIDAD DE ALAJUELA"/>
    <x v="6"/>
    <m/>
    <m/>
  </r>
  <r>
    <x v="0"/>
    <x v="0"/>
    <x v="0"/>
    <m/>
    <x v="1"/>
    <x v="0"/>
    <d v="2025-12-05T00:00:00"/>
    <s v="Dólares"/>
    <n v="95.5"/>
    <s v="Luis Fernandez"/>
    <x v="8"/>
    <m/>
    <m/>
  </r>
  <r>
    <x v="0"/>
    <x v="2"/>
    <x v="0"/>
    <m/>
    <x v="1"/>
    <x v="2"/>
    <d v="2025-10-09T00:00:00"/>
    <s v="Dólares"/>
    <n v="92.07"/>
    <s v="ZONA FRANCA PARQUE COYOL TRES SOCIEDAD DE RESPONSABILIDAD LIMITADA"/>
    <x v="2"/>
    <m/>
    <m/>
  </r>
  <r>
    <x v="0"/>
    <x v="1"/>
    <x v="0"/>
    <m/>
    <x v="1"/>
    <x v="0"/>
    <d v="2025-10-02T00:00:00"/>
    <s v="Dólares"/>
    <n v="91.2"/>
    <s v="BLUE EUROMOBILIA"/>
    <x v="2"/>
    <m/>
    <m/>
  </r>
  <r>
    <x v="0"/>
    <x v="0"/>
    <x v="0"/>
    <m/>
    <x v="1"/>
    <x v="1"/>
    <d v="2025-07-30T00:00:00"/>
    <s v="Dólares"/>
    <n v="82.44"/>
    <s v="JOSE JOAQUIN GARRO ALVAREZ"/>
    <x v="7"/>
    <m/>
    <m/>
  </r>
  <r>
    <x v="3"/>
    <x v="3"/>
    <x v="0"/>
    <n v="15167"/>
    <x v="1"/>
    <x v="2"/>
    <d v="2025-06-12T00:00:00"/>
    <s v="Dólares"/>
    <n v="81.239999999999995"/>
    <s v="CONTRACT WORKPLACES COSTA RICA SOCIEDAD ANONIMA"/>
    <x v="5"/>
    <m/>
    <m/>
  </r>
  <r>
    <x v="0"/>
    <x v="0"/>
    <x v="0"/>
    <n v="10028359"/>
    <x v="1"/>
    <x v="3"/>
    <d v="2026-01-24T00:00:00"/>
    <s v="Dólares"/>
    <n v="5008"/>
    <s v="Jineth Salazar Rojas"/>
    <x v="3"/>
    <m/>
    <m/>
  </r>
  <r>
    <x v="0"/>
    <x v="0"/>
    <x v="0"/>
    <n v="10028364"/>
    <x v="1"/>
    <x v="3"/>
    <d v="2026-01-24T00:00:00"/>
    <s v="Dólares"/>
    <n v="537"/>
    <s v="GLORIA STEPHANIE FONSECA SALAZAR"/>
    <x v="3"/>
    <m/>
    <m/>
  </r>
  <r>
    <x v="0"/>
    <x v="1"/>
    <x v="0"/>
    <m/>
    <x v="1"/>
    <x v="3"/>
    <d v="2026-01-26T00:00:00"/>
    <s v="Dólares"/>
    <n v="1356"/>
    <s v="DESARROLLO CIELO ESCALANTE"/>
    <x v="3"/>
    <m/>
    <m/>
  </r>
  <r>
    <x v="0"/>
    <x v="0"/>
    <x v="0"/>
    <n v="10027252"/>
    <x v="1"/>
    <x v="0"/>
    <d v="2025-08-04T00:00:00"/>
    <s v="Dólares"/>
    <n v="79.099999999999994"/>
    <s v="CABALLEIRA S.A"/>
    <x v="1"/>
    <m/>
    <m/>
  </r>
  <r>
    <x v="0"/>
    <x v="0"/>
    <x v="0"/>
    <m/>
    <x v="1"/>
    <x v="0"/>
    <d v="2025-08-05T00:00:00"/>
    <s v="Dólares"/>
    <n v="79.099999999999994"/>
    <s v="TROPER MAGUILLANSKY"/>
    <x v="1"/>
    <m/>
    <m/>
  </r>
  <r>
    <x v="0"/>
    <x v="0"/>
    <x v="0"/>
    <m/>
    <x v="1"/>
    <x v="2"/>
    <d v="2025-08-16T00:00:00"/>
    <s v="Dólares"/>
    <n v="79.099999999999994"/>
    <s v="ADRIAN EDUARDO CORDERO"/>
    <x v="1"/>
    <m/>
    <m/>
  </r>
  <r>
    <x v="0"/>
    <x v="0"/>
    <x v="0"/>
    <m/>
    <x v="1"/>
    <x v="2"/>
    <d v="2025-08-16T00:00:00"/>
    <s v="Dólares"/>
    <n v="79.099999999999994"/>
    <s v="ESTEBAN ALVARADO GONZALEZ"/>
    <x v="1"/>
    <m/>
    <m/>
  </r>
  <r>
    <x v="0"/>
    <x v="2"/>
    <x v="0"/>
    <m/>
    <x v="1"/>
    <x v="3"/>
    <d v="2026-02-16T00:00:00"/>
    <s v="Dólares"/>
    <n v="14465.56"/>
    <s v="KIMBERLY CLARK COSTA RICA LIMITADA"/>
    <x v="6"/>
    <m/>
    <m/>
  </r>
  <r>
    <x v="1"/>
    <x v="0"/>
    <x v="0"/>
    <m/>
    <x v="1"/>
    <x v="3"/>
    <d v="2026-02-16T00:00:00"/>
    <s v="Dólares"/>
    <n v="11188.85"/>
    <s v="ESPINOZA MARIN"/>
    <x v="6"/>
    <m/>
    <m/>
  </r>
  <r>
    <x v="0"/>
    <x v="3"/>
    <x v="0"/>
    <m/>
    <x v="1"/>
    <x v="3"/>
    <d v="2026-02-16T00:00:00"/>
    <s v="Dólares"/>
    <n v="6535.2"/>
    <s v="ELECTROPLAST"/>
    <x v="6"/>
    <m/>
    <m/>
  </r>
  <r>
    <x v="0"/>
    <x v="1"/>
    <x v="0"/>
    <n v="10027731"/>
    <x v="1"/>
    <x v="2"/>
    <d v="2025-10-09T00:00:00"/>
    <s v="Dólares"/>
    <n v="76.48"/>
    <s v="MARIO ALBERTO DE JESUS GOMEZ FERNANDEZ"/>
    <x v="2"/>
    <m/>
    <m/>
  </r>
  <r>
    <x v="0"/>
    <x v="0"/>
    <x v="0"/>
    <m/>
    <x v="1"/>
    <x v="3"/>
    <d v="2026-02-16T00:00:00"/>
    <s v="Dólares"/>
    <n v="1579"/>
    <s v="Edgar García"/>
    <x v="6"/>
    <m/>
    <m/>
  </r>
  <r>
    <x v="0"/>
    <x v="3"/>
    <x v="0"/>
    <m/>
    <x v="1"/>
    <x v="3"/>
    <d v="2026-02-16T00:00:00"/>
    <s v="Dólares"/>
    <n v="1004.64"/>
    <s v="SIN IDENTIFICAR"/>
    <x v="6"/>
    <m/>
    <m/>
  </r>
  <r>
    <x v="0"/>
    <x v="3"/>
    <x v="0"/>
    <m/>
    <x v="1"/>
    <x v="3"/>
    <d v="2026-02-16T00:00:00"/>
    <s v="Dólares"/>
    <n v="834.3"/>
    <s v="SIN IDENTIFICAR"/>
    <x v="6"/>
    <m/>
    <m/>
  </r>
  <r>
    <x v="0"/>
    <x v="0"/>
    <x v="0"/>
    <m/>
    <x v="1"/>
    <x v="2"/>
    <d v="2026-01-16T00:00:00"/>
    <s v="Dólares"/>
    <n v="70"/>
    <s v="Maria Isabel Ruiz"/>
    <x v="3"/>
    <m/>
    <m/>
  </r>
  <r>
    <x v="0"/>
    <x v="3"/>
    <x v="0"/>
    <m/>
    <x v="1"/>
    <x v="4"/>
    <d v="2026-01-29T00:00:00"/>
    <s v="Colones"/>
    <n v="68.89314516129032"/>
    <s v="LITOGRAFIA SAN RAFAEL"/>
    <x v="3"/>
    <m/>
    <m/>
  </r>
  <r>
    <x v="0"/>
    <x v="0"/>
    <x v="0"/>
    <m/>
    <x v="1"/>
    <x v="4"/>
    <d v="2025-08-29T00:00:00"/>
    <s v="Dólares"/>
    <n v="67.12"/>
    <s v="CARMEN MARIA SANCHEZ"/>
    <x v="1"/>
    <m/>
    <m/>
  </r>
  <r>
    <x v="0"/>
    <x v="3"/>
    <x v="0"/>
    <m/>
    <x v="1"/>
    <x v="3"/>
    <d v="2026-02-16T00:00:00"/>
    <s v="Dólares"/>
    <n v="220"/>
    <s v="JUAN AGUILAR BOLAÑOS"/>
    <x v="6"/>
    <m/>
    <m/>
  </r>
  <r>
    <x v="0"/>
    <x v="2"/>
    <x v="1"/>
    <m/>
    <x v="1"/>
    <x v="3"/>
    <d v="2026-02-17T00:00:00"/>
    <s v="Dólares"/>
    <n v="29246"/>
    <s v="INVERSIONES 9.9013 S.A."/>
    <x v="6"/>
    <m/>
    <m/>
  </r>
  <r>
    <x v="0"/>
    <x v="0"/>
    <x v="0"/>
    <m/>
    <x v="1"/>
    <x v="4"/>
    <d v="2026-01-28T00:00:00"/>
    <s v="Dólares"/>
    <n v="65"/>
    <s v="DORA EMILIA BENAVIDES MURILLO"/>
    <x v="3"/>
    <m/>
    <m/>
  </r>
  <r>
    <x v="0"/>
    <x v="0"/>
    <x v="0"/>
    <m/>
    <x v="1"/>
    <x v="4"/>
    <d v="2025-06-24T00:00:00"/>
    <s v="Dólares"/>
    <n v="60"/>
    <s v="EDUARDO MORA AGUILAR"/>
    <x v="5"/>
    <m/>
    <m/>
  </r>
  <r>
    <x v="0"/>
    <x v="2"/>
    <x v="2"/>
    <m/>
    <x v="1"/>
    <x v="3"/>
    <d v="2026-02-17T00:00:00"/>
    <s v="Dólares"/>
    <n v="20000"/>
    <s v="MEGALINEAS"/>
    <x v="6"/>
    <m/>
    <m/>
  </r>
  <r>
    <x v="0"/>
    <x v="3"/>
    <x v="1"/>
    <s v="54284 / 10027593"/>
    <x v="1"/>
    <x v="4"/>
    <d v="2025-09-22T00:00:00"/>
    <s v="Colones"/>
    <n v="59.568627450980394"/>
    <s v="JORGE LUIS MORALES JIMENEZ"/>
    <x v="9"/>
    <m/>
    <m/>
  </r>
  <r>
    <x v="0"/>
    <x v="2"/>
    <x v="0"/>
    <m/>
    <x v="1"/>
    <x v="3"/>
    <d v="2026-02-17T00:00:00"/>
    <s v="Dólares"/>
    <n v="11535.66"/>
    <s v="LANCO PAINTS"/>
    <x v="6"/>
    <m/>
    <m/>
  </r>
  <r>
    <x v="0"/>
    <x v="1"/>
    <x v="0"/>
    <n v="10026634"/>
    <x v="1"/>
    <x v="4"/>
    <d v="2025-05-21T00:00:00"/>
    <s v="Dólares"/>
    <n v="56.5"/>
    <s v="VOLIO Y TREJOS ASOCIADOS S.A"/>
    <x v="0"/>
    <m/>
    <m/>
  </r>
  <r>
    <x v="0"/>
    <x v="3"/>
    <x v="0"/>
    <m/>
    <x v="1"/>
    <x v="0"/>
    <d v="2025-09-04T00:00:00"/>
    <s v="Dólares"/>
    <n v="56.5"/>
    <s v="MEDITERRANEAN SHIPPING"/>
    <x v="9"/>
    <m/>
    <m/>
  </r>
  <r>
    <x v="0"/>
    <x v="3"/>
    <x v="1"/>
    <m/>
    <x v="1"/>
    <x v="0"/>
    <d v="2025-09-04T00:00:00"/>
    <s v="Dólares"/>
    <n v="56.5"/>
    <s v="QUINFICA DE COSTA RICA"/>
    <x v="9"/>
    <m/>
    <m/>
  </r>
  <r>
    <x v="0"/>
    <x v="0"/>
    <x v="0"/>
    <m/>
    <x v="1"/>
    <x v="1"/>
    <d v="2025-10-29T00:00:00"/>
    <s v="Colones"/>
    <n v="56.166666666666664"/>
    <s v="PRAGA INGENIERIA"/>
    <x v="2"/>
    <m/>
    <m/>
  </r>
  <r>
    <x v="0"/>
    <x v="3"/>
    <x v="0"/>
    <m/>
    <x v="1"/>
    <x v="0"/>
    <d v="2025-12-05T00:00:00"/>
    <s v="Dólares"/>
    <n v="56"/>
    <s v="ADMEDES"/>
    <x v="8"/>
    <m/>
    <m/>
  </r>
  <r>
    <x v="0"/>
    <x v="3"/>
    <x v="0"/>
    <m/>
    <x v="1"/>
    <x v="3"/>
    <d v="2026-02-17T00:00:00"/>
    <s v="Dólares"/>
    <n v="1699.52"/>
    <s v="LABIN SOCIEDAD ANONIMA"/>
    <x v="6"/>
    <m/>
    <m/>
  </r>
  <r>
    <x v="0"/>
    <x v="3"/>
    <x v="0"/>
    <m/>
    <x v="1"/>
    <x v="3"/>
    <d v="2026-02-17T00:00:00"/>
    <s v="Dólares"/>
    <n v="1011.32"/>
    <s v="EUROCENTER INMOBILIARIA"/>
    <x v="6"/>
    <m/>
    <m/>
  </r>
  <r>
    <x v="0"/>
    <x v="0"/>
    <x v="0"/>
    <n v="10026578"/>
    <x v="1"/>
    <x v="2"/>
    <d v="2025-05-10T00:00:00"/>
    <s v="Dólares"/>
    <n v="50"/>
    <s v="MAFRA SOLUCIONES SA"/>
    <x v="0"/>
    <m/>
    <m/>
  </r>
  <r>
    <x v="0"/>
    <x v="0"/>
    <x v="0"/>
    <n v="10028116"/>
    <x v="1"/>
    <x v="2"/>
    <d v="2025-12-12T00:00:00"/>
    <s v="Colones"/>
    <n v="49.313725490196077"/>
    <s v="MARIO ADOLFO GERARDO VARGAS VALVERDE"/>
    <x v="8"/>
    <m/>
    <m/>
  </r>
  <r>
    <x v="0"/>
    <x v="0"/>
    <x v="0"/>
    <m/>
    <x v="1"/>
    <x v="4"/>
    <d v="2025-08-25T00:00:00"/>
    <s v="Dólares"/>
    <n v="45.77"/>
    <s v="GUIDO LORIA"/>
    <x v="1"/>
    <m/>
    <m/>
  </r>
  <r>
    <x v="0"/>
    <x v="1"/>
    <x v="2"/>
    <m/>
    <x v="1"/>
    <x v="4"/>
    <d v="2025-09-25T00:00:00"/>
    <s v="Dólares"/>
    <n v="45.77"/>
    <s v="VOLIO Y TREJOS ASOCIADOS S.A"/>
    <x v="9"/>
    <m/>
    <m/>
  </r>
  <r>
    <x v="3"/>
    <x v="3"/>
    <x v="1"/>
    <m/>
    <x v="1"/>
    <x v="0"/>
    <d v="2025-11-07T00:00:00"/>
    <s v="Dólares"/>
    <n v="40.81"/>
    <s v="ACUÑA Y HANSON"/>
    <x v="4"/>
    <m/>
    <m/>
  </r>
  <r>
    <x v="0"/>
    <x v="1"/>
    <x v="0"/>
    <m/>
    <x v="1"/>
    <x v="0"/>
    <d v="2025-09-04T00:00:00"/>
    <s v="Dólares"/>
    <n v="40"/>
    <s v="FABIAN VARGAS"/>
    <x v="9"/>
    <m/>
    <m/>
  </r>
  <r>
    <x v="0"/>
    <x v="3"/>
    <x v="0"/>
    <n v="10026998"/>
    <x v="1"/>
    <x v="0"/>
    <d v="2025-07-03T00:00:00"/>
    <s v="Dólares"/>
    <n v="34.450000000000003"/>
    <s v="LUX SOLUTIONS LIMITADA - VALURA"/>
    <x v="7"/>
    <m/>
    <m/>
  </r>
  <r>
    <x v="0"/>
    <x v="2"/>
    <x v="0"/>
    <m/>
    <x v="1"/>
    <x v="2"/>
    <d v="2025-09-10T00:00:00"/>
    <s v="Dólares"/>
    <n v="31.58"/>
    <s v="TERMINALES SANTA MARÍA"/>
    <x v="9"/>
    <m/>
    <m/>
  </r>
  <r>
    <x v="0"/>
    <x v="0"/>
    <x v="0"/>
    <m/>
    <x v="1"/>
    <x v="3"/>
    <d v="2026-02-17T00:00:00"/>
    <s v="Dólares"/>
    <n v="1000"/>
    <s v="oscar valladares"/>
    <x v="6"/>
    <m/>
    <m/>
  </r>
  <r>
    <x v="0"/>
    <x v="0"/>
    <x v="0"/>
    <m/>
    <x v="1"/>
    <x v="2"/>
    <d v="2025-08-14T00:00:00"/>
    <s v="Dólares"/>
    <n v="29.941176470588236"/>
    <s v="ADA FIGUEROA CRESPO"/>
    <x v="1"/>
    <m/>
    <m/>
  </r>
  <r>
    <x v="0"/>
    <x v="0"/>
    <x v="0"/>
    <m/>
    <x v="1"/>
    <x v="4"/>
    <d v="2025-08-25T00:00:00"/>
    <s v="Dólares"/>
    <n v="29.38"/>
    <s v="NEUROVET COSTA RICA"/>
    <x v="1"/>
    <m/>
    <m/>
  </r>
  <r>
    <x v="0"/>
    <x v="2"/>
    <x v="0"/>
    <n v="10027211"/>
    <x v="1"/>
    <x v="1"/>
    <d v="2025-07-31T00:00:00"/>
    <s v="Dólares"/>
    <n v="24.44"/>
    <s v="MAYCA DISTRIBUIDORES, S.A"/>
    <x v="7"/>
    <m/>
    <m/>
  </r>
  <r>
    <x v="3"/>
    <x v="3"/>
    <x v="1"/>
    <m/>
    <x v="1"/>
    <x v="2"/>
    <d v="2025-09-12T00:00:00"/>
    <s v="Dólares"/>
    <n v="19.61"/>
    <s v="SIN IDENTIFICAR"/>
    <x v="9"/>
    <m/>
    <m/>
  </r>
  <r>
    <x v="0"/>
    <x v="0"/>
    <x v="0"/>
    <m/>
    <x v="1"/>
    <x v="3"/>
    <d v="2026-02-17T00:00:00"/>
    <s v="Dólares"/>
    <n v="361.5"/>
    <s v="VIVIANE YANKELEWITZ"/>
    <x v="6"/>
    <m/>
    <m/>
  </r>
  <r>
    <x v="0"/>
    <x v="0"/>
    <x v="0"/>
    <m/>
    <x v="1"/>
    <x v="0"/>
    <d v="2025-09-02T00:00:00"/>
    <s v="Dólares"/>
    <n v="15.82"/>
    <s v="KORBAN DAL SOCIEDAD ANONIMA"/>
    <x v="9"/>
    <m/>
    <m/>
  </r>
  <r>
    <x v="0"/>
    <x v="0"/>
    <x v="0"/>
    <m/>
    <x v="1"/>
    <x v="2"/>
    <d v="2025-09-10T00:00:00"/>
    <s v="Dólares"/>
    <n v="15"/>
    <s v="URBANISMO RIGLO LIMITADA"/>
    <x v="9"/>
    <m/>
    <m/>
  </r>
  <r>
    <x v="0"/>
    <x v="0"/>
    <x v="0"/>
    <m/>
    <x v="1"/>
    <x v="0"/>
    <d v="2025-09-03T00:00:00"/>
    <s v="Colones"/>
    <n v="13.480392156862745"/>
    <s v="MARIA JOSE QUIROS"/>
    <x v="9"/>
    <m/>
    <m/>
  </r>
  <r>
    <x v="0"/>
    <x v="2"/>
    <x v="0"/>
    <n v="10026711"/>
    <x v="1"/>
    <x v="1"/>
    <d v="2025-05-28T00:00:00"/>
    <s v="Dólares"/>
    <n v="10.37"/>
    <s v="AGUILA LOGISTIC SOLUCIONES SOCIEDAD ANONIMA"/>
    <x v="0"/>
    <m/>
    <m/>
  </r>
  <r>
    <x v="0"/>
    <x v="2"/>
    <x v="0"/>
    <m/>
    <x v="1"/>
    <x v="3"/>
    <d v="2026-02-17T00:00:00"/>
    <s v="Dólares"/>
    <n v="249.68"/>
    <s v="VERTICAL SOLUTIONS"/>
    <x v="6"/>
    <m/>
    <m/>
  </r>
  <r>
    <x v="1"/>
    <x v="0"/>
    <x v="0"/>
    <m/>
    <x v="1"/>
    <x v="2"/>
    <d v="2025-09-13T00:00:00"/>
    <s v="Dólares"/>
    <n v="2.94"/>
    <s v="INGENIERIA CONTEMPORANEA SOCIEDAD ANONIMA"/>
    <x v="9"/>
    <m/>
    <m/>
  </r>
  <r>
    <x v="0"/>
    <x v="1"/>
    <x v="1"/>
    <m/>
    <x v="1"/>
    <x v="0"/>
    <d v="2025-08-04T00:00:00"/>
    <s v="Colones"/>
    <n v="1.7647058823529411"/>
    <s v="SIN IDENTIFICAR"/>
    <x v="1"/>
    <m/>
    <m/>
  </r>
  <r>
    <x v="0"/>
    <x v="2"/>
    <x v="2"/>
    <m/>
    <x v="1"/>
    <x v="3"/>
    <d v="2026-02-18T00:00:00"/>
    <s v="Dólares"/>
    <n v="17873.919999999998"/>
    <s v="CREGANNA MEDICAL, SOCIEDAD DE RESPONSABILIDAD LIMITADA"/>
    <x v="6"/>
    <m/>
    <m/>
  </r>
  <r>
    <x v="0"/>
    <x v="2"/>
    <x v="2"/>
    <m/>
    <x v="1"/>
    <x v="3"/>
    <d v="2026-02-18T00:00:00"/>
    <s v="Dólares"/>
    <n v="15339.52"/>
    <s v="ROMA PRINCE SOCIEDAD ANONIMA"/>
    <x v="6"/>
    <m/>
    <m/>
  </r>
  <r>
    <x v="0"/>
    <x v="0"/>
    <x v="0"/>
    <m/>
    <x v="1"/>
    <x v="3"/>
    <d v="2026-02-18T00:00:00"/>
    <s v="Dólares"/>
    <n v="589.17999999999995"/>
    <s v="PABLO LUIS PERNAS"/>
    <x v="6"/>
    <m/>
    <m/>
  </r>
  <r>
    <x v="0"/>
    <x v="2"/>
    <x v="0"/>
    <m/>
    <x v="1"/>
    <x v="3"/>
    <d v="2026-02-18T00:00:00"/>
    <s v="Dólares"/>
    <n v="164.11"/>
    <s v="SERACSA"/>
    <x v="6"/>
    <m/>
    <m/>
  </r>
  <r>
    <x v="0"/>
    <x v="2"/>
    <x v="0"/>
    <m/>
    <x v="1"/>
    <x v="3"/>
    <d v="2026-02-19T00:00:00"/>
    <s v="Dólares"/>
    <n v="21978.12"/>
    <s v="BILCO COSTA RICA S.A."/>
    <x v="6"/>
    <m/>
    <m/>
  </r>
  <r>
    <x v="3"/>
    <x v="3"/>
    <x v="0"/>
    <m/>
    <x v="1"/>
    <x v="3"/>
    <d v="2026-02-19T00:00:00"/>
    <s v="Dólares"/>
    <n v="20022.14"/>
    <s v="MICROVENTION"/>
    <x v="6"/>
    <m/>
    <m/>
  </r>
  <r>
    <x v="3"/>
    <x v="3"/>
    <x v="0"/>
    <m/>
    <x v="1"/>
    <x v="3"/>
    <d v="2026-02-19T00:00:00"/>
    <s v="Dólares"/>
    <n v="17743.77"/>
    <s v="FINANCIERA CAFSA"/>
    <x v="6"/>
    <m/>
    <m/>
  </r>
  <r>
    <x v="0"/>
    <x v="0"/>
    <x v="0"/>
    <m/>
    <x v="1"/>
    <x v="3"/>
    <d v="2026-02-19T00:00:00"/>
    <s v="Dólares"/>
    <n v="8400"/>
    <s v="SIN IDENTIFICAR"/>
    <x v="6"/>
    <m/>
    <m/>
  </r>
  <r>
    <x v="0"/>
    <x v="3"/>
    <x v="1"/>
    <m/>
    <x v="1"/>
    <x v="3"/>
    <d v="2026-02-19T00:00:00"/>
    <s v="Dólares"/>
    <n v="8340"/>
    <s v="L L BEAN"/>
    <x v="6"/>
    <m/>
    <m/>
  </r>
  <r>
    <x v="0"/>
    <x v="0"/>
    <x v="0"/>
    <m/>
    <x v="1"/>
    <x v="3"/>
    <d v="2026-02-19T00:00:00"/>
    <s v="Dólares"/>
    <n v="5783.09"/>
    <s v="Carlos Andres Villalobos"/>
    <x v="6"/>
    <m/>
    <m/>
  </r>
  <r>
    <x v="0"/>
    <x v="2"/>
    <x v="0"/>
    <m/>
    <x v="1"/>
    <x v="3"/>
    <d v="2026-02-19T00:00:00"/>
    <s v="Dólares"/>
    <n v="5598.76"/>
    <s v="BILCO COSTA RICA S.A."/>
    <x v="6"/>
    <m/>
    <m/>
  </r>
  <r>
    <x v="0"/>
    <x v="2"/>
    <x v="0"/>
    <m/>
    <x v="1"/>
    <x v="3"/>
    <d v="2026-02-19T00:00:00"/>
    <s v="Dólares"/>
    <n v="4018.59"/>
    <s v="OKAY INDUSTRIES"/>
    <x v="6"/>
    <m/>
    <m/>
  </r>
  <r>
    <x v="3"/>
    <x v="3"/>
    <x v="0"/>
    <m/>
    <x v="1"/>
    <x v="3"/>
    <d v="2026-02-19T00:00:00"/>
    <s v="Dólares"/>
    <n v="2761.23"/>
    <s v="CONTRACT WORKPLACES COSTA RICA SOCIEDAD ANONIMA"/>
    <x v="6"/>
    <m/>
    <m/>
  </r>
  <r>
    <x v="0"/>
    <x v="2"/>
    <x v="1"/>
    <m/>
    <x v="1"/>
    <x v="3"/>
    <d v="2026-02-19T00:00:00"/>
    <s v="Dólares"/>
    <n v="1695"/>
    <s v="ANC CAR SOCIEDAD ANONIMA"/>
    <x v="6"/>
    <m/>
    <m/>
  </r>
  <r>
    <x v="0"/>
    <x v="0"/>
    <x v="0"/>
    <m/>
    <x v="1"/>
    <x v="3"/>
    <d v="2026-02-19T00:00:00"/>
    <s v="Dólares"/>
    <n v="1519.59"/>
    <s v="COINCA COMUNICACIONES"/>
    <x v="6"/>
    <m/>
    <m/>
  </r>
  <r>
    <x v="0"/>
    <x v="0"/>
    <x v="0"/>
    <m/>
    <x v="1"/>
    <x v="3"/>
    <d v="2026-02-19T00:00:00"/>
    <s v="Dólares"/>
    <n v="1317"/>
    <s v="Manfred Sinclair"/>
    <x v="6"/>
    <m/>
    <m/>
  </r>
  <r>
    <x v="0"/>
    <x v="0"/>
    <x v="0"/>
    <m/>
    <x v="1"/>
    <x v="3"/>
    <d v="2026-02-19T00:00:00"/>
    <s v="Dólares"/>
    <n v="1000"/>
    <s v="Raul Badilla"/>
    <x v="6"/>
    <m/>
    <m/>
  </r>
  <r>
    <x v="0"/>
    <x v="3"/>
    <x v="0"/>
    <m/>
    <x v="1"/>
    <x v="3"/>
    <d v="2026-02-19T00:00:00"/>
    <s v="Dólares"/>
    <n v="602.5"/>
    <s v="PORCINA CERHIMA"/>
    <x v="6"/>
    <m/>
    <m/>
  </r>
  <r>
    <x v="3"/>
    <x v="3"/>
    <x v="0"/>
    <m/>
    <x v="1"/>
    <x v="3"/>
    <d v="2026-02-19T00:00:00"/>
    <s v="Dólares"/>
    <n v="216.6"/>
    <s v="ELECTRONICA CENTROAMERICANA"/>
    <x v="6"/>
    <m/>
    <m/>
  </r>
  <r>
    <x v="0"/>
    <x v="0"/>
    <x v="0"/>
    <m/>
    <x v="1"/>
    <x v="3"/>
    <d v="2026-02-20T00:00:00"/>
    <s v="Dólares"/>
    <n v="1100"/>
    <s v="Johel Adonay Muñoz"/>
    <x v="6"/>
    <m/>
    <m/>
  </r>
  <r>
    <x v="0"/>
    <x v="0"/>
    <x v="0"/>
    <m/>
    <x v="1"/>
    <x v="3"/>
    <d v="2026-02-20T00:00:00"/>
    <s v="Dólares"/>
    <n v="900"/>
    <s v="Johel Adonay Muñoz"/>
    <x v="6"/>
    <m/>
    <m/>
  </r>
  <r>
    <x v="1"/>
    <x v="0"/>
    <x v="0"/>
    <m/>
    <x v="1"/>
    <x v="3"/>
    <d v="2026-02-20T00:00:00"/>
    <s v="Dólares"/>
    <n v="10000"/>
    <s v="Camarco Heat Group"/>
    <x v="6"/>
    <m/>
    <m/>
  </r>
  <r>
    <x v="1"/>
    <x v="0"/>
    <x v="0"/>
    <m/>
    <x v="1"/>
    <x v="3"/>
    <d v="2026-02-20T00:00:00"/>
    <s v="Dólares"/>
    <n v="4980"/>
    <s v="Carlos Alfredo García"/>
    <x v="6"/>
    <m/>
    <m/>
  </r>
  <r>
    <x v="0"/>
    <x v="1"/>
    <x v="2"/>
    <m/>
    <x v="1"/>
    <x v="3"/>
    <d v="2026-02-20T00:00:00"/>
    <s v="Dólares"/>
    <n v="20301.41"/>
    <s v="Constructora BRK"/>
    <x v="6"/>
    <m/>
    <m/>
  </r>
  <r>
    <x v="0"/>
    <x v="2"/>
    <x v="0"/>
    <m/>
    <x v="1"/>
    <x v="3"/>
    <d v="2026-02-20T00:00:00"/>
    <s v="Dólares"/>
    <n v="282424"/>
    <s v="NUEVOS ALMACENES"/>
    <x v="6"/>
    <m/>
    <m/>
  </r>
  <r>
    <x v="3"/>
    <x v="3"/>
    <x v="0"/>
    <m/>
    <x v="1"/>
    <x v="3"/>
    <d v="2026-02-20T00:00:00"/>
    <s v="Dólares"/>
    <n v="6649.05"/>
    <s v="ELISEO VARGAS"/>
    <x v="6"/>
    <m/>
    <m/>
  </r>
  <r>
    <x v="0"/>
    <x v="1"/>
    <x v="0"/>
    <m/>
    <x v="1"/>
    <x v="3"/>
    <d v="2026-02-20T00:00:00"/>
    <s v="Dólares"/>
    <n v="35000"/>
    <s v="EDICA - SKY GARDEN"/>
    <x v="6"/>
    <m/>
    <m/>
  </r>
  <r>
    <x v="0"/>
    <x v="3"/>
    <x v="0"/>
    <m/>
    <x v="1"/>
    <x v="3"/>
    <d v="2026-02-20T00:00:00"/>
    <s v="Dólares"/>
    <n v="4460"/>
    <s v="BOSTON SCIENTIFIC DE COSTA RICA S.R.L"/>
    <x v="6"/>
    <m/>
    <m/>
  </r>
  <r>
    <x v="0"/>
    <x v="1"/>
    <x v="0"/>
    <m/>
    <x v="1"/>
    <x v="3"/>
    <d v="2026-02-20T00:00:00"/>
    <s v="Dólares"/>
    <n v="7219.22"/>
    <s v="CDS INGENIERIA"/>
    <x v="6"/>
    <m/>
    <m/>
  </r>
  <r>
    <x v="0"/>
    <x v="1"/>
    <x v="2"/>
    <m/>
    <x v="1"/>
    <x v="3"/>
    <d v="2026-02-20T00:00:00"/>
    <s v="Dólares"/>
    <n v="1626"/>
    <s v="VOLIO Y TREJOS ASOCIADOS S.A"/>
    <x v="6"/>
    <m/>
    <m/>
  </r>
  <r>
    <x v="0"/>
    <x v="3"/>
    <x v="2"/>
    <m/>
    <x v="1"/>
    <x v="3"/>
    <d v="2026-02-20T00:00:00"/>
    <s v="Dólares"/>
    <n v="23779.14"/>
    <s v=" I M C INTERAMERICANA"/>
    <x v="6"/>
    <m/>
    <m/>
  </r>
  <r>
    <x v="0"/>
    <x v="1"/>
    <x v="0"/>
    <m/>
    <x v="1"/>
    <x v="3"/>
    <d v="2026-02-18T00:00:00"/>
    <s v="Dólares"/>
    <n v="2366.54"/>
    <s v="DESARROLLOS ECOLOGICOS EL CANAL"/>
    <x v="6"/>
    <m/>
    <m/>
  </r>
  <r>
    <x v="2"/>
    <x v="3"/>
    <x v="0"/>
    <m/>
    <x v="1"/>
    <x v="3"/>
    <d v="2026-02-21T00:00:00"/>
    <s v="Dólares"/>
    <n v="5778"/>
    <s v="SEMANA 03 EXPRESS"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08B55-EA3C-4553-84F4-33A173D523B5}" name="TablaDinámica2" cacheId="2246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rowHeaderCaption="Status">
  <location ref="A16:B20" firstHeaderRow="1" firstDataRow="1" firstDataCol="1"/>
  <pivotFields count="13">
    <pivotField showAll="0" defaultSubtotal="0">
      <items count="7">
        <item x="0"/>
        <item x="2"/>
        <item m="1" x="5"/>
        <item x="1"/>
        <item x="3"/>
        <item x="4"/>
        <item m="1" x="6"/>
      </items>
    </pivotField>
    <pivotField showAll="0" defaultSubtotal="0">
      <items count="8">
        <item m="1" x="6"/>
        <item x="0"/>
        <item x="4"/>
        <item x="2"/>
        <item m="1" x="7"/>
        <item x="3"/>
        <item x="1"/>
        <item x="5"/>
      </items>
    </pivotField>
    <pivotField showAll="0" defaultSubtotal="0">
      <items count="4">
        <item x="1"/>
        <item m="1" x="3"/>
        <item x="2"/>
        <item x="0"/>
      </items>
    </pivotField>
    <pivotField showAll="0" defaultSubtotal="0"/>
    <pivotField axis="axisRow" showAll="0" defaultSubtotal="0">
      <items count="7">
        <item x="1"/>
        <item m="1" x="4"/>
        <item n="Proy. sensibilizada" x="0"/>
        <item m="1" x="3"/>
        <item m="1" x="2"/>
        <item f="1" x="6"/>
        <item f="1" x="5"/>
      </items>
    </pivotField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7" showAll="0" defaultSubtotal="0">
      <items count="10">
        <item h="1" x="0"/>
        <item h="1" x="5"/>
        <item h="1" x="7"/>
        <item h="1" x="1"/>
        <item h="1" x="9"/>
        <item h="1" x="2"/>
        <item h="1" x="4"/>
        <item h="1" x="8"/>
        <item h="1" x="3"/>
        <item x="6"/>
      </items>
    </pivotField>
    <pivotField showAll="0" defaultSubtotal="0"/>
    <pivotField showAll="0" defaultSubtotal="0"/>
  </pivotFields>
  <rowFields count="1">
    <field x="4"/>
  </rowFields>
  <rowItems count="4">
    <i>
      <x/>
    </i>
    <i>
      <x v="2"/>
    </i>
    <i>
      <x v="5"/>
    </i>
    <i>
      <x v="6"/>
    </i>
  </rowItems>
  <colItems count="1">
    <i/>
  </colItems>
  <dataFields count="1">
    <dataField name="Monto $" fld="8" baseField="0" baseItem="0" numFmtId="164"/>
  </dataFields>
  <formats count="13">
    <format dxfId="322">
      <pivotArea outline="0" collapsedLevelsAreSubtotals="1" fieldPosition="0"/>
    </format>
    <format dxfId="323">
      <pivotArea dataOnly="0" labelOnly="1" outline="0" axis="axisValues" fieldPosition="0"/>
    </format>
    <format dxfId="324">
      <pivotArea collapsedLevelsAreSubtotals="1" fieldPosition="0">
        <references count="1">
          <reference field="4" count="1">
            <x v="6"/>
          </reference>
        </references>
      </pivotArea>
    </format>
    <format dxfId="325">
      <pivotArea type="all" dataOnly="0" outline="0" fieldPosition="0"/>
    </format>
    <format dxfId="326">
      <pivotArea outline="0" collapsedLevelsAreSubtotals="1" fieldPosition="0"/>
    </format>
    <format dxfId="327">
      <pivotArea field="4" type="button" dataOnly="0" labelOnly="1" outline="0" axis="axisRow" fieldPosition="0"/>
    </format>
    <format dxfId="328">
      <pivotArea dataOnly="0" labelOnly="1" fieldPosition="0">
        <references count="1">
          <reference field="4" count="0"/>
        </references>
      </pivotArea>
    </format>
    <format dxfId="329">
      <pivotArea dataOnly="0" labelOnly="1" outline="0" axis="axisValues" fieldPosition="0"/>
    </format>
    <format dxfId="330">
      <pivotArea collapsedLevelsAreSubtotals="1" fieldPosition="0">
        <references count="1">
          <reference field="4" count="1">
            <x v="0"/>
          </reference>
        </references>
      </pivotArea>
    </format>
    <format dxfId="331">
      <pivotArea collapsedLevelsAreSubtotals="1" fieldPosition="0">
        <references count="1">
          <reference field="4" count="1">
            <x v="0"/>
          </reference>
        </references>
      </pivotArea>
    </format>
    <format dxfId="332">
      <pivotArea collapsedLevelsAreSubtotals="1" fieldPosition="0">
        <references count="1">
          <reference field="4" count="1">
            <x v="0"/>
          </reference>
        </references>
      </pivotArea>
    </format>
    <format dxfId="333">
      <pivotArea collapsedLevelsAreSubtotals="1" fieldPosition="0">
        <references count="1">
          <reference field="4" count="1">
            <x v="6"/>
          </reference>
        </references>
      </pivotArea>
    </format>
    <format dxfId="334">
      <pivotArea collapsedLevelsAreSubtotals="1" fieldPosition="0">
        <references count="1">
          <reference field="4" count="1">
            <x v="6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01B57-3290-451E-BB03-75E44F786469}" name="TablaDinámica1" cacheId="2246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rowHeaderCaption="Status" colHeaderCaption="">
  <location ref="A7:R13" firstHeaderRow="1" firstDataRow="3" firstDataCol="1"/>
  <pivotFields count="13">
    <pivotField showAll="0" defaultSubtotal="0">
      <items count="7">
        <item x="0"/>
        <item x="2"/>
        <item m="1" x="5"/>
        <item x="1"/>
        <item x="3"/>
        <item x="4"/>
        <item m="1" x="6"/>
      </items>
    </pivotField>
    <pivotField showAll="0" defaultSubtotal="0">
      <items count="8">
        <item m="1" x="6"/>
        <item x="0"/>
        <item x="4"/>
        <item x="2"/>
        <item m="1" x="7"/>
        <item x="3"/>
        <item x="1"/>
        <item x="5"/>
      </items>
    </pivotField>
    <pivotField axis="axisRow" showAll="0" defaultSubtotal="0">
      <items count="4">
        <item x="1"/>
        <item x="2"/>
        <item x="0"/>
        <item m="1" x="3"/>
      </items>
    </pivotField>
    <pivotField showAll="0" defaultSubtotal="0"/>
    <pivotField name="Estado" axis="axisCol" showAll="0" defaultSubtotal="0">
      <items count="7">
        <item x="0"/>
        <item x="1"/>
        <item n="Gerencia" m="1" x="3"/>
        <item m="1" x="4"/>
        <item f="1" x="5"/>
        <item m="1" x="2"/>
        <item f="1" x="6"/>
      </items>
    </pivotField>
    <pivotField name="Semana" axis="axisCol" showAll="0" defaultSubtotal="0">
      <items count="13">
        <item x="0"/>
        <item x="2"/>
        <item x="3"/>
        <item x="4"/>
        <item x="1"/>
        <item m="1" x="5"/>
        <item m="1" x="12"/>
        <item m="1" x="6"/>
        <item m="1" x="7"/>
        <item m="1" x="8"/>
        <item m="1" x="9"/>
        <item m="1" x="10"/>
        <item m="1" x="11"/>
      </items>
    </pivotField>
    <pivotField numFmtId="14" showAll="0" defaultSubtotal="0"/>
    <pivotField showAll="0" defaultSubtotal="0"/>
    <pivotField dataField="1" showAll="0" defaultSubtotal="0"/>
    <pivotField showAll="0" defaultSubtotal="0"/>
    <pivotField numFmtId="17" showAll="0" defaultSubtotal="0">
      <items count="10">
        <item h="1" x="0"/>
        <item h="1" x="5"/>
        <item h="1" x="7"/>
        <item h="1" x="1"/>
        <item h="1" x="9"/>
        <item h="1" x="2"/>
        <item h="1" x="4"/>
        <item h="1" x="8"/>
        <item h="1" x="3"/>
        <item x="6"/>
      </items>
    </pivotField>
    <pivotField showAll="0" defaultSubtotal="0"/>
    <pivotField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5"/>
    <field x="4"/>
  </colFields>
  <colItems count="17">
    <i>
      <x/>
      <x/>
    </i>
    <i r="1">
      <x v="1"/>
    </i>
    <i r="1">
      <x v="4"/>
    </i>
    <i r="1">
      <x v="6"/>
    </i>
    <i>
      <x v="1"/>
      <x/>
    </i>
    <i r="1">
      <x v="1"/>
    </i>
    <i r="1">
      <x v="4"/>
    </i>
    <i r="1">
      <x v="6"/>
    </i>
    <i>
      <x v="2"/>
      <x/>
    </i>
    <i r="1">
      <x v="1"/>
    </i>
    <i r="1">
      <x v="4"/>
    </i>
    <i r="1">
      <x v="6"/>
    </i>
    <i>
      <x v="3"/>
      <x/>
    </i>
    <i r="1">
      <x v="4"/>
    </i>
    <i r="1">
      <x v="6"/>
    </i>
    <i>
      <x v="4"/>
      <x v="4"/>
    </i>
    <i r="1">
      <x v="6"/>
    </i>
  </colItems>
  <dataFields count="1">
    <dataField name="Monto dolares $" fld="8" baseField="2" baseItem="0" numFmtId="166"/>
  </dataFields>
  <formats count="311">
    <format dxfId="11">
      <pivotArea type="all" dataOnly="0" outline="0" fieldPosition="0"/>
    </format>
    <format dxfId="12">
      <pivotArea outline="0" collapsedLevelsAreSubtotals="1" fieldPosition="0"/>
    </format>
    <format dxfId="13">
      <pivotArea type="origin" dataOnly="0" labelOnly="1" outline="0" fieldPosition="0"/>
    </format>
    <format dxfId="14">
      <pivotArea field="5" type="button" dataOnly="0" labelOnly="1" outline="0" axis="axisCol" fieldPosition="0"/>
    </format>
    <format dxfId="15">
      <pivotArea field="4" type="button" dataOnly="0" labelOnly="1" outline="0" axis="axisCol" fieldPosition="1"/>
    </format>
    <format dxfId="16">
      <pivotArea type="topRight" dataOnly="0" labelOnly="1" outline="0" fieldPosition="0"/>
    </format>
    <format dxfId="17">
      <pivotArea field="2" type="button" dataOnly="0" labelOnly="1" outline="0" axis="axisRow" fieldPosition="0"/>
    </format>
    <format dxfId="18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20">
      <pivotArea dataOnly="0" labelOnly="1" fieldPosition="0">
        <references count="1">
          <reference field="5" count="0"/>
        </references>
      </pivotArea>
    </format>
    <format dxfId="21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0"/>
          </reference>
        </references>
      </pivotArea>
    </format>
    <format dxfId="22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1"/>
          </reference>
        </references>
      </pivotArea>
    </format>
    <format dxfId="23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2"/>
          </reference>
        </references>
      </pivotArea>
    </format>
    <format dxfId="24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3"/>
          </reference>
        </references>
      </pivotArea>
    </format>
    <format dxfId="25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4"/>
          </reference>
        </references>
      </pivotArea>
    </format>
    <format dxfId="26">
      <pivotArea dataOnly="0" labelOnly="1" fieldPosition="0">
        <references count="2">
          <reference field="4" count="1">
            <x v="2"/>
          </reference>
          <reference field="5" count="1" selected="0">
            <x v="6"/>
          </reference>
        </references>
      </pivotArea>
    </format>
    <format dxfId="27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0"/>
          </reference>
        </references>
      </pivotArea>
    </format>
    <format dxfId="28">
      <pivotArea type="origin" dataOnly="0" labelOnly="1" outline="0" offset="A2" fieldPosition="0"/>
    </format>
    <format dxfId="29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2">
      <pivotArea grandRow="1" outline="0" collapsedLevelsAreSubtotals="1" fieldPosition="0"/>
    </format>
    <format dxfId="33">
      <pivotArea dataOnly="0" labelOnly="1" grandRow="1" outline="0" fieldPosition="0"/>
    </format>
    <format dxfId="34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1"/>
          </reference>
        </references>
      </pivotArea>
    </format>
    <format dxfId="35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2"/>
          </reference>
        </references>
      </pivotArea>
    </format>
    <format dxfId="36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3"/>
          </reference>
        </references>
      </pivotArea>
    </format>
    <format dxfId="37">
      <pivotArea outline="0" collapsedLevelsAreSubtotals="1" fieldPosition="0">
        <references count="2">
          <reference field="4" count="2" selected="0">
            <x v="0"/>
            <x v="1"/>
          </reference>
          <reference field="5" count="1" selected="0">
            <x v="4"/>
          </reference>
        </references>
      </pivotArea>
    </format>
    <format dxfId="38">
      <pivotArea dataOnly="0" labelOnly="1" fieldPosition="0">
        <references count="1">
          <reference field="5" count="1">
            <x v="4"/>
          </reference>
        </references>
      </pivotArea>
    </format>
    <format dxfId="39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4"/>
          </reference>
        </references>
      </pivotArea>
    </format>
    <format dxfId="40">
      <pivotArea dataOnly="0" labelOnly="1" fieldPosition="0">
        <references count="2">
          <reference field="4" count="1">
            <x v="2"/>
          </reference>
          <reference field="5" count="1" selected="0">
            <x v="6"/>
          </reference>
        </references>
      </pivotArea>
    </format>
    <format dxfId="41">
      <pivotArea field="5" type="button" dataOnly="0" labelOnly="1" outline="0" axis="axisCol" fieldPosition="0"/>
    </format>
    <format dxfId="42">
      <pivotArea field="4" type="button" dataOnly="0" labelOnly="1" outline="0" axis="axisCol" fieldPosition="1"/>
    </format>
    <format dxfId="43">
      <pivotArea type="topRight" dataOnly="0" labelOnly="1" outline="0" fieldPosition="0"/>
    </format>
    <format dxfId="44">
      <pivotArea type="all" dataOnly="0" outline="0" fieldPosition="0"/>
    </format>
    <format dxfId="45">
      <pivotArea dataOnly="0" labelOnly="1" fieldPosition="0">
        <references count="1">
          <reference field="5" count="0"/>
        </references>
      </pivotArea>
    </format>
    <format dxfId="46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0"/>
          </reference>
        </references>
      </pivotArea>
    </format>
    <format dxfId="47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1"/>
          </reference>
        </references>
      </pivotArea>
    </format>
    <format dxfId="48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2"/>
          </reference>
        </references>
      </pivotArea>
    </format>
    <format dxfId="49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3"/>
          </reference>
        </references>
      </pivotArea>
    </format>
    <format dxfId="50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4"/>
          </reference>
        </references>
      </pivotArea>
    </format>
    <format dxfId="51">
      <pivotArea dataOnly="0" labelOnly="1" fieldPosition="0">
        <references count="2">
          <reference field="4" count="1">
            <x v="2"/>
          </reference>
          <reference field="5" count="1" selected="0">
            <x v="6"/>
          </reference>
        </references>
      </pivotArea>
    </format>
    <format dxfId="52">
      <pivotArea collapsedLevelsAreSubtotals="1" fieldPosition="0">
        <references count="1">
          <reference field="2" count="0"/>
        </references>
      </pivotArea>
    </format>
    <format dxfId="53">
      <pivotArea collapsedLevelsAreSubtotals="1" fieldPosition="0">
        <references count="1">
          <reference field="2" count="0"/>
        </references>
      </pivotArea>
    </format>
    <format dxfId="54">
      <pivotArea outline="0" collapsedLevelsAreSubtotals="1" fieldPosition="0"/>
    </format>
    <format dxfId="55">
      <pivotArea outline="0" collapsedLevelsAreSubtotals="1" fieldPosition="0"/>
    </format>
    <format dxfId="56">
      <pivotArea grandRow="1" outline="0" collapsedLevelsAreSubtotals="1" fieldPosition="0"/>
    </format>
    <format dxfId="57">
      <pivotArea outline="0" collapsedLevelsAreSubtotals="1" fieldPosition="0"/>
    </format>
    <format dxfId="58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0"/>
          </reference>
        </references>
      </pivotArea>
    </format>
    <format dxfId="59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1"/>
          </reference>
        </references>
      </pivotArea>
    </format>
    <format dxfId="60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2"/>
          </reference>
        </references>
      </pivotArea>
    </format>
    <format dxfId="61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3"/>
          </reference>
        </references>
      </pivotArea>
    </format>
    <format dxfId="62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4"/>
          </reference>
        </references>
      </pivotArea>
    </format>
    <format dxfId="63">
      <pivotArea dataOnly="0" labelOnly="1" fieldPosition="0">
        <references count="2">
          <reference field="4" count="1">
            <x v="2"/>
          </reference>
          <reference field="5" count="1" selected="0">
            <x v="6"/>
          </reference>
        </references>
      </pivotArea>
    </format>
    <format dxfId="64">
      <pivotArea outline="0" collapsedLevelsAreSubtotals="1" fieldPosition="0"/>
    </format>
    <format dxfId="65">
      <pivotArea dataOnly="0" labelOnly="1" fieldPosition="0">
        <references count="1">
          <reference field="5" count="1">
            <x v="6"/>
          </reference>
        </references>
      </pivotArea>
    </format>
    <format dxfId="66">
      <pivotArea dataOnly="0" labelOnly="1" fieldPosition="0">
        <references count="2">
          <reference field="4" count="1">
            <x v="2"/>
          </reference>
          <reference field="5" count="1" selected="0">
            <x v="6"/>
          </reference>
        </references>
      </pivotArea>
    </format>
    <format dxfId="67">
      <pivotArea outline="0" collapsedLevelsAreSubtotals="1" fieldPosition="0"/>
    </format>
    <format dxfId="68">
      <pivotArea type="all" dataOnly="0" outline="0" fieldPosition="0"/>
    </format>
    <format dxfId="69">
      <pivotArea outline="0" collapsedLevelsAreSubtotals="1" fieldPosition="0"/>
    </format>
    <format dxfId="70">
      <pivotArea type="origin" dataOnly="0" labelOnly="1" outline="0" fieldPosition="0"/>
    </format>
    <format dxfId="71">
      <pivotArea field="5" type="button" dataOnly="0" labelOnly="1" outline="0" axis="axisCol" fieldPosition="0"/>
    </format>
    <format dxfId="72">
      <pivotArea field="4" type="button" dataOnly="0" labelOnly="1" outline="0" axis="axisCol" fieldPosition="1"/>
    </format>
    <format dxfId="73">
      <pivotArea type="topRight" dataOnly="0" labelOnly="1" outline="0" fieldPosition="0"/>
    </format>
    <format dxfId="74">
      <pivotArea field="2" type="button" dataOnly="0" labelOnly="1" outline="0" axis="axisRow" fieldPosition="0"/>
    </format>
    <format dxfId="75">
      <pivotArea dataOnly="0" labelOnly="1" fieldPosition="0">
        <references count="1">
          <reference field="2" count="0"/>
        </references>
      </pivotArea>
    </format>
    <format dxfId="76">
      <pivotArea dataOnly="0" labelOnly="1" grandRow="1" outline="0" fieldPosition="0"/>
    </format>
    <format dxfId="77">
      <pivotArea dataOnly="0" labelOnly="1" fieldPosition="0">
        <references count="1">
          <reference field="5" count="0"/>
        </references>
      </pivotArea>
    </format>
    <format dxfId="78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0"/>
          </reference>
        </references>
      </pivotArea>
    </format>
    <format dxfId="79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1"/>
          </reference>
        </references>
      </pivotArea>
    </format>
    <format dxfId="80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2"/>
          </reference>
        </references>
      </pivotArea>
    </format>
    <format dxfId="81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3"/>
          </reference>
        </references>
      </pivotArea>
    </format>
    <format dxfId="82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4"/>
          </reference>
        </references>
      </pivotArea>
    </format>
    <format dxfId="83">
      <pivotArea outline="0" collapsedLevelsAreSubtotals="1" fieldPosition="0"/>
    </format>
    <format dxfId="84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0"/>
          </reference>
        </references>
      </pivotArea>
    </format>
    <format dxfId="85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1"/>
          </reference>
        </references>
      </pivotArea>
    </format>
    <format dxfId="86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2"/>
          </reference>
        </references>
      </pivotArea>
    </format>
    <format dxfId="87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3"/>
          </reference>
        </references>
      </pivotArea>
    </format>
    <format dxfId="88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4"/>
          </reference>
        </references>
      </pivotArea>
    </format>
    <format dxfId="89">
      <pivotArea outline="0" collapsedLevelsAreSubtotals="1" fieldPosition="0"/>
    </format>
    <format dxfId="90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0"/>
          </reference>
        </references>
      </pivotArea>
    </format>
    <format dxfId="91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1"/>
          </reference>
        </references>
      </pivotArea>
    </format>
    <format dxfId="92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2"/>
          </reference>
        </references>
      </pivotArea>
    </format>
    <format dxfId="93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3"/>
          </reference>
        </references>
      </pivotArea>
    </format>
    <format dxfId="94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4"/>
          </reference>
        </references>
      </pivotArea>
    </format>
    <format dxfId="95">
      <pivotArea outline="0" collapsedLevelsAreSubtotals="1" fieldPosition="0"/>
    </format>
    <format dxfId="96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0"/>
          </reference>
        </references>
      </pivotArea>
    </format>
    <format dxfId="97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1"/>
          </reference>
        </references>
      </pivotArea>
    </format>
    <format dxfId="98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2"/>
          </reference>
        </references>
      </pivotArea>
    </format>
    <format dxfId="99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3"/>
          </reference>
        </references>
      </pivotArea>
    </format>
    <format dxfId="100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4"/>
          </reference>
        </references>
      </pivotArea>
    </format>
    <format dxfId="101">
      <pivotArea outline="0" collapsedLevelsAreSubtotals="1" fieldPosition="0"/>
    </format>
    <format dxfId="102">
      <pivotArea dataOnly="0" labelOnly="1" fieldPosition="0">
        <references count="1">
          <reference field="5" count="0"/>
        </references>
      </pivotArea>
    </format>
    <format dxfId="103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0"/>
          </reference>
        </references>
      </pivotArea>
    </format>
    <format dxfId="104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1"/>
          </reference>
        </references>
      </pivotArea>
    </format>
    <format dxfId="105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2"/>
          </reference>
        </references>
      </pivotArea>
    </format>
    <format dxfId="106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3"/>
          </reference>
        </references>
      </pivotArea>
    </format>
    <format dxfId="107">
      <pivotArea dataOnly="0" labelOnly="1" fieldPosition="0">
        <references count="2">
          <reference field="4" count="2">
            <x v="0"/>
            <x v="1"/>
          </reference>
          <reference field="5" count="1" selected="0">
            <x v="4"/>
          </reference>
        </references>
      </pivotArea>
    </format>
    <format dxfId="108">
      <pivotArea type="all" dataOnly="0" outline="0" fieldPosition="0"/>
    </format>
    <format dxfId="109">
      <pivotArea type="all" dataOnly="0" outline="0" fieldPosition="0"/>
    </format>
    <format dxfId="110">
      <pivotArea field="5" grandRow="1" outline="0" collapsedLevelsAreSubtotals="1" axis="axisCol" fieldPosition="0">
        <references count="2">
          <reference field="4" count="1" selected="0">
            <x v="4"/>
          </reference>
          <reference field="5" count="1" selected="0">
            <x v="2"/>
          </reference>
        </references>
      </pivotArea>
    </format>
    <format dxfId="111">
      <pivotArea field="5" grandRow="1" outline="0" collapsedLevelsAreSubtotals="1" axis="axisCol" fieldPosition="0">
        <references count="2">
          <reference field="4" count="1" selected="0">
            <x v="4"/>
          </reference>
          <reference field="5" count="1" selected="0">
            <x v="3"/>
          </reference>
        </references>
      </pivotArea>
    </format>
    <format dxfId="112">
      <pivotArea field="5" grandRow="1" outline="0" collapsedLevelsAreSubtotals="1" axis="axisCol" fieldPosition="0">
        <references count="2">
          <reference field="4" count="1" selected="0">
            <x v="4"/>
          </reference>
          <reference field="5" count="1" selected="0">
            <x v="4"/>
          </reference>
        </references>
      </pivotArea>
    </format>
    <format dxfId="113">
      <pivotArea type="all" dataOnly="0" outline="0" fieldPosition="0"/>
    </format>
    <format dxfId="114">
      <pivotArea outline="0" collapsedLevelsAreSubtotals="1" fieldPosition="0">
        <references count="2">
          <reference field="4" count="3" selected="0">
            <x v="0"/>
            <x v="1"/>
            <x v="4"/>
          </reference>
          <reference field="5" count="1" selected="0">
            <x v="4"/>
          </reference>
        </references>
      </pivotArea>
    </format>
    <format dxfId="115">
      <pivotArea field="5" grandRow="1" outline="0" collapsedLevelsAreSubtotals="1" axis="axisCol" fieldPosition="0">
        <references count="2">
          <reference field="4" count="1" selected="0">
            <x v="4"/>
          </reference>
          <reference field="5" count="1" selected="0">
            <x v="2"/>
          </reference>
        </references>
      </pivotArea>
    </format>
    <format dxfId="116">
      <pivotArea field="5" grandRow="1" outline="0" collapsedLevelsAreSubtotals="1" axis="axisCol" fieldPosition="0">
        <references count="2">
          <reference field="4" count="1" selected="0">
            <x v="4"/>
          </reference>
          <reference field="5" count="1" selected="0">
            <x v="3"/>
          </reference>
        </references>
      </pivotArea>
    </format>
    <format dxfId="117">
      <pivotArea field="5" grandRow="1" outline="0" collapsedLevelsAreSubtotals="1" axis="axisCol" fieldPosition="0">
        <references count="2">
          <reference field="4" count="1" selected="0">
            <x v="4"/>
          </reference>
          <reference field="5" count="1" selected="0">
            <x v="4"/>
          </reference>
        </references>
      </pivotArea>
    </format>
    <format dxfId="118">
      <pivotArea field="5" grandRow="1" outline="0" collapsedLevelsAreSubtotals="1" axis="axisCol" fieldPosition="0">
        <references count="2">
          <reference field="4" count="1" selected="0">
            <x v="4"/>
          </reference>
          <reference field="5" count="1" selected="0">
            <x v="6"/>
          </reference>
        </references>
      </pivotArea>
    </format>
    <format dxfId="119">
      <pivotArea type="all" dataOnly="0" outline="0" fieldPosition="0"/>
    </format>
    <format dxfId="120">
      <pivotArea outline="0" collapsedLevelsAreSubtotals="1" fieldPosition="0"/>
    </format>
    <format dxfId="121">
      <pivotArea type="origin" dataOnly="0" labelOnly="1" outline="0" fieldPosition="0"/>
    </format>
    <format dxfId="122">
      <pivotArea field="5" type="button" dataOnly="0" labelOnly="1" outline="0" axis="axisCol" fieldPosition="0"/>
    </format>
    <format dxfId="123">
      <pivotArea field="4" type="button" dataOnly="0" labelOnly="1" outline="0" axis="axisCol" fieldPosition="1"/>
    </format>
    <format dxfId="124">
      <pivotArea type="topRight" dataOnly="0" labelOnly="1" outline="0" fieldPosition="0"/>
    </format>
    <format dxfId="125">
      <pivotArea field="2" type="button" dataOnly="0" labelOnly="1" outline="0" axis="axisRow" fieldPosition="0"/>
    </format>
    <format dxfId="126">
      <pivotArea dataOnly="0" labelOnly="1" fieldPosition="0">
        <references count="1">
          <reference field="2" count="0"/>
        </references>
      </pivotArea>
    </format>
    <format dxfId="127">
      <pivotArea dataOnly="0" labelOnly="1" grandRow="1" outline="0" fieldPosition="0"/>
    </format>
    <format dxfId="128">
      <pivotArea dataOnly="0" labelOnly="1" fieldPosition="0">
        <references count="1">
          <reference field="5" count="0"/>
        </references>
      </pivotArea>
    </format>
    <format dxfId="129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0"/>
          </reference>
        </references>
      </pivotArea>
    </format>
    <format dxfId="130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1"/>
          </reference>
        </references>
      </pivotArea>
    </format>
    <format dxfId="131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2"/>
          </reference>
        </references>
      </pivotArea>
    </format>
    <format dxfId="132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3"/>
          </reference>
        </references>
      </pivotArea>
    </format>
    <format dxfId="133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4"/>
          </reference>
        </references>
      </pivotArea>
    </format>
    <format dxfId="134">
      <pivotArea dataOnly="0" labelOnly="1" fieldPosition="0">
        <references count="2">
          <reference field="4" count="1">
            <x v="4"/>
          </reference>
          <reference field="5" count="1" selected="0">
            <x v="6"/>
          </reference>
        </references>
      </pivotArea>
    </format>
    <format dxfId="135">
      <pivotArea type="all" dataOnly="0" outline="0" fieldPosition="0"/>
    </format>
    <format dxfId="136">
      <pivotArea outline="0" collapsedLevelsAreSubtotals="1" fieldPosition="0"/>
    </format>
    <format dxfId="137">
      <pivotArea type="all" dataOnly="0" outline="0" fieldPosition="0"/>
    </format>
    <format dxfId="138">
      <pivotArea outline="0" collapsedLevelsAreSubtotals="1" fieldPosition="0"/>
    </format>
    <format dxfId="139">
      <pivotArea dataOnly="0" labelOnly="1" fieldPosition="0">
        <references count="1">
          <reference field="5" count="0"/>
        </references>
      </pivotArea>
    </format>
    <format dxfId="140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4"/>
          </reference>
        </references>
      </pivotArea>
    </format>
    <format dxfId="141">
      <pivotArea dataOnly="0" labelOnly="1" fieldPosition="0">
        <references count="2">
          <reference field="4" count="1">
            <x v="4"/>
          </reference>
          <reference field="5" count="1" selected="0">
            <x v="6"/>
          </reference>
        </references>
      </pivotArea>
    </format>
    <format dxfId="142">
      <pivotArea type="origin" dataOnly="0" labelOnly="1" outline="0" fieldPosition="0"/>
    </format>
    <format dxfId="143">
      <pivotArea field="5" type="button" dataOnly="0" labelOnly="1" outline="0" axis="axisCol" fieldPosition="0"/>
    </format>
    <format dxfId="144">
      <pivotArea field="4" type="button" dataOnly="0" labelOnly="1" outline="0" axis="axisCol" fieldPosition="1"/>
    </format>
    <format dxfId="145">
      <pivotArea type="topRight" dataOnly="0" labelOnly="1" outline="0" fieldPosition="0"/>
    </format>
    <format dxfId="146">
      <pivotArea field="2" type="button" dataOnly="0" labelOnly="1" outline="0" axis="axisRow" fieldPosition="0"/>
    </format>
    <format dxfId="147">
      <pivotArea dataOnly="0" labelOnly="1" fieldPosition="0">
        <references count="1">
          <reference field="5" count="0"/>
        </references>
      </pivotArea>
    </format>
    <format dxfId="148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0"/>
          </reference>
        </references>
      </pivotArea>
    </format>
    <format dxfId="149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1"/>
          </reference>
        </references>
      </pivotArea>
    </format>
    <format dxfId="150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2"/>
          </reference>
        </references>
      </pivotArea>
    </format>
    <format dxfId="151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3"/>
          </reference>
        </references>
      </pivotArea>
    </format>
    <format dxfId="152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4"/>
          </reference>
        </references>
      </pivotArea>
    </format>
    <format dxfId="153">
      <pivotArea dataOnly="0" labelOnly="1" fieldPosition="0">
        <references count="2">
          <reference field="4" count="1">
            <x v="4"/>
          </reference>
          <reference field="5" count="1" selected="0">
            <x v="6"/>
          </reference>
        </references>
      </pivotArea>
    </format>
    <format dxfId="154">
      <pivotArea type="origin" dataOnly="0" labelOnly="1" outline="0" fieldPosition="0"/>
    </format>
    <format dxfId="155">
      <pivotArea field="5" type="button" dataOnly="0" labelOnly="1" outline="0" axis="axisCol" fieldPosition="0"/>
    </format>
    <format dxfId="156">
      <pivotArea field="4" type="button" dataOnly="0" labelOnly="1" outline="0" axis="axisCol" fieldPosition="1"/>
    </format>
    <format dxfId="157">
      <pivotArea type="topRight" dataOnly="0" labelOnly="1" outline="0" fieldPosition="0"/>
    </format>
    <format dxfId="158">
      <pivotArea field="2" type="button" dataOnly="0" labelOnly="1" outline="0" axis="axisRow" fieldPosition="0"/>
    </format>
    <format dxfId="159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60">
      <pivotArea dataOnly="0" labelOnly="1" fieldPosition="0">
        <references count="1">
          <reference field="5" count="1">
            <x v="4"/>
          </reference>
        </references>
      </pivotArea>
    </format>
    <format dxfId="161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0"/>
          </reference>
        </references>
      </pivotArea>
    </format>
    <format dxfId="162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1"/>
          </reference>
        </references>
      </pivotArea>
    </format>
    <format dxfId="163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2"/>
          </reference>
        </references>
      </pivotArea>
    </format>
    <format dxfId="164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3"/>
          </reference>
        </references>
      </pivotArea>
    </format>
    <format dxfId="165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4"/>
          </reference>
        </references>
      </pivotArea>
    </format>
    <format dxfId="166">
      <pivotArea outline="0" collapsedLevelsAreSubtotals="1" fieldPosition="0">
        <references count="2">
          <reference field="4" count="3" selected="0">
            <x v="0"/>
            <x v="1"/>
            <x v="4"/>
          </reference>
          <reference field="5" count="4" selected="0">
            <x v="0"/>
            <x v="1"/>
            <x v="2"/>
            <x v="3"/>
          </reference>
        </references>
      </pivotArea>
    </format>
    <format dxfId="167">
      <pivotArea outline="0" collapsedLevelsAreSubtotals="1" fieldPosition="0">
        <references count="2">
          <reference field="4" count="3" selected="0">
            <x v="0"/>
            <x v="1"/>
            <x v="4"/>
          </reference>
          <reference field="5" count="1" selected="0">
            <x v="4"/>
          </reference>
        </references>
      </pivotArea>
    </format>
    <format dxfId="168">
      <pivotArea dataOnly="0" labelOnly="1" fieldPosition="0">
        <references count="1">
          <reference field="2" count="0"/>
        </references>
      </pivotArea>
    </format>
    <format dxfId="169">
      <pivotArea dataOnly="0" labelOnly="1" grandRow="1" outline="0" fieldPosition="0"/>
    </format>
    <format dxfId="170">
      <pivotArea outline="0" collapsedLevelsAreSubtotals="1" fieldPosition="0">
        <references count="2">
          <reference field="4" count="3" selected="0">
            <x v="0"/>
            <x v="1"/>
            <x v="4"/>
          </reference>
          <reference field="5" count="4" selected="0">
            <x v="0"/>
            <x v="1"/>
            <x v="2"/>
            <x v="3"/>
          </reference>
        </references>
      </pivotArea>
    </format>
    <format dxfId="171">
      <pivotArea outline="0" collapsedLevelsAreSubtotals="1" fieldPosition="0">
        <references count="2">
          <reference field="4" count="3" selected="0">
            <x v="0"/>
            <x v="1"/>
            <x v="4"/>
          </reference>
          <reference field="5" count="1" selected="0">
            <x v="4"/>
          </reference>
        </references>
      </pivotArea>
    </format>
    <format dxfId="172">
      <pivotArea dataOnly="0" labelOnly="1" fieldPosition="0">
        <references count="1">
          <reference field="2" count="0"/>
        </references>
      </pivotArea>
    </format>
    <format dxfId="173">
      <pivotArea dataOnly="0" labelOnly="1" grandRow="1" outline="0" fieldPosition="0"/>
    </format>
    <format dxfId="174">
      <pivotArea field="5" grandRow="1" outline="0" collapsedLevelsAreSubtotals="1" axis="axisCol" fieldPosition="0">
        <references count="2">
          <reference field="4" count="3" selected="0">
            <x v="0"/>
            <x v="1"/>
            <x v="4"/>
          </reference>
          <reference field="5" count="4" selected="0">
            <x v="0"/>
            <x v="1"/>
            <x v="2"/>
            <x v="3"/>
          </reference>
        </references>
      </pivotArea>
    </format>
    <format dxfId="175">
      <pivotArea field="5" grandRow="1" outline="0" collapsedLevelsAreSubtotals="1" axis="axisCol" fieldPosition="0">
        <references count="2">
          <reference field="4" count="3" selected="0">
            <x v="0"/>
            <x v="1"/>
            <x v="4"/>
          </reference>
          <reference field="5" count="1" selected="0">
            <x v="4"/>
          </reference>
        </references>
      </pivotArea>
    </format>
    <format dxfId="176">
      <pivotArea outline="0" collapsedLevelsAreSubtotals="1" fieldPosition="0">
        <references count="2">
          <reference field="4" count="3" selected="0">
            <x v="0"/>
            <x v="1"/>
            <x v="4"/>
          </reference>
          <reference field="5" count="4" selected="0">
            <x v="0"/>
            <x v="1"/>
            <x v="2"/>
            <x v="3"/>
          </reference>
        </references>
      </pivotArea>
    </format>
    <format dxfId="177">
      <pivotArea type="origin" dataOnly="0" labelOnly="1" outline="0" fieldPosition="0"/>
    </format>
    <format dxfId="178">
      <pivotArea field="5" type="button" dataOnly="0" labelOnly="1" outline="0" axis="axisCol" fieldPosition="0"/>
    </format>
    <format dxfId="179">
      <pivotArea field="4" type="button" dataOnly="0" labelOnly="1" outline="0" axis="axisCol" fieldPosition="1"/>
    </format>
    <format dxfId="180">
      <pivotArea type="topRight" dataOnly="0" labelOnly="1" outline="0" offset="A1:V1" fieldPosition="0"/>
    </format>
    <format dxfId="181">
      <pivotArea field="2" type="button" dataOnly="0" labelOnly="1" outline="0" axis="axisRow" fieldPosition="0"/>
    </format>
    <format dxfId="182">
      <pivotArea dataOnly="0" labelOnly="1" fieldPosition="0">
        <references count="1">
          <reference field="2" count="0"/>
        </references>
      </pivotArea>
    </format>
    <format dxfId="183">
      <pivotArea dataOnly="0" labelOnly="1" grandRow="1" outline="0" fieldPosition="0"/>
    </format>
    <format dxfId="184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85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0"/>
          </reference>
        </references>
      </pivotArea>
    </format>
    <format dxfId="186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1"/>
          </reference>
        </references>
      </pivotArea>
    </format>
    <format dxfId="187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2"/>
          </reference>
        </references>
      </pivotArea>
    </format>
    <format dxfId="188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3"/>
          </reference>
        </references>
      </pivotArea>
    </format>
    <format dxfId="189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4"/>
          </reference>
        </references>
      </pivotArea>
    </format>
    <format dxfId="190">
      <pivotArea outline="0" collapsedLevelsAreSubtotals="1" fieldPosition="0"/>
    </format>
    <format dxfId="191">
      <pivotArea dataOnly="0" labelOnly="1" fieldPosition="0">
        <references count="2">
          <reference field="4" count="2">
            <x v="0"/>
            <x v="4"/>
          </reference>
          <reference field="5" count="1" selected="0">
            <x v="0"/>
          </reference>
        </references>
      </pivotArea>
    </format>
    <format dxfId="192">
      <pivotArea dataOnly="0" labelOnly="1" fieldPosition="0">
        <references count="2">
          <reference field="4" count="2">
            <x v="0"/>
            <x v="4"/>
          </reference>
          <reference field="5" count="1" selected="0">
            <x v="1"/>
          </reference>
        </references>
      </pivotArea>
    </format>
    <format dxfId="193">
      <pivotArea dataOnly="0" labelOnly="1" fieldPosition="0">
        <references count="2">
          <reference field="4" count="2">
            <x v="0"/>
            <x v="4"/>
          </reference>
          <reference field="5" count="1" selected="0">
            <x v="2"/>
          </reference>
        </references>
      </pivotArea>
    </format>
    <format dxfId="194">
      <pivotArea dataOnly="0" labelOnly="1" fieldPosition="0">
        <references count="2">
          <reference field="4" count="2">
            <x v="0"/>
            <x v="4"/>
          </reference>
          <reference field="5" count="1" selected="0">
            <x v="3"/>
          </reference>
        </references>
      </pivotArea>
    </format>
    <format dxfId="195">
      <pivotArea dataOnly="0" labelOnly="1" fieldPosition="0">
        <references count="2">
          <reference field="4" count="1">
            <x v="4"/>
          </reference>
          <reference field="5" count="1" selected="0">
            <x v="4"/>
          </reference>
        </references>
      </pivotArea>
    </format>
    <format dxfId="196">
      <pivotArea dataOnly="0" labelOnly="1" fieldPosition="0">
        <references count="2">
          <reference field="4" count="2">
            <x v="2"/>
            <x v="4"/>
          </reference>
          <reference field="5" count="1" selected="0">
            <x v="6"/>
          </reference>
        </references>
      </pivotArea>
    </format>
    <format dxfId="197">
      <pivotArea field="2" type="button" dataOnly="0" labelOnly="1" outline="0" axis="axisRow" fieldPosition="0"/>
    </format>
    <format dxfId="198">
      <pivotArea dataOnly="0" labelOnly="1" fieldPosition="0">
        <references count="1">
          <reference field="2" count="0"/>
        </references>
      </pivotArea>
    </format>
    <format dxfId="199">
      <pivotArea dataOnly="0" labelOnly="1" grandRow="1" outline="0" fieldPosition="0"/>
    </format>
    <format dxfId="200">
      <pivotArea type="all" dataOnly="0" outline="0" fieldPosition="0"/>
    </format>
    <format dxfId="201">
      <pivotArea outline="0" collapsedLevelsAreSubtotals="1" fieldPosition="0"/>
    </format>
    <format dxfId="202">
      <pivotArea type="origin" dataOnly="0" labelOnly="1" outline="0" fieldPosition="0"/>
    </format>
    <format dxfId="203">
      <pivotArea field="5" type="button" dataOnly="0" labelOnly="1" outline="0" axis="axisCol" fieldPosition="0"/>
    </format>
    <format dxfId="204">
      <pivotArea field="4" type="button" dataOnly="0" labelOnly="1" outline="0" axis="axisCol" fieldPosition="1"/>
    </format>
    <format dxfId="205">
      <pivotArea type="topRight" dataOnly="0" labelOnly="1" outline="0" fieldPosition="0"/>
    </format>
    <format dxfId="206">
      <pivotArea field="2" type="button" dataOnly="0" labelOnly="1" outline="0" axis="axisRow" fieldPosition="0"/>
    </format>
    <format dxfId="207">
      <pivotArea dataOnly="0" labelOnly="1" fieldPosition="0">
        <references count="1">
          <reference field="2" count="0"/>
        </references>
      </pivotArea>
    </format>
    <format dxfId="208">
      <pivotArea dataOnly="0" labelOnly="1" grandRow="1" outline="0" fieldPosition="0"/>
    </format>
    <format dxfId="209">
      <pivotArea dataOnly="0" labelOnly="1" fieldPosition="0">
        <references count="1">
          <reference field="5" count="0"/>
        </references>
      </pivotArea>
    </format>
    <format dxfId="210">
      <pivotArea dataOnly="0" labelOnly="1" fieldPosition="0">
        <references count="2">
          <reference field="4" count="2">
            <x v="0"/>
            <x v="4"/>
          </reference>
          <reference field="5" count="1" selected="0">
            <x v="0"/>
          </reference>
        </references>
      </pivotArea>
    </format>
    <format dxfId="211">
      <pivotArea dataOnly="0" labelOnly="1" fieldPosition="0">
        <references count="2">
          <reference field="4" count="2">
            <x v="0"/>
            <x v="4"/>
          </reference>
          <reference field="5" count="1" selected="0">
            <x v="1"/>
          </reference>
        </references>
      </pivotArea>
    </format>
    <format dxfId="212">
      <pivotArea dataOnly="0" labelOnly="1" fieldPosition="0">
        <references count="2">
          <reference field="4" count="2">
            <x v="0"/>
            <x v="4"/>
          </reference>
          <reference field="5" count="1" selected="0">
            <x v="2"/>
          </reference>
        </references>
      </pivotArea>
    </format>
    <format dxfId="213">
      <pivotArea dataOnly="0" labelOnly="1" fieldPosition="0">
        <references count="2">
          <reference field="4" count="2">
            <x v="0"/>
            <x v="4"/>
          </reference>
          <reference field="5" count="1" selected="0">
            <x v="3"/>
          </reference>
        </references>
      </pivotArea>
    </format>
    <format dxfId="214">
      <pivotArea dataOnly="0" labelOnly="1" fieldPosition="0">
        <references count="2">
          <reference field="4" count="1">
            <x v="4"/>
          </reference>
          <reference field="5" count="1" selected="0">
            <x v="4"/>
          </reference>
        </references>
      </pivotArea>
    </format>
    <format dxfId="215">
      <pivotArea dataOnly="0" labelOnly="1" fieldPosition="0">
        <references count="2">
          <reference field="4" count="2">
            <x v="2"/>
            <x v="4"/>
          </reference>
          <reference field="5" count="1" selected="0">
            <x v="6"/>
          </reference>
        </references>
      </pivotArea>
    </format>
    <format dxfId="216">
      <pivotArea type="all" dataOnly="0" outline="0" fieldPosition="0"/>
    </format>
    <format dxfId="217">
      <pivotArea type="origin" dataOnly="0" labelOnly="1" outline="0" fieldPosition="0"/>
    </format>
    <format dxfId="218">
      <pivotArea field="2" type="button" dataOnly="0" labelOnly="1" outline="0" axis="axisRow" fieldPosition="0"/>
    </format>
    <format dxfId="219">
      <pivotArea dataOnly="0" labelOnly="1" fieldPosition="0">
        <references count="1">
          <reference field="2" count="0"/>
        </references>
      </pivotArea>
    </format>
    <format dxfId="220">
      <pivotArea dataOnly="0" labelOnly="1" grandRow="1" outline="0" fieldPosition="0"/>
    </format>
    <format dxfId="221">
      <pivotArea type="all" dataOnly="0" outline="0" fieldPosition="0"/>
    </format>
    <format dxfId="222">
      <pivotArea type="origin" dataOnly="0" labelOnly="1" outline="0" fieldPosition="0"/>
    </format>
    <format dxfId="223">
      <pivotArea field="2" type="button" dataOnly="0" labelOnly="1" outline="0" axis="axisRow" fieldPosition="0"/>
    </format>
    <format dxfId="224">
      <pivotArea dataOnly="0" labelOnly="1" fieldPosition="0">
        <references count="1">
          <reference field="2" count="0"/>
        </references>
      </pivotArea>
    </format>
    <format dxfId="225">
      <pivotArea dataOnly="0" labelOnly="1" grandRow="1" outline="0" fieldPosition="0"/>
    </format>
    <format dxfId="226">
      <pivotArea dataOnly="0" labelOnly="1" grandRow="1" outline="0" fieldPosition="0"/>
    </format>
    <format dxfId="227">
      <pivotArea type="all" dataOnly="0" outline="0" fieldPosition="0"/>
    </format>
    <format dxfId="228">
      <pivotArea outline="0" collapsedLevelsAreSubtotals="1" fieldPosition="0"/>
    </format>
    <format dxfId="229">
      <pivotArea type="origin" dataOnly="0" labelOnly="1" outline="0" fieldPosition="0"/>
    </format>
    <format dxfId="230">
      <pivotArea field="5" type="button" dataOnly="0" labelOnly="1" outline="0" axis="axisCol" fieldPosition="0"/>
    </format>
    <format dxfId="231">
      <pivotArea field="4" type="button" dataOnly="0" labelOnly="1" outline="0" axis="axisCol" fieldPosition="1"/>
    </format>
    <format dxfId="232">
      <pivotArea type="topRight" dataOnly="0" labelOnly="1" outline="0" fieldPosition="0"/>
    </format>
    <format dxfId="233">
      <pivotArea field="2" type="button" dataOnly="0" labelOnly="1" outline="0" axis="axisRow" fieldPosition="0"/>
    </format>
    <format dxfId="234">
      <pivotArea dataOnly="0" labelOnly="1" fieldPosition="0">
        <references count="1">
          <reference field="2" count="0"/>
        </references>
      </pivotArea>
    </format>
    <format dxfId="235">
      <pivotArea dataOnly="0" labelOnly="1" grandRow="1" outline="0" fieldPosition="0"/>
    </format>
    <format dxfId="236">
      <pivotArea dataOnly="0" labelOnly="1" fieldPosition="0">
        <references count="1">
          <reference field="5" count="0"/>
        </references>
      </pivotArea>
    </format>
    <format dxfId="237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0"/>
          </reference>
        </references>
      </pivotArea>
    </format>
    <format dxfId="238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1"/>
          </reference>
        </references>
      </pivotArea>
    </format>
    <format dxfId="239">
      <pivotArea dataOnly="0" labelOnly="1" fieldPosition="0">
        <references count="2">
          <reference field="4" count="2">
            <x v="0"/>
            <x v="4"/>
          </reference>
          <reference field="5" count="1" selected="0">
            <x v="2"/>
          </reference>
        </references>
      </pivotArea>
    </format>
    <format dxfId="240">
      <pivotArea dataOnly="0" labelOnly="1" fieldPosition="0">
        <references count="2">
          <reference field="4" count="2">
            <x v="0"/>
            <x v="4"/>
          </reference>
          <reference field="5" count="1" selected="0">
            <x v="3"/>
          </reference>
        </references>
      </pivotArea>
    </format>
    <format dxfId="241">
      <pivotArea dataOnly="0" labelOnly="1" fieldPosition="0">
        <references count="2">
          <reference field="4" count="1">
            <x v="4"/>
          </reference>
          <reference field="5" count="1" selected="0">
            <x v="4"/>
          </reference>
        </references>
      </pivotArea>
    </format>
    <format dxfId="242">
      <pivotArea dataOnly="0" labelOnly="1" fieldPosition="0">
        <references count="2">
          <reference field="4" count="2">
            <x v="2"/>
            <x v="4"/>
          </reference>
          <reference field="5" count="1" selected="0">
            <x v="6"/>
          </reference>
        </references>
      </pivotArea>
    </format>
    <format dxfId="243">
      <pivotArea type="all" dataOnly="0" outline="0" fieldPosition="0"/>
    </format>
    <format dxfId="244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1"/>
          </reference>
        </references>
      </pivotArea>
    </format>
    <format dxfId="245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2"/>
          </reference>
        </references>
      </pivotArea>
    </format>
    <format dxfId="246">
      <pivotArea dataOnly="0" labelOnly="1" fieldPosition="0">
        <references count="2">
          <reference field="4" count="3">
            <x v="0"/>
            <x v="1"/>
            <x v="4"/>
          </reference>
          <reference field="5" count="1" selected="0">
            <x v="3"/>
          </reference>
        </references>
      </pivotArea>
    </format>
    <format dxfId="247">
      <pivotArea dataOnly="0" labelOnly="1" fieldPosition="0">
        <references count="2">
          <reference field="4" count="2">
            <x v="2"/>
            <x v="4"/>
          </reference>
          <reference field="5" count="1" selected="0">
            <x v="6"/>
          </reference>
        </references>
      </pivotArea>
    </format>
    <format dxfId="248">
      <pivotArea type="all" dataOnly="0" outline="0" fieldPosition="0"/>
    </format>
    <format dxfId="249">
      <pivotArea dataOnly="0" labelOnly="1" fieldPosition="0">
        <references count="2">
          <reference field="4" count="2">
            <x v="2"/>
            <x v="4"/>
          </reference>
          <reference field="5" count="1" selected="0">
            <x v="6"/>
          </reference>
        </references>
      </pivotArea>
    </format>
    <format dxfId="250">
      <pivotArea dataOnly="0" labelOnly="1" fieldPosition="0">
        <references count="1">
          <reference field="2" count="0"/>
        </references>
      </pivotArea>
    </format>
    <format dxfId="251">
      <pivotArea dataOnly="0" labelOnly="1" grandRow="1" outline="0" fieldPosition="0"/>
    </format>
    <format dxfId="252">
      <pivotArea outline="0" collapsedLevelsAreSubtotals="1" fieldPosition="0">
        <references count="2">
          <reference field="4" count="0" selected="0"/>
          <reference field="5" count="1" selected="0">
            <x v="1"/>
          </reference>
        </references>
      </pivotArea>
    </format>
    <format dxfId="253">
      <pivotArea dataOnly="0" labelOnly="1" fieldPosition="0">
        <references count="2">
          <reference field="4" count="0"/>
          <reference field="5" count="1" selected="0">
            <x v="1"/>
          </reference>
        </references>
      </pivotArea>
    </format>
    <format dxfId="254">
      <pivotArea outline="0" collapsedLevelsAreSubtotals="1" fieldPosition="0">
        <references count="2">
          <reference field="4" count="0" selected="0"/>
          <reference field="5" count="1" selected="0">
            <x v="2"/>
          </reference>
        </references>
      </pivotArea>
    </format>
    <format dxfId="255">
      <pivotArea dataOnly="0" labelOnly="1" fieldPosition="0">
        <references count="2">
          <reference field="4" count="0"/>
          <reference field="5" count="1" selected="0">
            <x v="2"/>
          </reference>
        </references>
      </pivotArea>
    </format>
    <format dxfId="256">
      <pivotArea outline="0" collapsedLevelsAreSubtotals="1" fieldPosition="0">
        <references count="2">
          <reference field="4" count="0" selected="0"/>
          <reference field="5" count="1" selected="0">
            <x v="3"/>
          </reference>
        </references>
      </pivotArea>
    </format>
    <format dxfId="257">
      <pivotArea dataOnly="0" labelOnly="1" fieldPosition="0">
        <references count="2">
          <reference field="4" count="0"/>
          <reference field="5" count="1" selected="0">
            <x v="3"/>
          </reference>
        </references>
      </pivotArea>
    </format>
    <format dxfId="258">
      <pivotArea dataOnly="0" labelOnly="1" fieldPosition="0">
        <references count="1">
          <reference field="2" count="0"/>
        </references>
      </pivotArea>
    </format>
    <format dxfId="259">
      <pivotArea dataOnly="0" labelOnly="1" grandRow="1" outline="0" fieldPosition="0"/>
    </format>
    <format dxfId="260">
      <pivotArea field="5" grandRow="1" outline="0" collapsedLevelsAreSubtotals="1" axis="axisCol" fieldPosition="0">
        <references count="1">
          <reference field="5" count="1" selected="0">
            <x v="4"/>
          </reference>
        </references>
      </pivotArea>
    </format>
    <format dxfId="261">
      <pivotArea dataOnly="0" labelOnly="1" fieldPosition="0">
        <references count="1">
          <reference field="2" count="0"/>
        </references>
      </pivotArea>
    </format>
    <format dxfId="262">
      <pivotArea dataOnly="0" labelOnly="1" grandRow="1" outline="0" fieldPosition="0"/>
    </format>
    <format dxfId="263">
      <pivotArea type="all" dataOnly="0" outline="0" fieldPosition="0"/>
    </format>
    <format dxfId="264">
      <pivotArea outline="0" collapsedLevelsAreSubtotals="1" fieldPosition="0"/>
    </format>
    <format dxfId="265">
      <pivotArea type="topRight" dataOnly="0" labelOnly="1" outline="0" fieldPosition="0"/>
    </format>
    <format dxfId="266">
      <pivotArea dataOnly="0" labelOnly="1" fieldPosition="0">
        <references count="1">
          <reference field="5" count="0"/>
        </references>
      </pivotArea>
    </format>
    <format dxfId="267">
      <pivotArea dataOnly="0" labelOnly="1" fieldPosition="0">
        <references count="2">
          <reference field="4" count="0"/>
          <reference field="5" count="1" selected="0">
            <x v="0"/>
          </reference>
        </references>
      </pivotArea>
    </format>
    <format dxfId="268">
      <pivotArea dataOnly="0" labelOnly="1" fieldPosition="0">
        <references count="2">
          <reference field="4" count="3">
            <x v="0"/>
            <x v="4"/>
            <x v="6"/>
          </reference>
          <reference field="5" count="1" selected="0">
            <x v="1"/>
          </reference>
        </references>
      </pivotArea>
    </format>
    <format dxfId="269">
      <pivotArea dataOnly="0" labelOnly="1" fieldPosition="0">
        <references count="2">
          <reference field="4" count="3">
            <x v="0"/>
            <x v="4"/>
            <x v="6"/>
          </reference>
          <reference field="5" count="1" selected="0">
            <x v="2"/>
          </reference>
        </references>
      </pivotArea>
    </format>
    <format dxfId="270">
      <pivotArea dataOnly="0" labelOnly="1" fieldPosition="0">
        <references count="2">
          <reference field="4" count="3">
            <x v="0"/>
            <x v="4"/>
            <x v="6"/>
          </reference>
          <reference field="5" count="1" selected="0">
            <x v="3"/>
          </reference>
        </references>
      </pivotArea>
    </format>
    <format dxfId="271">
      <pivotArea dataOnly="0" labelOnly="1" fieldPosition="0">
        <references count="2">
          <reference field="4" count="2">
            <x v="4"/>
            <x v="6"/>
          </reference>
          <reference field="5" count="1" selected="0">
            <x v="4"/>
          </reference>
        </references>
      </pivotArea>
    </format>
    <format dxfId="272">
      <pivotArea outline="0" collapsedLevelsAreSubtotals="1" fieldPosition="0"/>
    </format>
    <format dxfId="273">
      <pivotArea dataOnly="0" labelOnly="1" fieldPosition="0">
        <references count="2">
          <reference field="4" count="0"/>
          <reference field="5" count="1" selected="0">
            <x v="0"/>
          </reference>
        </references>
      </pivotArea>
    </format>
    <format dxfId="274">
      <pivotArea dataOnly="0" labelOnly="1" fieldPosition="0">
        <references count="2">
          <reference field="4" count="3">
            <x v="0"/>
            <x v="4"/>
            <x v="6"/>
          </reference>
          <reference field="5" count="1" selected="0">
            <x v="1"/>
          </reference>
        </references>
      </pivotArea>
    </format>
    <format dxfId="275">
      <pivotArea dataOnly="0" labelOnly="1" fieldPosition="0">
        <references count="2">
          <reference field="4" count="3">
            <x v="0"/>
            <x v="4"/>
            <x v="6"/>
          </reference>
          <reference field="5" count="1" selected="0">
            <x v="2"/>
          </reference>
        </references>
      </pivotArea>
    </format>
    <format dxfId="276">
      <pivotArea dataOnly="0" labelOnly="1" fieldPosition="0">
        <references count="2">
          <reference field="4" count="3">
            <x v="0"/>
            <x v="4"/>
            <x v="6"/>
          </reference>
          <reference field="5" count="1" selected="0">
            <x v="3"/>
          </reference>
        </references>
      </pivotArea>
    </format>
    <format dxfId="277">
      <pivotArea dataOnly="0" labelOnly="1" fieldPosition="0">
        <references count="2">
          <reference field="4" count="2">
            <x v="4"/>
            <x v="6"/>
          </reference>
          <reference field="5" count="1" selected="0">
            <x v="4"/>
          </reference>
        </references>
      </pivotArea>
    </format>
    <format dxfId="278">
      <pivotArea dataOnly="0" labelOnly="1" fieldPosition="0">
        <references count="2">
          <reference field="4" count="0"/>
          <reference field="5" count="1" selected="0">
            <x v="0"/>
          </reference>
        </references>
      </pivotArea>
    </format>
    <format dxfId="279">
      <pivotArea dataOnly="0" labelOnly="1" fieldPosition="0">
        <references count="2">
          <reference field="4" count="3">
            <x v="0"/>
            <x v="4"/>
            <x v="6"/>
          </reference>
          <reference field="5" count="1" selected="0">
            <x v="1"/>
          </reference>
        </references>
      </pivotArea>
    </format>
    <format dxfId="280">
      <pivotArea dataOnly="0" labelOnly="1" fieldPosition="0">
        <references count="2">
          <reference field="4" count="3">
            <x v="0"/>
            <x v="4"/>
            <x v="6"/>
          </reference>
          <reference field="5" count="1" selected="0">
            <x v="2"/>
          </reference>
        </references>
      </pivotArea>
    </format>
    <format dxfId="281">
      <pivotArea dataOnly="0" labelOnly="1" fieldPosition="0">
        <references count="2">
          <reference field="4" count="3">
            <x v="0"/>
            <x v="4"/>
            <x v="6"/>
          </reference>
          <reference field="5" count="1" selected="0">
            <x v="3"/>
          </reference>
        </references>
      </pivotArea>
    </format>
    <format dxfId="282">
      <pivotArea dataOnly="0" labelOnly="1" fieldPosition="0">
        <references count="2">
          <reference field="4" count="2">
            <x v="4"/>
            <x v="6"/>
          </reference>
          <reference field="5" count="1" selected="0">
            <x v="4"/>
          </reference>
        </references>
      </pivotArea>
    </format>
    <format dxfId="283">
      <pivotArea type="all" dataOnly="0" outline="0" fieldPosition="0"/>
    </format>
    <format dxfId="284">
      <pivotArea outline="0" collapsedLevelsAreSubtotals="1" fieldPosition="0"/>
    </format>
    <format dxfId="285">
      <pivotArea outline="0" collapsedLevelsAreSubtotals="1" fieldPosition="0"/>
    </format>
    <format dxfId="286">
      <pivotArea collapsedLevelsAreSubtotals="1" fieldPosition="0">
        <references count="3">
          <reference field="2" count="2">
            <x v="1"/>
            <x v="2"/>
          </reference>
          <reference field="4" count="0" selected="0"/>
          <reference field="5" count="1" selected="0">
            <x v="0"/>
          </reference>
        </references>
      </pivotArea>
    </format>
    <format dxfId="287">
      <pivotArea field="5" grandRow="1" outline="0" collapsedLevelsAreSubtotals="1" axis="axisCol" fieldPosition="0">
        <references count="2">
          <reference field="4" count="0" selected="0"/>
          <reference field="5" count="1" selected="0">
            <x v="0"/>
          </reference>
        </references>
      </pivotArea>
    </format>
    <format dxfId="288">
      <pivotArea outline="0" collapsedLevelsAreSubtotals="1" fieldPosition="0">
        <references count="1">
          <reference field="5" count="4" selected="0">
            <x v="1"/>
            <x v="2"/>
            <x v="3"/>
            <x v="4"/>
          </reference>
        </references>
      </pivotArea>
    </format>
    <format dxfId="289">
      <pivotArea outline="0" collapsedLevelsAreSubtotals="1" fieldPosition="0">
        <references count="2">
          <reference field="4" count="1" selected="0">
            <x v="6"/>
          </reference>
          <reference field="5" count="1" selected="0">
            <x v="0"/>
          </reference>
        </references>
      </pivotArea>
    </format>
    <format dxfId="290">
      <pivotArea outline="0" collapsedLevelsAreSubtotals="1" fieldPosition="0">
        <references count="2">
          <reference field="4" count="1" selected="0">
            <x v="6"/>
          </reference>
          <reference field="5" count="1" selected="0">
            <x v="1"/>
          </reference>
        </references>
      </pivotArea>
    </format>
    <format dxfId="291">
      <pivotArea outline="0" collapsedLevelsAreSubtotals="1" fieldPosition="0">
        <references count="2">
          <reference field="4" count="1" selected="0">
            <x v="6"/>
          </reference>
          <reference field="5" count="1" selected="0">
            <x v="2"/>
          </reference>
        </references>
      </pivotArea>
    </format>
    <format dxfId="292">
      <pivotArea outline="0" collapsedLevelsAreSubtotals="1" fieldPosition="0">
        <references count="2">
          <reference field="4" count="1" selected="0">
            <x v="6"/>
          </reference>
          <reference field="5" count="1" selected="0">
            <x v="3"/>
          </reference>
        </references>
      </pivotArea>
    </format>
    <format dxfId="293">
      <pivotArea collapsedLevelsAreSubtotals="1" fieldPosition="0">
        <references count="3">
          <reference field="2" count="0"/>
          <reference field="4" count="1" selected="0">
            <x v="4"/>
          </reference>
          <reference field="5" count="1" selected="0">
            <x v="2"/>
          </reference>
        </references>
      </pivotArea>
    </format>
    <format dxfId="294">
      <pivotArea collapsedLevelsAreSubtotals="1" fieldPosition="0">
        <references count="3">
          <reference field="2" count="0"/>
          <reference field="4" count="1" selected="0">
            <x v="4"/>
          </reference>
          <reference field="5" count="1" selected="0">
            <x v="3"/>
          </reference>
        </references>
      </pivotArea>
    </format>
    <format dxfId="295">
      <pivotArea collapsedLevelsAreSubtotals="1" fieldPosition="0">
        <references count="3">
          <reference field="2" count="0"/>
          <reference field="4" count="1" selected="0">
            <x v="4"/>
          </reference>
          <reference field="5" count="1" selected="0">
            <x v="4"/>
          </reference>
        </references>
      </pivotArea>
    </format>
    <format dxfId="296">
      <pivotArea dataOnly="0" labelOnly="1" fieldPosition="0">
        <references count="2">
          <reference field="4" count="2">
            <x v="4"/>
            <x v="6"/>
          </reference>
          <reference field="5" count="1" selected="0">
            <x v="0"/>
          </reference>
        </references>
      </pivotArea>
    </format>
    <format dxfId="297">
      <pivotArea field="5" grandRow="1" outline="0" collapsedLevelsAreSubtotals="1" axis="axisCol" fieldPosition="0">
        <references count="2">
          <reference field="4" count="1" selected="0">
            <x v="0"/>
          </reference>
          <reference field="5" count="1" selected="0">
            <x v="1"/>
          </reference>
        </references>
      </pivotArea>
    </format>
    <format dxfId="298">
      <pivotArea field="5" grandRow="1" outline="0" collapsedLevelsAreSubtotals="1" axis="axisCol" fieldPosition="0">
        <references count="2">
          <reference field="4" count="1" selected="0">
            <x v="0"/>
          </reference>
          <reference field="5" count="1" selected="0">
            <x v="2"/>
          </reference>
        </references>
      </pivotArea>
    </format>
    <format dxfId="299">
      <pivotArea field="5" grandRow="1" outline="0" collapsedLevelsAreSubtotals="1" axis="axisCol" fieldPosition="0">
        <references count="2">
          <reference field="4" count="1" selected="0">
            <x v="0"/>
          </reference>
          <reference field="5" count="1" selected="0">
            <x v="3"/>
          </reference>
        </references>
      </pivotArea>
    </format>
    <format dxfId="300">
      <pivotArea collapsedLevelsAreSubtotals="1" fieldPosition="0">
        <references count="3">
          <reference field="2" count="0"/>
          <reference field="4" count="1" selected="0">
            <x v="0"/>
          </reference>
          <reference field="5" count="1" selected="0">
            <x v="1"/>
          </reference>
        </references>
      </pivotArea>
    </format>
    <format dxfId="301">
      <pivotArea collapsedLevelsAreSubtotals="1" fieldPosition="0">
        <references count="3">
          <reference field="2" count="0"/>
          <reference field="4" count="1" selected="0">
            <x v="0"/>
          </reference>
          <reference field="5" count="1" selected="0">
            <x v="2"/>
          </reference>
        </references>
      </pivotArea>
    </format>
    <format dxfId="302">
      <pivotArea collapsedLevelsAreSubtotals="1" fieldPosition="0">
        <references count="3">
          <reference field="2" count="0"/>
          <reference field="4" count="1" selected="0">
            <x v="0"/>
          </reference>
          <reference field="5" count="1" selected="0">
            <x v="3"/>
          </reference>
        </references>
      </pivotArea>
    </format>
    <format dxfId="303">
      <pivotArea collapsedLevelsAreSubtotals="1" fieldPosition="0">
        <references count="3">
          <reference field="2" count="1">
            <x v="2"/>
          </reference>
          <reference field="4" count="1" selected="0">
            <x v="1"/>
          </reference>
          <reference field="5" count="1" selected="0">
            <x v="1"/>
          </reference>
        </references>
      </pivotArea>
    </format>
    <format dxfId="304">
      <pivotArea field="5" grandRow="1" outline="0" collapsedLevelsAreSubtotals="1" axis="axisCol" fieldPosition="0">
        <references count="2">
          <reference field="4" count="1" selected="0">
            <x v="1"/>
          </reference>
          <reference field="5" count="1" selected="0">
            <x v="1"/>
          </reference>
        </references>
      </pivotArea>
    </format>
    <format dxfId="305">
      <pivotArea collapsedLevelsAreSubtotals="1" fieldPosition="0">
        <references count="3">
          <reference field="2" count="0"/>
          <reference field="4" count="1" selected="0">
            <x v="4"/>
          </reference>
          <reference field="5" count="1" selected="0">
            <x v="0"/>
          </reference>
        </references>
      </pivotArea>
    </format>
    <format dxfId="306">
      <pivotArea collapsedLevelsAreSubtotals="1" fieldPosition="0">
        <references count="3">
          <reference field="2" count="0"/>
          <reference field="4" count="1" selected="0">
            <x v="4"/>
          </reference>
          <reference field="5" count="1" selected="0">
            <x v="1"/>
          </reference>
        </references>
      </pivotArea>
    </format>
    <format dxfId="307">
      <pivotArea type="origin" dataOnly="0" labelOnly="1" outline="0" fieldPosition="0"/>
    </format>
    <format dxfId="308">
      <pivotArea field="5" type="button" dataOnly="0" labelOnly="1" outline="0" axis="axisCol" fieldPosition="0"/>
    </format>
    <format dxfId="309">
      <pivotArea field="4" type="button" dataOnly="0" labelOnly="1" outline="0" axis="axisCol" fieldPosition="1"/>
    </format>
    <format dxfId="310">
      <pivotArea type="topRight" dataOnly="0" labelOnly="1" outline="0" offset="A1:B1" fieldPosition="0"/>
    </format>
    <format dxfId="311">
      <pivotArea dataOnly="0" labelOnly="1" fieldPosition="0">
        <references count="1">
          <reference field="5" count="1">
            <x v="0"/>
          </reference>
        </references>
      </pivotArea>
    </format>
    <format dxfId="312">
      <pivotArea type="topRight" dataOnly="0" labelOnly="1" outline="0" offset="G1:I1" fieldPosition="0"/>
    </format>
    <format dxfId="313">
      <pivotArea dataOnly="0" labelOnly="1" fieldPosition="0">
        <references count="1">
          <reference field="5" count="1">
            <x v="2"/>
          </reference>
        </references>
      </pivotArea>
    </format>
    <format dxfId="314">
      <pivotArea type="topRight" dataOnly="0" labelOnly="1" outline="0" offset="J1:L1" fieldPosition="0"/>
    </format>
    <format dxfId="315">
      <pivotArea dataOnly="0" labelOnly="1" fieldPosition="0">
        <references count="1">
          <reference field="5" count="1">
            <x v="3"/>
          </reference>
        </references>
      </pivotArea>
    </format>
    <format dxfId="316">
      <pivotArea type="topRight" dataOnly="0" labelOnly="1" outline="0" offset="M1:N1" fieldPosition="0"/>
    </format>
    <format dxfId="317">
      <pivotArea dataOnly="0" labelOnly="1" fieldPosition="0">
        <references count="1">
          <reference field="5" count="1">
            <x v="4"/>
          </reference>
        </references>
      </pivotArea>
    </format>
    <format dxfId="318">
      <pivotArea collapsedLevelsAreSubtotals="1" fieldPosition="0">
        <references count="3">
          <reference field="2" count="1">
            <x v="1"/>
          </reference>
          <reference field="4" count="1" selected="0">
            <x v="1"/>
          </reference>
          <reference field="5" count="1" selected="0">
            <x v="1"/>
          </reference>
        </references>
      </pivotArea>
    </format>
    <format dxfId="319">
      <pivotArea field="5" grandRow="1" outline="0" collapsedLevelsAreSubtotals="1" axis="axisCol" fieldPosition="0">
        <references count="2">
          <reference field="4" count="1" selected="0">
            <x v="4"/>
          </reference>
          <reference field="5" count="1" selected="0">
            <x v="1"/>
          </reference>
        </references>
      </pivotArea>
    </format>
    <format dxfId="320">
      <pivotArea field="5" grandRow="1" outline="0" collapsedLevelsAreSubtotals="1" axis="axisCol" fieldPosition="0">
        <references count="2">
          <reference field="4" count="1" selected="0">
            <x v="4"/>
          </reference>
          <reference field="5" count="1" selected="0">
            <x v="0"/>
          </reference>
        </references>
      </pivotArea>
    </format>
    <format dxfId="321">
      <pivotArea field="5" grandRow="1" outline="0" collapsedLevelsAreSubtotals="1" axis="axisCol" fieldPosition="0">
        <references count="2">
          <reference field="4" count="1" selected="0">
            <x v="4"/>
          </reference>
          <reference field="5" count="1" selected="0">
            <x v="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991A-7055-43E9-A073-209F7F9A7B04}" name="TablaDinámica2" cacheId="2246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rowHeaderCaption="Status">
  <location ref="A3:B7" firstHeaderRow="1" firstDataRow="1" firstDataCol="1"/>
  <pivotFields count="13">
    <pivotField showAll="0">
      <items count="8">
        <item x="0"/>
        <item x="2"/>
        <item m="1" x="5"/>
        <item x="1"/>
        <item x="3"/>
        <item x="4"/>
        <item m="1" x="6"/>
        <item t="default"/>
      </items>
    </pivotField>
    <pivotField showAll="0">
      <items count="9">
        <item m="1" x="6"/>
        <item x="0"/>
        <item x="4"/>
        <item x="2"/>
        <item m="1" x="7"/>
        <item x="3"/>
        <item x="1"/>
        <item x="5"/>
        <item t="default"/>
      </items>
    </pivotField>
    <pivotField showAll="0">
      <items count="5">
        <item x="1"/>
        <item m="1" x="3"/>
        <item x="2"/>
        <item x="0"/>
        <item t="default"/>
      </items>
    </pivotField>
    <pivotField showAll="0"/>
    <pivotField axis="axisRow" showAll="0">
      <items count="8">
        <item x="1"/>
        <item m="1" x="4"/>
        <item x="0"/>
        <item m="1" x="3"/>
        <item f="1" x="5"/>
        <item m="1" x="2"/>
        <item f="1" x="6"/>
        <item t="default"/>
      </items>
    </pivotField>
    <pivotField showAll="0"/>
    <pivotField showAll="0"/>
    <pivotField showAll="0"/>
    <pivotField dataField="1" showAll="0"/>
    <pivotField showAll="0"/>
    <pivotField numFmtId="17" showAll="0">
      <items count="11">
        <item h="1" x="0"/>
        <item h="1" x="5"/>
        <item h="1" x="7"/>
        <item h="1" x="1"/>
        <item h="1" x="9"/>
        <item h="1" x="2"/>
        <item h="1" x="4"/>
        <item h="1" x="8"/>
        <item h="1" x="3"/>
        <item x="6"/>
        <item t="default"/>
      </items>
    </pivotField>
    <pivotField showAll="0"/>
    <pivotField showAll="0"/>
  </pivotFields>
  <rowFields count="1">
    <field x="4"/>
  </rowFields>
  <rowItems count="4">
    <i>
      <x/>
    </i>
    <i>
      <x v="2"/>
    </i>
    <i>
      <x v="4"/>
    </i>
    <i>
      <x v="6"/>
    </i>
  </rowItems>
  <colItems count="1">
    <i/>
  </colItems>
  <dataFields count="1">
    <dataField name="Monto $" fld="8" baseField="0" baseItem="0" numFmtId="164"/>
  </dataFields>
  <formats count="3">
    <format dxfId="8">
      <pivotArea outline="0" collapsedLevelsAreSubtotals="1" fieldPosition="0"/>
    </format>
    <format dxfId="9">
      <pivotArea dataOnly="0" labelOnly="1" outline="0" axis="axisValues" fieldPosition="0"/>
    </format>
    <format dxfId="10">
      <pivotArea collapsedLevelsAreSubtotals="1" fieldPosition="0">
        <references count="1">
          <reference field="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AAB6F-7D66-4F0D-9B5D-F15C83816365}" name="TablaDinámica1" cacheId="2246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rowHeaderCaption="Status">
  <location ref="A14:B18" firstHeaderRow="1" firstDataRow="1" firstDataCol="1" rowPageCount="1" colPageCount="1"/>
  <pivotFields count="13">
    <pivotField showAll="0">
      <items count="8">
        <item x="0"/>
        <item x="2"/>
        <item m="1" x="5"/>
        <item x="1"/>
        <item x="3"/>
        <item x="4"/>
        <item m="1" x="6"/>
        <item t="default"/>
      </items>
    </pivotField>
    <pivotField showAll="0">
      <items count="9">
        <item m="1" x="6"/>
        <item x="0"/>
        <item x="4"/>
        <item x="2"/>
        <item m="1" x="7"/>
        <item x="3"/>
        <item x="1"/>
        <item x="5"/>
        <item t="default"/>
      </items>
    </pivotField>
    <pivotField axis="axisPage" multipleItemSelectionAllowed="1" showAll="0">
      <items count="5">
        <item x="1"/>
        <item m="1" x="3"/>
        <item x="2"/>
        <item x="0"/>
        <item t="default"/>
      </items>
    </pivotField>
    <pivotField showAll="0"/>
    <pivotField axis="axisRow" showAll="0">
      <items count="8">
        <item x="1"/>
        <item m="1" x="4"/>
        <item x="0"/>
        <item m="1" x="3"/>
        <item f="1" x="5"/>
        <item m="1" x="2"/>
        <item f="1" x="6"/>
        <item t="default"/>
      </items>
    </pivotField>
    <pivotField showAll="0"/>
    <pivotField showAll="0"/>
    <pivotField showAll="0"/>
    <pivotField dataField="1" showAll="0"/>
    <pivotField showAll="0"/>
    <pivotField numFmtId="17" showAll="0">
      <items count="11">
        <item h="1" x="0"/>
        <item h="1" x="5"/>
        <item h="1" x="7"/>
        <item h="1" x="1"/>
        <item h="1" x="9"/>
        <item h="1" x="2"/>
        <item h="1" x="4"/>
        <item h="1" x="8"/>
        <item h="1" x="3"/>
        <item x="6"/>
        <item t="default"/>
      </items>
    </pivotField>
    <pivotField showAll="0"/>
    <pivotField showAll="0"/>
  </pivotFields>
  <rowFields count="1">
    <field x="4"/>
  </rowFields>
  <rowItems count="4">
    <i>
      <x/>
    </i>
    <i>
      <x v="2"/>
    </i>
    <i>
      <x v="4"/>
    </i>
    <i>
      <x v="6"/>
    </i>
  </rowItems>
  <colItems count="1">
    <i/>
  </colItems>
  <pageFields count="1">
    <pageField fld="2" hier="-1"/>
  </pageFields>
  <dataFields count="1">
    <dataField name="Monto $" fld="8" baseField="0" baseItem="0" numFmtId="164"/>
  </dataFields>
  <formats count="2">
    <format dxfId="6">
      <pivotArea outline="0" collapsedLevelsAreSubtotals="1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Unidad_de_Negocio" xr10:uid="{0D7B8EBA-FE8E-4E89-85F9-7A1ABA97EF87}" sourceName="Unidad de Negocio">
  <pivotTables>
    <pivotTable tabId="2" name="TablaDinámica1"/>
    <pivotTable tabId="10" name="TablaDinámica2"/>
    <pivotTable tabId="2" name="TablaDinámica2"/>
    <pivotTable tabId="10" name="TablaDinámica1"/>
  </pivotTables>
  <data>
    <tabular pivotCacheId="1914387663" showMissing="0" crossFilter="none">
      <items count="8">
        <i x="0" s="1"/>
        <i x="4" s="1"/>
        <i x="2" s="1"/>
        <i x="3" s="1"/>
        <i x="1" s="1"/>
        <i x="5" s="1"/>
        <i x="6" s="1"/>
        <i x="7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6BCB545B-D8BC-4320-8019-F33C6624CB39}" sourceName="Tipo">
  <pivotTables>
    <pivotTable tabId="2" name="TablaDinámica2"/>
    <pivotTable tabId="2" name="TablaDinámica1"/>
    <pivotTable tabId="10" name="TablaDinámica1"/>
    <pivotTable tabId="10" name="TablaDinámica2"/>
  </pivotTables>
  <data>
    <tabular pivotCacheId="1914387663" showMissing="0" crossFilter="none">
      <items count="4">
        <i x="1" s="1"/>
        <i x="2" s="1"/>
        <i x="0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mpresa" xr10:uid="{12AFC56F-DB33-4DD5-B677-75698766507C}" sourceName="Empresa">
  <pivotTables>
    <pivotTable tabId="2" name="TablaDinámica1"/>
    <pivotTable tabId="2" name="TablaDinámica2"/>
    <pivotTable tabId="10" name="TablaDinámica1"/>
    <pivotTable tabId="10" name="TablaDinámica2"/>
  </pivotTables>
  <data>
    <tabular pivotCacheId="1914387663" showMissing="0" crossFilter="none">
      <items count="7">
        <i x="0" s="1"/>
        <i x="2" s="1"/>
        <i x="1" s="1"/>
        <i x="3" s="1"/>
        <i x="4" s="1"/>
        <i x="5" s="1"/>
        <i x="6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39F7D3E3-95EA-43E3-A979-1B808D64652B}" sourceName="Mes">
  <pivotTables>
    <pivotTable tabId="2" name="TablaDinámica1"/>
    <pivotTable tabId="2" name="TablaDinámica2"/>
    <pivotTable tabId="10" name="TablaDinámica1"/>
    <pivotTable tabId="10" name="TablaDinámica2"/>
  </pivotTables>
  <data>
    <tabular pivotCacheId="1914387663" showMissing="0" crossFilter="none">
      <items count="10">
        <i x="0"/>
        <i x="5"/>
        <i x="7"/>
        <i x="1"/>
        <i x="9"/>
        <i x="2"/>
        <i x="4"/>
        <i x="8"/>
        <i x="3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 de Negocio" xr10:uid="{61B0455C-5BD0-4632-AA38-23314D629B4A}" cache="SegmentaciónDeDatos_Unidad_de_Negocio" caption="Unidad de Negocio" startItem="3" columnCount="3" style="SlicerStyleLight3" rowHeight="257175"/>
  <slicer name="Tipo" xr10:uid="{D90E81BD-CF95-482C-9E64-A0BF953BDD5F}" cache="SegmentaciónDeDatos_Tipo" caption="Tipo" style="SlicerStyleLight3" rowHeight="257175"/>
  <slicer name="Empresa" xr10:uid="{E4E7D976-ED95-4BF4-B654-0A889663F3BC}" cache="SegmentaciónDeDatos_Empresa" caption="Empresa" columnCount="2" style="SlicerStyleLight3" rowHeight="247650"/>
  <slicer name="Mes" xr10:uid="{83FF45E4-2497-45C0-917B-64CD9941D1EC}" cache="SegmentaciónDeDatos_Mes" caption="Mes" startItem="4" columnCount="4" style="SlicerStyleLight3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3DBAD-9842-446C-9D65-C0F47FAC7971}" name="Tabla1" displayName="Tabla1" ref="A1:M3307" totalsRowShown="0">
  <autoFilter ref="A1:M3307" xr:uid="{2E415BC4-90C9-4B66-80D5-AA0F5C15EEDE}">
    <filterColumn colId="1">
      <filters>
        <filter val="Logística Espacial"/>
      </filters>
    </filterColumn>
    <filterColumn colId="6">
      <filters blank="1">
        <dateGroupItem year="2026" month="2" dateTimeGrouping="month"/>
      </filters>
    </filterColumn>
  </autoFilter>
  <sortState xmlns:xlrd2="http://schemas.microsoft.com/office/spreadsheetml/2017/richdata2" ref="A18:M3301">
    <sortCondition ref="G1:G3301"/>
  </sortState>
  <tableColumns count="13">
    <tableColumn id="1" xr3:uid="{92232882-3329-4468-ACA5-2634817832C9}" name="Empresa"/>
    <tableColumn id="2" xr3:uid="{24C8D059-6382-4F67-BBBF-53E6FCEAB172}" name="Unidad de Negocio"/>
    <tableColumn id="3" xr3:uid="{CC69E72B-3476-40A8-819C-8D4310170CEE}" name="Tipo"/>
    <tableColumn id="4" xr3:uid="{B6718CE4-2067-4D9D-9408-6A16F1689D6B}" name="# Recibo PC Graf"/>
    <tableColumn id="5" xr3:uid="{7BECF02F-5239-4D46-9C61-F785DA731A7F}" name="Estado"/>
    <tableColumn id="6" xr3:uid="{338D32B5-B40F-4B1A-8BD8-8C378D2C8AAC}" name="Semana " dataDxfId="4" totalsRowDxfId="5"/>
    <tableColumn id="7" xr3:uid="{5EC928EA-42B4-4934-A690-3EBB3A7136B1}" name="Fecha de Flujo" dataDxfId="2" totalsRowDxfId="3"/>
    <tableColumn id="8" xr3:uid="{0B452811-1EAA-4606-B513-6762F42213D6}" name="Moneda"/>
    <tableColumn id="9" xr3:uid="{9E3F2D1E-437A-4E46-8223-4C78C61DC5C3}" name="Monto" dataDxfId="0" totalsRowDxfId="1"/>
    <tableColumn id="10" xr3:uid="{B0C9815A-6B73-4FE9-9917-87029CD890F3}" name="Cliente"/>
    <tableColumn id="13" xr3:uid="{8DF70D91-8A21-4A7F-89C8-F9111C95A0D8}" name="Mes"/>
    <tableColumn id="11" xr3:uid="{4AB68239-F9F5-4435-84FC-E46052254470}" name="Cobrado"/>
    <tableColumn id="12" xr3:uid="{A1A50A9E-847E-4A02-BF60-F95C98A577EC}" name="Comentari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B420-8842-4768-ABA3-93C881A2CDFD}">
  <dimension ref="A3:AJ30"/>
  <sheetViews>
    <sheetView showGridLines="0" topLeftCell="A4" zoomScale="85" zoomScaleNormal="85" workbookViewId="0">
      <selection activeCell="E25" sqref="E25"/>
    </sheetView>
  </sheetViews>
  <sheetFormatPr defaultColWidth="15.7109375" defaultRowHeight="14.45"/>
  <cols>
    <col min="1" max="1" width="17.85546875" style="9" bestFit="1" customWidth="1"/>
    <col min="2" max="2" width="15.7109375" style="9" bestFit="1" customWidth="1"/>
    <col min="3" max="3" width="13.5703125" style="9" bestFit="1" customWidth="1"/>
    <col min="4" max="4" width="13.140625" style="9" bestFit="1" customWidth="1"/>
    <col min="5" max="5" width="15.7109375" style="9" bestFit="1" customWidth="1"/>
    <col min="6" max="6" width="17.140625" style="9" bestFit="1" customWidth="1"/>
    <col min="7" max="8" width="15.7109375" style="9" customWidth="1"/>
    <col min="9" max="11" width="15.7109375" style="9" bestFit="1" customWidth="1"/>
    <col min="12" max="16" width="15.42578125" style="9" bestFit="1" customWidth="1"/>
    <col min="17" max="17" width="15.140625" style="9" bestFit="1" customWidth="1"/>
    <col min="18" max="18" width="15.42578125" style="9" bestFit="1" customWidth="1"/>
    <col min="19" max="19" width="14.140625" style="9" bestFit="1" customWidth="1"/>
    <col min="20" max="20" width="13.42578125" style="9" bestFit="1" customWidth="1"/>
    <col min="21" max="21" width="18.7109375" style="9" bestFit="1" customWidth="1"/>
    <col min="22" max="22" width="15.140625" style="9" bestFit="1" customWidth="1"/>
    <col min="23" max="23" width="13.140625" style="9" bestFit="1" customWidth="1"/>
    <col min="24" max="24" width="18.42578125" style="9" bestFit="1" customWidth="1"/>
    <col min="25" max="25" width="14.42578125" style="9" bestFit="1" customWidth="1"/>
    <col min="26" max="26" width="12.42578125" style="9" bestFit="1" customWidth="1"/>
    <col min="27" max="27" width="13.140625" style="9" bestFit="1" customWidth="1"/>
    <col min="28" max="28" width="18.42578125" style="9" bestFit="1" customWidth="1"/>
    <col min="29" max="29" width="13.140625" style="9" bestFit="1" customWidth="1"/>
    <col min="30" max="30" width="18.42578125" style="9" bestFit="1" customWidth="1"/>
    <col min="31" max="31" width="19.85546875" style="9" bestFit="1" customWidth="1"/>
    <col min="32" max="32" width="13.5703125" style="9" bestFit="1" customWidth="1"/>
    <col min="33" max="33" width="15.7109375" style="9"/>
    <col min="34" max="34" width="19.28515625" style="9" bestFit="1" customWidth="1"/>
    <col min="35" max="35" width="19.85546875" style="9" bestFit="1" customWidth="1"/>
    <col min="36" max="16384" width="15.7109375" style="9"/>
  </cols>
  <sheetData>
    <row r="3" spans="1:36" ht="15" thickBot="1"/>
    <row r="7" spans="1:36" ht="15">
      <c r="A7" s="72" t="s">
        <v>0</v>
      </c>
      <c r="B7" s="72" t="s">
        <v>1</v>
      </c>
      <c r="C7" s="73"/>
      <c r="D7" s="73"/>
      <c r="E7" s="73"/>
      <c r="F7" s="74"/>
      <c r="G7" s="74"/>
      <c r="H7" s="74"/>
      <c r="I7" s="74"/>
      <c r="J7" s="73"/>
      <c r="K7" s="73"/>
      <c r="L7" s="73"/>
      <c r="M7" s="73"/>
      <c r="N7" s="73"/>
      <c r="O7" s="73"/>
      <c r="P7" s="73"/>
      <c r="Q7" s="73"/>
      <c r="R7" s="74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ht="15">
      <c r="A8" s="73"/>
      <c r="B8" s="75" t="s">
        <v>2</v>
      </c>
      <c r="C8" s="75"/>
      <c r="D8" s="75"/>
      <c r="E8" s="75"/>
      <c r="F8" s="76" t="s">
        <v>3</v>
      </c>
      <c r="G8" s="76"/>
      <c r="H8" s="76"/>
      <c r="I8" s="76"/>
      <c r="J8" s="75" t="s">
        <v>4</v>
      </c>
      <c r="K8" s="75"/>
      <c r="L8" s="75"/>
      <c r="M8" s="75"/>
      <c r="N8" s="75" t="s">
        <v>5</v>
      </c>
      <c r="O8" s="75"/>
      <c r="P8" s="75"/>
      <c r="Q8" s="75" t="s">
        <v>6</v>
      </c>
      <c r="R8" s="75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ht="15">
      <c r="A9" s="77" t="s">
        <v>7</v>
      </c>
      <c r="B9" s="78" t="s">
        <v>8</v>
      </c>
      <c r="C9" s="78" t="s">
        <v>9</v>
      </c>
      <c r="D9" s="76" t="s">
        <v>10</v>
      </c>
      <c r="E9" s="76" t="s">
        <v>11</v>
      </c>
      <c r="F9" s="78" t="s">
        <v>8</v>
      </c>
      <c r="G9" s="78" t="s">
        <v>9</v>
      </c>
      <c r="H9" s="76" t="s">
        <v>10</v>
      </c>
      <c r="I9" s="76" t="s">
        <v>11</v>
      </c>
      <c r="J9" s="78" t="s">
        <v>8</v>
      </c>
      <c r="K9" s="78" t="s">
        <v>9</v>
      </c>
      <c r="L9" s="76" t="s">
        <v>10</v>
      </c>
      <c r="M9" s="76" t="s">
        <v>11</v>
      </c>
      <c r="N9" s="78" t="s">
        <v>8</v>
      </c>
      <c r="O9" s="76" t="s">
        <v>10</v>
      </c>
      <c r="P9" s="76" t="s">
        <v>11</v>
      </c>
      <c r="Q9" s="76" t="s">
        <v>10</v>
      </c>
      <c r="R9" s="76" t="s">
        <v>11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s="10" customFormat="1" ht="15">
      <c r="A10" s="79" t="s">
        <v>12</v>
      </c>
      <c r="B10" s="74">
        <v>70000</v>
      </c>
      <c r="C10" s="74">
        <v>108530.04999999999</v>
      </c>
      <c r="D10" s="80">
        <v>1.5504292857142856</v>
      </c>
      <c r="E10" s="81">
        <v>38530.049999999988</v>
      </c>
      <c r="F10" s="82">
        <v>456005.41000000003</v>
      </c>
      <c r="G10" s="74">
        <v>305802.65000000002</v>
      </c>
      <c r="H10" s="80">
        <v>0.67061189032823099</v>
      </c>
      <c r="I10" s="81">
        <v>-150202.76</v>
      </c>
      <c r="J10" s="82">
        <v>119812</v>
      </c>
      <c r="K10" s="74">
        <v>39281</v>
      </c>
      <c r="L10" s="83">
        <v>0.3278553066470804</v>
      </c>
      <c r="M10" s="81">
        <v>-80531</v>
      </c>
      <c r="N10" s="82"/>
      <c r="O10" s="83" t="e">
        <v>#DIV/0!</v>
      </c>
      <c r="P10" s="81">
        <v>0</v>
      </c>
      <c r="Q10" s="83" t="e">
        <v>#DIV/0!</v>
      </c>
      <c r="R10" s="74">
        <v>0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s="10" customFormat="1" ht="15">
      <c r="A11" s="79" t="s">
        <v>13</v>
      </c>
      <c r="B11" s="82">
        <v>148079.78</v>
      </c>
      <c r="C11" s="82">
        <v>155983.61883064517</v>
      </c>
      <c r="D11" s="80">
        <v>1.0533755441198329</v>
      </c>
      <c r="E11" s="81">
        <v>7903.838830645167</v>
      </c>
      <c r="F11" s="82">
        <v>81226.92</v>
      </c>
      <c r="G11" s="82">
        <v>109431.78161290323</v>
      </c>
      <c r="H11" s="80">
        <v>1.3472353945330344</v>
      </c>
      <c r="I11" s="81">
        <v>28204.861612903231</v>
      </c>
      <c r="J11" s="82">
        <v>143866.54999999999</v>
      </c>
      <c r="K11" s="74">
        <v>98919.99</v>
      </c>
      <c r="L11" s="83">
        <v>0.68758158168107886</v>
      </c>
      <c r="M11" s="81">
        <v>-44946.559999999983</v>
      </c>
      <c r="N11" s="82">
        <v>69828.55</v>
      </c>
      <c r="O11" s="83">
        <v>0</v>
      </c>
      <c r="P11" s="81">
        <v>-69828.55</v>
      </c>
      <c r="Q11" s="83" t="e">
        <v>#DIV/0!</v>
      </c>
      <c r="R11" s="74">
        <v>0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6" s="10" customFormat="1" ht="15">
      <c r="A12" s="79" t="s">
        <v>14</v>
      </c>
      <c r="B12" s="82">
        <v>594155.90999999992</v>
      </c>
      <c r="C12" s="82">
        <v>651017.12917338707</v>
      </c>
      <c r="D12" s="80">
        <v>1.0957008391507663</v>
      </c>
      <c r="E12" s="81">
        <v>56861.219173387159</v>
      </c>
      <c r="F12" s="82">
        <v>280069.17</v>
      </c>
      <c r="G12" s="82">
        <v>474439.32322580641</v>
      </c>
      <c r="H12" s="80">
        <v>1.6940076739821324</v>
      </c>
      <c r="I12" s="81">
        <v>194370.15322580643</v>
      </c>
      <c r="J12" s="82">
        <v>308428.71000000002</v>
      </c>
      <c r="K12" s="74">
        <v>504276.72000000003</v>
      </c>
      <c r="L12" s="83">
        <v>1.6349863149899373</v>
      </c>
      <c r="M12" s="81">
        <v>195848.01</v>
      </c>
      <c r="N12" s="82">
        <v>546320.43999999994</v>
      </c>
      <c r="O12" s="83">
        <v>0</v>
      </c>
      <c r="P12" s="81">
        <v>-546320.43999999994</v>
      </c>
      <c r="Q12" s="83" t="e">
        <v>#DIV/0!</v>
      </c>
      <c r="R12" s="74">
        <v>0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s="10" customFormat="1" ht="15">
      <c r="A13" s="79" t="s">
        <v>15</v>
      </c>
      <c r="B13" s="82">
        <v>812235.69</v>
      </c>
      <c r="C13" s="82">
        <v>915530.79800403223</v>
      </c>
      <c r="D13" s="70">
        <v>3.6995056689848846</v>
      </c>
      <c r="E13" s="81">
        <v>103295.10800403231</v>
      </c>
      <c r="F13" s="82">
        <v>817301.5</v>
      </c>
      <c r="G13" s="82">
        <v>889673.75483870972</v>
      </c>
      <c r="H13" s="71">
        <v>3.7118549588433978</v>
      </c>
      <c r="I13" s="81">
        <v>72372.254838709647</v>
      </c>
      <c r="J13" s="82">
        <v>572107.26</v>
      </c>
      <c r="K13" s="74">
        <v>642477.71</v>
      </c>
      <c r="L13" s="70">
        <v>2.6504232033180966</v>
      </c>
      <c r="M13" s="81">
        <v>70370.450000000026</v>
      </c>
      <c r="N13" s="82">
        <v>616148.99</v>
      </c>
      <c r="O13" s="70" t="e">
        <v>#DIV/0!</v>
      </c>
      <c r="P13" s="81">
        <v>-616148.99</v>
      </c>
      <c r="Q13" s="70" t="e">
        <v>#DIV/0!</v>
      </c>
      <c r="R13" s="74">
        <v>0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 spans="1:36">
      <c r="A14"/>
      <c r="B14" s="8"/>
      <c r="C14"/>
      <c r="D14"/>
      <c r="E14" s="11"/>
      <c r="F14"/>
      <c r="G14" s="8"/>
      <c r="H14"/>
      <c r="I14" s="11"/>
      <c r="J14"/>
      <c r="K14"/>
      <c r="L14"/>
      <c r="M14"/>
      <c r="N14"/>
      <c r="O14" s="66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6" ht="15">
      <c r="A15" s="12"/>
      <c r="B15" s="13"/>
      <c r="C15" s="13"/>
      <c r="D15" s="13"/>
      <c r="E15" s="13"/>
      <c r="F15" s="13"/>
      <c r="G15" s="58"/>
      <c r="H15" s="6"/>
      <c r="I15" s="58"/>
      <c r="J15" s="6"/>
      <c r="K15" s="6"/>
      <c r="L15" s="6"/>
      <c r="M15" s="6"/>
      <c r="N15" s="6"/>
      <c r="O15" s="65"/>
      <c r="P15" s="6"/>
      <c r="Q15" s="6"/>
      <c r="R15"/>
      <c r="S15"/>
      <c r="T15"/>
      <c r="U15"/>
      <c r="V15"/>
      <c r="W15"/>
      <c r="X15"/>
    </row>
    <row r="16" spans="1:36" s="17" customFormat="1" ht="15.6">
      <c r="A16" s="14" t="s">
        <v>7</v>
      </c>
      <c r="B16" s="15" t="s">
        <v>16</v>
      </c>
      <c r="C16" s="16"/>
      <c r="D16" s="16"/>
      <c r="F16" s="18" t="s">
        <v>17</v>
      </c>
      <c r="G16" s="18" t="s">
        <v>18</v>
      </c>
      <c r="H16" s="18" t="s">
        <v>19</v>
      </c>
      <c r="M16" s="19"/>
      <c r="N16" s="19"/>
      <c r="O16" s="67"/>
      <c r="P16" s="68"/>
      <c r="Q16" s="19"/>
      <c r="R16" s="19"/>
      <c r="S16" s="19"/>
      <c r="T16" s="19"/>
      <c r="U16" s="19"/>
      <c r="V16" s="19"/>
      <c r="W16" s="19"/>
      <c r="X16" s="19"/>
    </row>
    <row r="17" spans="1:16" s="17" customFormat="1" ht="15.6">
      <c r="A17" s="20" t="s">
        <v>9</v>
      </c>
      <c r="B17" s="48">
        <v>2447682.2628427413</v>
      </c>
      <c r="D17" s="22"/>
      <c r="F17" s="69" t="s">
        <v>20</v>
      </c>
      <c r="G17" s="41">
        <v>1758805</v>
      </c>
      <c r="H17" s="24">
        <f>340000/G17</f>
        <v>0.19331307336515419</v>
      </c>
      <c r="P17" s="21"/>
    </row>
    <row r="18" spans="1:16" s="17" customFormat="1" ht="15.6">
      <c r="A18" s="20" t="s">
        <v>21</v>
      </c>
      <c r="B18" s="21">
        <v>2817793.44</v>
      </c>
      <c r="F18" s="69" t="s">
        <v>22</v>
      </c>
      <c r="G18" s="41">
        <v>958795</v>
      </c>
      <c r="H18" s="24">
        <f>426413/G18</f>
        <v>0.44473844773908916</v>
      </c>
      <c r="P18" s="21"/>
    </row>
    <row r="19" spans="1:16" s="17" customFormat="1" ht="15.6">
      <c r="A19" s="20" t="s">
        <v>11</v>
      </c>
      <c r="B19" s="21">
        <v>-370111.17715725861</v>
      </c>
      <c r="F19" s="69" t="s">
        <v>23</v>
      </c>
      <c r="G19" s="41">
        <v>1832454</v>
      </c>
      <c r="H19" s="24">
        <f>937206/G19</f>
        <v>0.51144858206536148</v>
      </c>
      <c r="P19" s="21"/>
    </row>
    <row r="20" spans="1:16" s="17" customFormat="1" ht="15.6">
      <c r="A20" s="20" t="s">
        <v>10</v>
      </c>
      <c r="B20" s="56">
        <v>0.86865212619798748</v>
      </c>
      <c r="F20" s="69" t="s">
        <v>24</v>
      </c>
      <c r="G20" s="42">
        <v>2729640</v>
      </c>
      <c r="H20" s="24">
        <f>939174/G20</f>
        <v>0.34406515144854266</v>
      </c>
    </row>
    <row r="21" spans="1:16" s="17" customFormat="1" ht="16.149999999999999" thickTop="1">
      <c r="A21"/>
      <c r="B21"/>
      <c r="F21" s="62" t="s">
        <v>25</v>
      </c>
      <c r="G21" s="25">
        <f>SUM(G16:G20)</f>
        <v>7279694</v>
      </c>
      <c r="H21" s="26"/>
    </row>
    <row r="22" spans="1:16" s="17" customFormat="1" ht="15.6">
      <c r="A22" s="63" t="s">
        <v>7</v>
      </c>
      <c r="B22" s="64" t="s">
        <v>16</v>
      </c>
      <c r="F22" s="23"/>
      <c r="G22" s="25"/>
      <c r="N22" s="24"/>
    </row>
    <row r="23" spans="1:16" ht="15.6">
      <c r="A23" s="20" t="s">
        <v>9</v>
      </c>
      <c r="B23" s="48">
        <f>+GETPIVOTDATA("Monto",$A$16,"Estado","Cobrado")</f>
        <v>2447682.2628427413</v>
      </c>
      <c r="G23"/>
    </row>
    <row r="24" spans="1:16" ht="15.6">
      <c r="A24" s="20" t="s">
        <v>26</v>
      </c>
      <c r="B24" s="21">
        <v>2598706.9550000001</v>
      </c>
      <c r="I24"/>
      <c r="J24"/>
    </row>
    <row r="25" spans="1:16" ht="16.149999999999999" thickBot="1">
      <c r="A25" s="20" t="s">
        <v>11</v>
      </c>
      <c r="B25" s="21">
        <f>+B23-B24</f>
        <v>-151024.69215725875</v>
      </c>
      <c r="J25" s="55"/>
    </row>
    <row r="26" spans="1:16" ht="16.149999999999999" thickBot="1">
      <c r="A26" s="20" t="s">
        <v>10</v>
      </c>
      <c r="B26" s="56">
        <f>+B23/B24</f>
        <v>0.94188467773687135</v>
      </c>
      <c r="J26" s="55"/>
    </row>
    <row r="27" spans="1:16">
      <c r="J27" s="55"/>
    </row>
    <row r="28" spans="1:16">
      <c r="J28" s="55"/>
    </row>
    <row r="29" spans="1:16">
      <c r="J29" s="55"/>
    </row>
    <row r="30" spans="1:16">
      <c r="J30" s="55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5BC4-90C9-4B66-80D5-AA0F5C15EEDE}">
  <dimension ref="A1:M3307"/>
  <sheetViews>
    <sheetView tabSelected="1" zoomScale="85" zoomScaleNormal="85" workbookViewId="0">
      <selection activeCell="I16" sqref="I16"/>
    </sheetView>
  </sheetViews>
  <sheetFormatPr defaultColWidth="11.42578125" defaultRowHeight="14.45"/>
  <cols>
    <col min="1" max="1" width="11.85546875" bestFit="1" customWidth="1"/>
    <col min="2" max="2" width="20.85546875" customWidth="1"/>
    <col min="3" max="3" width="14.140625" customWidth="1"/>
    <col min="4" max="4" width="18.140625" customWidth="1"/>
    <col min="5" max="5" width="19.42578125" bestFit="1" customWidth="1"/>
    <col min="6" max="6" width="11.28515625" bestFit="1" customWidth="1"/>
    <col min="7" max="7" width="15.7109375" customWidth="1"/>
    <col min="8" max="8" width="10.28515625" customWidth="1"/>
    <col min="9" max="9" width="18.28515625" customWidth="1"/>
    <col min="10" max="10" width="70.7109375" bestFit="1" customWidth="1"/>
    <col min="11" max="11" width="13.42578125" customWidth="1"/>
  </cols>
  <sheetData>
    <row r="1" spans="1:1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9</v>
      </c>
      <c r="M1" t="s">
        <v>38</v>
      </c>
    </row>
    <row r="2" spans="1:13" hidden="1">
      <c r="A2" t="s">
        <v>39</v>
      </c>
      <c r="B2" t="s">
        <v>40</v>
      </c>
      <c r="C2" t="s">
        <v>14</v>
      </c>
      <c r="E2" t="s">
        <v>8</v>
      </c>
      <c r="F2" s="1" t="s">
        <v>2</v>
      </c>
      <c r="G2" s="1">
        <v>45778</v>
      </c>
      <c r="H2" t="s">
        <v>41</v>
      </c>
      <c r="I2" s="2">
        <v>2000</v>
      </c>
      <c r="J2" t="s">
        <v>42</v>
      </c>
      <c r="K2" s="7">
        <v>45778</v>
      </c>
      <c r="L2" t="s">
        <v>43</v>
      </c>
    </row>
    <row r="3" spans="1:13" hidden="1">
      <c r="A3" t="s">
        <v>39</v>
      </c>
      <c r="B3" t="s">
        <v>40</v>
      </c>
      <c r="C3" t="s">
        <v>14</v>
      </c>
      <c r="E3" t="s">
        <v>8</v>
      </c>
      <c r="F3" s="1" t="s">
        <v>2</v>
      </c>
      <c r="G3" s="1">
        <v>45778</v>
      </c>
      <c r="H3" t="s">
        <v>41</v>
      </c>
      <c r="I3" s="2">
        <v>199</v>
      </c>
      <c r="J3" t="s">
        <v>44</v>
      </c>
      <c r="K3" s="7">
        <v>45778</v>
      </c>
      <c r="L3" t="s">
        <v>43</v>
      </c>
    </row>
    <row r="4" spans="1:13" hidden="1">
      <c r="A4" t="s">
        <v>39</v>
      </c>
      <c r="B4" t="s">
        <v>45</v>
      </c>
      <c r="C4" t="s">
        <v>12</v>
      </c>
      <c r="D4">
        <v>10026675</v>
      </c>
      <c r="E4" t="s">
        <v>9</v>
      </c>
      <c r="F4" s="1" t="s">
        <v>6</v>
      </c>
      <c r="G4" s="1">
        <v>45804</v>
      </c>
      <c r="H4" t="s">
        <v>41</v>
      </c>
      <c r="I4" s="2">
        <v>1000000</v>
      </c>
      <c r="J4" t="s">
        <v>46</v>
      </c>
      <c r="K4" s="7">
        <v>45778</v>
      </c>
    </row>
    <row r="5" spans="1:13" hidden="1">
      <c r="A5" t="s">
        <v>39</v>
      </c>
      <c r="B5" t="s">
        <v>47</v>
      </c>
      <c r="C5" t="s">
        <v>12</v>
      </c>
      <c r="E5" t="s">
        <v>9</v>
      </c>
      <c r="F5" s="1" t="s">
        <v>3</v>
      </c>
      <c r="G5" s="1">
        <v>45883</v>
      </c>
      <c r="H5" t="s">
        <v>41</v>
      </c>
      <c r="I5" s="2">
        <v>593426</v>
      </c>
      <c r="J5" t="s">
        <v>48</v>
      </c>
      <c r="K5" s="7">
        <v>45870</v>
      </c>
    </row>
    <row r="6" spans="1:13" hidden="1">
      <c r="A6" t="s">
        <v>39</v>
      </c>
      <c r="B6" t="s">
        <v>40</v>
      </c>
      <c r="C6" t="s">
        <v>14</v>
      </c>
      <c r="E6" t="s">
        <v>8</v>
      </c>
      <c r="F6" s="1" t="s">
        <v>2</v>
      </c>
      <c r="G6" s="1">
        <v>45778</v>
      </c>
      <c r="H6" t="s">
        <v>41</v>
      </c>
      <c r="I6" s="2">
        <v>5755</v>
      </c>
      <c r="J6" t="s">
        <v>49</v>
      </c>
      <c r="K6" s="7">
        <v>45778</v>
      </c>
      <c r="L6" t="s">
        <v>43</v>
      </c>
    </row>
    <row r="7" spans="1:13" hidden="1">
      <c r="A7" t="s">
        <v>39</v>
      </c>
      <c r="B7" t="s">
        <v>45</v>
      </c>
      <c r="C7" t="s">
        <v>14</v>
      </c>
      <c r="D7">
        <v>10026668</v>
      </c>
      <c r="E7" t="s">
        <v>9</v>
      </c>
      <c r="F7" s="1" t="s">
        <v>4</v>
      </c>
      <c r="G7" s="1">
        <v>45785</v>
      </c>
      <c r="H7" t="s">
        <v>41</v>
      </c>
      <c r="I7" s="2">
        <v>509</v>
      </c>
      <c r="J7" t="s">
        <v>50</v>
      </c>
      <c r="K7" s="7">
        <v>45778</v>
      </c>
    </row>
    <row r="8" spans="1:13" hidden="1">
      <c r="A8" t="s">
        <v>39</v>
      </c>
      <c r="B8" t="s">
        <v>47</v>
      </c>
      <c r="C8" t="s">
        <v>14</v>
      </c>
      <c r="E8" t="s">
        <v>9</v>
      </c>
      <c r="F8" s="1" t="s">
        <v>3</v>
      </c>
      <c r="G8" s="1">
        <v>45940</v>
      </c>
      <c r="H8" t="s">
        <v>41</v>
      </c>
      <c r="I8" s="2">
        <v>474823.14</v>
      </c>
      <c r="J8" t="s">
        <v>48</v>
      </c>
      <c r="K8" s="7">
        <v>45931</v>
      </c>
    </row>
    <row r="9" spans="1:13" hidden="1">
      <c r="A9" t="s">
        <v>39</v>
      </c>
      <c r="B9" t="s">
        <v>45</v>
      </c>
      <c r="C9" t="s">
        <v>12</v>
      </c>
      <c r="E9" t="s">
        <v>9</v>
      </c>
      <c r="F9" s="1" t="s">
        <v>5</v>
      </c>
      <c r="G9" s="1">
        <v>45954</v>
      </c>
      <c r="H9" t="s">
        <v>41</v>
      </c>
      <c r="I9" s="2">
        <v>469596.03</v>
      </c>
      <c r="J9" t="s">
        <v>51</v>
      </c>
      <c r="K9" s="7">
        <v>45931</v>
      </c>
    </row>
    <row r="10" spans="1:13" hidden="1">
      <c r="A10" t="s">
        <v>39</v>
      </c>
      <c r="B10" t="s">
        <v>47</v>
      </c>
      <c r="C10" t="s">
        <v>14</v>
      </c>
      <c r="E10" t="s">
        <v>9</v>
      </c>
      <c r="F10" s="1" t="s">
        <v>5</v>
      </c>
      <c r="G10" s="1">
        <v>46050</v>
      </c>
      <c r="H10" t="s">
        <v>41</v>
      </c>
      <c r="I10" s="2">
        <v>353038</v>
      </c>
      <c r="J10" t="s">
        <v>52</v>
      </c>
      <c r="K10" s="7">
        <v>46023</v>
      </c>
    </row>
    <row r="11" spans="1:13" hidden="1">
      <c r="A11" t="s">
        <v>39</v>
      </c>
      <c r="B11" t="s">
        <v>40</v>
      </c>
      <c r="C11" t="s">
        <v>14</v>
      </c>
      <c r="E11" t="s">
        <v>9</v>
      </c>
      <c r="F11" s="1" t="s">
        <v>4</v>
      </c>
      <c r="G11" s="1">
        <v>45787</v>
      </c>
      <c r="H11" t="s">
        <v>41</v>
      </c>
      <c r="I11" s="2">
        <v>1260</v>
      </c>
      <c r="J11" t="s">
        <v>53</v>
      </c>
      <c r="K11" s="7">
        <v>45778</v>
      </c>
    </row>
    <row r="12" spans="1:13" hidden="1">
      <c r="A12" t="s">
        <v>39</v>
      </c>
      <c r="B12" t="s">
        <v>47</v>
      </c>
      <c r="C12" t="s">
        <v>14</v>
      </c>
      <c r="E12" t="s">
        <v>9</v>
      </c>
      <c r="F12" s="1" t="s">
        <v>3</v>
      </c>
      <c r="G12" s="1">
        <v>45974</v>
      </c>
      <c r="H12" t="s">
        <v>41</v>
      </c>
      <c r="I12" s="2">
        <v>322674.59000000003</v>
      </c>
      <c r="J12" t="s">
        <v>54</v>
      </c>
      <c r="K12" s="7">
        <v>45962</v>
      </c>
    </row>
    <row r="13" spans="1:13" hidden="1">
      <c r="A13" t="s">
        <v>39</v>
      </c>
      <c r="B13" t="s">
        <v>47</v>
      </c>
      <c r="C13" t="s">
        <v>14</v>
      </c>
      <c r="D13">
        <v>10026948</v>
      </c>
      <c r="E13" t="s">
        <v>9</v>
      </c>
      <c r="F13" s="1" t="s">
        <v>5</v>
      </c>
      <c r="G13" s="1">
        <v>45835</v>
      </c>
      <c r="H13" t="s">
        <v>41</v>
      </c>
      <c r="I13" s="2">
        <v>305479.52</v>
      </c>
      <c r="J13" t="s">
        <v>55</v>
      </c>
      <c r="K13" s="7">
        <v>45809</v>
      </c>
    </row>
    <row r="14" spans="1:13" hidden="1">
      <c r="A14" t="s">
        <v>56</v>
      </c>
      <c r="B14" t="s">
        <v>40</v>
      </c>
      <c r="C14" t="s">
        <v>14</v>
      </c>
      <c r="E14" t="s">
        <v>9</v>
      </c>
      <c r="F14" s="1" t="s">
        <v>3</v>
      </c>
      <c r="G14" s="1">
        <v>46038</v>
      </c>
      <c r="H14" t="s">
        <v>41</v>
      </c>
      <c r="I14" s="2">
        <v>292087.86</v>
      </c>
      <c r="J14" t="s">
        <v>57</v>
      </c>
      <c r="K14" s="7">
        <v>46023</v>
      </c>
    </row>
    <row r="15" spans="1:13" hidden="1">
      <c r="A15" t="s">
        <v>39</v>
      </c>
      <c r="B15" t="s">
        <v>45</v>
      </c>
      <c r="C15" t="s">
        <v>13</v>
      </c>
      <c r="E15" t="s">
        <v>9</v>
      </c>
      <c r="F15" s="1" t="s">
        <v>5</v>
      </c>
      <c r="G15" s="1">
        <v>45989</v>
      </c>
      <c r="H15" t="s">
        <v>41</v>
      </c>
      <c r="I15" s="2">
        <v>272349.94</v>
      </c>
      <c r="J15" s="47" t="s">
        <v>58</v>
      </c>
      <c r="K15" s="7">
        <v>45962</v>
      </c>
    </row>
    <row r="16" spans="1:13" hidden="1">
      <c r="A16" t="s">
        <v>39</v>
      </c>
      <c r="B16" t="s">
        <v>47</v>
      </c>
      <c r="C16" t="s">
        <v>14</v>
      </c>
      <c r="E16" t="s">
        <v>8</v>
      </c>
      <c r="F16" s="1" t="s">
        <v>2</v>
      </c>
      <c r="G16" s="1">
        <v>45779</v>
      </c>
      <c r="H16" t="s">
        <v>41</v>
      </c>
      <c r="I16" s="2">
        <v>200183.62</v>
      </c>
      <c r="J16" t="s">
        <v>59</v>
      </c>
      <c r="K16" s="7">
        <v>45778</v>
      </c>
      <c r="L16" t="s">
        <v>43</v>
      </c>
    </row>
    <row r="17" spans="1:12" hidden="1">
      <c r="A17" t="s">
        <v>39</v>
      </c>
      <c r="B17" t="s">
        <v>47</v>
      </c>
      <c r="C17" t="s">
        <v>14</v>
      </c>
      <c r="E17" t="s">
        <v>8</v>
      </c>
      <c r="F17" s="1" t="s">
        <v>2</v>
      </c>
      <c r="G17" s="1">
        <v>45779</v>
      </c>
      <c r="H17" t="s">
        <v>41</v>
      </c>
      <c r="I17" s="2">
        <v>2694.47</v>
      </c>
      <c r="J17" t="s">
        <v>60</v>
      </c>
      <c r="K17" s="7">
        <v>45778</v>
      </c>
      <c r="L17" t="s">
        <v>43</v>
      </c>
    </row>
    <row r="18" spans="1:12">
      <c r="A18" t="s">
        <v>39</v>
      </c>
      <c r="B18" t="s">
        <v>47</v>
      </c>
      <c r="C18" t="s">
        <v>14</v>
      </c>
      <c r="E18" t="s">
        <v>9</v>
      </c>
      <c r="F18" s="1" t="s">
        <v>2</v>
      </c>
      <c r="G18" s="1">
        <v>46055</v>
      </c>
      <c r="H18" t="s">
        <v>41</v>
      </c>
      <c r="I18" s="2">
        <v>47797.760000000002</v>
      </c>
      <c r="J18" s="47" t="s">
        <v>61</v>
      </c>
      <c r="K18" s="7">
        <v>46054</v>
      </c>
    </row>
    <row r="19" spans="1:12" hidden="1">
      <c r="A19" t="s">
        <v>39</v>
      </c>
      <c r="B19" t="s">
        <v>47</v>
      </c>
      <c r="C19" t="s">
        <v>14</v>
      </c>
      <c r="E19" t="s">
        <v>9</v>
      </c>
      <c r="F19" s="1" t="s">
        <v>6</v>
      </c>
      <c r="G19" s="1">
        <v>45867</v>
      </c>
      <c r="H19" t="s">
        <v>41</v>
      </c>
      <c r="I19" s="2">
        <v>247373.55</v>
      </c>
      <c r="J19" t="s">
        <v>62</v>
      </c>
      <c r="K19" s="7">
        <v>45839</v>
      </c>
    </row>
    <row r="20" spans="1:12" hidden="1">
      <c r="A20" t="s">
        <v>39</v>
      </c>
      <c r="B20" t="s">
        <v>63</v>
      </c>
      <c r="C20" t="s">
        <v>13</v>
      </c>
      <c r="E20" t="s">
        <v>9</v>
      </c>
      <c r="F20" s="1" t="s">
        <v>2</v>
      </c>
      <c r="G20" s="1">
        <v>46055</v>
      </c>
      <c r="H20" t="s">
        <v>64</v>
      </c>
      <c r="I20" s="2">
        <f>14414275.26/496</f>
        <v>29061.03883064516</v>
      </c>
      <c r="J20" s="47" t="s">
        <v>65</v>
      </c>
      <c r="K20" s="7">
        <v>46054</v>
      </c>
    </row>
    <row r="21" spans="1:12" hidden="1">
      <c r="A21" t="s">
        <v>39</v>
      </c>
      <c r="B21" t="s">
        <v>47</v>
      </c>
      <c r="C21" t="s">
        <v>12</v>
      </c>
      <c r="D21">
        <v>10026908</v>
      </c>
      <c r="E21" t="s">
        <v>9</v>
      </c>
      <c r="F21" s="1" t="s">
        <v>5</v>
      </c>
      <c r="G21" s="1">
        <v>45832</v>
      </c>
      <c r="H21" t="s">
        <v>41</v>
      </c>
      <c r="I21" s="2">
        <v>204654.4</v>
      </c>
      <c r="J21" t="s">
        <v>66</v>
      </c>
      <c r="K21" s="7">
        <v>45809</v>
      </c>
    </row>
    <row r="22" spans="1:12" hidden="1">
      <c r="A22" t="s">
        <v>56</v>
      </c>
      <c r="B22" t="s">
        <v>40</v>
      </c>
      <c r="C22" t="s">
        <v>14</v>
      </c>
      <c r="E22" t="s">
        <v>9</v>
      </c>
      <c r="F22" s="1" t="s">
        <v>4</v>
      </c>
      <c r="G22" s="1">
        <v>45788</v>
      </c>
      <c r="H22" t="s">
        <v>41</v>
      </c>
      <c r="I22" s="2">
        <v>5000</v>
      </c>
      <c r="J22" t="s">
        <v>67</v>
      </c>
      <c r="K22" s="7">
        <v>45778</v>
      </c>
    </row>
    <row r="23" spans="1:12" hidden="1">
      <c r="A23" t="s">
        <v>39</v>
      </c>
      <c r="B23" t="s">
        <v>47</v>
      </c>
      <c r="C23" t="s">
        <v>14</v>
      </c>
      <c r="D23">
        <v>10026473</v>
      </c>
      <c r="E23" t="s">
        <v>9</v>
      </c>
      <c r="F23" s="1" t="s">
        <v>2</v>
      </c>
      <c r="G23" s="1">
        <v>45779</v>
      </c>
      <c r="H23" t="s">
        <v>41</v>
      </c>
      <c r="I23" s="2">
        <v>200183.62</v>
      </c>
      <c r="J23" t="s">
        <v>59</v>
      </c>
      <c r="K23" s="7">
        <v>45778</v>
      </c>
    </row>
    <row r="24" spans="1:12" hidden="1">
      <c r="A24" t="s">
        <v>39</v>
      </c>
      <c r="B24" t="s">
        <v>45</v>
      </c>
      <c r="C24" t="s">
        <v>14</v>
      </c>
      <c r="E24" t="s">
        <v>9</v>
      </c>
      <c r="F24" s="1" t="s">
        <v>5</v>
      </c>
      <c r="G24" s="1">
        <v>45862</v>
      </c>
      <c r="H24" t="s">
        <v>41</v>
      </c>
      <c r="I24" s="2">
        <v>199129.48</v>
      </c>
      <c r="J24" t="s">
        <v>68</v>
      </c>
      <c r="K24" s="7">
        <v>45839</v>
      </c>
    </row>
    <row r="25" spans="1:12" hidden="1">
      <c r="A25" t="s">
        <v>56</v>
      </c>
      <c r="B25" t="s">
        <v>40</v>
      </c>
      <c r="C25" t="s">
        <v>14</v>
      </c>
      <c r="E25" t="s">
        <v>9</v>
      </c>
      <c r="F25" s="1" t="s">
        <v>2</v>
      </c>
      <c r="G25" s="1">
        <v>46055</v>
      </c>
      <c r="H25" t="s">
        <v>41</v>
      </c>
      <c r="I25" s="2">
        <v>24586</v>
      </c>
      <c r="J25" t="s">
        <v>69</v>
      </c>
      <c r="K25" s="7">
        <v>46054</v>
      </c>
    </row>
    <row r="26" spans="1:12" hidden="1">
      <c r="A26" t="s">
        <v>39</v>
      </c>
      <c r="B26" t="s">
        <v>45</v>
      </c>
      <c r="C26" t="s">
        <v>14</v>
      </c>
      <c r="E26" t="s">
        <v>9</v>
      </c>
      <c r="F26" s="1" t="s">
        <v>5</v>
      </c>
      <c r="G26" s="1">
        <v>46013</v>
      </c>
      <c r="H26" t="s">
        <v>41</v>
      </c>
      <c r="I26" s="2">
        <v>180008.09</v>
      </c>
      <c r="J26" t="s">
        <v>70</v>
      </c>
      <c r="K26" s="7">
        <v>45992</v>
      </c>
    </row>
    <row r="27" spans="1:12" hidden="1">
      <c r="A27" t="s">
        <v>39</v>
      </c>
      <c r="B27" t="s">
        <v>47</v>
      </c>
      <c r="C27" t="s">
        <v>14</v>
      </c>
      <c r="E27" t="s">
        <v>9</v>
      </c>
      <c r="F27" s="1" t="s">
        <v>2</v>
      </c>
      <c r="G27" s="1">
        <v>45903</v>
      </c>
      <c r="H27" t="s">
        <v>41</v>
      </c>
      <c r="I27" s="2">
        <v>164036</v>
      </c>
      <c r="J27" t="s">
        <v>71</v>
      </c>
      <c r="K27" s="7">
        <v>45901</v>
      </c>
    </row>
    <row r="28" spans="1:12" hidden="1">
      <c r="A28" t="s">
        <v>39</v>
      </c>
      <c r="B28" t="s">
        <v>45</v>
      </c>
      <c r="C28" t="s">
        <v>14</v>
      </c>
      <c r="D28">
        <v>10026474</v>
      </c>
      <c r="E28" t="s">
        <v>9</v>
      </c>
      <c r="F28" t="s">
        <v>2</v>
      </c>
      <c r="G28" s="1">
        <v>45779</v>
      </c>
      <c r="H28" t="s">
        <v>41</v>
      </c>
      <c r="I28" s="2">
        <v>158457.48000000001</v>
      </c>
      <c r="J28" t="s">
        <v>72</v>
      </c>
      <c r="K28" s="7">
        <v>45778</v>
      </c>
    </row>
    <row r="29" spans="1:12" hidden="1">
      <c r="A29" t="s">
        <v>39</v>
      </c>
      <c r="B29" t="s">
        <v>47</v>
      </c>
      <c r="C29" t="s">
        <v>12</v>
      </c>
      <c r="E29" t="s">
        <v>9</v>
      </c>
      <c r="F29" s="1" t="s">
        <v>3</v>
      </c>
      <c r="G29" s="1">
        <v>46037</v>
      </c>
      <c r="H29" t="s">
        <v>41</v>
      </c>
      <c r="I29" s="2">
        <v>148518.16</v>
      </c>
      <c r="J29" s="47" t="s">
        <v>73</v>
      </c>
      <c r="K29" s="7">
        <v>46023</v>
      </c>
    </row>
    <row r="30" spans="1:12" hidden="1">
      <c r="A30" t="s">
        <v>39</v>
      </c>
      <c r="B30" t="s">
        <v>47</v>
      </c>
      <c r="C30" t="s">
        <v>14</v>
      </c>
      <c r="E30" t="s">
        <v>8</v>
      </c>
      <c r="F30" s="1" t="s">
        <v>2</v>
      </c>
      <c r="G30" s="1">
        <v>45779</v>
      </c>
      <c r="H30" t="s">
        <v>41</v>
      </c>
      <c r="I30" s="2">
        <v>434.62</v>
      </c>
      <c r="J30" t="s">
        <v>74</v>
      </c>
      <c r="K30" s="7">
        <v>45778</v>
      </c>
      <c r="L30" t="s">
        <v>43</v>
      </c>
    </row>
    <row r="31" spans="1:12" hidden="1">
      <c r="A31" t="s">
        <v>39</v>
      </c>
      <c r="B31" t="s">
        <v>40</v>
      </c>
      <c r="C31" t="s">
        <v>14</v>
      </c>
      <c r="E31" t="s">
        <v>8</v>
      </c>
      <c r="F31" s="1" t="s">
        <v>2</v>
      </c>
      <c r="G31" s="1">
        <v>45779</v>
      </c>
      <c r="H31" t="s">
        <v>41</v>
      </c>
      <c r="I31" s="2">
        <v>1596</v>
      </c>
      <c r="J31" t="s">
        <v>75</v>
      </c>
      <c r="K31" s="7">
        <v>45778</v>
      </c>
      <c r="L31" t="s">
        <v>43</v>
      </c>
    </row>
    <row r="32" spans="1:12" hidden="1">
      <c r="A32" t="s">
        <v>39</v>
      </c>
      <c r="B32" t="s">
        <v>40</v>
      </c>
      <c r="C32" t="s">
        <v>14</v>
      </c>
      <c r="E32" t="s">
        <v>8</v>
      </c>
      <c r="F32" s="1" t="s">
        <v>2</v>
      </c>
      <c r="G32" s="1">
        <v>45779</v>
      </c>
      <c r="H32" t="s">
        <v>41</v>
      </c>
      <c r="I32" s="2">
        <v>1294.1176470588234</v>
      </c>
      <c r="J32" t="s">
        <v>76</v>
      </c>
      <c r="K32" s="7">
        <v>45778</v>
      </c>
      <c r="L32" t="s">
        <v>43</v>
      </c>
    </row>
    <row r="33" spans="1:13" hidden="1">
      <c r="A33" t="s">
        <v>39</v>
      </c>
      <c r="B33" t="s">
        <v>40</v>
      </c>
      <c r="C33" t="s">
        <v>14</v>
      </c>
      <c r="E33" t="s">
        <v>8</v>
      </c>
      <c r="F33" s="1" t="s">
        <v>2</v>
      </c>
      <c r="G33" s="1">
        <v>45779</v>
      </c>
      <c r="H33" t="s">
        <v>41</v>
      </c>
      <c r="I33" s="2">
        <v>4000</v>
      </c>
      <c r="J33" t="s">
        <v>77</v>
      </c>
      <c r="K33" s="7">
        <v>45778</v>
      </c>
      <c r="L33" t="s">
        <v>43</v>
      </c>
    </row>
    <row r="34" spans="1:13" hidden="1">
      <c r="A34" t="s">
        <v>39</v>
      </c>
      <c r="B34" t="s">
        <v>40</v>
      </c>
      <c r="C34" t="s">
        <v>14</v>
      </c>
      <c r="E34" t="s">
        <v>8</v>
      </c>
      <c r="F34" s="1" t="s">
        <v>2</v>
      </c>
      <c r="G34" s="1">
        <v>45779</v>
      </c>
      <c r="H34" t="s">
        <v>41</v>
      </c>
      <c r="I34" s="2">
        <v>500</v>
      </c>
      <c r="J34" t="s">
        <v>78</v>
      </c>
      <c r="K34" s="7">
        <v>45778</v>
      </c>
      <c r="L34" t="s">
        <v>43</v>
      </c>
    </row>
    <row r="35" spans="1:13" hidden="1">
      <c r="A35" t="s">
        <v>39</v>
      </c>
      <c r="B35" t="s">
        <v>40</v>
      </c>
      <c r="C35" t="s">
        <v>14</v>
      </c>
      <c r="E35" t="s">
        <v>8</v>
      </c>
      <c r="F35" s="1" t="s">
        <v>2</v>
      </c>
      <c r="G35" s="1">
        <v>45779</v>
      </c>
      <c r="H35" t="s">
        <v>41</v>
      </c>
      <c r="I35" s="2">
        <v>630</v>
      </c>
      <c r="J35" t="s">
        <v>79</v>
      </c>
      <c r="K35" s="7">
        <v>45778</v>
      </c>
      <c r="L35" t="s">
        <v>43</v>
      </c>
    </row>
    <row r="36" spans="1:13" hidden="1">
      <c r="A36" t="s">
        <v>39</v>
      </c>
      <c r="B36" t="s">
        <v>45</v>
      </c>
      <c r="C36" t="s">
        <v>14</v>
      </c>
      <c r="E36" t="s">
        <v>8</v>
      </c>
      <c r="F36" s="1" t="s">
        <v>2</v>
      </c>
      <c r="G36" s="1">
        <v>45779</v>
      </c>
      <c r="H36" t="s">
        <v>41</v>
      </c>
      <c r="I36" s="2">
        <v>384.75</v>
      </c>
      <c r="J36" t="s">
        <v>80</v>
      </c>
      <c r="K36" s="7">
        <v>45778</v>
      </c>
      <c r="L36" t="s">
        <v>43</v>
      </c>
    </row>
    <row r="37" spans="1:13" hidden="1">
      <c r="A37" t="s">
        <v>39</v>
      </c>
      <c r="B37" t="s">
        <v>45</v>
      </c>
      <c r="C37" t="s">
        <v>14</v>
      </c>
      <c r="E37" t="s">
        <v>8</v>
      </c>
      <c r="F37" s="1" t="s">
        <v>2</v>
      </c>
      <c r="G37" s="1">
        <v>45779</v>
      </c>
      <c r="H37" t="s">
        <v>41</v>
      </c>
      <c r="I37" s="2">
        <v>10373.549999999999</v>
      </c>
      <c r="J37" t="s">
        <v>81</v>
      </c>
      <c r="K37" s="7">
        <v>45778</v>
      </c>
      <c r="L37" t="s">
        <v>43</v>
      </c>
    </row>
    <row r="38" spans="1:13" hidden="1">
      <c r="A38" t="s">
        <v>39</v>
      </c>
      <c r="B38" t="s">
        <v>45</v>
      </c>
      <c r="C38" t="s">
        <v>14</v>
      </c>
      <c r="E38" t="s">
        <v>8</v>
      </c>
      <c r="F38" s="1" t="s">
        <v>2</v>
      </c>
      <c r="G38" s="1">
        <v>45779</v>
      </c>
      <c r="H38" t="s">
        <v>41</v>
      </c>
      <c r="I38" s="2">
        <v>1528.58</v>
      </c>
      <c r="J38" t="s">
        <v>82</v>
      </c>
      <c r="K38" s="7">
        <v>45778</v>
      </c>
      <c r="L38" t="s">
        <v>43</v>
      </c>
    </row>
    <row r="39" spans="1:13" hidden="1">
      <c r="A39" t="s">
        <v>39</v>
      </c>
      <c r="B39" t="s">
        <v>45</v>
      </c>
      <c r="C39" t="s">
        <v>14</v>
      </c>
      <c r="E39" t="s">
        <v>8</v>
      </c>
      <c r="F39" s="1" t="s">
        <v>2</v>
      </c>
      <c r="G39" s="1">
        <v>45779</v>
      </c>
      <c r="H39" t="s">
        <v>41</v>
      </c>
      <c r="I39" s="2">
        <v>158457.48000000001</v>
      </c>
      <c r="J39" t="s">
        <v>72</v>
      </c>
      <c r="K39" s="7">
        <v>45778</v>
      </c>
      <c r="L39" t="s">
        <v>43</v>
      </c>
    </row>
    <row r="40" spans="1:13" hidden="1">
      <c r="A40" t="s">
        <v>39</v>
      </c>
      <c r="B40" t="s">
        <v>45</v>
      </c>
      <c r="C40" t="s">
        <v>14</v>
      </c>
      <c r="E40" t="s">
        <v>8</v>
      </c>
      <c r="F40" s="1" t="s">
        <v>2</v>
      </c>
      <c r="G40" s="1">
        <v>45779</v>
      </c>
      <c r="H40" t="s">
        <v>41</v>
      </c>
      <c r="I40" s="2">
        <v>73074.66</v>
      </c>
      <c r="J40" t="s">
        <v>83</v>
      </c>
      <c r="K40" s="7">
        <v>45778</v>
      </c>
      <c r="L40" t="s">
        <v>84</v>
      </c>
      <c r="M40" t="s">
        <v>85</v>
      </c>
    </row>
    <row r="41" spans="1:13" hidden="1">
      <c r="A41" t="s">
        <v>39</v>
      </c>
      <c r="B41" t="s">
        <v>45</v>
      </c>
      <c r="C41" t="s">
        <v>14</v>
      </c>
      <c r="E41" t="s">
        <v>8</v>
      </c>
      <c r="F41" s="1" t="s">
        <v>2</v>
      </c>
      <c r="G41" s="1">
        <v>45779</v>
      </c>
      <c r="H41" t="s">
        <v>41</v>
      </c>
      <c r="I41" s="2">
        <v>6764.72</v>
      </c>
      <c r="J41" t="s">
        <v>86</v>
      </c>
      <c r="K41" s="7">
        <v>45778</v>
      </c>
      <c r="L41" t="s">
        <v>43</v>
      </c>
    </row>
    <row r="42" spans="1:13" hidden="1">
      <c r="A42" t="s">
        <v>39</v>
      </c>
      <c r="B42" t="s">
        <v>45</v>
      </c>
      <c r="C42" t="s">
        <v>12</v>
      </c>
      <c r="E42" t="s">
        <v>8</v>
      </c>
      <c r="F42" s="1" t="s">
        <v>2</v>
      </c>
      <c r="G42" s="1">
        <v>45779</v>
      </c>
      <c r="H42" t="s">
        <v>41</v>
      </c>
      <c r="I42" s="2">
        <v>41024.129999999997</v>
      </c>
      <c r="J42" t="s">
        <v>87</v>
      </c>
      <c r="K42" s="7">
        <v>45778</v>
      </c>
      <c r="L42" t="s">
        <v>43</v>
      </c>
    </row>
    <row r="43" spans="1:13" hidden="1">
      <c r="A43" t="s">
        <v>39</v>
      </c>
      <c r="B43" t="s">
        <v>45</v>
      </c>
      <c r="C43" t="s">
        <v>13</v>
      </c>
      <c r="E43" t="s">
        <v>8</v>
      </c>
      <c r="F43" s="1" t="s">
        <v>2</v>
      </c>
      <c r="G43" s="1">
        <v>45779</v>
      </c>
      <c r="H43" t="s">
        <v>41</v>
      </c>
      <c r="I43" s="2">
        <v>10000</v>
      </c>
      <c r="J43" t="s">
        <v>88</v>
      </c>
      <c r="K43" s="7">
        <v>45778</v>
      </c>
      <c r="L43" t="s">
        <v>84</v>
      </c>
    </row>
    <row r="44" spans="1:13" hidden="1">
      <c r="A44" t="s">
        <v>39</v>
      </c>
      <c r="B44" t="s">
        <v>40</v>
      </c>
      <c r="C44" t="s">
        <v>14</v>
      </c>
      <c r="D44">
        <v>10026557</v>
      </c>
      <c r="E44" t="s">
        <v>9</v>
      </c>
      <c r="F44" s="1" t="s">
        <v>4</v>
      </c>
      <c r="G44" s="1">
        <v>45788</v>
      </c>
      <c r="H44" t="s">
        <v>41</v>
      </c>
      <c r="I44" s="2">
        <v>2877.51</v>
      </c>
      <c r="J44" t="s">
        <v>89</v>
      </c>
      <c r="K44" s="7">
        <v>45778</v>
      </c>
    </row>
    <row r="45" spans="1:13" hidden="1">
      <c r="A45" t="s">
        <v>39</v>
      </c>
      <c r="B45" t="s">
        <v>63</v>
      </c>
      <c r="C45" t="s">
        <v>14</v>
      </c>
      <c r="E45" t="s">
        <v>9</v>
      </c>
      <c r="F45" s="1" t="s">
        <v>5</v>
      </c>
      <c r="G45" s="1">
        <v>46014</v>
      </c>
      <c r="H45" t="s">
        <v>41</v>
      </c>
      <c r="I45" s="2">
        <v>136371.21299999999</v>
      </c>
      <c r="J45" t="s">
        <v>90</v>
      </c>
      <c r="K45" s="7">
        <v>45992</v>
      </c>
      <c r="M45" s="2"/>
    </row>
    <row r="46" spans="1:13" hidden="1">
      <c r="A46" t="s">
        <v>39</v>
      </c>
      <c r="B46" t="s">
        <v>40</v>
      </c>
      <c r="C46" t="s">
        <v>14</v>
      </c>
      <c r="D46">
        <v>10026556</v>
      </c>
      <c r="E46" t="s">
        <v>9</v>
      </c>
      <c r="F46" s="1" t="s">
        <v>4</v>
      </c>
      <c r="G46" s="1">
        <v>45788</v>
      </c>
      <c r="H46" t="s">
        <v>41</v>
      </c>
      <c r="I46" s="2">
        <v>119.78</v>
      </c>
      <c r="J46" t="s">
        <v>89</v>
      </c>
      <c r="K46" s="7">
        <v>45778</v>
      </c>
    </row>
    <row r="47" spans="1:13" hidden="1">
      <c r="A47" t="s">
        <v>39</v>
      </c>
      <c r="B47" t="s">
        <v>45</v>
      </c>
      <c r="C47" t="s">
        <v>14</v>
      </c>
      <c r="E47" t="s">
        <v>9</v>
      </c>
      <c r="F47" s="1" t="s">
        <v>3</v>
      </c>
      <c r="G47" s="1">
        <v>45850</v>
      </c>
      <c r="H47" t="s">
        <v>41</v>
      </c>
      <c r="I47" s="2">
        <v>129180.1</v>
      </c>
      <c r="J47" t="s">
        <v>91</v>
      </c>
      <c r="K47" s="7">
        <v>45839</v>
      </c>
    </row>
    <row r="48" spans="1:13" hidden="1">
      <c r="A48" t="s">
        <v>39</v>
      </c>
      <c r="B48" t="s">
        <v>47</v>
      </c>
      <c r="C48" t="s">
        <v>13</v>
      </c>
      <c r="E48" t="s">
        <v>9</v>
      </c>
      <c r="F48" s="1" t="s">
        <v>2</v>
      </c>
      <c r="G48" s="1">
        <v>45996</v>
      </c>
      <c r="H48" t="s">
        <v>64</v>
      </c>
      <c r="I48" s="2">
        <f>65103980.34/510</f>
        <v>127654.86341176472</v>
      </c>
      <c r="J48" t="s">
        <v>92</v>
      </c>
      <c r="K48" s="7">
        <v>45992</v>
      </c>
    </row>
    <row r="49" spans="1:12" hidden="1">
      <c r="A49" t="s">
        <v>39</v>
      </c>
      <c r="B49" t="s">
        <v>40</v>
      </c>
      <c r="C49" t="s">
        <v>14</v>
      </c>
      <c r="E49" t="s">
        <v>9</v>
      </c>
      <c r="F49" s="1" t="s">
        <v>2</v>
      </c>
      <c r="G49" s="1">
        <v>46055</v>
      </c>
      <c r="H49" t="s">
        <v>41</v>
      </c>
      <c r="I49" s="2">
        <v>6600</v>
      </c>
      <c r="J49" t="s">
        <v>93</v>
      </c>
      <c r="K49" s="7">
        <v>46054</v>
      </c>
    </row>
    <row r="50" spans="1:12" hidden="1">
      <c r="A50" t="s">
        <v>39</v>
      </c>
      <c r="B50" t="s">
        <v>40</v>
      </c>
      <c r="C50" t="s">
        <v>14</v>
      </c>
      <c r="E50" t="s">
        <v>8</v>
      </c>
      <c r="F50" s="1" t="s">
        <v>2</v>
      </c>
      <c r="G50" s="1">
        <v>45780</v>
      </c>
      <c r="H50" t="s">
        <v>41</v>
      </c>
      <c r="I50" s="2">
        <v>7001</v>
      </c>
      <c r="J50" t="s">
        <v>94</v>
      </c>
      <c r="K50" s="7">
        <v>45778</v>
      </c>
      <c r="L50" t="s">
        <v>43</v>
      </c>
    </row>
    <row r="51" spans="1:12" hidden="1">
      <c r="A51" t="s">
        <v>39</v>
      </c>
      <c r="B51" t="s">
        <v>40</v>
      </c>
      <c r="C51" t="s">
        <v>14</v>
      </c>
      <c r="E51" t="s">
        <v>8</v>
      </c>
      <c r="F51" s="1" t="s">
        <v>2</v>
      </c>
      <c r="G51" s="1">
        <v>45780</v>
      </c>
      <c r="H51" t="s">
        <v>41</v>
      </c>
      <c r="I51" s="2">
        <v>899</v>
      </c>
      <c r="J51" t="s">
        <v>95</v>
      </c>
      <c r="K51" s="7">
        <v>45778</v>
      </c>
      <c r="L51" t="s">
        <v>43</v>
      </c>
    </row>
    <row r="52" spans="1:12" hidden="1">
      <c r="A52" t="s">
        <v>39</v>
      </c>
      <c r="B52" t="s">
        <v>40</v>
      </c>
      <c r="C52" t="s">
        <v>14</v>
      </c>
      <c r="E52" t="s">
        <v>8</v>
      </c>
      <c r="F52" s="1" t="s">
        <v>2</v>
      </c>
      <c r="G52" s="1">
        <v>45780</v>
      </c>
      <c r="H52" t="s">
        <v>41</v>
      </c>
      <c r="I52" s="2">
        <v>1000</v>
      </c>
      <c r="J52" t="s">
        <v>96</v>
      </c>
      <c r="K52" s="7">
        <v>45778</v>
      </c>
      <c r="L52" t="s">
        <v>43</v>
      </c>
    </row>
    <row r="53" spans="1:12" hidden="1">
      <c r="A53" t="s">
        <v>39</v>
      </c>
      <c r="B53" t="s">
        <v>40</v>
      </c>
      <c r="C53" t="s">
        <v>14</v>
      </c>
      <c r="E53" t="s">
        <v>8</v>
      </c>
      <c r="F53" s="1" t="s">
        <v>2</v>
      </c>
      <c r="G53" s="1">
        <v>45780</v>
      </c>
      <c r="H53" t="s">
        <v>41</v>
      </c>
      <c r="I53" s="2">
        <v>2263</v>
      </c>
      <c r="J53" t="s">
        <v>97</v>
      </c>
      <c r="K53" s="7">
        <v>45778</v>
      </c>
      <c r="L53" t="s">
        <v>43</v>
      </c>
    </row>
    <row r="54" spans="1:12" hidden="1">
      <c r="A54" t="s">
        <v>39</v>
      </c>
      <c r="B54" t="s">
        <v>40</v>
      </c>
      <c r="C54" t="s">
        <v>12</v>
      </c>
      <c r="E54" t="s">
        <v>8</v>
      </c>
      <c r="F54" s="1" t="s">
        <v>2</v>
      </c>
      <c r="G54" s="1">
        <v>45781</v>
      </c>
      <c r="H54" t="s">
        <v>41</v>
      </c>
      <c r="I54" s="2">
        <v>2000</v>
      </c>
      <c r="J54" t="s">
        <v>98</v>
      </c>
      <c r="K54" s="7">
        <v>45778</v>
      </c>
      <c r="L54" t="s">
        <v>84</v>
      </c>
    </row>
    <row r="55" spans="1:12" hidden="1">
      <c r="A55" t="s">
        <v>39</v>
      </c>
      <c r="B55" t="s">
        <v>40</v>
      </c>
      <c r="C55" t="s">
        <v>14</v>
      </c>
      <c r="E55" t="s">
        <v>8</v>
      </c>
      <c r="F55" s="1" t="s">
        <v>2</v>
      </c>
      <c r="G55" s="1">
        <v>45781</v>
      </c>
      <c r="H55" t="s">
        <v>41</v>
      </c>
      <c r="I55" s="2">
        <v>6750</v>
      </c>
      <c r="J55" t="s">
        <v>98</v>
      </c>
      <c r="K55" s="7">
        <v>45778</v>
      </c>
      <c r="L55" t="s">
        <v>84</v>
      </c>
    </row>
    <row r="56" spans="1:12" hidden="1">
      <c r="A56" t="s">
        <v>56</v>
      </c>
      <c r="B56" t="s">
        <v>40</v>
      </c>
      <c r="C56" t="s">
        <v>14</v>
      </c>
      <c r="E56" t="s">
        <v>8</v>
      </c>
      <c r="F56" s="1" t="s">
        <v>2</v>
      </c>
      <c r="G56" s="1">
        <v>45781</v>
      </c>
      <c r="H56" t="s">
        <v>41</v>
      </c>
      <c r="I56" s="2">
        <v>2000</v>
      </c>
      <c r="J56" t="s">
        <v>98</v>
      </c>
      <c r="K56" s="7">
        <v>45778</v>
      </c>
      <c r="L56" t="s">
        <v>84</v>
      </c>
    </row>
    <row r="57" spans="1:12" hidden="1">
      <c r="A57" t="s">
        <v>56</v>
      </c>
      <c r="B57" t="s">
        <v>40</v>
      </c>
      <c r="C57" t="s">
        <v>12</v>
      </c>
      <c r="E57" t="s">
        <v>8</v>
      </c>
      <c r="F57" s="1" t="s">
        <v>2</v>
      </c>
      <c r="G57" s="1">
        <v>45781</v>
      </c>
      <c r="H57" t="s">
        <v>41</v>
      </c>
      <c r="I57" s="2">
        <v>2000</v>
      </c>
      <c r="J57" t="s">
        <v>98</v>
      </c>
      <c r="K57" s="7">
        <v>45778</v>
      </c>
      <c r="L57" t="s">
        <v>84</v>
      </c>
    </row>
    <row r="58" spans="1:12" hidden="1">
      <c r="A58" t="s">
        <v>99</v>
      </c>
      <c r="B58" t="s">
        <v>63</v>
      </c>
      <c r="C58" t="s">
        <v>14</v>
      </c>
      <c r="E58" t="s">
        <v>8</v>
      </c>
      <c r="F58" s="1" t="s">
        <v>2</v>
      </c>
      <c r="G58" s="1">
        <v>45781</v>
      </c>
      <c r="H58" t="s">
        <v>41</v>
      </c>
      <c r="I58" s="2">
        <v>20000</v>
      </c>
      <c r="J58" t="s">
        <v>100</v>
      </c>
      <c r="K58" s="7">
        <v>45778</v>
      </c>
      <c r="L58" t="s">
        <v>43</v>
      </c>
    </row>
    <row r="59" spans="1:12" hidden="1">
      <c r="A59" t="s">
        <v>39</v>
      </c>
      <c r="B59" t="s">
        <v>40</v>
      </c>
      <c r="C59" t="s">
        <v>14</v>
      </c>
      <c r="D59">
        <v>10026563</v>
      </c>
      <c r="E59" t="s">
        <v>9</v>
      </c>
      <c r="F59" s="1" t="s">
        <v>4</v>
      </c>
      <c r="G59" s="1">
        <v>45789</v>
      </c>
      <c r="H59" t="s">
        <v>64</v>
      </c>
      <c r="I59" s="2">
        <f>6745200/508</f>
        <v>13277.952755905511</v>
      </c>
      <c r="J59" t="s">
        <v>42</v>
      </c>
      <c r="K59" s="7">
        <v>45778</v>
      </c>
    </row>
    <row r="60" spans="1:12" hidden="1">
      <c r="A60" t="s">
        <v>39</v>
      </c>
      <c r="B60" t="s">
        <v>47</v>
      </c>
      <c r="C60" t="s">
        <v>13</v>
      </c>
      <c r="E60" t="s">
        <v>9</v>
      </c>
      <c r="F60" s="1" t="s">
        <v>5</v>
      </c>
      <c r="G60" s="1">
        <v>46048</v>
      </c>
      <c r="H60" t="s">
        <v>64</v>
      </c>
      <c r="I60" s="2">
        <f>61142162.15/496</f>
        <v>123270.48820564516</v>
      </c>
      <c r="J60" t="s">
        <v>101</v>
      </c>
      <c r="K60" s="7">
        <v>46023</v>
      </c>
    </row>
    <row r="61" spans="1:12" hidden="1">
      <c r="A61" t="s">
        <v>39</v>
      </c>
      <c r="B61" t="s">
        <v>45</v>
      </c>
      <c r="C61" t="s">
        <v>12</v>
      </c>
      <c r="E61" t="s">
        <v>9</v>
      </c>
      <c r="F61" s="1" t="s">
        <v>2</v>
      </c>
      <c r="G61" s="1">
        <v>45905</v>
      </c>
      <c r="H61" t="s">
        <v>41</v>
      </c>
      <c r="I61" s="2">
        <v>122910.78</v>
      </c>
      <c r="J61" t="s">
        <v>102</v>
      </c>
      <c r="K61" s="7">
        <v>45901</v>
      </c>
    </row>
    <row r="62" spans="1:12" hidden="1">
      <c r="A62" t="s">
        <v>39</v>
      </c>
      <c r="B62" t="s">
        <v>45</v>
      </c>
      <c r="C62" t="s">
        <v>12</v>
      </c>
      <c r="E62" t="s">
        <v>9</v>
      </c>
      <c r="F62" s="1" t="s">
        <v>6</v>
      </c>
      <c r="G62" s="1">
        <v>45868</v>
      </c>
      <c r="H62" t="s">
        <v>41</v>
      </c>
      <c r="I62" s="2">
        <v>122305.79</v>
      </c>
      <c r="J62" t="s">
        <v>103</v>
      </c>
      <c r="K62" s="7">
        <v>45839</v>
      </c>
    </row>
    <row r="63" spans="1:12" hidden="1">
      <c r="A63" t="s">
        <v>39</v>
      </c>
      <c r="B63" t="s">
        <v>63</v>
      </c>
      <c r="C63" t="s">
        <v>13</v>
      </c>
      <c r="E63" t="s">
        <v>9</v>
      </c>
      <c r="F63" s="1" t="s">
        <v>3</v>
      </c>
      <c r="G63" s="1">
        <v>46002</v>
      </c>
      <c r="H63" t="s">
        <v>41</v>
      </c>
      <c r="I63" s="2">
        <v>120841.26</v>
      </c>
      <c r="J63" t="s">
        <v>104</v>
      </c>
      <c r="K63" s="7">
        <v>45992</v>
      </c>
    </row>
    <row r="64" spans="1:12" hidden="1">
      <c r="A64" t="s">
        <v>39</v>
      </c>
      <c r="B64" t="s">
        <v>47</v>
      </c>
      <c r="C64" t="s">
        <v>12</v>
      </c>
      <c r="E64" t="s">
        <v>9</v>
      </c>
      <c r="F64" s="1" t="s">
        <v>2</v>
      </c>
      <c r="G64" s="1">
        <v>45902</v>
      </c>
      <c r="H64" t="s">
        <v>41</v>
      </c>
      <c r="I64" s="2">
        <v>119589.4</v>
      </c>
      <c r="J64" t="s">
        <v>61</v>
      </c>
      <c r="K64" s="7">
        <v>45901</v>
      </c>
    </row>
    <row r="65" spans="1:12" hidden="1">
      <c r="A65" t="s">
        <v>39</v>
      </c>
      <c r="B65" t="s">
        <v>47</v>
      </c>
      <c r="C65" t="s">
        <v>12</v>
      </c>
      <c r="E65" t="s">
        <v>9</v>
      </c>
      <c r="F65" s="1" t="s">
        <v>5</v>
      </c>
      <c r="G65" s="1">
        <v>45923</v>
      </c>
      <c r="H65" t="s">
        <v>41</v>
      </c>
      <c r="I65" s="2">
        <v>115596.3</v>
      </c>
      <c r="J65" t="s">
        <v>105</v>
      </c>
      <c r="K65" s="7">
        <v>45901</v>
      </c>
    </row>
    <row r="66" spans="1:12" hidden="1">
      <c r="A66" t="s">
        <v>39</v>
      </c>
      <c r="B66" t="s">
        <v>47</v>
      </c>
      <c r="C66" t="s">
        <v>12</v>
      </c>
      <c r="D66">
        <v>10026619</v>
      </c>
      <c r="E66" t="s">
        <v>9</v>
      </c>
      <c r="F66" s="1" t="s">
        <v>5</v>
      </c>
      <c r="G66" s="1">
        <v>45796</v>
      </c>
      <c r="H66" t="s">
        <v>41</v>
      </c>
      <c r="I66" s="2">
        <v>114684</v>
      </c>
      <c r="J66" t="s">
        <v>106</v>
      </c>
      <c r="K66" s="7">
        <v>45778</v>
      </c>
    </row>
    <row r="67" spans="1:12" hidden="1">
      <c r="A67" t="s">
        <v>39</v>
      </c>
      <c r="B67" t="s">
        <v>40</v>
      </c>
      <c r="C67" t="s">
        <v>14</v>
      </c>
      <c r="E67" t="s">
        <v>8</v>
      </c>
      <c r="F67" s="1" t="s">
        <v>3</v>
      </c>
      <c r="G67" s="1">
        <v>45782</v>
      </c>
      <c r="H67" t="s">
        <v>41</v>
      </c>
      <c r="I67" s="2">
        <v>1500</v>
      </c>
      <c r="J67" t="s">
        <v>107</v>
      </c>
      <c r="K67" s="7">
        <v>45778</v>
      </c>
      <c r="L67" t="s">
        <v>43</v>
      </c>
    </row>
    <row r="68" spans="1:12" hidden="1">
      <c r="A68" t="s">
        <v>39</v>
      </c>
      <c r="B68" t="s">
        <v>40</v>
      </c>
      <c r="C68" t="s">
        <v>14</v>
      </c>
      <c r="E68" t="s">
        <v>8</v>
      </c>
      <c r="F68" s="1" t="s">
        <v>3</v>
      </c>
      <c r="G68" s="1">
        <v>45782</v>
      </c>
      <c r="H68" t="s">
        <v>41</v>
      </c>
      <c r="I68" s="2">
        <v>4000</v>
      </c>
      <c r="J68" t="s">
        <v>108</v>
      </c>
      <c r="K68" s="7">
        <v>45778</v>
      </c>
      <c r="L68" t="s">
        <v>43</v>
      </c>
    </row>
    <row r="69" spans="1:12" hidden="1">
      <c r="A69" t="s">
        <v>39</v>
      </c>
      <c r="B69" t="s">
        <v>40</v>
      </c>
      <c r="C69" t="s">
        <v>14</v>
      </c>
      <c r="E69" t="s">
        <v>8</v>
      </c>
      <c r="F69" s="1" t="s">
        <v>3</v>
      </c>
      <c r="G69" s="1">
        <v>45782</v>
      </c>
      <c r="H69" t="s">
        <v>41</v>
      </c>
      <c r="I69" s="2">
        <v>200</v>
      </c>
      <c r="J69" t="s">
        <v>109</v>
      </c>
      <c r="K69" s="7">
        <v>45778</v>
      </c>
      <c r="L69" t="s">
        <v>43</v>
      </c>
    </row>
    <row r="70" spans="1:12">
      <c r="A70" t="s">
        <v>39</v>
      </c>
      <c r="B70" t="s">
        <v>47</v>
      </c>
      <c r="C70" t="s">
        <v>14</v>
      </c>
      <c r="E70" t="s">
        <v>9</v>
      </c>
      <c r="F70" s="1" t="s">
        <v>2</v>
      </c>
      <c r="G70" s="1">
        <v>46055</v>
      </c>
      <c r="H70" t="s">
        <v>41</v>
      </c>
      <c r="I70" s="2">
        <v>5961.54</v>
      </c>
      <c r="J70" s="47" t="s">
        <v>110</v>
      </c>
      <c r="K70" s="7">
        <v>46054</v>
      </c>
    </row>
    <row r="71" spans="1:12" hidden="1">
      <c r="A71" t="s">
        <v>39</v>
      </c>
      <c r="B71" t="s">
        <v>45</v>
      </c>
      <c r="C71" t="s">
        <v>12</v>
      </c>
      <c r="E71" t="s">
        <v>9</v>
      </c>
      <c r="F71" s="1" t="s">
        <v>3</v>
      </c>
      <c r="G71" s="1">
        <v>45820</v>
      </c>
      <c r="H71" t="s">
        <v>41</v>
      </c>
      <c r="I71" s="2">
        <v>111000</v>
      </c>
      <c r="J71" t="s">
        <v>111</v>
      </c>
      <c r="K71" s="7">
        <v>45809</v>
      </c>
    </row>
    <row r="72" spans="1:12" hidden="1">
      <c r="A72" t="s">
        <v>39</v>
      </c>
      <c r="B72" t="s">
        <v>47</v>
      </c>
      <c r="C72" t="s">
        <v>12</v>
      </c>
      <c r="D72">
        <v>10026545</v>
      </c>
      <c r="E72" t="s">
        <v>9</v>
      </c>
      <c r="F72" s="1" t="s">
        <v>4</v>
      </c>
      <c r="G72" s="1">
        <v>45789</v>
      </c>
      <c r="H72" t="s">
        <v>41</v>
      </c>
      <c r="I72" s="2">
        <v>12000</v>
      </c>
      <c r="J72" t="s">
        <v>112</v>
      </c>
      <c r="K72" s="7">
        <v>45778</v>
      </c>
    </row>
    <row r="73" spans="1:12" hidden="1">
      <c r="A73" t="s">
        <v>39</v>
      </c>
      <c r="B73" t="s">
        <v>45</v>
      </c>
      <c r="C73" t="s">
        <v>14</v>
      </c>
      <c r="E73" t="s">
        <v>9</v>
      </c>
      <c r="F73" s="1" t="s">
        <v>2</v>
      </c>
      <c r="G73" s="1">
        <v>46031</v>
      </c>
      <c r="H73" t="s">
        <v>41</v>
      </c>
      <c r="I73" s="2">
        <v>109377.62</v>
      </c>
      <c r="J73" t="s">
        <v>113</v>
      </c>
      <c r="K73" s="7">
        <v>46023</v>
      </c>
    </row>
    <row r="74" spans="1:12" hidden="1">
      <c r="A74" t="s">
        <v>114</v>
      </c>
      <c r="B74" t="s">
        <v>63</v>
      </c>
      <c r="C74" t="s">
        <v>13</v>
      </c>
      <c r="D74">
        <v>15143</v>
      </c>
      <c r="E74" t="s">
        <v>9</v>
      </c>
      <c r="F74" s="1" t="s">
        <v>4</v>
      </c>
      <c r="G74" s="1">
        <v>45789</v>
      </c>
      <c r="H74" t="s">
        <v>41</v>
      </c>
      <c r="I74" s="2">
        <v>5064.8</v>
      </c>
      <c r="J74" t="s">
        <v>115</v>
      </c>
      <c r="K74" s="7">
        <v>45778</v>
      </c>
    </row>
    <row r="75" spans="1:12" hidden="1">
      <c r="A75" t="s">
        <v>39</v>
      </c>
      <c r="B75" t="s">
        <v>45</v>
      </c>
      <c r="C75" t="s">
        <v>14</v>
      </c>
      <c r="E75" t="s">
        <v>9</v>
      </c>
      <c r="F75" s="1" t="s">
        <v>5</v>
      </c>
      <c r="G75" s="1">
        <v>45898</v>
      </c>
      <c r="H75" t="s">
        <v>64</v>
      </c>
      <c r="I75" s="2">
        <v>105929.68</v>
      </c>
      <c r="J75" t="s">
        <v>116</v>
      </c>
      <c r="K75" s="7">
        <v>45870</v>
      </c>
    </row>
    <row r="76" spans="1:12" hidden="1">
      <c r="A76" t="s">
        <v>39</v>
      </c>
      <c r="B76" t="s">
        <v>40</v>
      </c>
      <c r="C76" t="s">
        <v>14</v>
      </c>
      <c r="D76">
        <v>10026555</v>
      </c>
      <c r="E76" t="s">
        <v>9</v>
      </c>
      <c r="F76" s="1" t="s">
        <v>4</v>
      </c>
      <c r="G76" s="1">
        <v>45789</v>
      </c>
      <c r="H76" t="s">
        <v>41</v>
      </c>
      <c r="I76" s="2">
        <v>3780</v>
      </c>
      <c r="J76" t="s">
        <v>117</v>
      </c>
      <c r="K76" s="7">
        <v>45778</v>
      </c>
    </row>
    <row r="77" spans="1:12" hidden="1">
      <c r="A77" t="s">
        <v>39</v>
      </c>
      <c r="B77" t="s">
        <v>47</v>
      </c>
      <c r="C77" t="s">
        <v>14</v>
      </c>
      <c r="E77" t="s">
        <v>9</v>
      </c>
      <c r="F77" s="1" t="s">
        <v>3</v>
      </c>
      <c r="G77" s="1">
        <v>45975</v>
      </c>
      <c r="H77" t="s">
        <v>41</v>
      </c>
      <c r="I77" s="2">
        <v>102287.43</v>
      </c>
      <c r="J77" t="s">
        <v>118</v>
      </c>
      <c r="K77" s="7">
        <v>45962</v>
      </c>
    </row>
    <row r="78" spans="1:12" hidden="1">
      <c r="A78" t="s">
        <v>39</v>
      </c>
      <c r="B78" t="s">
        <v>47</v>
      </c>
      <c r="C78" t="s">
        <v>12</v>
      </c>
      <c r="E78" t="s">
        <v>9</v>
      </c>
      <c r="F78" s="1" t="s">
        <v>5</v>
      </c>
      <c r="G78" s="1">
        <v>45862</v>
      </c>
      <c r="H78" t="s">
        <v>41</v>
      </c>
      <c r="I78" s="2">
        <v>100000</v>
      </c>
      <c r="J78" t="s">
        <v>119</v>
      </c>
      <c r="K78" s="7">
        <v>45839</v>
      </c>
    </row>
    <row r="79" spans="1:12" hidden="1">
      <c r="A79" t="s">
        <v>114</v>
      </c>
      <c r="B79" t="s">
        <v>63</v>
      </c>
      <c r="C79" t="s">
        <v>13</v>
      </c>
      <c r="D79">
        <v>15143</v>
      </c>
      <c r="E79" t="s">
        <v>9</v>
      </c>
      <c r="F79" s="1" t="s">
        <v>4</v>
      </c>
      <c r="G79" s="1">
        <v>45789</v>
      </c>
      <c r="H79" t="s">
        <v>41</v>
      </c>
      <c r="I79" s="2">
        <v>3352.6</v>
      </c>
      <c r="J79" t="s">
        <v>115</v>
      </c>
      <c r="K79" s="7">
        <v>45778</v>
      </c>
    </row>
    <row r="80" spans="1:12" hidden="1">
      <c r="A80" t="s">
        <v>39</v>
      </c>
      <c r="B80" t="s">
        <v>40</v>
      </c>
      <c r="C80" t="s">
        <v>14</v>
      </c>
      <c r="D80">
        <v>10026558</v>
      </c>
      <c r="E80" t="s">
        <v>9</v>
      </c>
      <c r="F80" s="1" t="s">
        <v>4</v>
      </c>
      <c r="G80" s="1">
        <v>45789</v>
      </c>
      <c r="H80" t="s">
        <v>41</v>
      </c>
      <c r="I80" s="2">
        <v>3000</v>
      </c>
      <c r="J80" t="s">
        <v>120</v>
      </c>
      <c r="K80" s="7">
        <v>45778</v>
      </c>
    </row>
    <row r="81" spans="1:12" hidden="1">
      <c r="A81" t="s">
        <v>39</v>
      </c>
      <c r="B81" t="s">
        <v>47</v>
      </c>
      <c r="C81" t="s">
        <v>14</v>
      </c>
      <c r="E81" t="s">
        <v>8</v>
      </c>
      <c r="F81" s="1" t="s">
        <v>3</v>
      </c>
      <c r="G81" s="1">
        <v>45784</v>
      </c>
      <c r="H81" t="s">
        <v>41</v>
      </c>
      <c r="I81" s="2">
        <v>12441.82</v>
      </c>
      <c r="J81" t="s">
        <v>121</v>
      </c>
      <c r="K81" s="7">
        <v>45778</v>
      </c>
      <c r="L81" t="s">
        <v>43</v>
      </c>
    </row>
    <row r="82" spans="1:12" hidden="1">
      <c r="A82" t="s">
        <v>39</v>
      </c>
      <c r="B82" t="s">
        <v>45</v>
      </c>
      <c r="C82" t="s">
        <v>14</v>
      </c>
      <c r="D82">
        <v>10026521</v>
      </c>
      <c r="E82" t="s">
        <v>9</v>
      </c>
      <c r="F82" s="1" t="s">
        <v>3</v>
      </c>
      <c r="G82" s="1">
        <v>45786</v>
      </c>
      <c r="H82" t="s">
        <v>41</v>
      </c>
      <c r="I82" s="2">
        <v>96505.58</v>
      </c>
      <c r="J82" t="s">
        <v>122</v>
      </c>
      <c r="K82" s="7">
        <v>45778</v>
      </c>
    </row>
    <row r="83" spans="1:12" hidden="1">
      <c r="A83" t="s">
        <v>39</v>
      </c>
      <c r="B83" t="s">
        <v>40</v>
      </c>
      <c r="C83" t="s">
        <v>14</v>
      </c>
      <c r="D83">
        <v>10026547</v>
      </c>
      <c r="E83" t="s">
        <v>9</v>
      </c>
      <c r="F83" s="1" t="s">
        <v>4</v>
      </c>
      <c r="G83" s="1">
        <v>45789</v>
      </c>
      <c r="H83" t="s">
        <v>41</v>
      </c>
      <c r="I83" s="2">
        <v>1360</v>
      </c>
      <c r="J83" t="s">
        <v>123</v>
      </c>
      <c r="K83" s="7">
        <v>45778</v>
      </c>
    </row>
    <row r="84" spans="1:12" hidden="1">
      <c r="A84" t="s">
        <v>39</v>
      </c>
      <c r="B84" t="s">
        <v>40</v>
      </c>
      <c r="C84" t="s">
        <v>14</v>
      </c>
      <c r="D84">
        <v>10026549</v>
      </c>
      <c r="E84" t="s">
        <v>9</v>
      </c>
      <c r="F84" s="1" t="s">
        <v>4</v>
      </c>
      <c r="G84" s="1">
        <v>45789</v>
      </c>
      <c r="H84" t="s">
        <v>41</v>
      </c>
      <c r="I84" s="2">
        <v>400</v>
      </c>
      <c r="J84" t="s">
        <v>123</v>
      </c>
      <c r="K84" s="7">
        <v>45778</v>
      </c>
    </row>
    <row r="85" spans="1:12" hidden="1">
      <c r="A85" t="s">
        <v>39</v>
      </c>
      <c r="B85" t="s">
        <v>45</v>
      </c>
      <c r="C85" t="s">
        <v>14</v>
      </c>
      <c r="E85" t="s">
        <v>9</v>
      </c>
      <c r="F85" s="1" t="s">
        <v>2</v>
      </c>
      <c r="G85" s="1">
        <v>45877</v>
      </c>
      <c r="H85" t="s">
        <v>41</v>
      </c>
      <c r="I85" s="2">
        <v>92339.29</v>
      </c>
      <c r="J85" t="s">
        <v>72</v>
      </c>
      <c r="K85" s="7">
        <v>45870</v>
      </c>
    </row>
    <row r="86" spans="1:12" hidden="1">
      <c r="A86" t="s">
        <v>39</v>
      </c>
      <c r="B86" t="s">
        <v>63</v>
      </c>
      <c r="C86" t="s">
        <v>124</v>
      </c>
      <c r="E86" t="s">
        <v>9</v>
      </c>
      <c r="F86" s="1" t="s">
        <v>2</v>
      </c>
      <c r="G86" s="1">
        <v>45842</v>
      </c>
      <c r="H86" t="s">
        <v>41</v>
      </c>
      <c r="I86" s="2">
        <v>91494.28</v>
      </c>
      <c r="J86" t="s">
        <v>125</v>
      </c>
      <c r="K86" s="7">
        <v>45839</v>
      </c>
    </row>
    <row r="87" spans="1:12" hidden="1">
      <c r="A87" t="s">
        <v>39</v>
      </c>
      <c r="B87" t="s">
        <v>47</v>
      </c>
      <c r="C87" t="s">
        <v>12</v>
      </c>
      <c r="E87" t="s">
        <v>9</v>
      </c>
      <c r="F87" s="1" t="s">
        <v>3</v>
      </c>
      <c r="G87" s="1">
        <v>45908</v>
      </c>
      <c r="H87" t="s">
        <v>41</v>
      </c>
      <c r="I87" s="2">
        <v>90674</v>
      </c>
      <c r="J87" t="s">
        <v>126</v>
      </c>
      <c r="K87" s="7">
        <v>45901</v>
      </c>
    </row>
    <row r="88" spans="1:12" hidden="1">
      <c r="A88" t="s">
        <v>39</v>
      </c>
      <c r="B88" t="s">
        <v>63</v>
      </c>
      <c r="C88" t="s">
        <v>12</v>
      </c>
      <c r="D88">
        <v>10026560</v>
      </c>
      <c r="E88" t="s">
        <v>9</v>
      </c>
      <c r="F88" s="1" t="s">
        <v>4</v>
      </c>
      <c r="G88" s="1">
        <v>45789</v>
      </c>
      <c r="H88" t="s">
        <v>41</v>
      </c>
      <c r="I88" s="2">
        <v>265</v>
      </c>
      <c r="J88" t="s">
        <v>127</v>
      </c>
      <c r="K88" s="7">
        <v>45778</v>
      </c>
    </row>
    <row r="89" spans="1:12" hidden="1">
      <c r="A89" t="s">
        <v>39</v>
      </c>
      <c r="B89" t="s">
        <v>45</v>
      </c>
      <c r="C89" t="s">
        <v>12</v>
      </c>
      <c r="E89" t="s">
        <v>9</v>
      </c>
      <c r="F89" s="52" t="s">
        <v>5</v>
      </c>
      <c r="G89" s="1">
        <v>45926</v>
      </c>
      <c r="H89" t="s">
        <v>41</v>
      </c>
      <c r="I89" s="2">
        <v>88797.99</v>
      </c>
      <c r="J89" t="s">
        <v>128</v>
      </c>
      <c r="K89" s="7">
        <v>45901</v>
      </c>
    </row>
    <row r="90" spans="1:12" hidden="1">
      <c r="A90" t="s">
        <v>39</v>
      </c>
      <c r="B90" t="s">
        <v>47</v>
      </c>
      <c r="C90" t="s">
        <v>12</v>
      </c>
      <c r="E90" t="s">
        <v>9</v>
      </c>
      <c r="F90" s="1" t="s">
        <v>2</v>
      </c>
      <c r="G90" s="1">
        <v>45874</v>
      </c>
      <c r="H90" t="s">
        <v>41</v>
      </c>
      <c r="I90" s="2">
        <v>88091.21</v>
      </c>
      <c r="J90" t="s">
        <v>129</v>
      </c>
      <c r="K90" s="7">
        <v>45870</v>
      </c>
    </row>
    <row r="91" spans="1:12" hidden="1">
      <c r="A91" t="s">
        <v>39</v>
      </c>
      <c r="B91" t="s">
        <v>40</v>
      </c>
      <c r="C91" t="s">
        <v>14</v>
      </c>
      <c r="D91">
        <v>10026550</v>
      </c>
      <c r="E91" t="s">
        <v>9</v>
      </c>
      <c r="F91" s="1" t="s">
        <v>4</v>
      </c>
      <c r="G91" s="1">
        <v>45789</v>
      </c>
      <c r="H91" t="s">
        <v>41</v>
      </c>
      <c r="I91" s="2">
        <v>10</v>
      </c>
      <c r="J91" t="s">
        <v>123</v>
      </c>
      <c r="K91" s="7">
        <v>45778</v>
      </c>
    </row>
    <row r="92" spans="1:12" hidden="1">
      <c r="A92" t="s">
        <v>39</v>
      </c>
      <c r="B92" t="s">
        <v>47</v>
      </c>
      <c r="C92" t="s">
        <v>14</v>
      </c>
      <c r="D92">
        <v>10026911</v>
      </c>
      <c r="E92" t="s">
        <v>9</v>
      </c>
      <c r="F92" s="1" t="s">
        <v>5</v>
      </c>
      <c r="G92" s="1">
        <v>45832</v>
      </c>
      <c r="H92" t="s">
        <v>41</v>
      </c>
      <c r="I92" s="2">
        <v>86107.58</v>
      </c>
      <c r="J92" t="s">
        <v>130</v>
      </c>
      <c r="K92" s="7">
        <v>45809</v>
      </c>
    </row>
    <row r="93" spans="1:12" hidden="1">
      <c r="A93" t="s">
        <v>39</v>
      </c>
      <c r="B93" t="s">
        <v>63</v>
      </c>
      <c r="C93" t="s">
        <v>13</v>
      </c>
      <c r="E93" t="s">
        <v>9</v>
      </c>
      <c r="F93" s="1" t="s">
        <v>3</v>
      </c>
      <c r="G93" s="1">
        <v>46038</v>
      </c>
      <c r="H93" t="s">
        <v>41</v>
      </c>
      <c r="I93" s="2">
        <v>84330.57</v>
      </c>
      <c r="J93" t="s">
        <v>131</v>
      </c>
      <c r="K93" s="7">
        <v>46023</v>
      </c>
    </row>
    <row r="94" spans="1:12" hidden="1">
      <c r="A94" t="s">
        <v>39</v>
      </c>
      <c r="B94" t="s">
        <v>45</v>
      </c>
      <c r="C94" t="s">
        <v>12</v>
      </c>
      <c r="E94" t="s">
        <v>9</v>
      </c>
      <c r="F94" s="1" t="s">
        <v>5</v>
      </c>
      <c r="G94" s="1">
        <v>46017</v>
      </c>
      <c r="H94" t="s">
        <v>41</v>
      </c>
      <c r="I94" s="2">
        <v>82711.320000000007</v>
      </c>
      <c r="J94" t="s">
        <v>132</v>
      </c>
      <c r="K94" s="7">
        <v>45992</v>
      </c>
    </row>
    <row r="95" spans="1:12" hidden="1">
      <c r="A95" t="s">
        <v>39</v>
      </c>
      <c r="B95" t="s">
        <v>45</v>
      </c>
      <c r="C95" t="s">
        <v>13</v>
      </c>
      <c r="E95" t="s">
        <v>9</v>
      </c>
      <c r="F95" s="1" t="s">
        <v>2</v>
      </c>
      <c r="G95" s="1">
        <v>45905</v>
      </c>
      <c r="H95" t="s">
        <v>41</v>
      </c>
      <c r="I95" s="2">
        <v>80000</v>
      </c>
      <c r="J95" t="s">
        <v>128</v>
      </c>
      <c r="K95" s="7">
        <v>45901</v>
      </c>
    </row>
    <row r="96" spans="1:12" hidden="1">
      <c r="A96" t="s">
        <v>39</v>
      </c>
      <c r="B96" t="s">
        <v>45</v>
      </c>
      <c r="C96" t="s">
        <v>12</v>
      </c>
      <c r="E96" t="s">
        <v>9</v>
      </c>
      <c r="F96" s="1" t="s">
        <v>3</v>
      </c>
      <c r="G96" s="1">
        <v>45912</v>
      </c>
      <c r="H96" t="s">
        <v>41</v>
      </c>
      <c r="I96" s="2">
        <v>80000</v>
      </c>
      <c r="J96" t="s">
        <v>128</v>
      </c>
      <c r="K96" s="7">
        <v>45901</v>
      </c>
    </row>
    <row r="97" spans="1:11" hidden="1">
      <c r="A97" t="s">
        <v>39</v>
      </c>
      <c r="B97" t="s">
        <v>47</v>
      </c>
      <c r="C97" t="s">
        <v>14</v>
      </c>
      <c r="E97" t="s">
        <v>8</v>
      </c>
      <c r="F97" s="1" t="s">
        <v>3</v>
      </c>
      <c r="G97" s="1">
        <v>45785</v>
      </c>
      <c r="H97" t="s">
        <v>41</v>
      </c>
      <c r="I97" s="2">
        <v>1906.76</v>
      </c>
      <c r="J97" t="s">
        <v>133</v>
      </c>
      <c r="K97" s="7">
        <v>45778</v>
      </c>
    </row>
    <row r="98" spans="1:11" hidden="1">
      <c r="A98" t="s">
        <v>39</v>
      </c>
      <c r="B98" t="s">
        <v>63</v>
      </c>
      <c r="C98" t="s">
        <v>14</v>
      </c>
      <c r="E98" t="s">
        <v>9</v>
      </c>
      <c r="F98" s="1" t="s">
        <v>3</v>
      </c>
      <c r="G98" s="1">
        <v>46038</v>
      </c>
      <c r="H98" t="s">
        <v>64</v>
      </c>
      <c r="I98" s="2">
        <f>39680000/496</f>
        <v>80000</v>
      </c>
      <c r="J98" t="s">
        <v>134</v>
      </c>
      <c r="K98" s="7">
        <v>46023</v>
      </c>
    </row>
    <row r="99" spans="1:11" hidden="1">
      <c r="A99" t="s">
        <v>39</v>
      </c>
      <c r="B99" t="s">
        <v>47</v>
      </c>
      <c r="C99" t="s">
        <v>124</v>
      </c>
      <c r="E99" t="s">
        <v>9</v>
      </c>
      <c r="F99" s="1" t="s">
        <v>5</v>
      </c>
      <c r="G99" s="1">
        <v>45860</v>
      </c>
      <c r="H99" t="s">
        <v>64</v>
      </c>
      <c r="I99" s="2">
        <f>39847224.35/508</f>
        <v>78439.418011811023</v>
      </c>
      <c r="J99" t="s">
        <v>135</v>
      </c>
      <c r="K99" s="7">
        <v>45839</v>
      </c>
    </row>
    <row r="100" spans="1:11" hidden="1">
      <c r="A100" t="s">
        <v>39</v>
      </c>
      <c r="B100" t="s">
        <v>47</v>
      </c>
      <c r="C100" t="s">
        <v>12</v>
      </c>
      <c r="E100" t="s">
        <v>9</v>
      </c>
      <c r="F100" s="1" t="s">
        <v>5</v>
      </c>
      <c r="G100" s="1">
        <v>45897</v>
      </c>
      <c r="H100" t="s">
        <v>64</v>
      </c>
      <c r="I100" s="2">
        <v>77935.78</v>
      </c>
      <c r="J100" t="s">
        <v>136</v>
      </c>
      <c r="K100" s="7">
        <v>45870</v>
      </c>
    </row>
    <row r="101" spans="1:11" hidden="1">
      <c r="A101" t="s">
        <v>39</v>
      </c>
      <c r="B101" t="s">
        <v>47</v>
      </c>
      <c r="C101" t="s">
        <v>14</v>
      </c>
      <c r="E101" t="s">
        <v>9</v>
      </c>
      <c r="F101" s="1" t="s">
        <v>5</v>
      </c>
      <c r="G101" s="1">
        <v>45953</v>
      </c>
      <c r="H101" t="s">
        <v>41</v>
      </c>
      <c r="I101" s="2">
        <v>77935.78</v>
      </c>
      <c r="J101" t="s">
        <v>137</v>
      </c>
      <c r="K101" s="7">
        <v>45931</v>
      </c>
    </row>
    <row r="102" spans="1:11" hidden="1">
      <c r="A102" t="s">
        <v>39</v>
      </c>
      <c r="B102" t="s">
        <v>47</v>
      </c>
      <c r="C102" t="s">
        <v>12</v>
      </c>
      <c r="D102">
        <v>10026583</v>
      </c>
      <c r="E102" t="s">
        <v>9</v>
      </c>
      <c r="F102" s="1" t="s">
        <v>4</v>
      </c>
      <c r="G102" s="1">
        <v>45790</v>
      </c>
      <c r="H102" t="s">
        <v>41</v>
      </c>
      <c r="I102" s="2">
        <v>31122.959999999999</v>
      </c>
      <c r="J102" t="s">
        <v>138</v>
      </c>
      <c r="K102" s="7">
        <v>45778</v>
      </c>
    </row>
    <row r="103" spans="1:11" hidden="1">
      <c r="A103" t="s">
        <v>39</v>
      </c>
      <c r="B103" t="s">
        <v>63</v>
      </c>
      <c r="C103" t="s">
        <v>14</v>
      </c>
      <c r="D103">
        <v>10026823</v>
      </c>
      <c r="E103" t="s">
        <v>9</v>
      </c>
      <c r="F103" s="1" t="s">
        <v>3</v>
      </c>
      <c r="G103" s="1">
        <v>45821</v>
      </c>
      <c r="H103" t="s">
        <v>41</v>
      </c>
      <c r="I103" s="2">
        <v>76400</v>
      </c>
      <c r="J103" t="s">
        <v>139</v>
      </c>
      <c r="K103" s="7">
        <v>45809</v>
      </c>
    </row>
    <row r="104" spans="1:11" hidden="1">
      <c r="A104" t="s">
        <v>56</v>
      </c>
      <c r="B104" t="s">
        <v>40</v>
      </c>
      <c r="C104" t="s">
        <v>13</v>
      </c>
      <c r="E104" t="s">
        <v>9</v>
      </c>
      <c r="F104" s="1" t="s">
        <v>3</v>
      </c>
      <c r="G104" s="1">
        <v>46038</v>
      </c>
      <c r="H104" t="s">
        <v>41</v>
      </c>
      <c r="I104" s="2">
        <v>76015.7</v>
      </c>
      <c r="J104" t="s">
        <v>140</v>
      </c>
      <c r="K104" s="7">
        <v>46023</v>
      </c>
    </row>
    <row r="105" spans="1:11" hidden="1">
      <c r="A105" t="s">
        <v>39</v>
      </c>
      <c r="B105" t="s">
        <v>63</v>
      </c>
      <c r="C105" t="s">
        <v>124</v>
      </c>
      <c r="E105" t="s">
        <v>9</v>
      </c>
      <c r="F105" s="1" t="s">
        <v>2</v>
      </c>
      <c r="G105" s="1">
        <v>45870</v>
      </c>
      <c r="H105" t="s">
        <v>41</v>
      </c>
      <c r="I105" s="2">
        <v>75848</v>
      </c>
      <c r="J105" t="s">
        <v>141</v>
      </c>
      <c r="K105" s="7">
        <v>45870</v>
      </c>
    </row>
    <row r="106" spans="1:11" hidden="1">
      <c r="A106" t="s">
        <v>39</v>
      </c>
      <c r="B106" t="s">
        <v>47</v>
      </c>
      <c r="C106" t="s">
        <v>13</v>
      </c>
      <c r="D106">
        <v>10026571</v>
      </c>
      <c r="E106" t="s">
        <v>9</v>
      </c>
      <c r="F106" s="1" t="s">
        <v>4</v>
      </c>
      <c r="G106" s="1">
        <v>45790</v>
      </c>
      <c r="H106" t="s">
        <v>41</v>
      </c>
      <c r="I106" s="2">
        <v>4494.3900000000003</v>
      </c>
      <c r="J106" t="s">
        <v>142</v>
      </c>
      <c r="K106" s="7">
        <v>45778</v>
      </c>
    </row>
    <row r="107" spans="1:11" hidden="1">
      <c r="A107" t="s">
        <v>39</v>
      </c>
      <c r="B107" t="s">
        <v>63</v>
      </c>
      <c r="C107" t="s">
        <v>12</v>
      </c>
      <c r="E107" t="s">
        <v>9</v>
      </c>
      <c r="F107" s="1" t="s">
        <v>3</v>
      </c>
      <c r="G107" s="1">
        <v>45909</v>
      </c>
      <c r="H107" t="s">
        <v>41</v>
      </c>
      <c r="I107" s="2">
        <v>74187.899999999994</v>
      </c>
      <c r="J107" t="s">
        <v>143</v>
      </c>
      <c r="K107" s="7">
        <v>45901</v>
      </c>
    </row>
    <row r="108" spans="1:11" hidden="1">
      <c r="A108" t="s">
        <v>39</v>
      </c>
      <c r="B108" t="s">
        <v>144</v>
      </c>
      <c r="C108" t="s">
        <v>14</v>
      </c>
      <c r="E108" t="s">
        <v>9</v>
      </c>
      <c r="F108" s="1" t="s">
        <v>3</v>
      </c>
      <c r="G108" s="1">
        <v>46003</v>
      </c>
      <c r="H108" t="s">
        <v>41</v>
      </c>
      <c r="I108" s="2">
        <v>72760.45</v>
      </c>
      <c r="J108" t="s">
        <v>145</v>
      </c>
      <c r="K108" s="7">
        <v>45992</v>
      </c>
    </row>
    <row r="109" spans="1:11" hidden="1">
      <c r="A109" t="s">
        <v>39</v>
      </c>
      <c r="B109" t="s">
        <v>47</v>
      </c>
      <c r="C109" t="s">
        <v>14</v>
      </c>
      <c r="E109" t="s">
        <v>9</v>
      </c>
      <c r="F109" s="1" t="s">
        <v>5</v>
      </c>
      <c r="G109" s="1">
        <v>45986</v>
      </c>
      <c r="H109" t="s">
        <v>41</v>
      </c>
      <c r="I109" s="2">
        <v>72506.25</v>
      </c>
      <c r="J109" s="47" t="s">
        <v>146</v>
      </c>
      <c r="K109" s="7">
        <v>45962</v>
      </c>
    </row>
    <row r="110" spans="1:11" hidden="1">
      <c r="A110" t="s">
        <v>114</v>
      </c>
      <c r="B110" t="s">
        <v>63</v>
      </c>
      <c r="C110" t="s">
        <v>14</v>
      </c>
      <c r="E110" t="s">
        <v>9</v>
      </c>
      <c r="F110" s="1" t="s">
        <v>2</v>
      </c>
      <c r="G110" s="1">
        <v>46055</v>
      </c>
      <c r="H110" t="s">
        <v>41</v>
      </c>
      <c r="I110" s="2">
        <v>5754.96</v>
      </c>
      <c r="J110" s="47" t="s">
        <v>147</v>
      </c>
      <c r="K110" s="7">
        <v>46054</v>
      </c>
    </row>
    <row r="111" spans="1:11" hidden="1">
      <c r="A111" t="s">
        <v>39</v>
      </c>
      <c r="B111" t="s">
        <v>63</v>
      </c>
      <c r="C111" t="s">
        <v>12</v>
      </c>
      <c r="E111" t="s">
        <v>9</v>
      </c>
      <c r="F111" s="1" t="s">
        <v>6</v>
      </c>
      <c r="G111" s="1">
        <v>45803</v>
      </c>
      <c r="H111" t="s">
        <v>41</v>
      </c>
      <c r="I111" s="2">
        <v>71623.13</v>
      </c>
      <c r="J111" t="s">
        <v>148</v>
      </c>
      <c r="K111" s="7">
        <v>45778</v>
      </c>
    </row>
    <row r="112" spans="1:11" hidden="1">
      <c r="A112" t="s">
        <v>39</v>
      </c>
      <c r="B112" t="s">
        <v>63</v>
      </c>
      <c r="C112" t="s">
        <v>124</v>
      </c>
      <c r="D112">
        <v>10026538</v>
      </c>
      <c r="E112" t="s">
        <v>9</v>
      </c>
      <c r="F112" s="1" t="s">
        <v>3</v>
      </c>
      <c r="G112" s="1">
        <v>45786</v>
      </c>
      <c r="H112" t="s">
        <v>41</v>
      </c>
      <c r="I112" s="2">
        <v>71348.08</v>
      </c>
      <c r="J112" t="s">
        <v>149</v>
      </c>
      <c r="K112" s="7">
        <v>45778</v>
      </c>
    </row>
    <row r="113" spans="1:13" hidden="1">
      <c r="A113" t="s">
        <v>39</v>
      </c>
      <c r="B113" t="s">
        <v>40</v>
      </c>
      <c r="C113" t="s">
        <v>14</v>
      </c>
      <c r="D113">
        <v>10026577</v>
      </c>
      <c r="E113" t="s">
        <v>9</v>
      </c>
      <c r="F113" s="1" t="s">
        <v>4</v>
      </c>
      <c r="G113" s="1">
        <v>45790</v>
      </c>
      <c r="H113" t="s">
        <v>41</v>
      </c>
      <c r="I113" s="2">
        <v>3800</v>
      </c>
      <c r="J113" t="s">
        <v>150</v>
      </c>
      <c r="K113" s="7">
        <v>45778</v>
      </c>
    </row>
    <row r="114" spans="1:13" hidden="1">
      <c r="A114" t="s">
        <v>39</v>
      </c>
      <c r="B114" t="s">
        <v>63</v>
      </c>
      <c r="C114" t="s">
        <v>14</v>
      </c>
      <c r="E114" t="s">
        <v>8</v>
      </c>
      <c r="F114" s="1" t="s">
        <v>3</v>
      </c>
      <c r="G114" s="1">
        <v>45786</v>
      </c>
      <c r="H114" t="s">
        <v>41</v>
      </c>
      <c r="I114" s="2">
        <v>38549.5</v>
      </c>
      <c r="J114" t="s">
        <v>151</v>
      </c>
      <c r="K114" s="7">
        <v>45778</v>
      </c>
      <c r="L114" t="s">
        <v>43</v>
      </c>
    </row>
    <row r="115" spans="1:13" hidden="1">
      <c r="A115" t="s">
        <v>39</v>
      </c>
      <c r="B115" t="s">
        <v>45</v>
      </c>
      <c r="C115" t="s">
        <v>13</v>
      </c>
      <c r="E115" t="s">
        <v>8</v>
      </c>
      <c r="F115" s="1" t="s">
        <v>3</v>
      </c>
      <c r="G115" s="1">
        <v>45786</v>
      </c>
      <c r="H115" t="s">
        <v>41</v>
      </c>
      <c r="I115" s="2">
        <v>10000</v>
      </c>
      <c r="J115" t="s">
        <v>88</v>
      </c>
      <c r="K115" s="7">
        <v>45778</v>
      </c>
      <c r="L115" t="s">
        <v>84</v>
      </c>
    </row>
    <row r="116" spans="1:13" hidden="1">
      <c r="A116" t="s">
        <v>39</v>
      </c>
      <c r="B116" t="s">
        <v>45</v>
      </c>
      <c r="C116" t="s">
        <v>14</v>
      </c>
      <c r="E116" t="s">
        <v>8</v>
      </c>
      <c r="F116" s="1" t="s">
        <v>3</v>
      </c>
      <c r="G116" s="1">
        <v>45786</v>
      </c>
      <c r="H116" t="s">
        <v>41</v>
      </c>
      <c r="I116" s="2">
        <v>62106.22</v>
      </c>
      <c r="J116" t="s">
        <v>152</v>
      </c>
      <c r="K116" s="7">
        <v>45778</v>
      </c>
      <c r="L116" t="s">
        <v>43</v>
      </c>
    </row>
    <row r="117" spans="1:13" hidden="1">
      <c r="A117" t="s">
        <v>39</v>
      </c>
      <c r="B117" t="s">
        <v>45</v>
      </c>
      <c r="C117" t="s">
        <v>14</v>
      </c>
      <c r="E117" t="s">
        <v>8</v>
      </c>
      <c r="F117" s="1" t="s">
        <v>3</v>
      </c>
      <c r="G117" s="1">
        <v>45786</v>
      </c>
      <c r="H117" t="s">
        <v>41</v>
      </c>
      <c r="I117" s="2">
        <v>49310.35</v>
      </c>
      <c r="J117" t="s">
        <v>152</v>
      </c>
      <c r="K117" s="7">
        <v>45778</v>
      </c>
      <c r="L117" t="s">
        <v>43</v>
      </c>
    </row>
    <row r="118" spans="1:13" hidden="1">
      <c r="A118" t="s">
        <v>39</v>
      </c>
      <c r="B118" t="s">
        <v>45</v>
      </c>
      <c r="C118" t="s">
        <v>14</v>
      </c>
      <c r="E118" t="s">
        <v>8</v>
      </c>
      <c r="F118" s="1" t="s">
        <v>3</v>
      </c>
      <c r="G118" s="1">
        <v>45786</v>
      </c>
      <c r="H118" t="s">
        <v>41</v>
      </c>
      <c r="I118" s="2">
        <v>96505.58</v>
      </c>
      <c r="J118" t="s">
        <v>122</v>
      </c>
      <c r="K118" s="7">
        <v>45778</v>
      </c>
      <c r="L118" t="s">
        <v>43</v>
      </c>
    </row>
    <row r="119" spans="1:13" hidden="1">
      <c r="A119" t="s">
        <v>39</v>
      </c>
      <c r="B119" t="s">
        <v>45</v>
      </c>
      <c r="C119" t="s">
        <v>12</v>
      </c>
      <c r="E119" t="s">
        <v>9</v>
      </c>
      <c r="F119" s="1" t="s">
        <v>5</v>
      </c>
      <c r="G119" s="1">
        <v>45832</v>
      </c>
      <c r="H119" t="s">
        <v>41</v>
      </c>
      <c r="I119" s="2">
        <v>69163.839999999997</v>
      </c>
      <c r="J119" t="s">
        <v>153</v>
      </c>
      <c r="K119" s="7">
        <v>45809</v>
      </c>
    </row>
    <row r="120" spans="1:13" hidden="1">
      <c r="A120" t="s">
        <v>39</v>
      </c>
      <c r="B120" t="s">
        <v>45</v>
      </c>
      <c r="C120" t="s">
        <v>12</v>
      </c>
      <c r="E120" t="s">
        <v>9</v>
      </c>
      <c r="F120" s="1" t="s">
        <v>5</v>
      </c>
      <c r="G120" s="1">
        <v>46014</v>
      </c>
      <c r="H120" t="s">
        <v>41</v>
      </c>
      <c r="I120" s="2">
        <v>68730.23</v>
      </c>
      <c r="J120" t="s">
        <v>154</v>
      </c>
      <c r="K120" s="7">
        <v>45992</v>
      </c>
    </row>
    <row r="121" spans="1:13" hidden="1">
      <c r="A121" t="s">
        <v>39</v>
      </c>
      <c r="B121" t="s">
        <v>40</v>
      </c>
      <c r="C121" t="s">
        <v>14</v>
      </c>
      <c r="E121" t="s">
        <v>9</v>
      </c>
      <c r="F121" s="1" t="s">
        <v>2</v>
      </c>
      <c r="G121" s="1">
        <v>46055</v>
      </c>
      <c r="H121" t="s">
        <v>41</v>
      </c>
      <c r="I121" s="2">
        <v>1500</v>
      </c>
      <c r="J121" t="s">
        <v>155</v>
      </c>
      <c r="K121" s="7">
        <v>46054</v>
      </c>
    </row>
    <row r="122" spans="1:13" hidden="1">
      <c r="A122" t="s">
        <v>114</v>
      </c>
      <c r="B122" t="s">
        <v>63</v>
      </c>
      <c r="C122" t="s">
        <v>13</v>
      </c>
      <c r="E122" t="s">
        <v>8</v>
      </c>
      <c r="F122" s="1" t="s">
        <v>3</v>
      </c>
      <c r="G122" s="1">
        <v>45786</v>
      </c>
      <c r="H122" t="s">
        <v>41</v>
      </c>
      <c r="I122" s="2">
        <v>24323.15</v>
      </c>
      <c r="J122" t="s">
        <v>156</v>
      </c>
      <c r="K122" s="7">
        <v>45778</v>
      </c>
      <c r="L122" t="s">
        <v>43</v>
      </c>
      <c r="M122" s="5">
        <v>5000</v>
      </c>
    </row>
    <row r="123" spans="1:13" hidden="1">
      <c r="A123" t="s">
        <v>114</v>
      </c>
      <c r="B123" t="s">
        <v>63</v>
      </c>
      <c r="C123" t="s">
        <v>13</v>
      </c>
      <c r="E123" t="s">
        <v>8</v>
      </c>
      <c r="F123" s="1" t="s">
        <v>3</v>
      </c>
      <c r="G123" s="1">
        <v>45786</v>
      </c>
      <c r="H123" t="s">
        <v>41</v>
      </c>
      <c r="I123" s="2">
        <v>22736.54</v>
      </c>
      <c r="J123" t="s">
        <v>157</v>
      </c>
      <c r="K123" s="7">
        <v>45778</v>
      </c>
      <c r="L123" t="s">
        <v>84</v>
      </c>
    </row>
    <row r="124" spans="1:13" hidden="1">
      <c r="A124" t="s">
        <v>39</v>
      </c>
      <c r="B124" t="s">
        <v>63</v>
      </c>
      <c r="C124" t="s">
        <v>12</v>
      </c>
      <c r="E124" t="s">
        <v>8</v>
      </c>
      <c r="F124" s="1" t="s">
        <v>3</v>
      </c>
      <c r="G124" s="1">
        <v>45786</v>
      </c>
      <c r="H124" t="s">
        <v>41</v>
      </c>
      <c r="I124" s="2">
        <v>19814.400000000001</v>
      </c>
      <c r="J124" t="s">
        <v>158</v>
      </c>
      <c r="K124" s="7">
        <v>45778</v>
      </c>
      <c r="L124" t="s">
        <v>84</v>
      </c>
    </row>
    <row r="125" spans="1:13" hidden="1">
      <c r="A125" t="s">
        <v>39</v>
      </c>
      <c r="B125" t="s">
        <v>63</v>
      </c>
      <c r="C125" t="s">
        <v>12</v>
      </c>
      <c r="E125" t="s">
        <v>8</v>
      </c>
      <c r="F125" s="1" t="s">
        <v>3</v>
      </c>
      <c r="G125" s="1">
        <v>45786</v>
      </c>
      <c r="H125" t="s">
        <v>41</v>
      </c>
      <c r="I125" s="2">
        <v>6788</v>
      </c>
      <c r="J125" t="s">
        <v>159</v>
      </c>
      <c r="K125" s="7">
        <v>45778</v>
      </c>
      <c r="L125" t="s">
        <v>84</v>
      </c>
    </row>
    <row r="126" spans="1:13" hidden="1">
      <c r="A126" t="s">
        <v>39</v>
      </c>
      <c r="B126" t="s">
        <v>63</v>
      </c>
      <c r="C126" t="s">
        <v>14</v>
      </c>
      <c r="E126" t="s">
        <v>8</v>
      </c>
      <c r="F126" s="1" t="s">
        <v>3</v>
      </c>
      <c r="G126" s="1">
        <v>45786</v>
      </c>
      <c r="H126" t="s">
        <v>41</v>
      </c>
      <c r="I126" s="2">
        <v>5404.7</v>
      </c>
      <c r="J126" t="s">
        <v>160</v>
      </c>
      <c r="K126" s="7">
        <v>45778</v>
      </c>
      <c r="L126" t="s">
        <v>84</v>
      </c>
    </row>
    <row r="127" spans="1:13" hidden="1">
      <c r="A127" t="s">
        <v>39</v>
      </c>
      <c r="B127" t="s">
        <v>63</v>
      </c>
      <c r="C127" t="s">
        <v>12</v>
      </c>
      <c r="E127" t="s">
        <v>8</v>
      </c>
      <c r="F127" s="1" t="s">
        <v>3</v>
      </c>
      <c r="G127" s="1">
        <v>45786</v>
      </c>
      <c r="H127" t="s">
        <v>41</v>
      </c>
      <c r="I127" s="2">
        <v>4505.3999999999996</v>
      </c>
      <c r="J127" t="s">
        <v>161</v>
      </c>
      <c r="K127" s="7">
        <v>45778</v>
      </c>
      <c r="L127" t="s">
        <v>84</v>
      </c>
    </row>
    <row r="128" spans="1:13" hidden="1">
      <c r="A128" t="s">
        <v>39</v>
      </c>
      <c r="B128" t="s">
        <v>63</v>
      </c>
      <c r="C128" t="s">
        <v>12</v>
      </c>
      <c r="E128" t="s">
        <v>8</v>
      </c>
      <c r="F128" s="1" t="s">
        <v>3</v>
      </c>
      <c r="G128" s="1">
        <v>45786</v>
      </c>
      <c r="H128" t="s">
        <v>41</v>
      </c>
      <c r="I128" s="2">
        <v>3658.5</v>
      </c>
      <c r="J128" t="s">
        <v>159</v>
      </c>
      <c r="K128" s="7">
        <v>45778</v>
      </c>
      <c r="L128" t="s">
        <v>84</v>
      </c>
    </row>
    <row r="129" spans="1:12" hidden="1">
      <c r="A129" t="s">
        <v>39</v>
      </c>
      <c r="B129" t="s">
        <v>47</v>
      </c>
      <c r="C129" t="s">
        <v>14</v>
      </c>
      <c r="E129" t="s">
        <v>9</v>
      </c>
      <c r="F129" s="1" t="s">
        <v>3</v>
      </c>
      <c r="G129" s="1">
        <v>45849</v>
      </c>
      <c r="H129" t="s">
        <v>41</v>
      </c>
      <c r="I129" s="2">
        <v>65894.44</v>
      </c>
      <c r="J129" t="s">
        <v>162</v>
      </c>
      <c r="K129" s="7">
        <v>45839</v>
      </c>
    </row>
    <row r="130" spans="1:12" hidden="1">
      <c r="A130" t="s">
        <v>39</v>
      </c>
      <c r="B130" t="s">
        <v>45</v>
      </c>
      <c r="C130" t="s">
        <v>14</v>
      </c>
      <c r="E130" t="s">
        <v>9</v>
      </c>
      <c r="F130" s="1" t="s">
        <v>3</v>
      </c>
      <c r="G130" s="1">
        <v>45938</v>
      </c>
      <c r="H130" t="s">
        <v>41</v>
      </c>
      <c r="I130" s="2">
        <v>65518.38</v>
      </c>
      <c r="J130" t="s">
        <v>163</v>
      </c>
      <c r="K130" s="7">
        <v>45931</v>
      </c>
    </row>
    <row r="131" spans="1:12" hidden="1">
      <c r="A131" t="s">
        <v>39</v>
      </c>
      <c r="B131" t="s">
        <v>45</v>
      </c>
      <c r="C131" t="s">
        <v>14</v>
      </c>
      <c r="E131" t="s">
        <v>9</v>
      </c>
      <c r="F131" s="1" t="s">
        <v>3</v>
      </c>
      <c r="G131" s="1">
        <v>45940</v>
      </c>
      <c r="H131" t="s">
        <v>41</v>
      </c>
      <c r="I131" s="2">
        <v>65000</v>
      </c>
      <c r="J131" t="s">
        <v>164</v>
      </c>
      <c r="K131" s="7">
        <v>45931</v>
      </c>
    </row>
    <row r="132" spans="1:12" hidden="1">
      <c r="A132" t="s">
        <v>39</v>
      </c>
      <c r="B132" t="s">
        <v>63</v>
      </c>
      <c r="C132" t="s">
        <v>14</v>
      </c>
      <c r="E132" t="s">
        <v>9</v>
      </c>
      <c r="F132" s="1" t="s">
        <v>5</v>
      </c>
      <c r="G132" s="1">
        <v>45862</v>
      </c>
      <c r="H132" t="s">
        <v>41</v>
      </c>
      <c r="I132" s="2">
        <v>64000</v>
      </c>
      <c r="J132" s="47" t="s">
        <v>165</v>
      </c>
      <c r="K132" s="7">
        <v>45839</v>
      </c>
    </row>
    <row r="133" spans="1:12" hidden="1">
      <c r="A133" t="s">
        <v>39</v>
      </c>
      <c r="B133" t="s">
        <v>47</v>
      </c>
      <c r="C133" t="s">
        <v>14</v>
      </c>
      <c r="D133">
        <v>10026679</v>
      </c>
      <c r="E133" t="s">
        <v>9</v>
      </c>
      <c r="F133" s="1" t="s">
        <v>6</v>
      </c>
      <c r="G133" s="1">
        <v>45803</v>
      </c>
      <c r="H133" t="s">
        <v>41</v>
      </c>
      <c r="I133" s="2">
        <v>62879.75</v>
      </c>
      <c r="J133" t="s">
        <v>166</v>
      </c>
      <c r="K133" s="7">
        <v>45778</v>
      </c>
    </row>
    <row r="134" spans="1:12" hidden="1">
      <c r="A134" t="s">
        <v>39</v>
      </c>
      <c r="B134" t="s">
        <v>47</v>
      </c>
      <c r="C134" t="s">
        <v>12</v>
      </c>
      <c r="D134">
        <v>10026569</v>
      </c>
      <c r="E134" t="s">
        <v>9</v>
      </c>
      <c r="F134" s="1" t="s">
        <v>4</v>
      </c>
      <c r="G134" s="1">
        <v>45790</v>
      </c>
      <c r="H134" t="s">
        <v>41</v>
      </c>
      <c r="I134" s="2">
        <v>3252</v>
      </c>
      <c r="J134" t="s">
        <v>167</v>
      </c>
      <c r="K134" s="7">
        <v>45778</v>
      </c>
    </row>
    <row r="135" spans="1:12" hidden="1">
      <c r="A135" t="s">
        <v>39</v>
      </c>
      <c r="B135" t="s">
        <v>45</v>
      </c>
      <c r="C135" t="s">
        <v>13</v>
      </c>
      <c r="E135" t="s">
        <v>9</v>
      </c>
      <c r="F135" s="1" t="s">
        <v>3</v>
      </c>
      <c r="G135" s="1">
        <v>46038</v>
      </c>
      <c r="H135" t="s">
        <v>41</v>
      </c>
      <c r="I135" s="2">
        <v>62337.440000000002</v>
      </c>
      <c r="J135" t="s">
        <v>164</v>
      </c>
      <c r="K135" s="7">
        <v>46023</v>
      </c>
    </row>
    <row r="136" spans="1:12" hidden="1">
      <c r="A136" t="s">
        <v>39</v>
      </c>
      <c r="B136" t="s">
        <v>47</v>
      </c>
      <c r="C136" t="s">
        <v>13</v>
      </c>
      <c r="E136" t="s">
        <v>8</v>
      </c>
      <c r="F136" s="1" t="s">
        <v>3</v>
      </c>
      <c r="G136" s="1">
        <v>45787</v>
      </c>
      <c r="H136" t="s">
        <v>41</v>
      </c>
      <c r="I136" s="2">
        <v>373.5</v>
      </c>
      <c r="J136" t="s">
        <v>168</v>
      </c>
      <c r="K136" s="7">
        <v>45778</v>
      </c>
      <c r="L136" t="s">
        <v>43</v>
      </c>
    </row>
    <row r="137" spans="1:12" hidden="1">
      <c r="A137" t="s">
        <v>39</v>
      </c>
      <c r="B137" t="s">
        <v>47</v>
      </c>
      <c r="C137" t="s">
        <v>13</v>
      </c>
      <c r="D137">
        <v>10026767</v>
      </c>
      <c r="E137" t="s">
        <v>9</v>
      </c>
      <c r="F137" s="1" t="s">
        <v>2</v>
      </c>
      <c r="G137" s="1">
        <v>45812</v>
      </c>
      <c r="H137" t="s">
        <v>41</v>
      </c>
      <c r="I137" s="2">
        <v>62178.65</v>
      </c>
      <c r="J137" t="s">
        <v>169</v>
      </c>
      <c r="K137" s="7">
        <v>45809</v>
      </c>
    </row>
    <row r="138" spans="1:12" hidden="1">
      <c r="A138" t="s">
        <v>39</v>
      </c>
      <c r="B138" t="s">
        <v>45</v>
      </c>
      <c r="C138" t="s">
        <v>14</v>
      </c>
      <c r="D138">
        <v>10026513</v>
      </c>
      <c r="E138" t="s">
        <v>9</v>
      </c>
      <c r="F138" s="1" t="s">
        <v>3</v>
      </c>
      <c r="G138" s="1">
        <v>45786</v>
      </c>
      <c r="H138" t="s">
        <v>41</v>
      </c>
      <c r="I138" s="2">
        <v>62106.22</v>
      </c>
      <c r="J138" t="s">
        <v>152</v>
      </c>
      <c r="K138" s="7">
        <v>45778</v>
      </c>
    </row>
    <row r="139" spans="1:12" hidden="1">
      <c r="A139" t="s">
        <v>39</v>
      </c>
      <c r="B139" t="s">
        <v>40</v>
      </c>
      <c r="C139" t="s">
        <v>12</v>
      </c>
      <c r="E139" t="s">
        <v>8</v>
      </c>
      <c r="F139" s="1" t="s">
        <v>3</v>
      </c>
      <c r="G139" s="1">
        <v>45788</v>
      </c>
      <c r="H139" t="s">
        <v>41</v>
      </c>
      <c r="I139" s="2">
        <v>13500</v>
      </c>
      <c r="J139" t="s">
        <v>98</v>
      </c>
      <c r="K139" s="7">
        <v>45778</v>
      </c>
      <c r="L139" t="s">
        <v>84</v>
      </c>
    </row>
    <row r="140" spans="1:12" hidden="1">
      <c r="A140" t="s">
        <v>39</v>
      </c>
      <c r="B140" t="s">
        <v>40</v>
      </c>
      <c r="C140" t="s">
        <v>14</v>
      </c>
      <c r="E140" t="s">
        <v>8</v>
      </c>
      <c r="F140" s="1" t="s">
        <v>3</v>
      </c>
      <c r="G140" s="1">
        <v>45788</v>
      </c>
      <c r="H140" t="s">
        <v>41</v>
      </c>
      <c r="I140" s="2">
        <v>67500</v>
      </c>
      <c r="J140" t="s">
        <v>98</v>
      </c>
      <c r="K140" s="7">
        <v>45778</v>
      </c>
      <c r="L140" t="s">
        <v>84</v>
      </c>
    </row>
    <row r="141" spans="1:12" hidden="1">
      <c r="A141" t="s">
        <v>56</v>
      </c>
      <c r="B141" t="s">
        <v>40</v>
      </c>
      <c r="C141" t="s">
        <v>12</v>
      </c>
      <c r="E141" t="s">
        <v>8</v>
      </c>
      <c r="F141" s="1" t="s">
        <v>3</v>
      </c>
      <c r="G141" s="1">
        <v>45788</v>
      </c>
      <c r="H141" t="s">
        <v>41</v>
      </c>
      <c r="I141" s="2">
        <v>4000</v>
      </c>
      <c r="J141" t="s">
        <v>98</v>
      </c>
      <c r="K141" s="7">
        <v>45778</v>
      </c>
      <c r="L141" t="s">
        <v>84</v>
      </c>
    </row>
    <row r="142" spans="1:12" hidden="1">
      <c r="A142" t="s">
        <v>56</v>
      </c>
      <c r="B142" t="s">
        <v>40</v>
      </c>
      <c r="C142" t="s">
        <v>14</v>
      </c>
      <c r="E142" t="s">
        <v>8</v>
      </c>
      <c r="F142" s="1" t="s">
        <v>3</v>
      </c>
      <c r="G142" s="1">
        <v>45788</v>
      </c>
      <c r="H142" t="s">
        <v>41</v>
      </c>
      <c r="I142" s="2">
        <v>10000</v>
      </c>
      <c r="J142" t="s">
        <v>98</v>
      </c>
      <c r="K142" s="7">
        <v>45778</v>
      </c>
      <c r="L142" t="s">
        <v>84</v>
      </c>
    </row>
    <row r="143" spans="1:12" hidden="1">
      <c r="A143" t="s">
        <v>39</v>
      </c>
      <c r="B143" t="s">
        <v>47</v>
      </c>
      <c r="C143" t="s">
        <v>14</v>
      </c>
      <c r="E143" t="s">
        <v>8</v>
      </c>
      <c r="F143" s="1" t="s">
        <v>3</v>
      </c>
      <c r="G143" s="1">
        <v>45788</v>
      </c>
      <c r="H143" t="s">
        <v>41</v>
      </c>
      <c r="I143" s="2">
        <v>1821.2</v>
      </c>
      <c r="J143" t="s">
        <v>170</v>
      </c>
      <c r="K143" s="7">
        <v>45778</v>
      </c>
      <c r="L143" t="s">
        <v>43</v>
      </c>
    </row>
    <row r="144" spans="1:12" hidden="1">
      <c r="A144" t="s">
        <v>39</v>
      </c>
      <c r="B144" t="s">
        <v>47</v>
      </c>
      <c r="C144" t="s">
        <v>14</v>
      </c>
      <c r="E144" t="s">
        <v>8</v>
      </c>
      <c r="F144" s="1" t="s">
        <v>3</v>
      </c>
      <c r="G144" s="1">
        <v>45788</v>
      </c>
      <c r="H144" t="s">
        <v>41</v>
      </c>
      <c r="I144" s="2">
        <v>1221.18</v>
      </c>
      <c r="J144" t="s">
        <v>171</v>
      </c>
      <c r="K144" s="7">
        <v>45778</v>
      </c>
    </row>
    <row r="145" spans="1:12" hidden="1">
      <c r="A145" t="s">
        <v>39</v>
      </c>
      <c r="B145" t="s">
        <v>47</v>
      </c>
      <c r="C145" t="s">
        <v>13</v>
      </c>
      <c r="E145" t="s">
        <v>8</v>
      </c>
      <c r="F145" s="1" t="s">
        <v>3</v>
      </c>
      <c r="G145" s="1">
        <v>45788</v>
      </c>
      <c r="H145" t="s">
        <v>41</v>
      </c>
      <c r="I145" s="2">
        <v>6102.97</v>
      </c>
      <c r="J145" t="s">
        <v>172</v>
      </c>
      <c r="K145" s="7">
        <v>45778</v>
      </c>
      <c r="L145" t="s">
        <v>43</v>
      </c>
    </row>
    <row r="146" spans="1:12" hidden="1">
      <c r="A146" t="s">
        <v>99</v>
      </c>
      <c r="B146" t="s">
        <v>63</v>
      </c>
      <c r="C146" t="s">
        <v>14</v>
      </c>
      <c r="E146" t="s">
        <v>8</v>
      </c>
      <c r="F146" s="1" t="s">
        <v>3</v>
      </c>
      <c r="G146" s="1">
        <v>45788</v>
      </c>
      <c r="H146" t="s">
        <v>41</v>
      </c>
      <c r="I146" s="2">
        <v>20000</v>
      </c>
      <c r="J146" t="s">
        <v>173</v>
      </c>
      <c r="K146" s="7">
        <v>45778</v>
      </c>
    </row>
    <row r="147" spans="1:12" hidden="1">
      <c r="A147" t="s">
        <v>39</v>
      </c>
      <c r="B147" t="s">
        <v>40</v>
      </c>
      <c r="C147" t="s">
        <v>14</v>
      </c>
      <c r="D147">
        <v>10026581</v>
      </c>
      <c r="E147" t="s">
        <v>9</v>
      </c>
      <c r="F147" s="1" t="s">
        <v>4</v>
      </c>
      <c r="G147" s="1">
        <v>45790</v>
      </c>
      <c r="H147" t="s">
        <v>41</v>
      </c>
      <c r="I147" s="2">
        <v>2148</v>
      </c>
      <c r="J147" t="s">
        <v>174</v>
      </c>
      <c r="K147" s="7">
        <v>45778</v>
      </c>
    </row>
    <row r="148" spans="1:12" hidden="1">
      <c r="A148" t="s">
        <v>39</v>
      </c>
      <c r="B148" t="s">
        <v>45</v>
      </c>
      <c r="C148" t="s">
        <v>12</v>
      </c>
      <c r="E148" t="s">
        <v>9</v>
      </c>
      <c r="F148" s="1" t="s">
        <v>5</v>
      </c>
      <c r="G148" s="1">
        <v>45898</v>
      </c>
      <c r="H148" t="s">
        <v>64</v>
      </c>
      <c r="I148" s="2">
        <v>61200.160000000003</v>
      </c>
      <c r="J148" t="s">
        <v>175</v>
      </c>
      <c r="K148" s="7">
        <v>45870</v>
      </c>
    </row>
    <row r="149" spans="1:12" hidden="1">
      <c r="A149" t="s">
        <v>39</v>
      </c>
      <c r="B149" t="s">
        <v>45</v>
      </c>
      <c r="C149" t="s">
        <v>13</v>
      </c>
      <c r="D149">
        <v>10026918</v>
      </c>
      <c r="E149" t="s">
        <v>9</v>
      </c>
      <c r="F149" s="1" t="s">
        <v>5</v>
      </c>
      <c r="G149" s="1">
        <v>45833</v>
      </c>
      <c r="H149" t="s">
        <v>41</v>
      </c>
      <c r="I149" s="2">
        <v>60437.2</v>
      </c>
      <c r="J149" t="s">
        <v>176</v>
      </c>
      <c r="K149" s="7">
        <v>45809</v>
      </c>
    </row>
    <row r="150" spans="1:12" hidden="1">
      <c r="A150" t="s">
        <v>56</v>
      </c>
      <c r="B150" t="s">
        <v>40</v>
      </c>
      <c r="C150" t="s">
        <v>12</v>
      </c>
      <c r="E150" t="s">
        <v>8</v>
      </c>
      <c r="F150" s="1" t="s">
        <v>3</v>
      </c>
      <c r="G150" s="1">
        <v>45789</v>
      </c>
      <c r="H150" t="s">
        <v>41</v>
      </c>
      <c r="I150" s="2">
        <v>5000</v>
      </c>
      <c r="J150" t="s">
        <v>98</v>
      </c>
      <c r="K150" s="7">
        <v>45839</v>
      </c>
    </row>
    <row r="151" spans="1:12" hidden="1">
      <c r="A151" t="s">
        <v>39</v>
      </c>
      <c r="B151" t="s">
        <v>40</v>
      </c>
      <c r="C151" t="s">
        <v>12</v>
      </c>
      <c r="E151" t="s">
        <v>8</v>
      </c>
      <c r="F151" s="1" t="s">
        <v>3</v>
      </c>
      <c r="G151" s="1">
        <v>45789</v>
      </c>
      <c r="H151" t="s">
        <v>41</v>
      </c>
      <c r="I151" s="2">
        <v>15000</v>
      </c>
      <c r="J151" t="s">
        <v>98</v>
      </c>
      <c r="K151" s="7">
        <v>45839</v>
      </c>
    </row>
    <row r="152" spans="1:12" hidden="1">
      <c r="A152" t="s">
        <v>56</v>
      </c>
      <c r="B152" t="s">
        <v>40</v>
      </c>
      <c r="C152" t="s">
        <v>14</v>
      </c>
      <c r="E152" t="s">
        <v>8</v>
      </c>
      <c r="F152" s="1" t="s">
        <v>3</v>
      </c>
      <c r="G152" s="1">
        <v>45789</v>
      </c>
      <c r="H152" t="s">
        <v>41</v>
      </c>
      <c r="I152" s="2">
        <v>15000</v>
      </c>
      <c r="J152" t="s">
        <v>98</v>
      </c>
      <c r="K152" s="7">
        <v>45839</v>
      </c>
    </row>
    <row r="153" spans="1:12" hidden="1">
      <c r="A153" t="s">
        <v>39</v>
      </c>
      <c r="B153" t="s">
        <v>40</v>
      </c>
      <c r="C153" t="s">
        <v>14</v>
      </c>
      <c r="E153" t="s">
        <v>8</v>
      </c>
      <c r="F153" s="1" t="s">
        <v>3</v>
      </c>
      <c r="G153" s="1">
        <v>45789</v>
      </c>
      <c r="H153" t="s">
        <v>41</v>
      </c>
      <c r="I153" s="2">
        <v>60000</v>
      </c>
      <c r="J153" t="s">
        <v>98</v>
      </c>
      <c r="K153" s="7">
        <v>45839</v>
      </c>
    </row>
    <row r="154" spans="1:12" hidden="1">
      <c r="A154" t="s">
        <v>39</v>
      </c>
      <c r="B154" t="s">
        <v>45</v>
      </c>
      <c r="C154" t="s">
        <v>14</v>
      </c>
      <c r="E154" t="s">
        <v>9</v>
      </c>
      <c r="F154" s="1" t="s">
        <v>2</v>
      </c>
      <c r="G154" s="1">
        <v>45994</v>
      </c>
      <c r="H154" t="s">
        <v>41</v>
      </c>
      <c r="I154" s="2">
        <v>60168.53</v>
      </c>
      <c r="J154" t="s">
        <v>164</v>
      </c>
      <c r="K154" s="7">
        <v>45992</v>
      </c>
    </row>
    <row r="155" spans="1:12" hidden="1">
      <c r="A155" t="s">
        <v>39</v>
      </c>
      <c r="B155" t="s">
        <v>40</v>
      </c>
      <c r="C155" t="s">
        <v>14</v>
      </c>
      <c r="D155">
        <v>10026563</v>
      </c>
      <c r="E155" t="s">
        <v>9</v>
      </c>
      <c r="F155" s="1" t="s">
        <v>4</v>
      </c>
      <c r="G155" s="1">
        <v>45790</v>
      </c>
      <c r="H155" t="s">
        <v>41</v>
      </c>
      <c r="I155" s="2">
        <v>1528</v>
      </c>
      <c r="J155" t="s">
        <v>177</v>
      </c>
      <c r="K155" s="7">
        <v>45778</v>
      </c>
    </row>
    <row r="156" spans="1:12" hidden="1">
      <c r="A156" t="s">
        <v>39</v>
      </c>
      <c r="B156" t="s">
        <v>45</v>
      </c>
      <c r="C156" t="s">
        <v>13</v>
      </c>
      <c r="E156" t="s">
        <v>9</v>
      </c>
      <c r="F156" s="1" t="s">
        <v>3</v>
      </c>
      <c r="G156" s="1">
        <v>46003</v>
      </c>
      <c r="H156" t="s">
        <v>41</v>
      </c>
      <c r="I156" s="2">
        <v>59871.42</v>
      </c>
      <c r="J156" t="s">
        <v>164</v>
      </c>
      <c r="K156" s="7">
        <v>45992</v>
      </c>
    </row>
    <row r="157" spans="1:12" hidden="1">
      <c r="A157" t="s">
        <v>39</v>
      </c>
      <c r="B157" t="s">
        <v>40</v>
      </c>
      <c r="C157" t="s">
        <v>14</v>
      </c>
      <c r="D157">
        <v>10026562</v>
      </c>
      <c r="E157" t="s">
        <v>9</v>
      </c>
      <c r="F157" s="1" t="s">
        <v>4</v>
      </c>
      <c r="G157" s="1">
        <v>45790</v>
      </c>
      <c r="H157" t="s">
        <v>41</v>
      </c>
      <c r="I157" s="2">
        <v>1300</v>
      </c>
      <c r="J157" t="s">
        <v>178</v>
      </c>
      <c r="K157" s="7">
        <v>45778</v>
      </c>
    </row>
    <row r="158" spans="1:12" hidden="1">
      <c r="A158" t="s">
        <v>39</v>
      </c>
      <c r="B158" t="s">
        <v>47</v>
      </c>
      <c r="C158" t="s">
        <v>14</v>
      </c>
      <c r="E158" t="s">
        <v>9</v>
      </c>
      <c r="F158" s="1" t="s">
        <v>5</v>
      </c>
      <c r="G158" s="1">
        <v>45925</v>
      </c>
      <c r="H158" t="s">
        <v>41</v>
      </c>
      <c r="I158" s="2">
        <v>58727.48</v>
      </c>
      <c r="J158" t="s">
        <v>179</v>
      </c>
      <c r="K158" s="7">
        <v>45901</v>
      </c>
    </row>
    <row r="159" spans="1:12" hidden="1">
      <c r="A159" t="s">
        <v>39</v>
      </c>
      <c r="B159" t="s">
        <v>45</v>
      </c>
      <c r="C159" t="s">
        <v>14</v>
      </c>
      <c r="D159">
        <v>10027042</v>
      </c>
      <c r="E159" t="s">
        <v>9</v>
      </c>
      <c r="F159" s="1" t="s">
        <v>3</v>
      </c>
      <c r="G159" s="1">
        <v>45848</v>
      </c>
      <c r="H159" t="s">
        <v>41</v>
      </c>
      <c r="I159" s="2">
        <v>58630.03</v>
      </c>
      <c r="J159" t="s">
        <v>91</v>
      </c>
      <c r="K159" s="7">
        <v>45839</v>
      </c>
    </row>
    <row r="160" spans="1:12" hidden="1">
      <c r="A160" t="s">
        <v>39</v>
      </c>
      <c r="B160" t="s">
        <v>47</v>
      </c>
      <c r="C160" t="s">
        <v>13</v>
      </c>
      <c r="E160" t="s">
        <v>9</v>
      </c>
      <c r="F160" s="1" t="s">
        <v>3</v>
      </c>
      <c r="G160" s="1">
        <v>45910</v>
      </c>
      <c r="H160" t="s">
        <v>41</v>
      </c>
      <c r="I160" s="2">
        <v>58267.42</v>
      </c>
      <c r="J160" t="s">
        <v>180</v>
      </c>
      <c r="K160" s="7">
        <v>45901</v>
      </c>
    </row>
    <row r="161" spans="1:11" hidden="1">
      <c r="A161" t="s">
        <v>39</v>
      </c>
      <c r="B161" t="s">
        <v>47</v>
      </c>
      <c r="C161" t="s">
        <v>12</v>
      </c>
      <c r="D161">
        <v>10026568</v>
      </c>
      <c r="E161" t="s">
        <v>9</v>
      </c>
      <c r="F161" s="1" t="s">
        <v>4</v>
      </c>
      <c r="G161" s="1">
        <v>45790</v>
      </c>
      <c r="H161" t="s">
        <v>41</v>
      </c>
      <c r="I161" s="2">
        <v>1200</v>
      </c>
      <c r="J161" t="s">
        <v>181</v>
      </c>
      <c r="K161" s="7">
        <v>45778</v>
      </c>
    </row>
    <row r="162" spans="1:11" hidden="1">
      <c r="A162" t="s">
        <v>114</v>
      </c>
      <c r="B162" t="s">
        <v>63</v>
      </c>
      <c r="C162" t="s">
        <v>12</v>
      </c>
      <c r="E162" t="s">
        <v>9</v>
      </c>
      <c r="F162" s="1" t="s">
        <v>5</v>
      </c>
      <c r="G162" s="1">
        <v>45798</v>
      </c>
      <c r="H162" t="s">
        <v>41</v>
      </c>
      <c r="I162" s="2">
        <v>58066.96</v>
      </c>
      <c r="J162" t="s">
        <v>182</v>
      </c>
      <c r="K162" s="7">
        <v>45778</v>
      </c>
    </row>
    <row r="163" spans="1:11" hidden="1">
      <c r="A163" t="s">
        <v>39</v>
      </c>
      <c r="B163" t="s">
        <v>47</v>
      </c>
      <c r="C163" t="s">
        <v>13</v>
      </c>
      <c r="E163" t="s">
        <v>9</v>
      </c>
      <c r="F163" s="1" t="s">
        <v>6</v>
      </c>
      <c r="G163" s="1">
        <v>46021</v>
      </c>
      <c r="H163" t="s">
        <v>41</v>
      </c>
      <c r="I163" s="2">
        <v>57863.46</v>
      </c>
      <c r="J163" s="47" t="s">
        <v>183</v>
      </c>
      <c r="K163" s="7">
        <v>45992</v>
      </c>
    </row>
    <row r="164" spans="1:11" hidden="1">
      <c r="A164" t="s">
        <v>114</v>
      </c>
      <c r="B164" t="s">
        <v>63</v>
      </c>
      <c r="C164" t="s">
        <v>12</v>
      </c>
      <c r="D164">
        <v>15144</v>
      </c>
      <c r="E164" t="s">
        <v>9</v>
      </c>
      <c r="F164" s="1" t="s">
        <v>4</v>
      </c>
      <c r="G164" s="1">
        <v>45790</v>
      </c>
      <c r="H164" t="s">
        <v>41</v>
      </c>
      <c r="I164" s="2">
        <v>663.54</v>
      </c>
      <c r="J164" t="s">
        <v>184</v>
      </c>
      <c r="K164" s="7">
        <v>45778</v>
      </c>
    </row>
    <row r="165" spans="1:11" hidden="1">
      <c r="A165" t="s">
        <v>39</v>
      </c>
      <c r="B165" t="s">
        <v>47</v>
      </c>
      <c r="C165" t="s">
        <v>14</v>
      </c>
      <c r="E165" t="s">
        <v>9</v>
      </c>
      <c r="F165" s="1" t="s">
        <v>2</v>
      </c>
      <c r="G165" s="1">
        <v>45841</v>
      </c>
      <c r="H165" t="s">
        <v>41</v>
      </c>
      <c r="I165" s="2">
        <v>56768.79</v>
      </c>
      <c r="J165" t="s">
        <v>185</v>
      </c>
      <c r="K165" s="7">
        <v>45839</v>
      </c>
    </row>
    <row r="166" spans="1:11" hidden="1">
      <c r="A166" t="s">
        <v>56</v>
      </c>
      <c r="B166" t="s">
        <v>40</v>
      </c>
      <c r="C166" t="s">
        <v>14</v>
      </c>
      <c r="E166" t="s">
        <v>9</v>
      </c>
      <c r="F166" s="1" t="s">
        <v>3</v>
      </c>
      <c r="G166" s="1">
        <v>46037</v>
      </c>
      <c r="H166" t="s">
        <v>41</v>
      </c>
      <c r="I166" s="2">
        <v>55011.73</v>
      </c>
      <c r="J166" t="s">
        <v>186</v>
      </c>
      <c r="K166" s="7">
        <v>46023</v>
      </c>
    </row>
    <row r="167" spans="1:11" hidden="1">
      <c r="A167" t="s">
        <v>39</v>
      </c>
      <c r="B167" t="s">
        <v>45</v>
      </c>
      <c r="C167" t="s">
        <v>12</v>
      </c>
      <c r="E167" t="s">
        <v>9</v>
      </c>
      <c r="F167" s="1" t="s">
        <v>3</v>
      </c>
      <c r="G167" s="1">
        <v>45820</v>
      </c>
      <c r="H167" t="s">
        <v>41</v>
      </c>
      <c r="I167" s="2">
        <v>55003</v>
      </c>
      <c r="J167" t="s">
        <v>111</v>
      </c>
      <c r="K167" s="7">
        <v>45809</v>
      </c>
    </row>
    <row r="168" spans="1:11" hidden="1">
      <c r="A168" t="s">
        <v>39</v>
      </c>
      <c r="B168" t="s">
        <v>63</v>
      </c>
      <c r="C168" t="s">
        <v>13</v>
      </c>
      <c r="E168" t="s">
        <v>9</v>
      </c>
      <c r="F168" s="1" t="s">
        <v>5</v>
      </c>
      <c r="G168" s="1">
        <v>45862</v>
      </c>
      <c r="H168" t="s">
        <v>41</v>
      </c>
      <c r="I168" s="2">
        <v>54696.07</v>
      </c>
      <c r="J168" t="s">
        <v>187</v>
      </c>
      <c r="K168" s="7">
        <v>45839</v>
      </c>
    </row>
    <row r="169" spans="1:11" hidden="1">
      <c r="A169" t="s">
        <v>39</v>
      </c>
      <c r="B169" t="s">
        <v>47</v>
      </c>
      <c r="C169" t="s">
        <v>13</v>
      </c>
      <c r="E169" t="s">
        <v>9</v>
      </c>
      <c r="F169" s="1" t="s">
        <v>3</v>
      </c>
      <c r="G169" s="1">
        <v>46038</v>
      </c>
      <c r="H169" t="s">
        <v>64</v>
      </c>
      <c r="I169" s="2">
        <f>27056332.14/496</f>
        <v>54549.056733870966</v>
      </c>
      <c r="J169" t="s">
        <v>188</v>
      </c>
      <c r="K169" s="7">
        <v>46023</v>
      </c>
    </row>
    <row r="170" spans="1:11" hidden="1">
      <c r="A170" t="s">
        <v>39</v>
      </c>
      <c r="B170" t="s">
        <v>45</v>
      </c>
      <c r="C170" t="s">
        <v>14</v>
      </c>
      <c r="D170">
        <v>10026810</v>
      </c>
      <c r="E170" t="s">
        <v>9</v>
      </c>
      <c r="F170" s="1" t="s">
        <v>3</v>
      </c>
      <c r="G170" s="1">
        <v>45821</v>
      </c>
      <c r="H170" t="s">
        <v>41</v>
      </c>
      <c r="I170" s="2">
        <v>54512.22</v>
      </c>
      <c r="J170" t="s">
        <v>189</v>
      </c>
      <c r="K170" s="7">
        <v>45809</v>
      </c>
    </row>
    <row r="171" spans="1:11" hidden="1">
      <c r="A171" t="s">
        <v>39</v>
      </c>
      <c r="B171" t="s">
        <v>63</v>
      </c>
      <c r="C171" t="s">
        <v>13</v>
      </c>
      <c r="D171">
        <v>10026566</v>
      </c>
      <c r="E171" t="s">
        <v>9</v>
      </c>
      <c r="F171" s="1" t="s">
        <v>4</v>
      </c>
      <c r="G171" s="1">
        <v>45790</v>
      </c>
      <c r="H171" t="s">
        <v>41</v>
      </c>
      <c r="I171" s="2">
        <v>378.79893700787397</v>
      </c>
      <c r="J171" t="s">
        <v>190</v>
      </c>
      <c r="K171" s="7">
        <v>45778</v>
      </c>
    </row>
    <row r="172" spans="1:11" hidden="1">
      <c r="A172" t="s">
        <v>114</v>
      </c>
      <c r="B172" t="s">
        <v>63</v>
      </c>
      <c r="C172" t="s">
        <v>12</v>
      </c>
      <c r="D172">
        <v>15168</v>
      </c>
      <c r="E172" t="s">
        <v>9</v>
      </c>
      <c r="F172" s="1" t="s">
        <v>3</v>
      </c>
      <c r="G172" s="1">
        <v>45821</v>
      </c>
      <c r="H172" t="s">
        <v>41</v>
      </c>
      <c r="I172" s="2">
        <v>53213.98</v>
      </c>
      <c r="J172" t="s">
        <v>191</v>
      </c>
      <c r="K172" s="7">
        <v>45809</v>
      </c>
    </row>
    <row r="173" spans="1:11" hidden="1">
      <c r="A173" t="s">
        <v>39</v>
      </c>
      <c r="B173" t="s">
        <v>40</v>
      </c>
      <c r="C173" t="s">
        <v>14</v>
      </c>
      <c r="D173">
        <v>10026576</v>
      </c>
      <c r="E173" t="s">
        <v>9</v>
      </c>
      <c r="F173" s="1" t="s">
        <v>4</v>
      </c>
      <c r="G173" s="1">
        <v>45790</v>
      </c>
      <c r="H173" t="s">
        <v>41</v>
      </c>
      <c r="I173" s="2">
        <v>308.95999999999998</v>
      </c>
      <c r="J173" t="s">
        <v>192</v>
      </c>
      <c r="K173" s="7">
        <v>45778</v>
      </c>
    </row>
    <row r="174" spans="1:11" hidden="1">
      <c r="A174" t="s">
        <v>39</v>
      </c>
      <c r="B174" t="s">
        <v>47</v>
      </c>
      <c r="C174" t="s">
        <v>12</v>
      </c>
      <c r="E174" t="s">
        <v>9</v>
      </c>
      <c r="F174" s="1" t="s">
        <v>2</v>
      </c>
      <c r="G174" s="1">
        <v>45841</v>
      </c>
      <c r="H174" t="s">
        <v>41</v>
      </c>
      <c r="I174" s="2">
        <v>51080</v>
      </c>
      <c r="J174" t="s">
        <v>193</v>
      </c>
      <c r="K174" s="7">
        <v>45839</v>
      </c>
    </row>
    <row r="175" spans="1:11" hidden="1">
      <c r="A175" t="s">
        <v>39</v>
      </c>
      <c r="B175" t="s">
        <v>47</v>
      </c>
      <c r="C175" t="s">
        <v>13</v>
      </c>
      <c r="E175" t="s">
        <v>9</v>
      </c>
      <c r="F175" s="1" t="s">
        <v>3</v>
      </c>
      <c r="G175" s="1">
        <v>45940</v>
      </c>
      <c r="H175" t="s">
        <v>41</v>
      </c>
      <c r="I175" s="2">
        <v>51079.14</v>
      </c>
      <c r="J175" t="s">
        <v>194</v>
      </c>
      <c r="K175" s="7">
        <v>45931</v>
      </c>
    </row>
    <row r="176" spans="1:11" hidden="1">
      <c r="A176" t="s">
        <v>39</v>
      </c>
      <c r="B176" t="s">
        <v>47</v>
      </c>
      <c r="C176" t="s">
        <v>14</v>
      </c>
      <c r="D176">
        <v>10026570</v>
      </c>
      <c r="E176" t="s">
        <v>9</v>
      </c>
      <c r="F176" s="1" t="s">
        <v>4</v>
      </c>
      <c r="G176" s="1">
        <v>45790</v>
      </c>
      <c r="H176" t="s">
        <v>41</v>
      </c>
      <c r="I176" s="2">
        <v>200</v>
      </c>
      <c r="J176" t="s">
        <v>195</v>
      </c>
      <c r="K176" s="7">
        <v>45778</v>
      </c>
    </row>
    <row r="177" spans="1:12" hidden="1">
      <c r="A177" t="s">
        <v>39</v>
      </c>
      <c r="B177" t="s">
        <v>45</v>
      </c>
      <c r="C177" t="s">
        <v>12</v>
      </c>
      <c r="D177">
        <v>10026565</v>
      </c>
      <c r="E177" t="s">
        <v>9</v>
      </c>
      <c r="F177" s="1" t="s">
        <v>4</v>
      </c>
      <c r="G177" s="1">
        <v>45791</v>
      </c>
      <c r="H177" t="s">
        <v>41</v>
      </c>
      <c r="I177" s="2">
        <v>500000</v>
      </c>
      <c r="J177" t="s">
        <v>46</v>
      </c>
      <c r="K177" s="7">
        <v>45778</v>
      </c>
    </row>
    <row r="178" spans="1:12" hidden="1">
      <c r="A178" t="s">
        <v>39</v>
      </c>
      <c r="B178" t="s">
        <v>45</v>
      </c>
      <c r="C178" t="s">
        <v>14</v>
      </c>
      <c r="E178" t="s">
        <v>9</v>
      </c>
      <c r="F178" s="1" t="s">
        <v>5</v>
      </c>
      <c r="G178" s="1">
        <v>45800</v>
      </c>
      <c r="H178" t="s">
        <v>41</v>
      </c>
      <c r="I178" s="2">
        <v>50000</v>
      </c>
      <c r="J178" t="s">
        <v>196</v>
      </c>
      <c r="K178" s="7">
        <v>45778</v>
      </c>
    </row>
    <row r="179" spans="1:12" hidden="1">
      <c r="A179" t="s">
        <v>39</v>
      </c>
      <c r="B179" t="s">
        <v>45</v>
      </c>
      <c r="C179" t="s">
        <v>14</v>
      </c>
      <c r="D179">
        <v>10026764</v>
      </c>
      <c r="E179" t="s">
        <v>9</v>
      </c>
      <c r="F179" s="1" t="s">
        <v>2</v>
      </c>
      <c r="G179" s="1">
        <v>45814</v>
      </c>
      <c r="H179" t="s">
        <v>41</v>
      </c>
      <c r="I179" s="2">
        <v>50000</v>
      </c>
      <c r="J179" t="s">
        <v>197</v>
      </c>
      <c r="K179" s="7">
        <v>45809</v>
      </c>
    </row>
    <row r="180" spans="1:12" hidden="1">
      <c r="A180" t="s">
        <v>39</v>
      </c>
      <c r="B180" t="s">
        <v>45</v>
      </c>
      <c r="C180" t="s">
        <v>13</v>
      </c>
      <c r="E180" t="s">
        <v>9</v>
      </c>
      <c r="F180" s="1" t="s">
        <v>5</v>
      </c>
      <c r="G180" s="1">
        <v>45832</v>
      </c>
      <c r="H180" t="s">
        <v>41</v>
      </c>
      <c r="I180" s="2">
        <v>50000</v>
      </c>
      <c r="J180" t="s">
        <v>197</v>
      </c>
      <c r="K180" s="7">
        <v>45809</v>
      </c>
    </row>
    <row r="181" spans="1:12" hidden="1">
      <c r="A181" t="s">
        <v>39</v>
      </c>
      <c r="B181" t="s">
        <v>40</v>
      </c>
      <c r="C181" t="s">
        <v>14</v>
      </c>
      <c r="E181" t="s">
        <v>9</v>
      </c>
      <c r="F181" s="1" t="s">
        <v>4</v>
      </c>
      <c r="G181" s="1">
        <v>45791</v>
      </c>
      <c r="H181" t="s">
        <v>41</v>
      </c>
      <c r="I181" s="2">
        <v>3000</v>
      </c>
      <c r="J181" t="s">
        <v>198</v>
      </c>
      <c r="K181" s="7">
        <v>45778</v>
      </c>
    </row>
    <row r="182" spans="1:12" hidden="1">
      <c r="A182" t="s">
        <v>39</v>
      </c>
      <c r="B182" t="s">
        <v>47</v>
      </c>
      <c r="C182" t="s">
        <v>12</v>
      </c>
      <c r="E182" t="s">
        <v>9</v>
      </c>
      <c r="F182" s="1" t="s">
        <v>2</v>
      </c>
      <c r="G182" s="1">
        <v>45870</v>
      </c>
      <c r="H182" t="s">
        <v>41</v>
      </c>
      <c r="I182" s="2">
        <v>50000</v>
      </c>
      <c r="J182" t="s">
        <v>199</v>
      </c>
      <c r="K182" s="7">
        <v>45870</v>
      </c>
    </row>
    <row r="183" spans="1:12" hidden="1">
      <c r="A183" t="s">
        <v>39</v>
      </c>
      <c r="B183" t="s">
        <v>63</v>
      </c>
      <c r="C183" t="s">
        <v>14</v>
      </c>
      <c r="E183" t="s">
        <v>9</v>
      </c>
      <c r="F183" s="1" t="s">
        <v>2</v>
      </c>
      <c r="G183" s="1">
        <v>45870</v>
      </c>
      <c r="H183" t="s">
        <v>41</v>
      </c>
      <c r="I183" s="2">
        <v>50000</v>
      </c>
      <c r="J183" t="s">
        <v>200</v>
      </c>
      <c r="K183" s="7">
        <v>45870</v>
      </c>
    </row>
    <row r="184" spans="1:12" hidden="1">
      <c r="A184" t="s">
        <v>39</v>
      </c>
      <c r="B184" t="s">
        <v>47</v>
      </c>
      <c r="C184" t="s">
        <v>13</v>
      </c>
      <c r="E184" t="s">
        <v>8</v>
      </c>
      <c r="F184" s="1" t="s">
        <v>4</v>
      </c>
      <c r="G184" s="1">
        <v>45792</v>
      </c>
      <c r="H184" t="s">
        <v>41</v>
      </c>
      <c r="I184" s="2">
        <v>7181.47</v>
      </c>
      <c r="J184" t="s">
        <v>135</v>
      </c>
      <c r="K184" s="7">
        <v>45778</v>
      </c>
      <c r="L184" t="s">
        <v>84</v>
      </c>
    </row>
    <row r="185" spans="1:12" hidden="1">
      <c r="A185" t="s">
        <v>39</v>
      </c>
      <c r="B185" t="s">
        <v>47</v>
      </c>
      <c r="C185" t="s">
        <v>13</v>
      </c>
      <c r="E185" t="s">
        <v>8</v>
      </c>
      <c r="F185" s="1" t="s">
        <v>4</v>
      </c>
      <c r="G185" s="1">
        <v>45792</v>
      </c>
      <c r="H185" t="s">
        <v>41</v>
      </c>
      <c r="I185" s="2">
        <v>3333.89</v>
      </c>
      <c r="J185" t="s">
        <v>135</v>
      </c>
      <c r="K185" s="7">
        <v>45778</v>
      </c>
      <c r="L185" t="s">
        <v>84</v>
      </c>
    </row>
    <row r="186" spans="1:12" hidden="1">
      <c r="A186" t="s">
        <v>39</v>
      </c>
      <c r="B186" t="s">
        <v>47</v>
      </c>
      <c r="C186" t="s">
        <v>13</v>
      </c>
      <c r="E186" t="s">
        <v>8</v>
      </c>
      <c r="F186" s="1" t="s">
        <v>4</v>
      </c>
      <c r="G186" s="1">
        <v>45792</v>
      </c>
      <c r="H186" t="s">
        <v>41</v>
      </c>
      <c r="I186" s="2">
        <v>11132.13</v>
      </c>
      <c r="J186" t="s">
        <v>135</v>
      </c>
      <c r="K186" s="7">
        <v>45778</v>
      </c>
      <c r="L186" t="s">
        <v>84</v>
      </c>
    </row>
    <row r="187" spans="1:12" hidden="1">
      <c r="A187" t="s">
        <v>39</v>
      </c>
      <c r="B187" t="s">
        <v>47</v>
      </c>
      <c r="C187" t="s">
        <v>13</v>
      </c>
      <c r="E187" t="s">
        <v>8</v>
      </c>
      <c r="F187" s="1" t="s">
        <v>4</v>
      </c>
      <c r="G187" s="1">
        <v>45792</v>
      </c>
      <c r="H187" t="s">
        <v>41</v>
      </c>
      <c r="I187" s="2">
        <v>11417.23</v>
      </c>
      <c r="J187" t="s">
        <v>135</v>
      </c>
      <c r="K187" s="7">
        <v>45778</v>
      </c>
      <c r="L187" t="s">
        <v>84</v>
      </c>
    </row>
    <row r="188" spans="1:12" hidden="1">
      <c r="A188" t="s">
        <v>39</v>
      </c>
      <c r="B188" t="s">
        <v>63</v>
      </c>
      <c r="C188" t="s">
        <v>14</v>
      </c>
      <c r="E188" t="s">
        <v>9</v>
      </c>
      <c r="F188" s="1" t="s">
        <v>3</v>
      </c>
      <c r="G188" s="1">
        <v>45881</v>
      </c>
      <c r="H188" t="s">
        <v>41</v>
      </c>
      <c r="I188" s="2">
        <v>50000</v>
      </c>
      <c r="J188" t="s">
        <v>201</v>
      </c>
      <c r="K188" s="7">
        <v>45870</v>
      </c>
    </row>
    <row r="189" spans="1:12" hidden="1">
      <c r="A189" t="s">
        <v>39</v>
      </c>
      <c r="B189" t="s">
        <v>63</v>
      </c>
      <c r="C189" t="s">
        <v>13</v>
      </c>
      <c r="E189" t="s">
        <v>9</v>
      </c>
      <c r="F189" s="1" t="s">
        <v>2</v>
      </c>
      <c r="G189" s="1">
        <v>45933</v>
      </c>
      <c r="H189" t="s">
        <v>41</v>
      </c>
      <c r="I189" s="2">
        <v>50000</v>
      </c>
      <c r="J189" t="s">
        <v>201</v>
      </c>
      <c r="K189" s="7">
        <v>45931</v>
      </c>
    </row>
    <row r="190" spans="1:12" hidden="1">
      <c r="A190" t="s">
        <v>56</v>
      </c>
      <c r="B190" t="s">
        <v>40</v>
      </c>
      <c r="C190" t="s">
        <v>12</v>
      </c>
      <c r="E190" t="s">
        <v>9</v>
      </c>
      <c r="F190" s="1" t="s">
        <v>5</v>
      </c>
      <c r="G190" s="1">
        <v>45954</v>
      </c>
      <c r="H190" t="s">
        <v>41</v>
      </c>
      <c r="I190" s="2">
        <v>50000</v>
      </c>
      <c r="J190" t="s">
        <v>202</v>
      </c>
      <c r="K190" s="7">
        <v>45931</v>
      </c>
    </row>
    <row r="191" spans="1:12" hidden="1">
      <c r="A191" t="s">
        <v>39</v>
      </c>
      <c r="B191" t="s">
        <v>45</v>
      </c>
      <c r="C191" t="s">
        <v>13</v>
      </c>
      <c r="E191" t="s">
        <v>9</v>
      </c>
      <c r="F191" s="1" t="s">
        <v>5</v>
      </c>
      <c r="G191" s="1">
        <v>46017</v>
      </c>
      <c r="H191" t="s">
        <v>41</v>
      </c>
      <c r="I191" s="2">
        <v>50000</v>
      </c>
      <c r="J191" t="s">
        <v>164</v>
      </c>
      <c r="K191" s="7">
        <v>45992</v>
      </c>
    </row>
    <row r="192" spans="1:12" hidden="1">
      <c r="A192" t="s">
        <v>39</v>
      </c>
      <c r="B192" t="s">
        <v>47</v>
      </c>
      <c r="C192" t="s">
        <v>14</v>
      </c>
      <c r="E192" t="s">
        <v>8</v>
      </c>
      <c r="F192" s="1" t="s">
        <v>4</v>
      </c>
      <c r="G192" s="1">
        <v>45792</v>
      </c>
      <c r="H192" t="s">
        <v>41</v>
      </c>
      <c r="I192" s="2">
        <v>1100.81</v>
      </c>
      <c r="J192" t="s">
        <v>188</v>
      </c>
      <c r="K192" s="7">
        <v>45778</v>
      </c>
    </row>
    <row r="193" spans="1:12" hidden="1">
      <c r="A193" t="s">
        <v>39</v>
      </c>
      <c r="B193" t="s">
        <v>144</v>
      </c>
      <c r="C193" t="s">
        <v>14</v>
      </c>
      <c r="E193" t="s">
        <v>9</v>
      </c>
      <c r="F193" s="1" t="s">
        <v>2</v>
      </c>
      <c r="G193" s="1">
        <v>45993</v>
      </c>
      <c r="H193" t="s">
        <v>41</v>
      </c>
      <c r="I193" s="2">
        <v>49766.06</v>
      </c>
      <c r="J193" t="s">
        <v>203</v>
      </c>
      <c r="K193" s="7">
        <v>45992</v>
      </c>
    </row>
    <row r="194" spans="1:12" hidden="1">
      <c r="A194" t="s">
        <v>39</v>
      </c>
      <c r="B194" t="s">
        <v>47</v>
      </c>
      <c r="C194" t="s">
        <v>13</v>
      </c>
      <c r="E194" t="s">
        <v>8</v>
      </c>
      <c r="F194" s="1" t="s">
        <v>4</v>
      </c>
      <c r="G194" s="1">
        <v>45792</v>
      </c>
      <c r="H194" t="s">
        <v>41</v>
      </c>
      <c r="I194" s="2">
        <v>24104.65</v>
      </c>
      <c r="J194" t="s">
        <v>169</v>
      </c>
      <c r="K194" s="7">
        <v>45778</v>
      </c>
      <c r="L194" t="s">
        <v>84</v>
      </c>
    </row>
    <row r="195" spans="1:12" hidden="1">
      <c r="A195" t="s">
        <v>39</v>
      </c>
      <c r="B195" t="s">
        <v>47</v>
      </c>
      <c r="C195" t="s">
        <v>13</v>
      </c>
      <c r="E195" t="s">
        <v>8</v>
      </c>
      <c r="F195" s="1" t="s">
        <v>4</v>
      </c>
      <c r="G195" s="1">
        <v>45792</v>
      </c>
      <c r="H195" t="s">
        <v>41</v>
      </c>
      <c r="I195" s="2">
        <v>4159.71</v>
      </c>
      <c r="J195" t="s">
        <v>133</v>
      </c>
      <c r="K195" s="7">
        <v>45778</v>
      </c>
      <c r="L195" t="s">
        <v>43</v>
      </c>
    </row>
    <row r="196" spans="1:12" hidden="1">
      <c r="A196" t="s">
        <v>39</v>
      </c>
      <c r="B196" t="s">
        <v>47</v>
      </c>
      <c r="C196" t="s">
        <v>13</v>
      </c>
      <c r="E196" t="s">
        <v>8</v>
      </c>
      <c r="F196" s="1" t="s">
        <v>4</v>
      </c>
      <c r="G196" s="1">
        <v>45792</v>
      </c>
      <c r="H196" t="s">
        <v>41</v>
      </c>
      <c r="I196" s="2">
        <v>1589.23</v>
      </c>
      <c r="J196" t="s">
        <v>133</v>
      </c>
      <c r="K196" s="7">
        <v>45778</v>
      </c>
      <c r="L196" t="s">
        <v>43</v>
      </c>
    </row>
    <row r="197" spans="1:12" hidden="1">
      <c r="A197" t="s">
        <v>39</v>
      </c>
      <c r="B197" t="s">
        <v>47</v>
      </c>
      <c r="C197" t="s">
        <v>14</v>
      </c>
      <c r="E197" t="s">
        <v>8</v>
      </c>
      <c r="F197" s="1" t="s">
        <v>4</v>
      </c>
      <c r="G197" s="1">
        <v>45792</v>
      </c>
      <c r="H197" t="s">
        <v>41</v>
      </c>
      <c r="I197" s="2">
        <v>2370.0700000000002</v>
      </c>
      <c r="J197" t="s">
        <v>204</v>
      </c>
      <c r="K197" s="7">
        <v>45778</v>
      </c>
      <c r="L197" t="s">
        <v>84</v>
      </c>
    </row>
    <row r="198" spans="1:12" hidden="1">
      <c r="A198" t="s">
        <v>39</v>
      </c>
      <c r="B198" t="s">
        <v>47</v>
      </c>
      <c r="C198" t="s">
        <v>14</v>
      </c>
      <c r="E198" t="s">
        <v>8</v>
      </c>
      <c r="F198" s="1" t="s">
        <v>4</v>
      </c>
      <c r="G198" s="1">
        <v>45792</v>
      </c>
      <c r="H198" t="s">
        <v>41</v>
      </c>
      <c r="I198" s="2">
        <v>236.61</v>
      </c>
      <c r="J198" t="s">
        <v>195</v>
      </c>
      <c r="K198" s="7">
        <v>45778</v>
      </c>
      <c r="L198" t="s">
        <v>43</v>
      </c>
    </row>
    <row r="199" spans="1:12" hidden="1">
      <c r="A199" t="s">
        <v>39</v>
      </c>
      <c r="B199" t="s">
        <v>47</v>
      </c>
      <c r="C199" t="s">
        <v>13</v>
      </c>
      <c r="E199" t="s">
        <v>8</v>
      </c>
      <c r="F199" s="1" t="s">
        <v>4</v>
      </c>
      <c r="G199" s="1">
        <v>45792</v>
      </c>
      <c r="H199" t="s">
        <v>41</v>
      </c>
      <c r="I199" s="2">
        <v>4473.92</v>
      </c>
      <c r="J199" t="s">
        <v>205</v>
      </c>
      <c r="K199" s="7">
        <v>45778</v>
      </c>
    </row>
    <row r="200" spans="1:12" hidden="1">
      <c r="A200" t="s">
        <v>39</v>
      </c>
      <c r="B200" t="s">
        <v>47</v>
      </c>
      <c r="C200" t="s">
        <v>14</v>
      </c>
      <c r="E200" t="s">
        <v>8</v>
      </c>
      <c r="F200" s="1" t="s">
        <v>4</v>
      </c>
      <c r="G200" s="1">
        <v>45792</v>
      </c>
      <c r="H200" t="s">
        <v>41</v>
      </c>
      <c r="I200" s="2">
        <v>169.46</v>
      </c>
      <c r="J200" t="s">
        <v>205</v>
      </c>
      <c r="K200" s="7">
        <v>45778</v>
      </c>
    </row>
    <row r="201" spans="1:12" hidden="1">
      <c r="A201" t="s">
        <v>39</v>
      </c>
      <c r="B201" t="s">
        <v>47</v>
      </c>
      <c r="C201" t="s">
        <v>14</v>
      </c>
      <c r="D201">
        <v>10026765</v>
      </c>
      <c r="E201" t="s">
        <v>9</v>
      </c>
      <c r="F201" s="1" t="s">
        <v>2</v>
      </c>
      <c r="G201" s="1">
        <v>45814</v>
      </c>
      <c r="H201" t="s">
        <v>41</v>
      </c>
      <c r="I201" s="2">
        <v>49540.84</v>
      </c>
      <c r="J201" t="s">
        <v>206</v>
      </c>
      <c r="K201" s="7">
        <v>45809</v>
      </c>
    </row>
    <row r="202" spans="1:12" hidden="1">
      <c r="A202" t="s">
        <v>39</v>
      </c>
      <c r="B202" t="s">
        <v>40</v>
      </c>
      <c r="C202" t="s">
        <v>14</v>
      </c>
      <c r="D202">
        <v>10026584</v>
      </c>
      <c r="E202" t="s">
        <v>9</v>
      </c>
      <c r="F202" s="1" t="s">
        <v>4</v>
      </c>
      <c r="G202" s="1">
        <v>45791</v>
      </c>
      <c r="H202" t="s">
        <v>41</v>
      </c>
      <c r="I202" s="2">
        <v>1987.91</v>
      </c>
      <c r="J202" t="s">
        <v>207</v>
      </c>
      <c r="K202" s="7">
        <v>45778</v>
      </c>
    </row>
    <row r="203" spans="1:12" hidden="1">
      <c r="A203" t="s">
        <v>39</v>
      </c>
      <c r="B203" t="s">
        <v>47</v>
      </c>
      <c r="C203" t="s">
        <v>14</v>
      </c>
      <c r="D203">
        <v>10026595</v>
      </c>
      <c r="E203" t="s">
        <v>9</v>
      </c>
      <c r="F203" s="1" t="s">
        <v>4</v>
      </c>
      <c r="G203" s="1">
        <v>45791</v>
      </c>
      <c r="H203" t="s">
        <v>41</v>
      </c>
      <c r="I203" s="2">
        <v>407.92</v>
      </c>
      <c r="J203" t="s">
        <v>208</v>
      </c>
      <c r="K203" s="7">
        <v>45778</v>
      </c>
    </row>
    <row r="204" spans="1:12" hidden="1">
      <c r="A204" t="s">
        <v>39</v>
      </c>
      <c r="B204" t="s">
        <v>45</v>
      </c>
      <c r="C204" t="s">
        <v>14</v>
      </c>
      <c r="E204" t="s">
        <v>9</v>
      </c>
      <c r="F204" s="1" t="s">
        <v>5</v>
      </c>
      <c r="G204" s="1">
        <v>46052</v>
      </c>
      <c r="H204" t="s">
        <v>41</v>
      </c>
      <c r="I204" s="2">
        <v>47828.66</v>
      </c>
      <c r="J204" t="s">
        <v>164</v>
      </c>
      <c r="K204" s="7">
        <v>46023</v>
      </c>
    </row>
    <row r="205" spans="1:12" hidden="1">
      <c r="A205" t="s">
        <v>39</v>
      </c>
      <c r="B205" t="s">
        <v>40</v>
      </c>
      <c r="C205" t="s">
        <v>14</v>
      </c>
      <c r="E205" t="s">
        <v>9</v>
      </c>
      <c r="F205" s="1" t="s">
        <v>2</v>
      </c>
      <c r="G205" s="1">
        <v>46055</v>
      </c>
      <c r="H205" t="s">
        <v>41</v>
      </c>
      <c r="I205" s="2">
        <v>1492</v>
      </c>
      <c r="J205" t="s">
        <v>209</v>
      </c>
      <c r="K205" s="7">
        <v>46054</v>
      </c>
    </row>
    <row r="206" spans="1:12" hidden="1">
      <c r="A206" t="s">
        <v>39</v>
      </c>
      <c r="B206" t="s">
        <v>40</v>
      </c>
      <c r="C206" t="s">
        <v>14</v>
      </c>
      <c r="E206" t="s">
        <v>9</v>
      </c>
      <c r="F206" s="1" t="s">
        <v>2</v>
      </c>
      <c r="G206" s="1">
        <v>46055</v>
      </c>
      <c r="H206" t="s">
        <v>41</v>
      </c>
      <c r="I206" s="2">
        <v>902.3</v>
      </c>
      <c r="J206" t="s">
        <v>210</v>
      </c>
      <c r="K206" s="7">
        <v>46054</v>
      </c>
    </row>
    <row r="207" spans="1:12" hidden="1">
      <c r="A207" t="s">
        <v>56</v>
      </c>
      <c r="B207" t="s">
        <v>40</v>
      </c>
      <c r="C207" t="s">
        <v>14</v>
      </c>
      <c r="E207" t="s">
        <v>9</v>
      </c>
      <c r="F207" s="1" t="s">
        <v>2</v>
      </c>
      <c r="G207" s="1">
        <v>45877</v>
      </c>
      <c r="H207" t="s">
        <v>41</v>
      </c>
      <c r="I207" s="2">
        <v>47480.61</v>
      </c>
      <c r="J207" t="s">
        <v>211</v>
      </c>
      <c r="K207" s="7">
        <v>45870</v>
      </c>
    </row>
    <row r="208" spans="1:12" hidden="1">
      <c r="A208" t="s">
        <v>56</v>
      </c>
      <c r="B208" t="s">
        <v>40</v>
      </c>
      <c r="C208" t="s">
        <v>13</v>
      </c>
      <c r="E208" t="s">
        <v>8</v>
      </c>
      <c r="F208" s="1" t="s">
        <v>4</v>
      </c>
      <c r="G208" s="1">
        <v>45793</v>
      </c>
      <c r="H208" t="s">
        <v>41</v>
      </c>
      <c r="I208" s="2">
        <v>16799</v>
      </c>
      <c r="J208" t="s">
        <v>212</v>
      </c>
      <c r="K208" s="7">
        <v>45778</v>
      </c>
      <c r="L208" t="s">
        <v>84</v>
      </c>
    </row>
    <row r="209" spans="1:12" hidden="1">
      <c r="A209" t="s">
        <v>39</v>
      </c>
      <c r="B209" t="s">
        <v>45</v>
      </c>
      <c r="C209" t="s">
        <v>14</v>
      </c>
      <c r="E209" t="s">
        <v>8</v>
      </c>
      <c r="F209" s="1" t="s">
        <v>4</v>
      </c>
      <c r="G209" s="1">
        <v>45793</v>
      </c>
      <c r="H209" t="s">
        <v>41</v>
      </c>
      <c r="I209" s="2">
        <v>28560.240000000002</v>
      </c>
      <c r="J209" t="s">
        <v>213</v>
      </c>
      <c r="K209" s="7">
        <v>45778</v>
      </c>
    </row>
    <row r="210" spans="1:12" hidden="1">
      <c r="A210" t="s">
        <v>39</v>
      </c>
      <c r="B210" t="s">
        <v>45</v>
      </c>
      <c r="C210" t="s">
        <v>14</v>
      </c>
      <c r="E210" t="s">
        <v>8</v>
      </c>
      <c r="F210" s="1" t="s">
        <v>4</v>
      </c>
      <c r="G210" s="1">
        <v>45793</v>
      </c>
      <c r="H210" t="s">
        <v>41</v>
      </c>
      <c r="I210" s="2">
        <v>65703.81</v>
      </c>
      <c r="J210" t="s">
        <v>214</v>
      </c>
      <c r="K210" s="7">
        <v>45778</v>
      </c>
    </row>
    <row r="211" spans="1:12" hidden="1">
      <c r="A211" t="s">
        <v>39</v>
      </c>
      <c r="B211" t="s">
        <v>45</v>
      </c>
      <c r="C211" t="s">
        <v>14</v>
      </c>
      <c r="E211" t="s">
        <v>8</v>
      </c>
      <c r="F211" s="1" t="s">
        <v>4</v>
      </c>
      <c r="G211" s="1">
        <v>45793</v>
      </c>
      <c r="H211" t="s">
        <v>41</v>
      </c>
      <c r="I211" s="2">
        <v>96506.58</v>
      </c>
      <c r="J211" t="s">
        <v>122</v>
      </c>
      <c r="K211" s="7">
        <v>45778</v>
      </c>
      <c r="L211" t="s">
        <v>43</v>
      </c>
    </row>
    <row r="212" spans="1:12" hidden="1">
      <c r="A212" t="s">
        <v>39</v>
      </c>
      <c r="B212" t="s">
        <v>45</v>
      </c>
      <c r="C212" t="s">
        <v>14</v>
      </c>
      <c r="E212" t="s">
        <v>9</v>
      </c>
      <c r="F212" s="1" t="s">
        <v>5</v>
      </c>
      <c r="G212" s="1">
        <v>45954</v>
      </c>
      <c r="H212" t="s">
        <v>41</v>
      </c>
      <c r="I212" s="2">
        <v>47042</v>
      </c>
      <c r="J212" t="s">
        <v>164</v>
      </c>
      <c r="K212" s="7">
        <v>45931</v>
      </c>
    </row>
    <row r="213" spans="1:12" hidden="1">
      <c r="A213" t="s">
        <v>114</v>
      </c>
      <c r="B213" t="s">
        <v>63</v>
      </c>
      <c r="C213" t="s">
        <v>14</v>
      </c>
      <c r="D213">
        <v>15177</v>
      </c>
      <c r="E213" t="s">
        <v>9</v>
      </c>
      <c r="F213" s="1" t="s">
        <v>2</v>
      </c>
      <c r="G213" s="1">
        <v>45839</v>
      </c>
      <c r="H213" t="s">
        <v>41</v>
      </c>
      <c r="I213" s="2">
        <v>47034.11</v>
      </c>
      <c r="J213" t="s">
        <v>215</v>
      </c>
      <c r="K213" s="7">
        <v>45839</v>
      </c>
    </row>
    <row r="214" spans="1:12" hidden="1">
      <c r="A214" t="s">
        <v>114</v>
      </c>
      <c r="B214" t="s">
        <v>63</v>
      </c>
      <c r="C214" t="s">
        <v>14</v>
      </c>
      <c r="E214" t="s">
        <v>9</v>
      </c>
      <c r="F214" s="1" t="s">
        <v>3</v>
      </c>
      <c r="G214" s="1">
        <v>45939</v>
      </c>
      <c r="H214" t="s">
        <v>64</v>
      </c>
      <c r="I214" s="2">
        <f>23945306.92/510</f>
        <v>46951.582196078438</v>
      </c>
      <c r="J214" t="s">
        <v>216</v>
      </c>
      <c r="K214" s="7">
        <v>45931</v>
      </c>
    </row>
    <row r="215" spans="1:12" hidden="1">
      <c r="A215" t="s">
        <v>39</v>
      </c>
      <c r="B215" t="s">
        <v>45</v>
      </c>
      <c r="C215" t="s">
        <v>14</v>
      </c>
      <c r="E215" t="s">
        <v>9</v>
      </c>
      <c r="F215" s="1" t="s">
        <v>5</v>
      </c>
      <c r="G215" s="1">
        <v>45861</v>
      </c>
      <c r="H215" t="s">
        <v>41</v>
      </c>
      <c r="I215" s="2">
        <v>46443.29</v>
      </c>
      <c r="J215" t="s">
        <v>217</v>
      </c>
      <c r="K215" s="7">
        <v>45839</v>
      </c>
    </row>
    <row r="216" spans="1:12" hidden="1">
      <c r="A216" t="s">
        <v>39</v>
      </c>
      <c r="B216" t="s">
        <v>45</v>
      </c>
      <c r="C216" t="s">
        <v>12</v>
      </c>
      <c r="E216" t="s">
        <v>9</v>
      </c>
      <c r="F216" s="1" t="s">
        <v>3</v>
      </c>
      <c r="G216" s="1">
        <v>45940</v>
      </c>
      <c r="H216" t="s">
        <v>41</v>
      </c>
      <c r="I216" s="2">
        <v>46109.23</v>
      </c>
      <c r="J216" t="s">
        <v>218</v>
      </c>
      <c r="K216" s="7">
        <v>45931</v>
      </c>
    </row>
    <row r="217" spans="1:12" hidden="1">
      <c r="A217" t="s">
        <v>39</v>
      </c>
      <c r="B217" t="s">
        <v>40</v>
      </c>
      <c r="C217" t="s">
        <v>14</v>
      </c>
      <c r="E217" t="s">
        <v>9</v>
      </c>
      <c r="F217" s="1" t="s">
        <v>2</v>
      </c>
      <c r="G217" s="1">
        <v>46055</v>
      </c>
      <c r="H217" t="s">
        <v>41</v>
      </c>
      <c r="I217" s="2">
        <v>657</v>
      </c>
      <c r="J217" t="s">
        <v>219</v>
      </c>
      <c r="K217" s="7">
        <v>46054</v>
      </c>
    </row>
    <row r="218" spans="1:12" hidden="1">
      <c r="A218" t="s">
        <v>39</v>
      </c>
      <c r="B218" t="s">
        <v>47</v>
      </c>
      <c r="C218" t="s">
        <v>12</v>
      </c>
      <c r="E218" t="s">
        <v>9</v>
      </c>
      <c r="F218" s="1" t="s">
        <v>2</v>
      </c>
      <c r="G218" s="1">
        <v>45841</v>
      </c>
      <c r="H218" t="s">
        <v>41</v>
      </c>
      <c r="I218" s="2">
        <v>44276</v>
      </c>
      <c r="J218" t="s">
        <v>220</v>
      </c>
      <c r="K218" s="7">
        <v>45839</v>
      </c>
    </row>
    <row r="219" spans="1:12" hidden="1">
      <c r="A219" t="s">
        <v>39</v>
      </c>
      <c r="B219" t="s">
        <v>47</v>
      </c>
      <c r="C219" t="s">
        <v>13</v>
      </c>
      <c r="E219" t="s">
        <v>9</v>
      </c>
      <c r="F219" s="1" t="s">
        <v>2</v>
      </c>
      <c r="G219" s="1">
        <v>45933</v>
      </c>
      <c r="H219" t="s">
        <v>41</v>
      </c>
      <c r="I219" s="2">
        <v>44275.97</v>
      </c>
      <c r="J219" t="s">
        <v>221</v>
      </c>
      <c r="K219" s="7">
        <v>45931</v>
      </c>
    </row>
    <row r="220" spans="1:12" hidden="1">
      <c r="A220" t="s">
        <v>114</v>
      </c>
      <c r="B220" t="s">
        <v>63</v>
      </c>
      <c r="C220" t="s">
        <v>12</v>
      </c>
      <c r="E220" t="s">
        <v>9</v>
      </c>
      <c r="F220" s="1" t="s">
        <v>2</v>
      </c>
      <c r="G220" s="1">
        <v>46055</v>
      </c>
      <c r="H220" t="s">
        <v>41</v>
      </c>
      <c r="I220" s="2">
        <v>428</v>
      </c>
      <c r="J220" s="47" t="s">
        <v>222</v>
      </c>
      <c r="K220" s="7">
        <v>46054</v>
      </c>
    </row>
    <row r="221" spans="1:12" hidden="1">
      <c r="A221" t="s">
        <v>39</v>
      </c>
      <c r="B221" t="s">
        <v>40</v>
      </c>
      <c r="C221" t="s">
        <v>14</v>
      </c>
      <c r="D221">
        <v>10026585</v>
      </c>
      <c r="E221" t="s">
        <v>9</v>
      </c>
      <c r="F221" s="1" t="s">
        <v>4</v>
      </c>
      <c r="G221" s="1">
        <v>45791</v>
      </c>
      <c r="H221" t="s">
        <v>64</v>
      </c>
      <c r="I221" s="2">
        <f>178126/508</f>
        <v>350.64173228346459</v>
      </c>
      <c r="J221" t="s">
        <v>223</v>
      </c>
      <c r="K221" s="7">
        <v>45778</v>
      </c>
    </row>
    <row r="222" spans="1:12" hidden="1">
      <c r="A222" t="s">
        <v>39</v>
      </c>
      <c r="B222" t="s">
        <v>144</v>
      </c>
      <c r="C222" t="s">
        <v>14</v>
      </c>
      <c r="E222" t="s">
        <v>9</v>
      </c>
      <c r="F222" s="1" t="s">
        <v>2</v>
      </c>
      <c r="G222" s="1">
        <v>46024</v>
      </c>
      <c r="H222" t="s">
        <v>41</v>
      </c>
      <c r="I222" s="2">
        <v>43372.35</v>
      </c>
      <c r="J222" t="s">
        <v>203</v>
      </c>
      <c r="K222" s="7">
        <v>46023</v>
      </c>
    </row>
    <row r="223" spans="1:12" hidden="1">
      <c r="A223" t="s">
        <v>39</v>
      </c>
      <c r="B223" t="s">
        <v>63</v>
      </c>
      <c r="C223" t="s">
        <v>12</v>
      </c>
      <c r="E223" t="s">
        <v>9</v>
      </c>
      <c r="F223" s="1" t="s">
        <v>5</v>
      </c>
      <c r="G223" s="1">
        <v>45987</v>
      </c>
      <c r="H223" t="s">
        <v>41</v>
      </c>
      <c r="I223" s="2">
        <v>42595</v>
      </c>
      <c r="J223" s="47" t="s">
        <v>224</v>
      </c>
      <c r="K223" s="7">
        <v>45962</v>
      </c>
    </row>
    <row r="224" spans="1:12" hidden="1">
      <c r="A224" t="s">
        <v>39</v>
      </c>
      <c r="B224" t="s">
        <v>63</v>
      </c>
      <c r="C224" t="s">
        <v>124</v>
      </c>
      <c r="E224" t="s">
        <v>9</v>
      </c>
      <c r="F224" s="1" t="s">
        <v>3</v>
      </c>
      <c r="G224" s="1">
        <v>45849</v>
      </c>
      <c r="H224" t="s">
        <v>41</v>
      </c>
      <c r="I224" s="2">
        <v>42582.98</v>
      </c>
      <c r="J224" t="s">
        <v>225</v>
      </c>
      <c r="K224" s="7">
        <v>45839</v>
      </c>
    </row>
    <row r="225" spans="1:12" hidden="1">
      <c r="A225" t="s">
        <v>39</v>
      </c>
      <c r="B225" t="s">
        <v>40</v>
      </c>
      <c r="C225" t="s">
        <v>14</v>
      </c>
      <c r="E225" t="s">
        <v>9</v>
      </c>
      <c r="F225" s="1" t="s">
        <v>4</v>
      </c>
      <c r="G225" s="1">
        <v>45791</v>
      </c>
      <c r="H225" t="s">
        <v>41</v>
      </c>
      <c r="I225" s="2">
        <v>235.6</v>
      </c>
      <c r="J225" t="s">
        <v>226</v>
      </c>
      <c r="K225" s="7">
        <v>45778</v>
      </c>
    </row>
    <row r="226" spans="1:12" hidden="1">
      <c r="A226" t="s">
        <v>39</v>
      </c>
      <c r="B226" t="s">
        <v>47</v>
      </c>
      <c r="C226" t="s">
        <v>12</v>
      </c>
      <c r="E226" t="s">
        <v>9</v>
      </c>
      <c r="F226" s="1" t="s">
        <v>2</v>
      </c>
      <c r="G226" s="1">
        <v>45994</v>
      </c>
      <c r="H226" t="s">
        <v>41</v>
      </c>
      <c r="I226" s="2">
        <v>41937.269999999997</v>
      </c>
      <c r="J226" s="47" t="s">
        <v>227</v>
      </c>
      <c r="K226" s="7">
        <v>45992</v>
      </c>
    </row>
    <row r="227" spans="1:12" hidden="1">
      <c r="A227" t="s">
        <v>39</v>
      </c>
      <c r="B227" t="s">
        <v>63</v>
      </c>
      <c r="C227" t="s">
        <v>12</v>
      </c>
      <c r="E227" t="s">
        <v>8</v>
      </c>
      <c r="F227" s="1" t="s">
        <v>4</v>
      </c>
      <c r="G227" s="1">
        <v>45793</v>
      </c>
      <c r="H227" t="s">
        <v>41</v>
      </c>
      <c r="I227" s="2">
        <v>6433</v>
      </c>
      <c r="J227" t="s">
        <v>228</v>
      </c>
      <c r="K227" s="7">
        <v>45778</v>
      </c>
      <c r="L227" t="s">
        <v>43</v>
      </c>
    </row>
    <row r="228" spans="1:12" hidden="1">
      <c r="A228" t="s">
        <v>39</v>
      </c>
      <c r="B228" t="s">
        <v>63</v>
      </c>
      <c r="C228" t="s">
        <v>12</v>
      </c>
      <c r="E228" t="s">
        <v>8</v>
      </c>
      <c r="F228" s="1" t="s">
        <v>4</v>
      </c>
      <c r="G228" s="1">
        <v>45793</v>
      </c>
      <c r="H228" t="s">
        <v>41</v>
      </c>
      <c r="I228" s="2">
        <v>4801</v>
      </c>
      <c r="J228" t="s">
        <v>229</v>
      </c>
      <c r="K228" s="7">
        <v>45778</v>
      </c>
      <c r="L228" t="s">
        <v>84</v>
      </c>
    </row>
    <row r="229" spans="1:12" hidden="1">
      <c r="A229" t="s">
        <v>39</v>
      </c>
      <c r="B229" t="s">
        <v>63</v>
      </c>
      <c r="C229" t="s">
        <v>12</v>
      </c>
      <c r="E229" t="s">
        <v>8</v>
      </c>
      <c r="F229" s="1" t="s">
        <v>4</v>
      </c>
      <c r="G229" s="1">
        <v>45793</v>
      </c>
      <c r="H229" t="s">
        <v>41</v>
      </c>
      <c r="I229" s="2">
        <v>3708</v>
      </c>
      <c r="J229" t="s">
        <v>230</v>
      </c>
      <c r="K229" s="7">
        <v>45778</v>
      </c>
      <c r="L229" t="s">
        <v>84</v>
      </c>
    </row>
    <row r="230" spans="1:12" hidden="1">
      <c r="A230" t="s">
        <v>39</v>
      </c>
      <c r="B230" t="s">
        <v>63</v>
      </c>
      <c r="C230" t="s">
        <v>14</v>
      </c>
      <c r="E230" t="s">
        <v>9</v>
      </c>
      <c r="F230" s="1" t="s">
        <v>2</v>
      </c>
      <c r="G230" s="1">
        <v>45931</v>
      </c>
      <c r="H230" t="s">
        <v>41</v>
      </c>
      <c r="I230" s="2">
        <v>41319.089999999997</v>
      </c>
      <c r="J230" t="s">
        <v>231</v>
      </c>
      <c r="K230" s="7">
        <v>45931</v>
      </c>
    </row>
    <row r="231" spans="1:12" hidden="1">
      <c r="A231" t="s">
        <v>39</v>
      </c>
      <c r="B231" t="s">
        <v>45</v>
      </c>
      <c r="C231" t="s">
        <v>12</v>
      </c>
      <c r="D231">
        <v>10026468</v>
      </c>
      <c r="E231" t="s">
        <v>9</v>
      </c>
      <c r="F231" t="s">
        <v>2</v>
      </c>
      <c r="G231" s="1">
        <v>45779</v>
      </c>
      <c r="H231" t="s">
        <v>41</v>
      </c>
      <c r="I231" s="2">
        <v>41024.129999999997</v>
      </c>
      <c r="J231" t="s">
        <v>87</v>
      </c>
      <c r="K231" s="7">
        <v>45778</v>
      </c>
    </row>
    <row r="232" spans="1:12" hidden="1">
      <c r="A232" t="s">
        <v>114</v>
      </c>
      <c r="B232" t="s">
        <v>63</v>
      </c>
      <c r="C232" t="s">
        <v>14</v>
      </c>
      <c r="E232" t="s">
        <v>9</v>
      </c>
      <c r="F232" s="1" t="s">
        <v>5</v>
      </c>
      <c r="G232" s="1">
        <v>46050</v>
      </c>
      <c r="H232" t="s">
        <v>41</v>
      </c>
      <c r="I232" s="2">
        <v>40984.32</v>
      </c>
      <c r="J232" t="s">
        <v>232</v>
      </c>
      <c r="K232" s="7">
        <v>46023</v>
      </c>
    </row>
    <row r="233" spans="1:12" hidden="1">
      <c r="A233" t="s">
        <v>39</v>
      </c>
      <c r="B233" t="s">
        <v>47</v>
      </c>
      <c r="C233" t="s">
        <v>14</v>
      </c>
      <c r="E233" t="s">
        <v>9</v>
      </c>
      <c r="F233" s="1" t="s">
        <v>3</v>
      </c>
      <c r="G233" s="1">
        <v>45975</v>
      </c>
      <c r="H233" t="s">
        <v>41</v>
      </c>
      <c r="I233" s="2">
        <v>40855.71</v>
      </c>
      <c r="J233" t="s">
        <v>233</v>
      </c>
      <c r="K233" s="7">
        <v>45962</v>
      </c>
    </row>
    <row r="234" spans="1:12" hidden="1">
      <c r="A234" t="s">
        <v>39</v>
      </c>
      <c r="B234" t="s">
        <v>63</v>
      </c>
      <c r="C234" t="s">
        <v>124</v>
      </c>
      <c r="D234">
        <v>10026593</v>
      </c>
      <c r="E234" t="s">
        <v>9</v>
      </c>
      <c r="F234" s="1" t="s">
        <v>4</v>
      </c>
      <c r="G234" s="1">
        <v>45792</v>
      </c>
      <c r="H234" t="s">
        <v>41</v>
      </c>
      <c r="I234" s="2">
        <v>71348.08</v>
      </c>
      <c r="J234" t="s">
        <v>149</v>
      </c>
      <c r="K234" s="7">
        <v>45778</v>
      </c>
    </row>
    <row r="235" spans="1:12" hidden="1">
      <c r="A235" t="s">
        <v>56</v>
      </c>
      <c r="B235" t="s">
        <v>40</v>
      </c>
      <c r="C235" t="s">
        <v>14</v>
      </c>
      <c r="E235" t="s">
        <v>9</v>
      </c>
      <c r="F235" s="1" t="s">
        <v>5</v>
      </c>
      <c r="G235" s="1">
        <v>45927</v>
      </c>
      <c r="H235" t="s">
        <v>41</v>
      </c>
      <c r="I235" s="2">
        <v>40326</v>
      </c>
      <c r="J235" t="s">
        <v>234</v>
      </c>
      <c r="K235" s="7">
        <v>45901</v>
      </c>
    </row>
    <row r="236" spans="1:12" hidden="1">
      <c r="A236" t="s">
        <v>39</v>
      </c>
      <c r="B236" t="s">
        <v>45</v>
      </c>
      <c r="C236" t="s">
        <v>14</v>
      </c>
      <c r="E236" t="s">
        <v>9</v>
      </c>
      <c r="F236" s="1" t="s">
        <v>5</v>
      </c>
      <c r="G236" s="1">
        <v>45953</v>
      </c>
      <c r="H236" t="s">
        <v>41</v>
      </c>
      <c r="I236" s="2">
        <v>40053.97</v>
      </c>
      <c r="J236" t="s">
        <v>235</v>
      </c>
      <c r="K236" s="7">
        <v>45931</v>
      </c>
    </row>
    <row r="237" spans="1:12" hidden="1">
      <c r="A237" t="s">
        <v>114</v>
      </c>
      <c r="B237" t="s">
        <v>63</v>
      </c>
      <c r="C237" t="s">
        <v>14</v>
      </c>
      <c r="E237" t="s">
        <v>8</v>
      </c>
      <c r="F237" s="1" t="s">
        <v>4</v>
      </c>
      <c r="G237" s="1">
        <v>45795</v>
      </c>
      <c r="H237" t="s">
        <v>41</v>
      </c>
      <c r="I237" s="2">
        <v>36580</v>
      </c>
      <c r="J237" t="s">
        <v>133</v>
      </c>
      <c r="K237" s="7">
        <v>45778</v>
      </c>
      <c r="L237" t="s">
        <v>43</v>
      </c>
    </row>
    <row r="238" spans="1:12" hidden="1">
      <c r="A238" t="s">
        <v>114</v>
      </c>
      <c r="B238" t="s">
        <v>63</v>
      </c>
      <c r="C238" t="s">
        <v>14</v>
      </c>
      <c r="E238" t="s">
        <v>8</v>
      </c>
      <c r="F238" s="1" t="s">
        <v>4</v>
      </c>
      <c r="G238" s="1">
        <v>45795</v>
      </c>
      <c r="H238" t="s">
        <v>41</v>
      </c>
      <c r="I238" s="2">
        <v>30510</v>
      </c>
      <c r="J238" t="s">
        <v>133</v>
      </c>
      <c r="K238" s="7">
        <v>45778</v>
      </c>
      <c r="L238" t="s">
        <v>43</v>
      </c>
    </row>
    <row r="239" spans="1:12" hidden="1">
      <c r="A239" t="s">
        <v>39</v>
      </c>
      <c r="B239" t="s">
        <v>40</v>
      </c>
      <c r="C239" t="s">
        <v>12</v>
      </c>
      <c r="E239" t="s">
        <v>8</v>
      </c>
      <c r="F239" s="1" t="s">
        <v>4</v>
      </c>
      <c r="G239" s="1">
        <v>45795</v>
      </c>
      <c r="H239" t="s">
        <v>41</v>
      </c>
      <c r="I239" s="2">
        <v>17000</v>
      </c>
      <c r="J239" t="s">
        <v>98</v>
      </c>
      <c r="K239" s="7">
        <v>45778</v>
      </c>
      <c r="L239" t="s">
        <v>84</v>
      </c>
    </row>
    <row r="240" spans="1:12" hidden="1">
      <c r="A240" t="s">
        <v>39</v>
      </c>
      <c r="B240" t="s">
        <v>40</v>
      </c>
      <c r="C240" t="s">
        <v>14</v>
      </c>
      <c r="E240" t="s">
        <v>8</v>
      </c>
      <c r="F240" s="1" t="s">
        <v>4</v>
      </c>
      <c r="G240" s="1">
        <v>45795</v>
      </c>
      <c r="H240" t="s">
        <v>41</v>
      </c>
      <c r="I240" s="2">
        <v>67000</v>
      </c>
      <c r="J240" t="s">
        <v>98</v>
      </c>
      <c r="K240" s="7">
        <v>45778</v>
      </c>
      <c r="L240" t="s">
        <v>84</v>
      </c>
    </row>
    <row r="241" spans="1:12" hidden="1">
      <c r="A241" t="s">
        <v>56</v>
      </c>
      <c r="B241" t="s">
        <v>40</v>
      </c>
      <c r="C241" t="s">
        <v>12</v>
      </c>
      <c r="E241" t="s">
        <v>8</v>
      </c>
      <c r="F241" s="1" t="s">
        <v>4</v>
      </c>
      <c r="G241" s="1">
        <v>45795</v>
      </c>
      <c r="H241" t="s">
        <v>41</v>
      </c>
      <c r="I241" s="2">
        <v>2000</v>
      </c>
      <c r="J241" t="s">
        <v>98</v>
      </c>
      <c r="K241" s="7">
        <v>45778</v>
      </c>
      <c r="L241" t="s">
        <v>84</v>
      </c>
    </row>
    <row r="242" spans="1:12" hidden="1">
      <c r="A242" t="s">
        <v>56</v>
      </c>
      <c r="B242" t="s">
        <v>40</v>
      </c>
      <c r="C242" t="s">
        <v>14</v>
      </c>
      <c r="E242" t="s">
        <v>8</v>
      </c>
      <c r="F242" s="1" t="s">
        <v>4</v>
      </c>
      <c r="G242" s="1">
        <v>45795</v>
      </c>
      <c r="H242" t="s">
        <v>41</v>
      </c>
      <c r="I242" s="2">
        <v>19000</v>
      </c>
      <c r="J242" t="s">
        <v>98</v>
      </c>
      <c r="K242" s="7">
        <v>45778</v>
      </c>
      <c r="L242" t="s">
        <v>84</v>
      </c>
    </row>
    <row r="243" spans="1:12" hidden="1">
      <c r="A243" t="s">
        <v>99</v>
      </c>
      <c r="B243" t="s">
        <v>63</v>
      </c>
      <c r="C243" t="s">
        <v>14</v>
      </c>
      <c r="E243" t="s">
        <v>8</v>
      </c>
      <c r="F243" s="1" t="s">
        <v>4</v>
      </c>
      <c r="G243" s="1">
        <v>45795</v>
      </c>
      <c r="H243" t="s">
        <v>41</v>
      </c>
      <c r="I243" s="2">
        <v>20000</v>
      </c>
      <c r="J243" t="s">
        <v>236</v>
      </c>
      <c r="K243" s="7">
        <v>45778</v>
      </c>
    </row>
    <row r="244" spans="1:12" hidden="1">
      <c r="A244" t="s">
        <v>39</v>
      </c>
      <c r="B244" t="s">
        <v>63</v>
      </c>
      <c r="C244" t="s">
        <v>13</v>
      </c>
      <c r="E244" t="s">
        <v>8</v>
      </c>
      <c r="F244" s="1" t="s">
        <v>4</v>
      </c>
      <c r="G244" s="1">
        <v>45795</v>
      </c>
      <c r="H244" t="s">
        <v>41</v>
      </c>
      <c r="I244" s="2">
        <v>9550</v>
      </c>
      <c r="J244" t="s">
        <v>156</v>
      </c>
      <c r="K244" s="7">
        <v>45778</v>
      </c>
      <c r="L244" t="s">
        <v>84</v>
      </c>
    </row>
    <row r="245" spans="1:12" hidden="1">
      <c r="A245" t="s">
        <v>114</v>
      </c>
      <c r="B245" t="s">
        <v>63</v>
      </c>
      <c r="C245" t="s">
        <v>14</v>
      </c>
      <c r="E245" t="s">
        <v>8</v>
      </c>
      <c r="F245" s="1" t="s">
        <v>4</v>
      </c>
      <c r="G245" s="1">
        <v>45795</v>
      </c>
      <c r="H245" t="s">
        <v>41</v>
      </c>
      <c r="I245" s="2">
        <v>4953.6000000000004</v>
      </c>
      <c r="J245" t="s">
        <v>237</v>
      </c>
      <c r="K245" s="7">
        <v>45778</v>
      </c>
      <c r="L245" t="s">
        <v>84</v>
      </c>
    </row>
    <row r="246" spans="1:12" hidden="1">
      <c r="A246" t="s">
        <v>39</v>
      </c>
      <c r="B246" t="s">
        <v>45</v>
      </c>
      <c r="C246" t="s">
        <v>14</v>
      </c>
      <c r="D246">
        <v>10026931</v>
      </c>
      <c r="E246" t="s">
        <v>9</v>
      </c>
      <c r="F246" s="1" t="s">
        <v>5</v>
      </c>
      <c r="G246" s="1">
        <v>45835</v>
      </c>
      <c r="H246" t="s">
        <v>41</v>
      </c>
      <c r="I246" s="2">
        <v>40000</v>
      </c>
      <c r="J246" t="s">
        <v>176</v>
      </c>
      <c r="K246" s="7">
        <v>45809</v>
      </c>
    </row>
    <row r="247" spans="1:12" hidden="1">
      <c r="A247" t="s">
        <v>39</v>
      </c>
      <c r="B247" t="s">
        <v>47</v>
      </c>
      <c r="C247" t="s">
        <v>13</v>
      </c>
      <c r="E247" t="s">
        <v>9</v>
      </c>
      <c r="F247" s="1" t="s">
        <v>3</v>
      </c>
      <c r="G247" s="1">
        <v>45908</v>
      </c>
      <c r="H247" t="s">
        <v>41</v>
      </c>
      <c r="I247" s="2">
        <v>39904.880000000005</v>
      </c>
      <c r="J247" t="s">
        <v>183</v>
      </c>
      <c r="K247" s="7">
        <v>45901</v>
      </c>
    </row>
    <row r="248" spans="1:12" hidden="1">
      <c r="A248" t="s">
        <v>39</v>
      </c>
      <c r="B248" t="s">
        <v>47</v>
      </c>
      <c r="C248" t="s">
        <v>14</v>
      </c>
      <c r="E248" t="s">
        <v>8</v>
      </c>
      <c r="F248" s="1" t="s">
        <v>5</v>
      </c>
      <c r="G248" s="1">
        <v>45796</v>
      </c>
      <c r="H248" t="s">
        <v>41</v>
      </c>
      <c r="I248" s="2">
        <v>285.58999999999997</v>
      </c>
      <c r="J248" t="s">
        <v>188</v>
      </c>
      <c r="K248" s="7">
        <v>45778</v>
      </c>
    </row>
    <row r="249" spans="1:12" hidden="1">
      <c r="A249" t="s">
        <v>39</v>
      </c>
      <c r="B249" t="s">
        <v>47</v>
      </c>
      <c r="C249" t="s">
        <v>14</v>
      </c>
      <c r="E249" t="s">
        <v>8</v>
      </c>
      <c r="F249" s="1" t="s">
        <v>5</v>
      </c>
      <c r="G249" s="1">
        <v>45796</v>
      </c>
      <c r="H249" t="s">
        <v>41</v>
      </c>
      <c r="I249" s="2">
        <v>24555.919999999998</v>
      </c>
      <c r="J249" t="s">
        <v>238</v>
      </c>
      <c r="K249" s="7">
        <v>45778</v>
      </c>
      <c r="L249" t="s">
        <v>84</v>
      </c>
    </row>
    <row r="250" spans="1:12" hidden="1">
      <c r="A250" t="s">
        <v>114</v>
      </c>
      <c r="B250" t="s">
        <v>63</v>
      </c>
      <c r="C250" t="s">
        <v>12</v>
      </c>
      <c r="D250" s="6"/>
      <c r="E250" t="s">
        <v>9</v>
      </c>
      <c r="F250" s="1" t="s">
        <v>2</v>
      </c>
      <c r="G250" s="1">
        <v>45877</v>
      </c>
      <c r="H250" t="s">
        <v>41</v>
      </c>
      <c r="I250" s="2">
        <v>39640.449999999997</v>
      </c>
      <c r="J250" t="s">
        <v>239</v>
      </c>
      <c r="K250" s="7">
        <v>45870</v>
      </c>
    </row>
    <row r="251" spans="1:12" hidden="1">
      <c r="A251" t="s">
        <v>39</v>
      </c>
      <c r="B251" t="s">
        <v>45</v>
      </c>
      <c r="C251" t="s">
        <v>14</v>
      </c>
      <c r="D251">
        <v>10026655</v>
      </c>
      <c r="E251" t="s">
        <v>9</v>
      </c>
      <c r="F251" s="1" t="s">
        <v>5</v>
      </c>
      <c r="G251" s="1">
        <v>45800</v>
      </c>
      <c r="H251" t="s">
        <v>41</v>
      </c>
      <c r="I251" s="2">
        <v>39486.980000000003</v>
      </c>
      <c r="J251" t="s">
        <v>240</v>
      </c>
      <c r="K251" s="7">
        <v>45778</v>
      </c>
    </row>
    <row r="252" spans="1:12" hidden="1">
      <c r="A252" t="s">
        <v>114</v>
      </c>
      <c r="B252" t="s">
        <v>63</v>
      </c>
      <c r="C252" t="s">
        <v>12</v>
      </c>
      <c r="E252" t="s">
        <v>9</v>
      </c>
      <c r="F252" s="1" t="s">
        <v>2</v>
      </c>
      <c r="G252" s="1">
        <v>45966</v>
      </c>
      <c r="H252" t="s">
        <v>41</v>
      </c>
      <c r="I252" s="2">
        <v>39394.44</v>
      </c>
      <c r="J252" t="s">
        <v>241</v>
      </c>
      <c r="K252" s="7">
        <v>45962</v>
      </c>
    </row>
    <row r="253" spans="1:12" hidden="1">
      <c r="A253" t="s">
        <v>114</v>
      </c>
      <c r="B253" t="s">
        <v>63</v>
      </c>
      <c r="C253" t="s">
        <v>14</v>
      </c>
      <c r="E253" t="s">
        <v>9</v>
      </c>
      <c r="F253" s="1" t="s">
        <v>5</v>
      </c>
      <c r="G253" s="1">
        <v>45898</v>
      </c>
      <c r="H253" t="s">
        <v>41</v>
      </c>
      <c r="I253" s="2">
        <v>39000</v>
      </c>
      <c r="J253" t="s">
        <v>242</v>
      </c>
      <c r="K253" s="7">
        <v>45870</v>
      </c>
    </row>
    <row r="254" spans="1:12" hidden="1">
      <c r="A254" t="s">
        <v>39</v>
      </c>
      <c r="B254" t="s">
        <v>47</v>
      </c>
      <c r="C254" t="s">
        <v>14</v>
      </c>
      <c r="E254" t="s">
        <v>9</v>
      </c>
      <c r="F254" s="1" t="s">
        <v>3</v>
      </c>
      <c r="G254" s="1">
        <v>45909</v>
      </c>
      <c r="H254" t="s">
        <v>41</v>
      </c>
      <c r="I254" s="2">
        <v>38715</v>
      </c>
      <c r="J254" t="s">
        <v>146</v>
      </c>
      <c r="K254" s="7">
        <v>45901</v>
      </c>
    </row>
    <row r="255" spans="1:12" hidden="1">
      <c r="A255" t="s">
        <v>39</v>
      </c>
      <c r="B255" t="s">
        <v>63</v>
      </c>
      <c r="C255" t="s">
        <v>14</v>
      </c>
      <c r="D255">
        <v>10026514</v>
      </c>
      <c r="E255" t="s">
        <v>9</v>
      </c>
      <c r="F255" s="1" t="s">
        <v>3</v>
      </c>
      <c r="G255" s="1">
        <v>45785</v>
      </c>
      <c r="H255" t="s">
        <v>41</v>
      </c>
      <c r="I255" s="2">
        <v>38549.519999999997</v>
      </c>
      <c r="J255" t="s">
        <v>151</v>
      </c>
      <c r="K255" s="7">
        <v>45778</v>
      </c>
    </row>
    <row r="256" spans="1:12" hidden="1">
      <c r="A256" t="s">
        <v>39</v>
      </c>
      <c r="B256" t="s">
        <v>45</v>
      </c>
      <c r="C256" t="s">
        <v>14</v>
      </c>
      <c r="D256">
        <v>10026727</v>
      </c>
      <c r="E256" t="s">
        <v>9</v>
      </c>
      <c r="F256" s="1" t="s">
        <v>6</v>
      </c>
      <c r="G256" s="1">
        <v>45807</v>
      </c>
      <c r="H256" t="s">
        <v>41</v>
      </c>
      <c r="I256" s="2">
        <v>38385.839999999997</v>
      </c>
      <c r="J256" t="s">
        <v>87</v>
      </c>
      <c r="K256" s="7">
        <v>45778</v>
      </c>
    </row>
    <row r="257" spans="1:11" hidden="1">
      <c r="A257" t="s">
        <v>114</v>
      </c>
      <c r="B257" t="s">
        <v>63</v>
      </c>
      <c r="C257" t="s">
        <v>13</v>
      </c>
      <c r="D257">
        <v>15145</v>
      </c>
      <c r="E257" t="s">
        <v>9</v>
      </c>
      <c r="F257" s="1" t="s">
        <v>4</v>
      </c>
      <c r="G257" s="1">
        <v>45792</v>
      </c>
      <c r="H257" t="s">
        <v>41</v>
      </c>
      <c r="I257" s="2">
        <v>26284.34</v>
      </c>
      <c r="J257" t="s">
        <v>182</v>
      </c>
      <c r="K257" s="7">
        <v>45778</v>
      </c>
    </row>
    <row r="258" spans="1:11" hidden="1">
      <c r="A258" t="s">
        <v>39</v>
      </c>
      <c r="B258" t="s">
        <v>45</v>
      </c>
      <c r="C258" t="s">
        <v>14</v>
      </c>
      <c r="D258">
        <v>10026996</v>
      </c>
      <c r="E258" t="s">
        <v>9</v>
      </c>
      <c r="F258" s="1" t="s">
        <v>2</v>
      </c>
      <c r="G258" s="1">
        <v>45841</v>
      </c>
      <c r="H258" t="s">
        <v>41</v>
      </c>
      <c r="I258" s="2">
        <v>38223.39</v>
      </c>
      <c r="J258" t="s">
        <v>243</v>
      </c>
      <c r="K258" s="7">
        <v>45839</v>
      </c>
    </row>
    <row r="259" spans="1:11" hidden="1">
      <c r="A259" t="s">
        <v>39</v>
      </c>
      <c r="B259" t="s">
        <v>144</v>
      </c>
      <c r="C259" t="s">
        <v>13</v>
      </c>
      <c r="E259" t="s">
        <v>9</v>
      </c>
      <c r="F259" s="1" t="s">
        <v>2</v>
      </c>
      <c r="G259" s="1">
        <v>45932</v>
      </c>
      <c r="H259" t="s">
        <v>41</v>
      </c>
      <c r="I259" s="2">
        <v>38113.769999999997</v>
      </c>
      <c r="J259" s="47" t="s">
        <v>244</v>
      </c>
      <c r="K259" s="7">
        <v>45931</v>
      </c>
    </row>
    <row r="260" spans="1:11" hidden="1">
      <c r="A260" t="s">
        <v>39</v>
      </c>
      <c r="B260" t="s">
        <v>144</v>
      </c>
      <c r="C260" t="s">
        <v>14</v>
      </c>
      <c r="E260" t="s">
        <v>9</v>
      </c>
      <c r="F260" s="1" t="s">
        <v>6</v>
      </c>
      <c r="G260" s="1">
        <v>45961</v>
      </c>
      <c r="H260" t="s">
        <v>41</v>
      </c>
      <c r="I260" s="2">
        <v>37793.68</v>
      </c>
      <c r="J260" s="47" t="s">
        <v>244</v>
      </c>
      <c r="K260" s="7">
        <v>45931</v>
      </c>
    </row>
    <row r="261" spans="1:11" hidden="1">
      <c r="A261" t="s">
        <v>39</v>
      </c>
      <c r="B261" t="s">
        <v>63</v>
      </c>
      <c r="C261" t="s">
        <v>14</v>
      </c>
      <c r="E261" t="s">
        <v>9</v>
      </c>
      <c r="F261" s="1" t="s">
        <v>2</v>
      </c>
      <c r="G261" s="1">
        <v>45967</v>
      </c>
      <c r="H261" t="s">
        <v>41</v>
      </c>
      <c r="I261" s="2">
        <v>37417.68</v>
      </c>
      <c r="J261" t="s">
        <v>245</v>
      </c>
      <c r="K261" s="7">
        <v>45962</v>
      </c>
    </row>
    <row r="262" spans="1:11" hidden="1">
      <c r="A262" t="s">
        <v>39</v>
      </c>
      <c r="B262" t="s">
        <v>63</v>
      </c>
      <c r="C262" t="s">
        <v>13</v>
      </c>
      <c r="E262" t="s">
        <v>9</v>
      </c>
      <c r="F262" s="1" t="s">
        <v>2</v>
      </c>
      <c r="G262" s="1">
        <v>45870</v>
      </c>
      <c r="H262" t="s">
        <v>41</v>
      </c>
      <c r="I262" s="2">
        <v>36955.870000000003</v>
      </c>
      <c r="J262" t="s">
        <v>246</v>
      </c>
      <c r="K262" s="7">
        <v>45870</v>
      </c>
    </row>
    <row r="263" spans="1:11" hidden="1">
      <c r="A263" t="s">
        <v>39</v>
      </c>
      <c r="B263" t="s">
        <v>45</v>
      </c>
      <c r="C263" t="s">
        <v>14</v>
      </c>
      <c r="E263" t="s">
        <v>9</v>
      </c>
      <c r="F263" s="1" t="s">
        <v>2</v>
      </c>
      <c r="G263" s="1">
        <v>45904</v>
      </c>
      <c r="H263" t="s">
        <v>41</v>
      </c>
      <c r="I263" s="2">
        <v>36850</v>
      </c>
      <c r="J263" t="s">
        <v>247</v>
      </c>
      <c r="K263" s="7">
        <v>45901</v>
      </c>
    </row>
    <row r="264" spans="1:11" hidden="1">
      <c r="A264" t="s">
        <v>39</v>
      </c>
      <c r="B264" t="s">
        <v>40</v>
      </c>
      <c r="C264" t="s">
        <v>14</v>
      </c>
      <c r="D264">
        <v>10028424</v>
      </c>
      <c r="E264" t="s">
        <v>9</v>
      </c>
      <c r="F264" s="1" t="s">
        <v>2</v>
      </c>
      <c r="G264" s="1">
        <v>46055</v>
      </c>
      <c r="H264" t="s">
        <v>41</v>
      </c>
      <c r="I264" s="2">
        <v>355.33</v>
      </c>
      <c r="J264" t="s">
        <v>248</v>
      </c>
      <c r="K264" s="7">
        <v>46054</v>
      </c>
    </row>
    <row r="265" spans="1:11" hidden="1">
      <c r="A265" t="s">
        <v>114</v>
      </c>
      <c r="B265" t="s">
        <v>63</v>
      </c>
      <c r="C265" t="s">
        <v>14</v>
      </c>
      <c r="E265" t="s">
        <v>9</v>
      </c>
      <c r="F265" s="1" t="s">
        <v>5</v>
      </c>
      <c r="G265" s="1">
        <v>45987</v>
      </c>
      <c r="H265" t="s">
        <v>41</v>
      </c>
      <c r="I265" s="2">
        <v>36668.5</v>
      </c>
      <c r="J265" s="47" t="s">
        <v>249</v>
      </c>
      <c r="K265" s="7">
        <v>45962</v>
      </c>
    </row>
    <row r="266" spans="1:11" hidden="1">
      <c r="A266" t="s">
        <v>39</v>
      </c>
      <c r="B266" t="s">
        <v>47</v>
      </c>
      <c r="C266" t="s">
        <v>12</v>
      </c>
      <c r="D266">
        <v>10026618</v>
      </c>
      <c r="E266" t="s">
        <v>9</v>
      </c>
      <c r="F266" s="1" t="s">
        <v>4</v>
      </c>
      <c r="G266" s="1">
        <v>45792</v>
      </c>
      <c r="H266" t="s">
        <v>41</v>
      </c>
      <c r="I266" s="2">
        <v>21523.66</v>
      </c>
      <c r="J266" t="s">
        <v>250</v>
      </c>
      <c r="K266" s="7">
        <v>45778</v>
      </c>
    </row>
    <row r="267" spans="1:11" hidden="1">
      <c r="A267" t="s">
        <v>39</v>
      </c>
      <c r="B267" t="s">
        <v>144</v>
      </c>
      <c r="C267" t="s">
        <v>14</v>
      </c>
      <c r="E267" t="s">
        <v>9</v>
      </c>
      <c r="F267" s="1" t="s">
        <v>2</v>
      </c>
      <c r="G267" s="1">
        <v>45965</v>
      </c>
      <c r="H267" t="s">
        <v>41</v>
      </c>
      <c r="I267" s="2">
        <v>36160</v>
      </c>
      <c r="J267" s="47" t="s">
        <v>251</v>
      </c>
      <c r="K267" s="7">
        <v>45962</v>
      </c>
    </row>
    <row r="268" spans="1:11" hidden="1">
      <c r="A268" t="s">
        <v>39</v>
      </c>
      <c r="B268" t="s">
        <v>63</v>
      </c>
      <c r="C268" t="s">
        <v>14</v>
      </c>
      <c r="E268" t="s">
        <v>9</v>
      </c>
      <c r="F268" s="1" t="s">
        <v>2</v>
      </c>
      <c r="G268" s="1">
        <v>45901</v>
      </c>
      <c r="H268" t="s">
        <v>64</v>
      </c>
      <c r="I268" s="2">
        <f>18330583/510</f>
        <v>35942.319607843136</v>
      </c>
      <c r="J268" t="s">
        <v>252</v>
      </c>
      <c r="K268" s="7">
        <v>45901</v>
      </c>
    </row>
    <row r="269" spans="1:11" hidden="1">
      <c r="A269" t="s">
        <v>114</v>
      </c>
      <c r="B269" t="s">
        <v>63</v>
      </c>
      <c r="C269" t="s">
        <v>13</v>
      </c>
      <c r="E269" t="s">
        <v>9</v>
      </c>
      <c r="F269" s="1" t="s">
        <v>5</v>
      </c>
      <c r="G269" s="1">
        <v>45861</v>
      </c>
      <c r="H269" t="s">
        <v>41</v>
      </c>
      <c r="I269" s="2">
        <v>35715</v>
      </c>
      <c r="J269" t="s">
        <v>253</v>
      </c>
      <c r="K269" s="7">
        <v>45839</v>
      </c>
    </row>
    <row r="270" spans="1:11" hidden="1">
      <c r="A270" t="s">
        <v>114</v>
      </c>
      <c r="B270" t="s">
        <v>63</v>
      </c>
      <c r="C270" t="s">
        <v>14</v>
      </c>
      <c r="D270">
        <v>15162</v>
      </c>
      <c r="E270" t="s">
        <v>9</v>
      </c>
      <c r="F270" s="1" t="s">
        <v>2</v>
      </c>
      <c r="G270" s="1">
        <v>45813</v>
      </c>
      <c r="H270" t="s">
        <v>41</v>
      </c>
      <c r="I270" s="2">
        <v>35576.93</v>
      </c>
      <c r="J270" t="s">
        <v>254</v>
      </c>
      <c r="K270" s="7">
        <v>45809</v>
      </c>
    </row>
    <row r="271" spans="1:11" hidden="1">
      <c r="A271" t="s">
        <v>39</v>
      </c>
      <c r="B271" t="s">
        <v>45</v>
      </c>
      <c r="C271" t="s">
        <v>14</v>
      </c>
      <c r="E271" t="s">
        <v>9</v>
      </c>
      <c r="F271" s="1" t="s">
        <v>2</v>
      </c>
      <c r="G271" s="1">
        <v>45968</v>
      </c>
      <c r="H271" t="s">
        <v>41</v>
      </c>
      <c r="I271" s="2">
        <v>35115.43</v>
      </c>
      <c r="J271" t="s">
        <v>255</v>
      </c>
      <c r="K271" s="7">
        <v>45962</v>
      </c>
    </row>
    <row r="272" spans="1:11" hidden="1">
      <c r="A272" t="s">
        <v>56</v>
      </c>
      <c r="B272" t="s">
        <v>40</v>
      </c>
      <c r="C272" t="s">
        <v>14</v>
      </c>
      <c r="D272">
        <v>10820</v>
      </c>
      <c r="E272" t="s">
        <v>9</v>
      </c>
      <c r="F272" s="1" t="s">
        <v>2</v>
      </c>
      <c r="G272" s="1">
        <v>45968</v>
      </c>
      <c r="H272" t="s">
        <v>41</v>
      </c>
      <c r="I272" s="2">
        <v>35000</v>
      </c>
      <c r="J272" t="s">
        <v>256</v>
      </c>
      <c r="K272" s="7">
        <v>45962</v>
      </c>
    </row>
    <row r="273" spans="1:13" hidden="1">
      <c r="A273" t="s">
        <v>114</v>
      </c>
      <c r="B273" t="s">
        <v>63</v>
      </c>
      <c r="C273" t="s">
        <v>14</v>
      </c>
      <c r="E273" t="s">
        <v>9</v>
      </c>
      <c r="F273" s="1" t="s">
        <v>5</v>
      </c>
      <c r="G273" s="1">
        <v>45987</v>
      </c>
      <c r="H273" t="s">
        <v>41</v>
      </c>
      <c r="I273" s="2">
        <v>34937.57</v>
      </c>
      <c r="J273" s="47" t="s">
        <v>249</v>
      </c>
      <c r="K273" s="7">
        <v>45962</v>
      </c>
    </row>
    <row r="274" spans="1:13" hidden="1">
      <c r="A274" t="s">
        <v>39</v>
      </c>
      <c r="B274" t="s">
        <v>47</v>
      </c>
      <c r="C274" t="s">
        <v>14</v>
      </c>
      <c r="E274" t="s">
        <v>9</v>
      </c>
      <c r="F274" s="1" t="s">
        <v>5</v>
      </c>
      <c r="G274" s="1">
        <v>45926</v>
      </c>
      <c r="H274" t="s">
        <v>64</v>
      </c>
      <c r="I274" s="2">
        <f>17814336.34/510</f>
        <v>34930.071254901959</v>
      </c>
      <c r="J274" t="s">
        <v>257</v>
      </c>
      <c r="K274" s="7">
        <v>45901</v>
      </c>
    </row>
    <row r="275" spans="1:13" hidden="1">
      <c r="A275" t="s">
        <v>99</v>
      </c>
      <c r="B275" t="s">
        <v>63</v>
      </c>
      <c r="C275" t="s">
        <v>14</v>
      </c>
      <c r="E275" t="s">
        <v>9</v>
      </c>
      <c r="F275" s="1" t="s">
        <v>5</v>
      </c>
      <c r="G275" s="1">
        <v>45989</v>
      </c>
      <c r="H275" t="s">
        <v>41</v>
      </c>
      <c r="I275" s="2">
        <v>34907.49</v>
      </c>
      <c r="J275" t="s">
        <v>258</v>
      </c>
      <c r="K275" s="7">
        <v>45962</v>
      </c>
    </row>
    <row r="276" spans="1:13" hidden="1">
      <c r="A276" t="s">
        <v>39</v>
      </c>
      <c r="B276" t="s">
        <v>45</v>
      </c>
      <c r="C276" t="s">
        <v>13</v>
      </c>
      <c r="D276">
        <v>10026658</v>
      </c>
      <c r="E276" t="s">
        <v>9</v>
      </c>
      <c r="F276" s="1" t="s">
        <v>5</v>
      </c>
      <c r="G276" s="1">
        <v>45800</v>
      </c>
      <c r="H276" t="s">
        <v>41</v>
      </c>
      <c r="I276" s="2">
        <v>34344</v>
      </c>
      <c r="J276" t="s">
        <v>259</v>
      </c>
      <c r="K276" s="7">
        <v>45778</v>
      </c>
    </row>
    <row r="277" spans="1:13" hidden="1">
      <c r="A277" t="s">
        <v>39</v>
      </c>
      <c r="B277" t="s">
        <v>40</v>
      </c>
      <c r="C277" t="s">
        <v>14</v>
      </c>
      <c r="E277" t="s">
        <v>9</v>
      </c>
      <c r="F277" s="1" t="s">
        <v>4</v>
      </c>
      <c r="G277" s="1">
        <v>45792</v>
      </c>
      <c r="H277" t="s">
        <v>41</v>
      </c>
      <c r="I277" s="2">
        <v>18550</v>
      </c>
      <c r="J277" t="s">
        <v>260</v>
      </c>
      <c r="K277" s="7">
        <v>45778</v>
      </c>
    </row>
    <row r="278" spans="1:13" hidden="1">
      <c r="A278" t="s">
        <v>39</v>
      </c>
      <c r="B278" t="s">
        <v>45</v>
      </c>
      <c r="C278" t="s">
        <v>13</v>
      </c>
      <c r="E278" t="s">
        <v>9</v>
      </c>
      <c r="F278" s="1" t="s">
        <v>5</v>
      </c>
      <c r="G278" s="1">
        <v>46017</v>
      </c>
      <c r="H278" t="s">
        <v>41</v>
      </c>
      <c r="I278" s="2">
        <v>33881.85</v>
      </c>
      <c r="J278" t="s">
        <v>164</v>
      </c>
      <c r="K278" s="7">
        <v>45992</v>
      </c>
    </row>
    <row r="279" spans="1:13" hidden="1">
      <c r="A279" t="s">
        <v>39</v>
      </c>
      <c r="B279" t="s">
        <v>47</v>
      </c>
      <c r="C279" t="s">
        <v>14</v>
      </c>
      <c r="E279" t="s">
        <v>9</v>
      </c>
      <c r="F279" s="1" t="s">
        <v>5</v>
      </c>
      <c r="G279" s="1">
        <v>45894</v>
      </c>
      <c r="H279" t="s">
        <v>64</v>
      </c>
      <c r="I279" s="2">
        <f>17074792/510</f>
        <v>33479.984313725487</v>
      </c>
      <c r="J279" t="s">
        <v>252</v>
      </c>
      <c r="K279" s="7">
        <v>45870</v>
      </c>
    </row>
    <row r="280" spans="1:13" hidden="1">
      <c r="A280" t="s">
        <v>56</v>
      </c>
      <c r="B280" t="s">
        <v>40</v>
      </c>
      <c r="C280" t="s">
        <v>12</v>
      </c>
      <c r="E280" t="s">
        <v>9</v>
      </c>
      <c r="F280" s="1" t="s">
        <v>3</v>
      </c>
      <c r="G280" s="1">
        <v>45941</v>
      </c>
      <c r="H280" t="s">
        <v>41</v>
      </c>
      <c r="I280" s="2">
        <v>33432</v>
      </c>
      <c r="J280" t="s">
        <v>69</v>
      </c>
      <c r="K280" s="7">
        <v>45931</v>
      </c>
    </row>
    <row r="281" spans="1:13" hidden="1">
      <c r="A281" t="s">
        <v>39</v>
      </c>
      <c r="B281" t="s">
        <v>63</v>
      </c>
      <c r="C281" t="s">
        <v>14</v>
      </c>
      <c r="D281">
        <v>10026592</v>
      </c>
      <c r="E281" t="s">
        <v>9</v>
      </c>
      <c r="F281" s="1" t="s">
        <v>4</v>
      </c>
      <c r="G281" s="1">
        <v>45792</v>
      </c>
      <c r="H281" t="s">
        <v>41</v>
      </c>
      <c r="I281" s="2">
        <v>8340</v>
      </c>
      <c r="J281" t="s">
        <v>261</v>
      </c>
      <c r="K281" s="7">
        <v>45778</v>
      </c>
    </row>
    <row r="282" spans="1:13" hidden="1">
      <c r="A282" t="s">
        <v>39</v>
      </c>
      <c r="B282" t="s">
        <v>47</v>
      </c>
      <c r="C282" t="s">
        <v>14</v>
      </c>
      <c r="E282" t="s">
        <v>9</v>
      </c>
      <c r="F282" s="1" t="s">
        <v>5</v>
      </c>
      <c r="G282" s="1">
        <v>45926</v>
      </c>
      <c r="H282" t="s">
        <v>41</v>
      </c>
      <c r="I282" s="2">
        <v>32813.32</v>
      </c>
      <c r="J282" t="s">
        <v>183</v>
      </c>
      <c r="K282" s="7">
        <v>45901</v>
      </c>
    </row>
    <row r="283" spans="1:13" hidden="1">
      <c r="A283" t="s">
        <v>39</v>
      </c>
      <c r="B283" t="s">
        <v>63</v>
      </c>
      <c r="C283" t="s">
        <v>13</v>
      </c>
      <c r="E283" t="s">
        <v>8</v>
      </c>
      <c r="F283" s="1" t="s">
        <v>5</v>
      </c>
      <c r="G283" s="1">
        <v>45800</v>
      </c>
      <c r="H283" t="s">
        <v>41</v>
      </c>
      <c r="I283" s="2">
        <v>34716.1</v>
      </c>
      <c r="J283" t="s">
        <v>253</v>
      </c>
      <c r="K283" s="7">
        <v>45778</v>
      </c>
      <c r="L283" t="s">
        <v>84</v>
      </c>
    </row>
    <row r="284" spans="1:13" hidden="1">
      <c r="A284" t="s">
        <v>39</v>
      </c>
      <c r="B284" t="s">
        <v>47</v>
      </c>
      <c r="C284" t="s">
        <v>14</v>
      </c>
      <c r="D284">
        <v>10026524</v>
      </c>
      <c r="E284" t="s">
        <v>9</v>
      </c>
      <c r="F284" s="1" t="s">
        <v>4</v>
      </c>
      <c r="G284" s="1">
        <v>45792</v>
      </c>
      <c r="H284" t="s">
        <v>41</v>
      </c>
      <c r="I284" s="2">
        <v>7000</v>
      </c>
      <c r="J284" t="s">
        <v>262</v>
      </c>
      <c r="K284" s="7">
        <v>45778</v>
      </c>
    </row>
    <row r="285" spans="1:13" hidden="1">
      <c r="A285" t="s">
        <v>39</v>
      </c>
      <c r="B285" t="s">
        <v>45</v>
      </c>
      <c r="C285" t="s">
        <v>14</v>
      </c>
      <c r="E285" t="s">
        <v>8</v>
      </c>
      <c r="F285" s="1" t="s">
        <v>5</v>
      </c>
      <c r="G285" s="1">
        <v>45800</v>
      </c>
      <c r="H285" t="s">
        <v>41</v>
      </c>
      <c r="I285" s="2">
        <v>107000</v>
      </c>
      <c r="J285" t="s">
        <v>263</v>
      </c>
      <c r="K285" s="7">
        <v>45778</v>
      </c>
      <c r="L285" t="s">
        <v>84</v>
      </c>
      <c r="M285" s="5">
        <v>34334</v>
      </c>
    </row>
    <row r="286" spans="1:13" hidden="1">
      <c r="A286" t="s">
        <v>39</v>
      </c>
      <c r="B286" t="s">
        <v>47</v>
      </c>
      <c r="C286" t="s">
        <v>14</v>
      </c>
      <c r="E286" t="s">
        <v>8</v>
      </c>
      <c r="F286" s="1" t="s">
        <v>5</v>
      </c>
      <c r="G286" s="1">
        <v>45800</v>
      </c>
      <c r="H286" t="s">
        <v>41</v>
      </c>
      <c r="I286" s="2">
        <v>848.81</v>
      </c>
      <c r="J286" t="s">
        <v>264</v>
      </c>
      <c r="K286" s="7">
        <v>45778</v>
      </c>
      <c r="L286" t="s">
        <v>84</v>
      </c>
    </row>
    <row r="287" spans="1:13" hidden="1">
      <c r="A287" t="s">
        <v>39</v>
      </c>
      <c r="B287" t="s">
        <v>47</v>
      </c>
      <c r="C287" t="s">
        <v>14</v>
      </c>
      <c r="E287" t="s">
        <v>8</v>
      </c>
      <c r="F287" s="1" t="s">
        <v>5</v>
      </c>
      <c r="G287" s="1">
        <v>45800</v>
      </c>
      <c r="H287" t="s">
        <v>41</v>
      </c>
      <c r="I287" s="2">
        <v>1668.24</v>
      </c>
      <c r="J287" t="s">
        <v>264</v>
      </c>
      <c r="K287" s="7">
        <v>45778</v>
      </c>
      <c r="L287" t="s">
        <v>84</v>
      </c>
    </row>
    <row r="288" spans="1:13" hidden="1">
      <c r="A288" t="s">
        <v>39</v>
      </c>
      <c r="B288" t="s">
        <v>45</v>
      </c>
      <c r="C288" t="s">
        <v>14</v>
      </c>
      <c r="E288" t="s">
        <v>9</v>
      </c>
      <c r="F288" s="1" t="s">
        <v>2</v>
      </c>
      <c r="G288" s="1">
        <v>46031</v>
      </c>
      <c r="H288" t="s">
        <v>41</v>
      </c>
      <c r="I288" s="2">
        <v>32514.1</v>
      </c>
      <c r="J288" t="s">
        <v>265</v>
      </c>
      <c r="K288" s="7">
        <v>46023</v>
      </c>
    </row>
    <row r="289" spans="1:12" hidden="1">
      <c r="A289" t="s">
        <v>39</v>
      </c>
      <c r="B289" t="s">
        <v>47</v>
      </c>
      <c r="C289" t="s">
        <v>12</v>
      </c>
      <c r="D289">
        <v>10026939</v>
      </c>
      <c r="E289" t="s">
        <v>9</v>
      </c>
      <c r="F289" s="1" t="s">
        <v>5</v>
      </c>
      <c r="G289" s="1">
        <v>45835</v>
      </c>
      <c r="H289" t="s">
        <v>41</v>
      </c>
      <c r="I289" s="2">
        <v>32299</v>
      </c>
      <c r="J289" t="s">
        <v>266</v>
      </c>
      <c r="K289" s="7">
        <v>45809</v>
      </c>
    </row>
    <row r="290" spans="1:12" hidden="1">
      <c r="A290" t="s">
        <v>39</v>
      </c>
      <c r="B290" t="s">
        <v>40</v>
      </c>
      <c r="C290" t="s">
        <v>14</v>
      </c>
      <c r="E290" t="s">
        <v>9</v>
      </c>
      <c r="F290" s="1" t="s">
        <v>3</v>
      </c>
      <c r="G290" s="1">
        <v>46000</v>
      </c>
      <c r="H290" t="s">
        <v>41</v>
      </c>
      <c r="I290" s="2">
        <v>32060.31</v>
      </c>
      <c r="J290" t="s">
        <v>267</v>
      </c>
      <c r="K290" s="7">
        <v>45992</v>
      </c>
    </row>
    <row r="291" spans="1:12" hidden="1">
      <c r="A291" t="s">
        <v>39</v>
      </c>
      <c r="B291" t="s">
        <v>63</v>
      </c>
      <c r="C291" t="s">
        <v>14</v>
      </c>
      <c r="D291">
        <v>10026774</v>
      </c>
      <c r="E291" t="s">
        <v>9</v>
      </c>
      <c r="F291" s="1" t="s">
        <v>3</v>
      </c>
      <c r="G291" s="1">
        <v>45817</v>
      </c>
      <c r="H291" t="s">
        <v>41</v>
      </c>
      <c r="I291" s="2">
        <v>31933.15</v>
      </c>
      <c r="J291" t="s">
        <v>268</v>
      </c>
      <c r="K291" s="7">
        <v>45809</v>
      </c>
    </row>
    <row r="292" spans="1:12" hidden="1">
      <c r="A292" t="s">
        <v>114</v>
      </c>
      <c r="B292" t="s">
        <v>63</v>
      </c>
      <c r="C292" t="s">
        <v>13</v>
      </c>
      <c r="E292" t="s">
        <v>9</v>
      </c>
      <c r="F292" s="1" t="s">
        <v>5</v>
      </c>
      <c r="G292" s="1">
        <v>45834</v>
      </c>
      <c r="H292" t="s">
        <v>41</v>
      </c>
      <c r="I292" s="2">
        <v>31724.400000000001</v>
      </c>
      <c r="J292" t="s">
        <v>269</v>
      </c>
      <c r="K292" s="7">
        <v>45809</v>
      </c>
    </row>
    <row r="293" spans="1:12" hidden="1">
      <c r="A293" t="s">
        <v>39</v>
      </c>
      <c r="B293" t="s">
        <v>47</v>
      </c>
      <c r="C293" t="s">
        <v>14</v>
      </c>
      <c r="E293" t="s">
        <v>9</v>
      </c>
      <c r="F293" s="1" t="s">
        <v>3</v>
      </c>
      <c r="G293" s="1">
        <v>45940</v>
      </c>
      <c r="H293" t="s">
        <v>41</v>
      </c>
      <c r="I293" s="2">
        <v>31637.52</v>
      </c>
      <c r="J293" t="s">
        <v>270</v>
      </c>
      <c r="K293" s="7">
        <v>45931</v>
      </c>
    </row>
    <row r="294" spans="1:12" hidden="1">
      <c r="A294" t="s">
        <v>39</v>
      </c>
      <c r="B294" t="s">
        <v>47</v>
      </c>
      <c r="C294" t="s">
        <v>14</v>
      </c>
      <c r="E294" t="s">
        <v>9</v>
      </c>
      <c r="F294" s="1" t="s">
        <v>3</v>
      </c>
      <c r="G294" s="1">
        <v>45974</v>
      </c>
      <c r="H294" t="s">
        <v>41</v>
      </c>
      <c r="I294" s="2">
        <v>31566.82</v>
      </c>
      <c r="J294" t="s">
        <v>121</v>
      </c>
      <c r="K294" s="7">
        <v>45962</v>
      </c>
    </row>
    <row r="295" spans="1:12" hidden="1">
      <c r="A295" t="s">
        <v>39</v>
      </c>
      <c r="B295" t="s">
        <v>40</v>
      </c>
      <c r="C295" t="s">
        <v>14</v>
      </c>
      <c r="D295">
        <v>10026586</v>
      </c>
      <c r="E295" t="s">
        <v>9</v>
      </c>
      <c r="F295" s="1" t="s">
        <v>4</v>
      </c>
      <c r="G295" s="1">
        <v>45792</v>
      </c>
      <c r="H295" t="s">
        <v>41</v>
      </c>
      <c r="I295" s="2">
        <v>5927.33</v>
      </c>
      <c r="J295" t="s">
        <v>271</v>
      </c>
      <c r="K295" s="7">
        <v>45778</v>
      </c>
    </row>
    <row r="296" spans="1:12" hidden="1">
      <c r="A296" t="s">
        <v>114</v>
      </c>
      <c r="B296" t="s">
        <v>63</v>
      </c>
      <c r="C296" t="s">
        <v>13</v>
      </c>
      <c r="E296" t="s">
        <v>9</v>
      </c>
      <c r="F296" s="1" t="s">
        <v>3</v>
      </c>
      <c r="G296" s="1">
        <v>46034</v>
      </c>
      <c r="H296" t="s">
        <v>41</v>
      </c>
      <c r="I296" s="2">
        <v>31156.74</v>
      </c>
      <c r="J296" t="s">
        <v>272</v>
      </c>
      <c r="K296" s="7">
        <v>46023</v>
      </c>
    </row>
    <row r="297" spans="1:12" hidden="1">
      <c r="A297" t="s">
        <v>39</v>
      </c>
      <c r="B297" t="s">
        <v>40</v>
      </c>
      <c r="C297" t="s">
        <v>14</v>
      </c>
      <c r="E297" t="s">
        <v>9</v>
      </c>
      <c r="F297" s="1" t="s">
        <v>4</v>
      </c>
      <c r="G297" s="1">
        <v>45792</v>
      </c>
      <c r="H297" t="s">
        <v>41</v>
      </c>
      <c r="I297" s="2">
        <v>4627.7</v>
      </c>
      <c r="J297" t="s">
        <v>273</v>
      </c>
      <c r="K297" s="7">
        <v>45778</v>
      </c>
    </row>
    <row r="298" spans="1:12" hidden="1">
      <c r="A298" t="s">
        <v>39</v>
      </c>
      <c r="B298" t="s">
        <v>40</v>
      </c>
      <c r="C298" t="s">
        <v>14</v>
      </c>
      <c r="D298">
        <v>10026587</v>
      </c>
      <c r="E298" t="s">
        <v>9</v>
      </c>
      <c r="F298" s="1" t="s">
        <v>4</v>
      </c>
      <c r="G298" s="1">
        <v>45792</v>
      </c>
      <c r="H298" t="s">
        <v>41</v>
      </c>
      <c r="I298" s="2">
        <v>3000</v>
      </c>
      <c r="J298" t="s">
        <v>271</v>
      </c>
      <c r="K298" s="7">
        <v>45778</v>
      </c>
    </row>
    <row r="299" spans="1:12" hidden="1">
      <c r="A299" t="s">
        <v>39</v>
      </c>
      <c r="B299" t="s">
        <v>63</v>
      </c>
      <c r="C299" t="s">
        <v>13</v>
      </c>
      <c r="E299" t="s">
        <v>9</v>
      </c>
      <c r="F299" s="1" t="s">
        <v>3</v>
      </c>
      <c r="G299" s="1">
        <v>46038</v>
      </c>
      <c r="H299" t="s">
        <v>41</v>
      </c>
      <c r="I299" s="2">
        <v>30834.19</v>
      </c>
      <c r="J299" t="s">
        <v>274</v>
      </c>
      <c r="K299" s="7">
        <v>46023</v>
      </c>
    </row>
    <row r="300" spans="1:12" hidden="1">
      <c r="A300" t="s">
        <v>39</v>
      </c>
      <c r="B300" t="s">
        <v>40</v>
      </c>
      <c r="C300" t="s">
        <v>14</v>
      </c>
      <c r="E300" t="s">
        <v>9</v>
      </c>
      <c r="F300" s="1" t="s">
        <v>4</v>
      </c>
      <c r="G300" s="1">
        <v>45792</v>
      </c>
      <c r="H300" t="s">
        <v>64</v>
      </c>
      <c r="I300" s="2">
        <f>1000000/508</f>
        <v>1968.5039370078741</v>
      </c>
      <c r="J300" t="s">
        <v>275</v>
      </c>
      <c r="K300" s="7">
        <v>45778</v>
      </c>
    </row>
    <row r="301" spans="1:12" hidden="1">
      <c r="A301" t="s">
        <v>39</v>
      </c>
      <c r="B301" t="s">
        <v>45</v>
      </c>
      <c r="C301" t="s">
        <v>14</v>
      </c>
      <c r="D301">
        <v>10026612</v>
      </c>
      <c r="E301" t="s">
        <v>9</v>
      </c>
      <c r="F301" s="1" t="s">
        <v>4</v>
      </c>
      <c r="G301" s="1">
        <v>45793</v>
      </c>
      <c r="H301" t="s">
        <v>41</v>
      </c>
      <c r="I301" s="2">
        <v>96505.57</v>
      </c>
      <c r="J301" t="s">
        <v>122</v>
      </c>
      <c r="K301" s="7">
        <v>45778</v>
      </c>
    </row>
    <row r="302" spans="1:12" hidden="1">
      <c r="A302" t="s">
        <v>39</v>
      </c>
      <c r="B302" t="s">
        <v>63</v>
      </c>
      <c r="C302" t="s">
        <v>13</v>
      </c>
      <c r="D302">
        <v>10026604</v>
      </c>
      <c r="E302" t="s">
        <v>9</v>
      </c>
      <c r="F302" s="1" t="s">
        <v>4</v>
      </c>
      <c r="G302" s="1">
        <v>45793</v>
      </c>
      <c r="H302" t="s">
        <v>41</v>
      </c>
      <c r="I302" s="2">
        <v>93750</v>
      </c>
      <c r="J302" t="s">
        <v>276</v>
      </c>
      <c r="K302" s="7">
        <v>45778</v>
      </c>
    </row>
    <row r="303" spans="1:12" hidden="1">
      <c r="A303" t="s">
        <v>114</v>
      </c>
      <c r="B303" t="s">
        <v>63</v>
      </c>
      <c r="C303" t="s">
        <v>12</v>
      </c>
      <c r="E303" t="s">
        <v>8</v>
      </c>
      <c r="F303" s="1" t="s">
        <v>5</v>
      </c>
      <c r="G303" s="1">
        <v>45800</v>
      </c>
      <c r="H303" t="s">
        <v>41</v>
      </c>
      <c r="I303" s="2">
        <v>3878</v>
      </c>
      <c r="J303" t="s">
        <v>277</v>
      </c>
      <c r="K303" s="7">
        <v>45778</v>
      </c>
      <c r="L303" t="s">
        <v>84</v>
      </c>
    </row>
    <row r="304" spans="1:12" hidden="1">
      <c r="A304" t="s">
        <v>39</v>
      </c>
      <c r="B304" t="s">
        <v>63</v>
      </c>
      <c r="C304" t="s">
        <v>12</v>
      </c>
      <c r="E304" t="s">
        <v>8</v>
      </c>
      <c r="F304" s="1" t="s">
        <v>5</v>
      </c>
      <c r="G304" s="1">
        <v>45800</v>
      </c>
      <c r="H304" t="s">
        <v>41</v>
      </c>
      <c r="I304" s="2">
        <v>3712</v>
      </c>
      <c r="J304" t="s">
        <v>278</v>
      </c>
      <c r="K304" s="7">
        <v>45778</v>
      </c>
      <c r="L304" t="s">
        <v>84</v>
      </c>
    </row>
    <row r="305" spans="1:12" hidden="1">
      <c r="A305" t="s">
        <v>39</v>
      </c>
      <c r="B305" t="s">
        <v>45</v>
      </c>
      <c r="C305" t="s">
        <v>13</v>
      </c>
      <c r="E305" t="s">
        <v>9</v>
      </c>
      <c r="F305" s="1" t="s">
        <v>5</v>
      </c>
      <c r="G305" s="1">
        <v>45862</v>
      </c>
      <c r="H305" t="s">
        <v>41</v>
      </c>
      <c r="I305" s="2">
        <v>30303.93</v>
      </c>
      <c r="J305" t="s">
        <v>279</v>
      </c>
      <c r="K305" s="7">
        <v>45839</v>
      </c>
    </row>
    <row r="306" spans="1:12" hidden="1">
      <c r="A306" t="s">
        <v>39</v>
      </c>
      <c r="B306" t="s">
        <v>40</v>
      </c>
      <c r="C306" t="s">
        <v>14</v>
      </c>
      <c r="E306" t="s">
        <v>9</v>
      </c>
      <c r="F306" s="1" t="s">
        <v>6</v>
      </c>
      <c r="G306" s="1">
        <v>45866</v>
      </c>
      <c r="H306" t="s">
        <v>41</v>
      </c>
      <c r="I306" s="2">
        <v>30282.639999999999</v>
      </c>
      <c r="J306" t="s">
        <v>280</v>
      </c>
      <c r="K306" s="7">
        <v>45839</v>
      </c>
    </row>
    <row r="307" spans="1:12" hidden="1">
      <c r="A307" t="s">
        <v>39</v>
      </c>
      <c r="B307" t="s">
        <v>45</v>
      </c>
      <c r="C307" t="s">
        <v>14</v>
      </c>
      <c r="D307">
        <v>10026590</v>
      </c>
      <c r="E307" t="s">
        <v>9</v>
      </c>
      <c r="F307" s="1" t="s">
        <v>4</v>
      </c>
      <c r="G307" s="1">
        <v>45793</v>
      </c>
      <c r="H307" t="s">
        <v>41</v>
      </c>
      <c r="I307" s="2">
        <v>49310.35</v>
      </c>
      <c r="J307" t="s">
        <v>152</v>
      </c>
      <c r="K307" s="7">
        <v>45778</v>
      </c>
    </row>
    <row r="308" spans="1:12" hidden="1">
      <c r="A308" t="s">
        <v>39</v>
      </c>
      <c r="B308" t="s">
        <v>40</v>
      </c>
      <c r="C308" t="s">
        <v>12</v>
      </c>
      <c r="E308" t="s">
        <v>8</v>
      </c>
      <c r="F308" s="1" t="s">
        <v>5</v>
      </c>
      <c r="G308" s="1">
        <v>45802</v>
      </c>
      <c r="H308" t="s">
        <v>41</v>
      </c>
      <c r="I308" s="2">
        <v>18000</v>
      </c>
      <c r="J308" t="s">
        <v>98</v>
      </c>
      <c r="K308" s="7">
        <v>45778</v>
      </c>
      <c r="L308" t="s">
        <v>84</v>
      </c>
    </row>
    <row r="309" spans="1:12" hidden="1">
      <c r="A309" t="s">
        <v>39</v>
      </c>
      <c r="B309" t="s">
        <v>40</v>
      </c>
      <c r="C309" t="s">
        <v>14</v>
      </c>
      <c r="E309" t="s">
        <v>8</v>
      </c>
      <c r="F309" s="1" t="s">
        <v>5</v>
      </c>
      <c r="G309" s="1">
        <v>45802</v>
      </c>
      <c r="H309" t="s">
        <v>41</v>
      </c>
      <c r="I309" s="2">
        <v>72000</v>
      </c>
      <c r="J309" t="s">
        <v>98</v>
      </c>
      <c r="K309" s="7">
        <v>45778</v>
      </c>
      <c r="L309" t="s">
        <v>43</v>
      </c>
    </row>
    <row r="310" spans="1:12" hidden="1">
      <c r="A310" t="s">
        <v>39</v>
      </c>
      <c r="B310" t="s">
        <v>40</v>
      </c>
      <c r="C310" t="s">
        <v>14</v>
      </c>
      <c r="E310" t="s">
        <v>8</v>
      </c>
      <c r="F310" s="1" t="s">
        <v>5</v>
      </c>
      <c r="G310" s="1">
        <v>45802</v>
      </c>
      <c r="H310" t="s">
        <v>41</v>
      </c>
      <c r="I310" s="2">
        <v>7000</v>
      </c>
      <c r="J310" t="s">
        <v>281</v>
      </c>
      <c r="K310" s="7">
        <v>45778</v>
      </c>
      <c r="L310" t="s">
        <v>84</v>
      </c>
    </row>
    <row r="311" spans="1:12" hidden="1">
      <c r="A311" t="s">
        <v>56</v>
      </c>
      <c r="B311" t="s">
        <v>40</v>
      </c>
      <c r="C311" t="s">
        <v>12</v>
      </c>
      <c r="E311" t="s">
        <v>8</v>
      </c>
      <c r="F311" s="1" t="s">
        <v>5</v>
      </c>
      <c r="G311" s="1">
        <v>45802</v>
      </c>
      <c r="H311" t="s">
        <v>41</v>
      </c>
      <c r="I311" s="2">
        <v>4000</v>
      </c>
      <c r="J311" t="s">
        <v>98</v>
      </c>
      <c r="K311" s="7">
        <v>45778</v>
      </c>
      <c r="L311" t="s">
        <v>43</v>
      </c>
    </row>
    <row r="312" spans="1:12" hidden="1">
      <c r="A312" t="s">
        <v>56</v>
      </c>
      <c r="B312" t="s">
        <v>40</v>
      </c>
      <c r="C312" t="s">
        <v>14</v>
      </c>
      <c r="E312" t="s">
        <v>8</v>
      </c>
      <c r="F312" s="1" t="s">
        <v>5</v>
      </c>
      <c r="G312" s="1">
        <v>45802</v>
      </c>
      <c r="H312" t="s">
        <v>41</v>
      </c>
      <c r="I312" s="2">
        <v>20000</v>
      </c>
      <c r="J312" t="s">
        <v>98</v>
      </c>
      <c r="K312" s="7">
        <v>45778</v>
      </c>
      <c r="L312" t="s">
        <v>43</v>
      </c>
    </row>
    <row r="313" spans="1:12" hidden="1">
      <c r="A313" t="s">
        <v>39</v>
      </c>
      <c r="B313" t="s">
        <v>45</v>
      </c>
      <c r="C313" t="s">
        <v>14</v>
      </c>
      <c r="D313">
        <v>10026614</v>
      </c>
      <c r="E313" t="s">
        <v>9</v>
      </c>
      <c r="F313" s="1" t="s">
        <v>4</v>
      </c>
      <c r="G313" s="1">
        <v>45793</v>
      </c>
      <c r="H313" t="s">
        <v>41</v>
      </c>
      <c r="I313" s="2">
        <v>43894.28</v>
      </c>
      <c r="J313" t="s">
        <v>282</v>
      </c>
      <c r="K313" s="7">
        <v>45778</v>
      </c>
    </row>
    <row r="314" spans="1:12" hidden="1">
      <c r="A314" t="s">
        <v>39</v>
      </c>
      <c r="B314" t="s">
        <v>40</v>
      </c>
      <c r="C314" t="s">
        <v>14</v>
      </c>
      <c r="E314" t="s">
        <v>9</v>
      </c>
      <c r="F314" s="1" t="s">
        <v>5</v>
      </c>
      <c r="G314" s="1">
        <v>45925</v>
      </c>
      <c r="H314" t="s">
        <v>41</v>
      </c>
      <c r="I314" s="2">
        <v>30000</v>
      </c>
      <c r="J314" s="47" t="s">
        <v>283</v>
      </c>
      <c r="K314" s="7">
        <v>45901</v>
      </c>
    </row>
    <row r="315" spans="1:12" hidden="1">
      <c r="A315" t="s">
        <v>39</v>
      </c>
      <c r="B315" t="s">
        <v>40</v>
      </c>
      <c r="C315" t="s">
        <v>14</v>
      </c>
      <c r="D315">
        <v>10028426</v>
      </c>
      <c r="E315" t="s">
        <v>9</v>
      </c>
      <c r="F315" s="1" t="s">
        <v>2</v>
      </c>
      <c r="G315" s="1">
        <v>46055</v>
      </c>
      <c r="H315" t="s">
        <v>41</v>
      </c>
      <c r="I315" s="2">
        <v>216</v>
      </c>
      <c r="J315" t="s">
        <v>284</v>
      </c>
      <c r="K315" s="7">
        <v>46054</v>
      </c>
    </row>
    <row r="316" spans="1:12" hidden="1">
      <c r="A316" t="s">
        <v>39</v>
      </c>
      <c r="B316" t="s">
        <v>63</v>
      </c>
      <c r="C316" t="s">
        <v>14</v>
      </c>
      <c r="E316" t="s">
        <v>9</v>
      </c>
      <c r="F316" s="1" t="s">
        <v>5</v>
      </c>
      <c r="G316" s="1">
        <v>45926</v>
      </c>
      <c r="H316" t="s">
        <v>41</v>
      </c>
      <c r="I316" s="2">
        <v>29668.04</v>
      </c>
      <c r="J316" t="s">
        <v>285</v>
      </c>
      <c r="K316" s="7">
        <v>45901</v>
      </c>
    </row>
    <row r="317" spans="1:12" hidden="1">
      <c r="A317" t="s">
        <v>99</v>
      </c>
      <c r="B317" t="s">
        <v>63</v>
      </c>
      <c r="C317" t="s">
        <v>14</v>
      </c>
      <c r="E317" t="s">
        <v>8</v>
      </c>
      <c r="F317" s="1" t="s">
        <v>5</v>
      </c>
      <c r="G317" s="1">
        <v>45802</v>
      </c>
      <c r="H317" t="s">
        <v>41</v>
      </c>
      <c r="I317" s="2">
        <v>20000</v>
      </c>
      <c r="J317" t="s">
        <v>236</v>
      </c>
      <c r="K317" s="7">
        <v>45778</v>
      </c>
      <c r="L317" t="s">
        <v>43</v>
      </c>
    </row>
    <row r="318" spans="1:12" hidden="1">
      <c r="A318" t="s">
        <v>39</v>
      </c>
      <c r="B318" t="s">
        <v>40</v>
      </c>
      <c r="C318" t="s">
        <v>13</v>
      </c>
      <c r="E318" t="s">
        <v>9</v>
      </c>
      <c r="F318" s="1" t="s">
        <v>2</v>
      </c>
      <c r="G318" s="1">
        <v>45877</v>
      </c>
      <c r="H318" t="s">
        <v>41</v>
      </c>
      <c r="I318" s="2">
        <v>29449</v>
      </c>
      <c r="J318" t="s">
        <v>286</v>
      </c>
      <c r="K318" s="7">
        <v>45870</v>
      </c>
    </row>
    <row r="319" spans="1:12" hidden="1">
      <c r="A319" t="s">
        <v>39</v>
      </c>
      <c r="B319" t="s">
        <v>63</v>
      </c>
      <c r="C319" t="s">
        <v>13</v>
      </c>
      <c r="D319">
        <v>10026603</v>
      </c>
      <c r="E319" t="s">
        <v>9</v>
      </c>
      <c r="F319" s="1" t="s">
        <v>4</v>
      </c>
      <c r="G319" s="1">
        <v>45793</v>
      </c>
      <c r="H319" t="s">
        <v>41</v>
      </c>
      <c r="I319" s="2">
        <v>40680.65</v>
      </c>
      <c r="J319" t="s">
        <v>287</v>
      </c>
      <c r="K319" s="7">
        <v>45778</v>
      </c>
    </row>
    <row r="320" spans="1:12" hidden="1">
      <c r="A320" t="s">
        <v>39</v>
      </c>
      <c r="B320" t="s">
        <v>63</v>
      </c>
      <c r="C320" t="s">
        <v>124</v>
      </c>
      <c r="E320" t="s">
        <v>9</v>
      </c>
      <c r="F320" s="1" t="s">
        <v>3</v>
      </c>
      <c r="G320" s="1">
        <v>45849</v>
      </c>
      <c r="H320" t="s">
        <v>41</v>
      </c>
      <c r="I320" s="2">
        <v>29175.360000000001</v>
      </c>
      <c r="J320" t="s">
        <v>288</v>
      </c>
      <c r="K320" s="7">
        <v>45839</v>
      </c>
    </row>
    <row r="321" spans="1:11" hidden="1">
      <c r="A321" t="s">
        <v>114</v>
      </c>
      <c r="B321" t="s">
        <v>63</v>
      </c>
      <c r="C321" t="s">
        <v>14</v>
      </c>
      <c r="D321">
        <v>15146</v>
      </c>
      <c r="E321" t="s">
        <v>9</v>
      </c>
      <c r="F321" s="1" t="s">
        <v>4</v>
      </c>
      <c r="G321" s="1">
        <v>45793</v>
      </c>
      <c r="H321" t="s">
        <v>41</v>
      </c>
      <c r="I321" s="2">
        <v>36580.080000000002</v>
      </c>
      <c r="J321" t="s">
        <v>133</v>
      </c>
      <c r="K321" s="7">
        <v>45778</v>
      </c>
    </row>
    <row r="322" spans="1:11" hidden="1">
      <c r="A322" t="s">
        <v>39</v>
      </c>
      <c r="B322" t="s">
        <v>40</v>
      </c>
      <c r="C322" t="s">
        <v>14</v>
      </c>
      <c r="D322">
        <v>10028425</v>
      </c>
      <c r="E322" t="s">
        <v>9</v>
      </c>
      <c r="F322" s="1" t="s">
        <v>2</v>
      </c>
      <c r="G322" s="1">
        <v>46055</v>
      </c>
      <c r="H322" t="s">
        <v>64</v>
      </c>
      <c r="I322" s="2">
        <f>79595/496</f>
        <v>160.47379032258064</v>
      </c>
      <c r="J322" t="s">
        <v>289</v>
      </c>
      <c r="K322" s="7">
        <v>46054</v>
      </c>
    </row>
    <row r="323" spans="1:11" hidden="1">
      <c r="A323" t="s">
        <v>114</v>
      </c>
      <c r="B323" t="s">
        <v>63</v>
      </c>
      <c r="C323" t="s">
        <v>14</v>
      </c>
      <c r="E323" t="s">
        <v>9</v>
      </c>
      <c r="F323" s="1" t="s">
        <v>3</v>
      </c>
      <c r="G323" s="1">
        <v>45882</v>
      </c>
      <c r="H323" t="s">
        <v>41</v>
      </c>
      <c r="I323" s="2">
        <v>28831.62</v>
      </c>
      <c r="J323" t="s">
        <v>290</v>
      </c>
      <c r="K323" s="7">
        <v>45870</v>
      </c>
    </row>
    <row r="324" spans="1:11" hidden="1">
      <c r="A324" t="s">
        <v>39</v>
      </c>
      <c r="B324" t="s">
        <v>45</v>
      </c>
      <c r="C324" t="s">
        <v>14</v>
      </c>
      <c r="D324">
        <v>10026680</v>
      </c>
      <c r="E324" t="s">
        <v>9</v>
      </c>
      <c r="F324" s="1" t="s">
        <v>6</v>
      </c>
      <c r="G324" s="1">
        <v>45805</v>
      </c>
      <c r="H324" t="s">
        <v>41</v>
      </c>
      <c r="I324" s="2">
        <v>28560.240000000002</v>
      </c>
      <c r="J324" t="s">
        <v>213</v>
      </c>
      <c r="K324" s="7">
        <v>45778</v>
      </c>
    </row>
    <row r="325" spans="1:11" hidden="1">
      <c r="A325" t="s">
        <v>39</v>
      </c>
      <c r="B325" t="s">
        <v>45</v>
      </c>
      <c r="C325" t="s">
        <v>14</v>
      </c>
      <c r="E325" t="s">
        <v>9</v>
      </c>
      <c r="F325" s="1" t="s">
        <v>3</v>
      </c>
      <c r="G325" s="1">
        <v>46001</v>
      </c>
      <c r="H325" t="s">
        <v>41</v>
      </c>
      <c r="I325" s="2">
        <v>28533.97</v>
      </c>
      <c r="J325" t="s">
        <v>291</v>
      </c>
      <c r="K325" s="7">
        <v>45992</v>
      </c>
    </row>
    <row r="326" spans="1:11" hidden="1">
      <c r="A326" t="s">
        <v>114</v>
      </c>
      <c r="B326" t="s">
        <v>63</v>
      </c>
      <c r="C326" t="s">
        <v>14</v>
      </c>
      <c r="D326">
        <v>15146</v>
      </c>
      <c r="E326" t="s">
        <v>9</v>
      </c>
      <c r="F326" s="1" t="s">
        <v>4</v>
      </c>
      <c r="G326" s="1">
        <v>45793</v>
      </c>
      <c r="H326" t="s">
        <v>41</v>
      </c>
      <c r="I326" s="2">
        <v>30510</v>
      </c>
      <c r="J326" t="s">
        <v>133</v>
      </c>
      <c r="K326" s="7">
        <v>45778</v>
      </c>
    </row>
    <row r="327" spans="1:11" hidden="1">
      <c r="A327" t="s">
        <v>39</v>
      </c>
      <c r="B327" t="s">
        <v>45</v>
      </c>
      <c r="C327" t="s">
        <v>14</v>
      </c>
      <c r="D327">
        <v>10026725</v>
      </c>
      <c r="E327" t="s">
        <v>9</v>
      </c>
      <c r="F327" s="1" t="s">
        <v>6</v>
      </c>
      <c r="G327" s="1">
        <v>45807</v>
      </c>
      <c r="H327" t="s">
        <v>41</v>
      </c>
      <c r="I327" s="2">
        <v>27804.560000000001</v>
      </c>
      <c r="J327" t="s">
        <v>88</v>
      </c>
      <c r="K327" s="7">
        <v>45778</v>
      </c>
    </row>
    <row r="328" spans="1:11" hidden="1">
      <c r="A328" t="s">
        <v>39</v>
      </c>
      <c r="B328" t="s">
        <v>47</v>
      </c>
      <c r="C328" t="s">
        <v>14</v>
      </c>
      <c r="E328" t="s">
        <v>9</v>
      </c>
      <c r="F328" s="1" t="s">
        <v>5</v>
      </c>
      <c r="G328" s="1">
        <v>45954</v>
      </c>
      <c r="H328" t="s">
        <v>41</v>
      </c>
      <c r="I328" s="2">
        <v>27794.04</v>
      </c>
      <c r="J328" t="s">
        <v>54</v>
      </c>
      <c r="K328" s="7">
        <v>45931</v>
      </c>
    </row>
    <row r="329" spans="1:11" hidden="1">
      <c r="A329" t="s">
        <v>39</v>
      </c>
      <c r="B329" t="s">
        <v>63</v>
      </c>
      <c r="C329" t="s">
        <v>13</v>
      </c>
      <c r="E329" t="s">
        <v>9</v>
      </c>
      <c r="F329" s="1" t="s">
        <v>2</v>
      </c>
      <c r="G329" s="1">
        <v>45968</v>
      </c>
      <c r="H329" t="s">
        <v>41</v>
      </c>
      <c r="I329" s="2">
        <v>27711.08</v>
      </c>
      <c r="J329" t="s">
        <v>292</v>
      </c>
      <c r="K329" s="7">
        <v>45962</v>
      </c>
    </row>
    <row r="330" spans="1:11" hidden="1">
      <c r="A330" t="s">
        <v>56</v>
      </c>
      <c r="B330" t="s">
        <v>40</v>
      </c>
      <c r="C330" t="s">
        <v>12</v>
      </c>
      <c r="E330" t="s">
        <v>9</v>
      </c>
      <c r="F330" s="1" t="s">
        <v>6</v>
      </c>
      <c r="G330" s="1">
        <v>45959</v>
      </c>
      <c r="H330" t="s">
        <v>41</v>
      </c>
      <c r="I330" s="2">
        <v>27636</v>
      </c>
      <c r="J330" t="s">
        <v>293</v>
      </c>
      <c r="K330" s="7">
        <v>45931</v>
      </c>
    </row>
    <row r="331" spans="1:11" hidden="1">
      <c r="A331" t="s">
        <v>39</v>
      </c>
      <c r="B331" t="s">
        <v>63</v>
      </c>
      <c r="C331" t="s">
        <v>124</v>
      </c>
      <c r="D331">
        <v>10026745</v>
      </c>
      <c r="E331" t="s">
        <v>9</v>
      </c>
      <c r="F331" s="1" t="s">
        <v>2</v>
      </c>
      <c r="G331" s="1">
        <v>45810</v>
      </c>
      <c r="H331" t="s">
        <v>64</v>
      </c>
      <c r="I331" s="2">
        <f>13860459.86/508</f>
        <v>27284.369803149606</v>
      </c>
      <c r="J331" t="s">
        <v>294</v>
      </c>
      <c r="K331" s="7">
        <v>45809</v>
      </c>
    </row>
    <row r="332" spans="1:11" hidden="1">
      <c r="A332" t="s">
        <v>39</v>
      </c>
      <c r="B332" t="s">
        <v>47</v>
      </c>
      <c r="C332" t="s">
        <v>14</v>
      </c>
      <c r="E332" t="s">
        <v>9</v>
      </c>
      <c r="F332" s="1" t="s">
        <v>5</v>
      </c>
      <c r="G332" s="1">
        <v>45985</v>
      </c>
      <c r="H332" t="s">
        <v>64</v>
      </c>
      <c r="I332" s="2">
        <f>13711158.51/510</f>
        <v>26884.624529411765</v>
      </c>
      <c r="J332" t="s">
        <v>295</v>
      </c>
      <c r="K332" s="7">
        <v>45962</v>
      </c>
    </row>
    <row r="333" spans="1:11" hidden="1">
      <c r="A333" t="s">
        <v>114</v>
      </c>
      <c r="B333" t="s">
        <v>63</v>
      </c>
      <c r="C333" t="s">
        <v>12</v>
      </c>
      <c r="E333" t="s">
        <v>9</v>
      </c>
      <c r="F333" s="1" t="s">
        <v>3</v>
      </c>
      <c r="G333" s="1">
        <v>46037</v>
      </c>
      <c r="H333" t="s">
        <v>41</v>
      </c>
      <c r="I333" s="2">
        <v>26694</v>
      </c>
      <c r="J333" t="s">
        <v>296</v>
      </c>
      <c r="K333" s="7">
        <v>46023</v>
      </c>
    </row>
    <row r="334" spans="1:11" hidden="1">
      <c r="A334" t="s">
        <v>39</v>
      </c>
      <c r="B334" t="s">
        <v>63</v>
      </c>
      <c r="C334" t="s">
        <v>13</v>
      </c>
      <c r="E334" t="s">
        <v>9</v>
      </c>
      <c r="F334" s="1" t="s">
        <v>5</v>
      </c>
      <c r="G334" s="1">
        <v>45988</v>
      </c>
      <c r="H334" t="s">
        <v>41</v>
      </c>
      <c r="I334" s="2">
        <v>26529.68</v>
      </c>
      <c r="J334" s="47" t="s">
        <v>297</v>
      </c>
      <c r="K334" s="7">
        <v>45962</v>
      </c>
    </row>
    <row r="335" spans="1:11" hidden="1">
      <c r="A335" t="s">
        <v>39</v>
      </c>
      <c r="B335" t="s">
        <v>40</v>
      </c>
      <c r="C335" t="s">
        <v>14</v>
      </c>
      <c r="E335" t="s">
        <v>9</v>
      </c>
      <c r="F335" s="1" t="s">
        <v>5</v>
      </c>
      <c r="G335" s="1">
        <v>46052</v>
      </c>
      <c r="H335" t="s">
        <v>41</v>
      </c>
      <c r="I335" s="2">
        <v>26504.1</v>
      </c>
      <c r="J335" t="s">
        <v>298</v>
      </c>
      <c r="K335" s="7">
        <v>46023</v>
      </c>
    </row>
    <row r="336" spans="1:11" hidden="1">
      <c r="A336" t="s">
        <v>39</v>
      </c>
      <c r="B336" t="s">
        <v>45</v>
      </c>
      <c r="C336" t="s">
        <v>14</v>
      </c>
      <c r="E336" t="s">
        <v>9</v>
      </c>
      <c r="F336" s="1" t="s">
        <v>5</v>
      </c>
      <c r="G336" s="1">
        <v>45861</v>
      </c>
      <c r="H336" t="s">
        <v>41</v>
      </c>
      <c r="I336" s="2">
        <v>26500</v>
      </c>
      <c r="J336" t="s">
        <v>299</v>
      </c>
      <c r="K336" s="7">
        <v>45839</v>
      </c>
    </row>
    <row r="337" spans="1:12" hidden="1">
      <c r="A337" t="s">
        <v>39</v>
      </c>
      <c r="B337" t="s">
        <v>45</v>
      </c>
      <c r="C337" t="s">
        <v>14</v>
      </c>
      <c r="E337" t="s">
        <v>9</v>
      </c>
      <c r="F337" s="1" t="s">
        <v>2</v>
      </c>
      <c r="G337" s="1">
        <v>45870</v>
      </c>
      <c r="H337" t="s">
        <v>41</v>
      </c>
      <c r="I337" s="2">
        <v>26500</v>
      </c>
      <c r="J337" t="s">
        <v>299</v>
      </c>
      <c r="K337" s="7">
        <v>45870</v>
      </c>
    </row>
    <row r="338" spans="1:12" hidden="1">
      <c r="A338" t="s">
        <v>39</v>
      </c>
      <c r="B338" t="s">
        <v>45</v>
      </c>
      <c r="C338" t="s">
        <v>13</v>
      </c>
      <c r="D338">
        <v>10026596</v>
      </c>
      <c r="E338" t="s">
        <v>9</v>
      </c>
      <c r="F338" s="1" t="s">
        <v>4</v>
      </c>
      <c r="G338" s="1">
        <v>45793</v>
      </c>
      <c r="H338" t="s">
        <v>41</v>
      </c>
      <c r="I338" s="2">
        <v>19428.02</v>
      </c>
      <c r="J338" t="s">
        <v>300</v>
      </c>
      <c r="K338" s="7">
        <v>45778</v>
      </c>
    </row>
    <row r="339" spans="1:12" hidden="1">
      <c r="A339" t="s">
        <v>99</v>
      </c>
      <c r="B339" t="s">
        <v>63</v>
      </c>
      <c r="C339" t="s">
        <v>14</v>
      </c>
      <c r="E339" t="s">
        <v>9</v>
      </c>
      <c r="F339" s="1" t="s">
        <v>4</v>
      </c>
      <c r="G339" s="1">
        <v>45793</v>
      </c>
      <c r="H339" t="s">
        <v>41</v>
      </c>
      <c r="I339" s="2">
        <v>7301.09</v>
      </c>
      <c r="J339" t="s">
        <v>301</v>
      </c>
      <c r="K339" s="7">
        <v>45778</v>
      </c>
    </row>
    <row r="340" spans="1:12" hidden="1">
      <c r="A340" t="s">
        <v>39</v>
      </c>
      <c r="B340" t="s">
        <v>63</v>
      </c>
      <c r="C340" t="s">
        <v>13</v>
      </c>
      <c r="E340" t="s">
        <v>9</v>
      </c>
      <c r="F340" s="1" t="s">
        <v>2</v>
      </c>
      <c r="G340" s="1">
        <v>45841</v>
      </c>
      <c r="H340" t="s">
        <v>41</v>
      </c>
      <c r="I340" s="2">
        <v>26415</v>
      </c>
      <c r="J340" t="s">
        <v>302</v>
      </c>
      <c r="K340" s="7">
        <v>45839</v>
      </c>
    </row>
    <row r="341" spans="1:12" hidden="1">
      <c r="A341" t="s">
        <v>114</v>
      </c>
      <c r="B341" t="s">
        <v>63</v>
      </c>
      <c r="C341" t="s">
        <v>12</v>
      </c>
      <c r="E341" t="s">
        <v>9</v>
      </c>
      <c r="F341" s="1" t="s">
        <v>2</v>
      </c>
      <c r="G341" s="1">
        <v>45907</v>
      </c>
      <c r="H341" t="s">
        <v>41</v>
      </c>
      <c r="I341" s="2">
        <v>26413.759999999998</v>
      </c>
      <c r="J341" t="s">
        <v>156</v>
      </c>
      <c r="K341" s="7">
        <v>45901</v>
      </c>
    </row>
    <row r="342" spans="1:12" hidden="1">
      <c r="A342" t="s">
        <v>39</v>
      </c>
      <c r="B342" t="s">
        <v>40</v>
      </c>
      <c r="C342" t="s">
        <v>14</v>
      </c>
      <c r="D342">
        <v>10027602</v>
      </c>
      <c r="E342" t="s">
        <v>9</v>
      </c>
      <c r="F342" s="1" t="s">
        <v>5</v>
      </c>
      <c r="G342" s="1">
        <v>45922</v>
      </c>
      <c r="H342" t="s">
        <v>41</v>
      </c>
      <c r="I342" s="2">
        <v>26367.759999999998</v>
      </c>
      <c r="J342" t="s">
        <v>303</v>
      </c>
      <c r="K342" s="7">
        <v>45901</v>
      </c>
    </row>
    <row r="343" spans="1:12" hidden="1">
      <c r="A343" t="s">
        <v>39</v>
      </c>
      <c r="B343" t="s">
        <v>45</v>
      </c>
      <c r="C343" t="s">
        <v>14</v>
      </c>
      <c r="D343">
        <v>10026573</v>
      </c>
      <c r="E343" t="s">
        <v>9</v>
      </c>
      <c r="F343" s="1" t="s">
        <v>4</v>
      </c>
      <c r="G343" s="1">
        <v>45793</v>
      </c>
      <c r="H343" t="s">
        <v>41</v>
      </c>
      <c r="I343" s="2">
        <v>6764.72</v>
      </c>
      <c r="J343" t="s">
        <v>86</v>
      </c>
      <c r="K343" s="7">
        <v>45778</v>
      </c>
    </row>
    <row r="344" spans="1:12" hidden="1">
      <c r="A344" t="s">
        <v>114</v>
      </c>
      <c r="B344" t="s">
        <v>63</v>
      </c>
      <c r="C344" t="s">
        <v>13</v>
      </c>
      <c r="D344">
        <v>15148</v>
      </c>
      <c r="E344" t="s">
        <v>9</v>
      </c>
      <c r="F344" s="1" t="s">
        <v>4</v>
      </c>
      <c r="G344" s="1">
        <v>45793</v>
      </c>
      <c r="H344" t="s">
        <v>41</v>
      </c>
      <c r="I344" s="2">
        <v>5000</v>
      </c>
      <c r="J344" t="s">
        <v>156</v>
      </c>
      <c r="K344" s="7">
        <v>45778</v>
      </c>
    </row>
    <row r="345" spans="1:12" hidden="1">
      <c r="A345" t="s">
        <v>39</v>
      </c>
      <c r="B345" t="s">
        <v>45</v>
      </c>
      <c r="C345" t="s">
        <v>14</v>
      </c>
      <c r="E345" t="s">
        <v>9</v>
      </c>
      <c r="F345" s="1" t="s">
        <v>3</v>
      </c>
      <c r="G345" s="1">
        <v>46003</v>
      </c>
      <c r="H345" t="s">
        <v>41</v>
      </c>
      <c r="I345" s="2">
        <v>25868.52</v>
      </c>
      <c r="J345" t="s">
        <v>265</v>
      </c>
      <c r="K345" s="7">
        <v>45992</v>
      </c>
    </row>
    <row r="346" spans="1:12" hidden="1">
      <c r="A346" t="s">
        <v>114</v>
      </c>
      <c r="B346" t="s">
        <v>63</v>
      </c>
      <c r="C346" t="s">
        <v>13</v>
      </c>
      <c r="E346" t="s">
        <v>8</v>
      </c>
      <c r="F346" s="1" t="s">
        <v>6</v>
      </c>
      <c r="G346" s="1">
        <v>45807</v>
      </c>
      <c r="H346" t="s">
        <v>41</v>
      </c>
      <c r="I346" s="2">
        <v>56468.3</v>
      </c>
      <c r="J346" t="s">
        <v>131</v>
      </c>
      <c r="K346" s="7">
        <v>45778</v>
      </c>
      <c r="L346" t="s">
        <v>43</v>
      </c>
    </row>
    <row r="347" spans="1:12" hidden="1">
      <c r="A347" t="s">
        <v>39</v>
      </c>
      <c r="B347" t="s">
        <v>63</v>
      </c>
      <c r="C347" t="s">
        <v>13</v>
      </c>
      <c r="E347" t="s">
        <v>8</v>
      </c>
      <c r="F347" s="1" t="s">
        <v>6</v>
      </c>
      <c r="G347" s="1">
        <v>45807</v>
      </c>
      <c r="H347" t="s">
        <v>41</v>
      </c>
      <c r="I347" s="2">
        <v>50887.5</v>
      </c>
      <c r="J347" t="s">
        <v>304</v>
      </c>
      <c r="K347" s="7">
        <v>45778</v>
      </c>
      <c r="L347" t="s">
        <v>84</v>
      </c>
    </row>
    <row r="348" spans="1:12" hidden="1">
      <c r="A348" t="s">
        <v>114</v>
      </c>
      <c r="B348" t="s">
        <v>63</v>
      </c>
      <c r="C348" t="s">
        <v>12</v>
      </c>
      <c r="E348" t="s">
        <v>8</v>
      </c>
      <c r="F348" s="1" t="s">
        <v>6</v>
      </c>
      <c r="G348" s="1">
        <v>45807</v>
      </c>
      <c r="H348" t="s">
        <v>41</v>
      </c>
      <c r="I348" s="2">
        <v>31483</v>
      </c>
      <c r="J348" t="s">
        <v>277</v>
      </c>
      <c r="K348" s="7">
        <v>45778</v>
      </c>
      <c r="L348" t="s">
        <v>84</v>
      </c>
    </row>
    <row r="349" spans="1:12" hidden="1">
      <c r="A349" t="s">
        <v>39</v>
      </c>
      <c r="B349" t="s">
        <v>63</v>
      </c>
      <c r="C349" t="s">
        <v>13</v>
      </c>
      <c r="E349" t="s">
        <v>8</v>
      </c>
      <c r="F349" s="1" t="s">
        <v>6</v>
      </c>
      <c r="G349" s="1">
        <v>45807</v>
      </c>
      <c r="H349" t="s">
        <v>41</v>
      </c>
      <c r="I349" s="2">
        <v>23610</v>
      </c>
      <c r="J349" t="s">
        <v>305</v>
      </c>
      <c r="K349" s="7">
        <v>45778</v>
      </c>
      <c r="L349" t="s">
        <v>84</v>
      </c>
    </row>
    <row r="350" spans="1:12" hidden="1">
      <c r="A350" t="s">
        <v>39</v>
      </c>
      <c r="B350" t="s">
        <v>63</v>
      </c>
      <c r="C350" t="s">
        <v>13</v>
      </c>
      <c r="E350" t="s">
        <v>8</v>
      </c>
      <c r="F350" s="1" t="s">
        <v>6</v>
      </c>
      <c r="G350" s="1">
        <v>45807</v>
      </c>
      <c r="H350" t="s">
        <v>41</v>
      </c>
      <c r="I350" s="2">
        <v>22500</v>
      </c>
      <c r="J350" t="s">
        <v>306</v>
      </c>
      <c r="K350" s="7">
        <v>45778</v>
      </c>
      <c r="L350" t="s">
        <v>84</v>
      </c>
    </row>
    <row r="351" spans="1:12" hidden="1">
      <c r="A351" t="s">
        <v>39</v>
      </c>
      <c r="B351" t="s">
        <v>63</v>
      </c>
      <c r="C351" t="s">
        <v>13</v>
      </c>
      <c r="E351" t="s">
        <v>9</v>
      </c>
      <c r="F351" s="1" t="s">
        <v>5</v>
      </c>
      <c r="G351" s="1">
        <v>45859</v>
      </c>
      <c r="H351" t="s">
        <v>41</v>
      </c>
      <c r="I351" s="2">
        <v>25867.69</v>
      </c>
      <c r="J351" t="s">
        <v>307</v>
      </c>
      <c r="K351" s="7">
        <v>45839</v>
      </c>
    </row>
    <row r="352" spans="1:12" hidden="1">
      <c r="A352" t="s">
        <v>114</v>
      </c>
      <c r="B352" t="s">
        <v>63</v>
      </c>
      <c r="C352" t="s">
        <v>12</v>
      </c>
      <c r="D352" s="6">
        <v>15205</v>
      </c>
      <c r="E352" t="s">
        <v>9</v>
      </c>
      <c r="F352" s="1" t="s">
        <v>2</v>
      </c>
      <c r="G352" s="1">
        <v>45876</v>
      </c>
      <c r="H352" t="s">
        <v>41</v>
      </c>
      <c r="I352" s="2">
        <v>25775.21</v>
      </c>
      <c r="J352" t="s">
        <v>308</v>
      </c>
      <c r="K352" s="7">
        <v>45870</v>
      </c>
    </row>
    <row r="353" spans="1:12" hidden="1">
      <c r="A353" t="s">
        <v>39</v>
      </c>
      <c r="B353" t="s">
        <v>40</v>
      </c>
      <c r="C353" t="s">
        <v>13</v>
      </c>
      <c r="E353" t="s">
        <v>8</v>
      </c>
      <c r="F353" s="1" t="s">
        <v>6</v>
      </c>
      <c r="G353" s="1">
        <v>45807</v>
      </c>
      <c r="H353" t="s">
        <v>41</v>
      </c>
      <c r="I353" s="2">
        <v>3000</v>
      </c>
      <c r="J353" t="s">
        <v>309</v>
      </c>
      <c r="K353" s="7">
        <v>45778</v>
      </c>
      <c r="L353" t="s">
        <v>84</v>
      </c>
    </row>
    <row r="354" spans="1:12" hidden="1">
      <c r="A354" t="s">
        <v>39</v>
      </c>
      <c r="B354" t="s">
        <v>40</v>
      </c>
      <c r="C354" t="s">
        <v>14</v>
      </c>
      <c r="E354" t="s">
        <v>8</v>
      </c>
      <c r="F354" s="1" t="s">
        <v>6</v>
      </c>
      <c r="G354" s="1">
        <v>45807</v>
      </c>
      <c r="H354" t="s">
        <v>41</v>
      </c>
      <c r="I354" s="2">
        <v>10319</v>
      </c>
      <c r="J354" t="s">
        <v>310</v>
      </c>
      <c r="K354" s="7">
        <v>45778</v>
      </c>
      <c r="L354" t="s">
        <v>84</v>
      </c>
    </row>
    <row r="355" spans="1:12" hidden="1">
      <c r="A355" t="s">
        <v>39</v>
      </c>
      <c r="B355" t="s">
        <v>40</v>
      </c>
      <c r="C355" t="s">
        <v>14</v>
      </c>
      <c r="E355" t="s">
        <v>8</v>
      </c>
      <c r="F355" s="1" t="s">
        <v>6</v>
      </c>
      <c r="G355" s="1">
        <v>45807</v>
      </c>
      <c r="H355" t="s">
        <v>41</v>
      </c>
      <c r="I355" s="2">
        <v>17000</v>
      </c>
      <c r="J355" t="s">
        <v>311</v>
      </c>
      <c r="K355" s="7">
        <v>45778</v>
      </c>
      <c r="L355" t="s">
        <v>84</v>
      </c>
    </row>
    <row r="356" spans="1:12" hidden="1">
      <c r="A356" t="s">
        <v>39</v>
      </c>
      <c r="B356" t="s">
        <v>40</v>
      </c>
      <c r="C356" t="s">
        <v>14</v>
      </c>
      <c r="E356" t="s">
        <v>8</v>
      </c>
      <c r="F356" s="1" t="s">
        <v>6</v>
      </c>
      <c r="G356" s="1">
        <v>45807</v>
      </c>
      <c r="H356" t="s">
        <v>41</v>
      </c>
      <c r="I356" s="2">
        <v>13380</v>
      </c>
      <c r="J356" t="s">
        <v>281</v>
      </c>
      <c r="K356" s="7">
        <v>45778</v>
      </c>
      <c r="L356" t="s">
        <v>84</v>
      </c>
    </row>
    <row r="357" spans="1:12" hidden="1">
      <c r="A357" t="s">
        <v>56</v>
      </c>
      <c r="B357" t="s">
        <v>40</v>
      </c>
      <c r="C357" t="s">
        <v>14</v>
      </c>
      <c r="E357" t="s">
        <v>8</v>
      </c>
      <c r="F357" s="1" t="s">
        <v>6</v>
      </c>
      <c r="G357" s="1">
        <v>45807</v>
      </c>
      <c r="H357" t="s">
        <v>41</v>
      </c>
      <c r="I357" s="2">
        <v>30000</v>
      </c>
      <c r="J357" t="s">
        <v>312</v>
      </c>
      <c r="K357" s="7">
        <v>45778</v>
      </c>
      <c r="L357" t="s">
        <v>84</v>
      </c>
    </row>
    <row r="358" spans="1:12" hidden="1">
      <c r="A358" t="s">
        <v>39</v>
      </c>
      <c r="B358" t="s">
        <v>45</v>
      </c>
      <c r="C358" t="s">
        <v>13</v>
      </c>
      <c r="E358" t="s">
        <v>8</v>
      </c>
      <c r="F358" s="1" t="s">
        <v>6</v>
      </c>
      <c r="G358" s="1">
        <v>45807</v>
      </c>
      <c r="H358" t="s">
        <v>41</v>
      </c>
      <c r="I358" s="2">
        <v>20944</v>
      </c>
      <c r="J358" t="s">
        <v>313</v>
      </c>
      <c r="K358" s="7">
        <v>45778</v>
      </c>
    </row>
    <row r="359" spans="1:12" hidden="1">
      <c r="A359" t="s">
        <v>39</v>
      </c>
      <c r="B359" t="s">
        <v>45</v>
      </c>
      <c r="C359" t="s">
        <v>13</v>
      </c>
      <c r="E359" t="s">
        <v>8</v>
      </c>
      <c r="F359" s="1" t="s">
        <v>6</v>
      </c>
      <c r="G359" s="1">
        <v>45807</v>
      </c>
      <c r="H359" t="s">
        <v>41</v>
      </c>
      <c r="I359" s="2">
        <v>11787.33</v>
      </c>
      <c r="J359" t="s">
        <v>217</v>
      </c>
      <c r="K359" s="7">
        <v>45778</v>
      </c>
    </row>
    <row r="360" spans="1:12" hidden="1">
      <c r="A360" t="s">
        <v>39</v>
      </c>
      <c r="B360" t="s">
        <v>45</v>
      </c>
      <c r="C360" t="s">
        <v>12</v>
      </c>
      <c r="E360" t="s">
        <v>8</v>
      </c>
      <c r="F360" s="1" t="s">
        <v>6</v>
      </c>
      <c r="G360" s="1">
        <v>45807</v>
      </c>
      <c r="H360" t="s">
        <v>41</v>
      </c>
      <c r="I360" s="2">
        <v>500000</v>
      </c>
      <c r="J360" t="s">
        <v>46</v>
      </c>
      <c r="K360" s="7">
        <v>45778</v>
      </c>
      <c r="L360" t="s">
        <v>43</v>
      </c>
    </row>
    <row r="361" spans="1:12" hidden="1">
      <c r="A361" t="s">
        <v>99</v>
      </c>
      <c r="B361" t="s">
        <v>63</v>
      </c>
      <c r="C361" t="s">
        <v>14</v>
      </c>
      <c r="E361" t="s">
        <v>9</v>
      </c>
      <c r="F361" s="1" t="s">
        <v>2</v>
      </c>
      <c r="G361" s="1">
        <v>45878</v>
      </c>
      <c r="H361" t="s">
        <v>41</v>
      </c>
      <c r="I361" s="2">
        <v>25770.43</v>
      </c>
      <c r="J361" t="s">
        <v>314</v>
      </c>
      <c r="K361" s="7">
        <v>45870</v>
      </c>
    </row>
    <row r="362" spans="1:12" hidden="1">
      <c r="A362" t="s">
        <v>39</v>
      </c>
      <c r="B362" t="s">
        <v>63</v>
      </c>
      <c r="C362" t="s">
        <v>14</v>
      </c>
      <c r="E362" t="s">
        <v>9</v>
      </c>
      <c r="F362" s="1" t="s">
        <v>2</v>
      </c>
      <c r="G362" s="1">
        <v>45968</v>
      </c>
      <c r="H362" t="s">
        <v>41</v>
      </c>
      <c r="I362" s="2">
        <v>25733.99</v>
      </c>
      <c r="J362" t="s">
        <v>315</v>
      </c>
      <c r="K362" s="7">
        <v>45962</v>
      </c>
    </row>
    <row r="363" spans="1:12" hidden="1">
      <c r="A363" t="s">
        <v>39</v>
      </c>
      <c r="B363" t="s">
        <v>40</v>
      </c>
      <c r="C363" t="s">
        <v>14</v>
      </c>
      <c r="E363" t="s">
        <v>9</v>
      </c>
      <c r="F363" s="1" t="s">
        <v>2</v>
      </c>
      <c r="G363" s="1">
        <v>46055</v>
      </c>
      <c r="H363" t="s">
        <v>41</v>
      </c>
      <c r="I363" s="2">
        <v>160.18</v>
      </c>
      <c r="J363" s="47" t="s">
        <v>316</v>
      </c>
      <c r="K363" s="7">
        <v>46054</v>
      </c>
    </row>
    <row r="364" spans="1:12" hidden="1">
      <c r="A364" t="s">
        <v>39</v>
      </c>
      <c r="B364" t="s">
        <v>40</v>
      </c>
      <c r="C364" t="s">
        <v>14</v>
      </c>
      <c r="E364" t="s">
        <v>9</v>
      </c>
      <c r="F364" s="1" t="s">
        <v>4</v>
      </c>
      <c r="G364" s="1">
        <v>45793</v>
      </c>
      <c r="H364" t="s">
        <v>41</v>
      </c>
      <c r="I364" s="2">
        <v>2000</v>
      </c>
      <c r="J364" t="s">
        <v>317</v>
      </c>
      <c r="K364" s="7">
        <v>45778</v>
      </c>
    </row>
    <row r="365" spans="1:12" hidden="1">
      <c r="A365" t="s">
        <v>39</v>
      </c>
      <c r="B365" t="s">
        <v>45</v>
      </c>
      <c r="C365" t="s">
        <v>14</v>
      </c>
      <c r="D365">
        <v>10026924</v>
      </c>
      <c r="E365" t="s">
        <v>9</v>
      </c>
      <c r="F365" s="1" t="s">
        <v>5</v>
      </c>
      <c r="G365" s="1">
        <v>45834</v>
      </c>
      <c r="H365" t="s">
        <v>41</v>
      </c>
      <c r="I365" s="2">
        <v>25346.09</v>
      </c>
      <c r="J365" t="s">
        <v>243</v>
      </c>
      <c r="K365" s="7">
        <v>45809</v>
      </c>
    </row>
    <row r="366" spans="1:12" hidden="1">
      <c r="A366" t="s">
        <v>56</v>
      </c>
      <c r="B366" t="s">
        <v>40</v>
      </c>
      <c r="C366" t="s">
        <v>14</v>
      </c>
      <c r="E366" t="s">
        <v>9</v>
      </c>
      <c r="F366" s="1" t="s">
        <v>3</v>
      </c>
      <c r="G366" s="1">
        <v>46038</v>
      </c>
      <c r="H366" t="s">
        <v>41</v>
      </c>
      <c r="I366" s="2">
        <v>25165</v>
      </c>
      <c r="J366" t="s">
        <v>318</v>
      </c>
      <c r="K366" s="7">
        <v>46023</v>
      </c>
    </row>
    <row r="367" spans="1:12" hidden="1">
      <c r="A367" t="s">
        <v>39</v>
      </c>
      <c r="B367" t="s">
        <v>40</v>
      </c>
      <c r="C367" t="s">
        <v>14</v>
      </c>
      <c r="E367" t="s">
        <v>9</v>
      </c>
      <c r="F367" s="1" t="s">
        <v>319</v>
      </c>
      <c r="G367" s="1">
        <v>46003</v>
      </c>
      <c r="H367" t="s">
        <v>41</v>
      </c>
      <c r="I367" s="2">
        <v>25150</v>
      </c>
      <c r="J367" t="s">
        <v>320</v>
      </c>
      <c r="K367" s="7">
        <v>45992</v>
      </c>
    </row>
    <row r="368" spans="1:12" hidden="1">
      <c r="A368" t="s">
        <v>99</v>
      </c>
      <c r="B368" t="s">
        <v>63</v>
      </c>
      <c r="C368" t="s">
        <v>14</v>
      </c>
      <c r="E368" t="s">
        <v>8</v>
      </c>
      <c r="F368" s="1" t="s">
        <v>6</v>
      </c>
      <c r="G368" s="1">
        <v>45808</v>
      </c>
      <c r="H368" t="s">
        <v>41</v>
      </c>
      <c r="I368" s="2">
        <v>20000</v>
      </c>
      <c r="J368" t="s">
        <v>321</v>
      </c>
      <c r="K368" s="7">
        <v>45778</v>
      </c>
      <c r="L368" t="s">
        <v>43</v>
      </c>
    </row>
    <row r="369" spans="1:13" hidden="1">
      <c r="A369" t="s">
        <v>39</v>
      </c>
      <c r="B369" t="s">
        <v>40</v>
      </c>
      <c r="C369" t="s">
        <v>12</v>
      </c>
      <c r="E369" t="s">
        <v>8</v>
      </c>
      <c r="F369" s="1" t="s">
        <v>6</v>
      </c>
      <c r="G369" s="1">
        <v>45808</v>
      </c>
      <c r="H369" t="s">
        <v>41</v>
      </c>
      <c r="I369" s="2">
        <v>17000</v>
      </c>
      <c r="J369" t="s">
        <v>98</v>
      </c>
      <c r="K369" s="7">
        <v>45778</v>
      </c>
      <c r="L369" t="s">
        <v>43</v>
      </c>
    </row>
    <row r="370" spans="1:13" hidden="1">
      <c r="A370" t="s">
        <v>39</v>
      </c>
      <c r="B370" t="s">
        <v>40</v>
      </c>
      <c r="C370" t="s">
        <v>14</v>
      </c>
      <c r="E370" t="s">
        <v>8</v>
      </c>
      <c r="F370" s="1" t="s">
        <v>6</v>
      </c>
      <c r="G370" s="1">
        <v>45808</v>
      </c>
      <c r="H370" t="s">
        <v>41</v>
      </c>
      <c r="I370" s="2">
        <v>84000</v>
      </c>
      <c r="J370" t="s">
        <v>98</v>
      </c>
      <c r="K370" s="7">
        <v>45778</v>
      </c>
      <c r="L370" t="s">
        <v>84</v>
      </c>
    </row>
    <row r="371" spans="1:13" hidden="1">
      <c r="A371" t="s">
        <v>56</v>
      </c>
      <c r="B371" t="s">
        <v>40</v>
      </c>
      <c r="C371" t="s">
        <v>12</v>
      </c>
      <c r="E371" t="s">
        <v>8</v>
      </c>
      <c r="F371" s="1" t="s">
        <v>6</v>
      </c>
      <c r="G371" s="1">
        <v>45808</v>
      </c>
      <c r="H371" t="s">
        <v>41</v>
      </c>
      <c r="I371" s="2">
        <v>3000</v>
      </c>
      <c r="J371" t="s">
        <v>98</v>
      </c>
      <c r="K371" s="7">
        <v>45778</v>
      </c>
      <c r="L371" t="s">
        <v>43</v>
      </c>
    </row>
    <row r="372" spans="1:13" hidden="1">
      <c r="A372" t="s">
        <v>56</v>
      </c>
      <c r="B372" t="s">
        <v>40</v>
      </c>
      <c r="C372" t="s">
        <v>14</v>
      </c>
      <c r="E372" t="s">
        <v>8</v>
      </c>
      <c r="F372" s="1" t="s">
        <v>6</v>
      </c>
      <c r="G372" s="1">
        <v>45808</v>
      </c>
      <c r="H372" t="s">
        <v>41</v>
      </c>
      <c r="I372" s="2">
        <v>18000</v>
      </c>
      <c r="J372" t="s">
        <v>98</v>
      </c>
      <c r="K372" s="7">
        <v>45778</v>
      </c>
      <c r="L372" t="s">
        <v>43</v>
      </c>
    </row>
    <row r="373" spans="1:13" hidden="1">
      <c r="A373" t="s">
        <v>39</v>
      </c>
      <c r="B373" t="s">
        <v>47</v>
      </c>
      <c r="C373" t="s">
        <v>12</v>
      </c>
      <c r="E373" t="s">
        <v>8</v>
      </c>
      <c r="F373" s="1" t="s">
        <v>6</v>
      </c>
      <c r="G373" s="1">
        <v>45808</v>
      </c>
      <c r="H373" t="s">
        <v>41</v>
      </c>
      <c r="I373" s="2">
        <v>139481.60000000001</v>
      </c>
      <c r="J373" t="s">
        <v>322</v>
      </c>
      <c r="K373" s="7">
        <v>45778</v>
      </c>
      <c r="L373" t="s">
        <v>84</v>
      </c>
    </row>
    <row r="374" spans="1:13" hidden="1">
      <c r="A374" t="s">
        <v>39</v>
      </c>
      <c r="B374" t="s">
        <v>47</v>
      </c>
      <c r="C374" t="s">
        <v>13</v>
      </c>
      <c r="E374" t="s">
        <v>8</v>
      </c>
      <c r="F374" s="1" t="s">
        <v>6</v>
      </c>
      <c r="G374" s="1">
        <v>45808</v>
      </c>
      <c r="H374" t="s">
        <v>41</v>
      </c>
      <c r="I374" s="2">
        <v>2905.21</v>
      </c>
      <c r="J374" t="s">
        <v>135</v>
      </c>
      <c r="K374" s="7">
        <v>45778</v>
      </c>
      <c r="L374" t="s">
        <v>84</v>
      </c>
    </row>
    <row r="375" spans="1:13" hidden="1">
      <c r="A375" t="s">
        <v>39</v>
      </c>
      <c r="B375" t="s">
        <v>47</v>
      </c>
      <c r="C375" t="s">
        <v>13</v>
      </c>
      <c r="E375" t="s">
        <v>8</v>
      </c>
      <c r="F375" s="1" t="s">
        <v>6</v>
      </c>
      <c r="G375" s="1">
        <v>45808</v>
      </c>
      <c r="H375" t="s">
        <v>41</v>
      </c>
      <c r="I375" s="2">
        <v>16675.21</v>
      </c>
      <c r="J375" t="s">
        <v>135</v>
      </c>
      <c r="K375" s="7">
        <v>45778</v>
      </c>
      <c r="L375" t="s">
        <v>84</v>
      </c>
    </row>
    <row r="376" spans="1:13" hidden="1">
      <c r="A376" t="s">
        <v>39</v>
      </c>
      <c r="B376" t="s">
        <v>47</v>
      </c>
      <c r="C376" t="s">
        <v>13</v>
      </c>
      <c r="E376" t="s">
        <v>8</v>
      </c>
      <c r="F376" s="1" t="s">
        <v>6</v>
      </c>
      <c r="G376" s="1">
        <v>45808</v>
      </c>
      <c r="H376" t="s">
        <v>41</v>
      </c>
      <c r="I376" s="2">
        <v>8983.9599999999991</v>
      </c>
      <c r="J376" t="s">
        <v>135</v>
      </c>
      <c r="K376" s="7">
        <v>45778</v>
      </c>
      <c r="L376" t="s">
        <v>84</v>
      </c>
    </row>
    <row r="377" spans="1:13" hidden="1">
      <c r="A377" t="s">
        <v>39</v>
      </c>
      <c r="B377" t="s">
        <v>47</v>
      </c>
      <c r="C377" t="s">
        <v>12</v>
      </c>
      <c r="E377" t="s">
        <v>8</v>
      </c>
      <c r="F377" s="1" t="s">
        <v>6</v>
      </c>
      <c r="G377" s="1">
        <v>45808</v>
      </c>
      <c r="H377" t="s">
        <v>41</v>
      </c>
      <c r="I377" s="2">
        <v>38265</v>
      </c>
      <c r="J377" t="s">
        <v>323</v>
      </c>
      <c r="K377" s="7">
        <v>45778</v>
      </c>
      <c r="L377" t="s">
        <v>84</v>
      </c>
    </row>
    <row r="378" spans="1:13" hidden="1">
      <c r="A378" t="s">
        <v>39</v>
      </c>
      <c r="B378" t="s">
        <v>47</v>
      </c>
      <c r="C378" t="s">
        <v>13</v>
      </c>
      <c r="E378" t="s">
        <v>8</v>
      </c>
      <c r="F378" s="1" t="s">
        <v>6</v>
      </c>
      <c r="G378" s="1">
        <v>45808</v>
      </c>
      <c r="H378" t="s">
        <v>41</v>
      </c>
      <c r="I378" s="2">
        <v>2259.0700000000002</v>
      </c>
      <c r="J378" t="s">
        <v>324</v>
      </c>
      <c r="K378" s="7">
        <v>45778</v>
      </c>
      <c r="L378" t="s">
        <v>84</v>
      </c>
    </row>
    <row r="379" spans="1:13" hidden="1">
      <c r="A379" t="s">
        <v>39</v>
      </c>
      <c r="B379" t="s">
        <v>47</v>
      </c>
      <c r="C379" t="s">
        <v>12</v>
      </c>
      <c r="E379" t="s">
        <v>8</v>
      </c>
      <c r="F379" s="1" t="s">
        <v>6</v>
      </c>
      <c r="G379" s="1">
        <v>45808</v>
      </c>
      <c r="H379" t="s">
        <v>41</v>
      </c>
      <c r="I379" s="2">
        <v>16056.8</v>
      </c>
      <c r="J379" t="s">
        <v>325</v>
      </c>
      <c r="K379" s="7">
        <v>45778</v>
      </c>
      <c r="L379" t="s">
        <v>43</v>
      </c>
      <c r="M379">
        <v>12000</v>
      </c>
    </row>
    <row r="380" spans="1:13" hidden="1">
      <c r="A380" t="s">
        <v>39</v>
      </c>
      <c r="B380" t="s">
        <v>47</v>
      </c>
      <c r="C380" t="s">
        <v>13</v>
      </c>
      <c r="E380" t="s">
        <v>8</v>
      </c>
      <c r="F380" s="1" t="s">
        <v>6</v>
      </c>
      <c r="G380" s="1">
        <v>45808</v>
      </c>
      <c r="H380" t="s">
        <v>41</v>
      </c>
      <c r="I380" s="2">
        <v>45.2</v>
      </c>
      <c r="J380" t="s">
        <v>326</v>
      </c>
      <c r="K380" s="7">
        <v>45778</v>
      </c>
    </row>
    <row r="381" spans="1:13" hidden="1">
      <c r="A381" t="s">
        <v>39</v>
      </c>
      <c r="B381" t="s">
        <v>47</v>
      </c>
      <c r="C381" t="s">
        <v>12</v>
      </c>
      <c r="E381" t="s">
        <v>8</v>
      </c>
      <c r="F381" s="1" t="s">
        <v>6</v>
      </c>
      <c r="G381" s="1">
        <v>45808</v>
      </c>
      <c r="H381" t="s">
        <v>41</v>
      </c>
      <c r="I381" s="2">
        <v>54587</v>
      </c>
      <c r="J381" t="s">
        <v>327</v>
      </c>
      <c r="K381" s="7">
        <v>45778</v>
      </c>
      <c r="L381" t="s">
        <v>43</v>
      </c>
      <c r="M381">
        <v>7000</v>
      </c>
    </row>
    <row r="382" spans="1:13" hidden="1">
      <c r="A382" t="s">
        <v>39</v>
      </c>
      <c r="B382" t="s">
        <v>47</v>
      </c>
      <c r="C382" t="s">
        <v>14</v>
      </c>
      <c r="E382" t="s">
        <v>8</v>
      </c>
      <c r="F382" s="1" t="s">
        <v>6</v>
      </c>
      <c r="G382" s="1">
        <v>45808</v>
      </c>
      <c r="H382" t="s">
        <v>41</v>
      </c>
      <c r="I382" s="2">
        <v>16652.09</v>
      </c>
      <c r="J382" t="s">
        <v>262</v>
      </c>
      <c r="K382" s="7">
        <v>45778</v>
      </c>
      <c r="L382" t="s">
        <v>43</v>
      </c>
      <c r="M382">
        <v>7000</v>
      </c>
    </row>
    <row r="383" spans="1:13" hidden="1">
      <c r="A383" t="s">
        <v>39</v>
      </c>
      <c r="B383" t="s">
        <v>47</v>
      </c>
      <c r="C383" t="s">
        <v>14</v>
      </c>
      <c r="E383" t="s">
        <v>8</v>
      </c>
      <c r="F383" s="1" t="s">
        <v>6</v>
      </c>
      <c r="G383" s="1">
        <v>45808</v>
      </c>
      <c r="H383" t="s">
        <v>41</v>
      </c>
      <c r="I383" s="2">
        <v>5128.2</v>
      </c>
      <c r="J383" t="s">
        <v>328</v>
      </c>
      <c r="K383" s="7">
        <v>45778</v>
      </c>
    </row>
    <row r="384" spans="1:13" hidden="1">
      <c r="A384" t="s">
        <v>39</v>
      </c>
      <c r="B384" t="s">
        <v>47</v>
      </c>
      <c r="C384" t="s">
        <v>13</v>
      </c>
      <c r="E384" t="s">
        <v>8</v>
      </c>
      <c r="F384" s="1" t="s">
        <v>6</v>
      </c>
      <c r="G384" s="1">
        <v>45808</v>
      </c>
      <c r="H384" t="s">
        <v>41</v>
      </c>
      <c r="I384" s="2">
        <v>200</v>
      </c>
      <c r="J384" t="s">
        <v>329</v>
      </c>
      <c r="K384" s="7">
        <v>45778</v>
      </c>
    </row>
    <row r="385" spans="1:11" hidden="1">
      <c r="A385" t="s">
        <v>39</v>
      </c>
      <c r="B385" t="s">
        <v>45</v>
      </c>
      <c r="C385" t="s">
        <v>14</v>
      </c>
      <c r="D385">
        <v>10026613</v>
      </c>
      <c r="E385" t="s">
        <v>9</v>
      </c>
      <c r="F385" s="1" t="s">
        <v>4</v>
      </c>
      <c r="G385" s="1">
        <v>45793</v>
      </c>
      <c r="H385" t="s">
        <v>41</v>
      </c>
      <c r="I385" s="2">
        <v>1684.65</v>
      </c>
      <c r="J385" t="s">
        <v>82</v>
      </c>
      <c r="K385" s="7">
        <v>45778</v>
      </c>
    </row>
    <row r="386" spans="1:11" hidden="1">
      <c r="A386" t="s">
        <v>56</v>
      </c>
      <c r="B386" t="s">
        <v>40</v>
      </c>
      <c r="C386" t="s">
        <v>14</v>
      </c>
      <c r="E386" t="s">
        <v>9</v>
      </c>
      <c r="F386" s="1" t="s">
        <v>5</v>
      </c>
      <c r="G386" s="1">
        <v>45797</v>
      </c>
      <c r="H386" t="s">
        <v>41</v>
      </c>
      <c r="I386" s="2">
        <v>25000</v>
      </c>
      <c r="J386" t="s">
        <v>330</v>
      </c>
      <c r="K386" s="7">
        <v>45778</v>
      </c>
    </row>
    <row r="387" spans="1:11" hidden="1">
      <c r="A387" t="s">
        <v>39</v>
      </c>
      <c r="B387" t="s">
        <v>45</v>
      </c>
      <c r="C387" t="s">
        <v>14</v>
      </c>
      <c r="D387">
        <v>10026820</v>
      </c>
      <c r="E387" t="s">
        <v>9</v>
      </c>
      <c r="F387" s="1" t="s">
        <v>3</v>
      </c>
      <c r="G387" s="1">
        <v>45821</v>
      </c>
      <c r="H387" t="s">
        <v>41</v>
      </c>
      <c r="I387" s="2">
        <v>25000</v>
      </c>
      <c r="J387" t="s">
        <v>331</v>
      </c>
      <c r="K387" s="7">
        <v>45809</v>
      </c>
    </row>
    <row r="388" spans="1:11" hidden="1">
      <c r="A388" t="s">
        <v>114</v>
      </c>
      <c r="B388" t="s">
        <v>63</v>
      </c>
      <c r="C388" t="s">
        <v>14</v>
      </c>
      <c r="E388" t="s">
        <v>9</v>
      </c>
      <c r="F388" s="1" t="s">
        <v>2</v>
      </c>
      <c r="G388" s="1">
        <v>45877</v>
      </c>
      <c r="H388" t="s">
        <v>41</v>
      </c>
      <c r="I388" s="2">
        <v>25000</v>
      </c>
      <c r="J388" t="s">
        <v>156</v>
      </c>
      <c r="K388" s="7">
        <v>45870</v>
      </c>
    </row>
    <row r="389" spans="1:11" hidden="1">
      <c r="A389" t="s">
        <v>39</v>
      </c>
      <c r="B389" t="s">
        <v>45</v>
      </c>
      <c r="C389" t="s">
        <v>14</v>
      </c>
      <c r="E389" t="s">
        <v>9</v>
      </c>
      <c r="F389" s="1" t="s">
        <v>2</v>
      </c>
      <c r="G389" s="1">
        <v>45996</v>
      </c>
      <c r="H389" t="s">
        <v>41</v>
      </c>
      <c r="I389" s="2">
        <v>25000</v>
      </c>
      <c r="J389" t="s">
        <v>331</v>
      </c>
      <c r="K389" s="7">
        <v>45992</v>
      </c>
    </row>
    <row r="390" spans="1:11" hidden="1">
      <c r="A390" t="s">
        <v>39</v>
      </c>
      <c r="B390" t="s">
        <v>45</v>
      </c>
      <c r="C390" t="s">
        <v>14</v>
      </c>
      <c r="D390">
        <v>10027056</v>
      </c>
      <c r="E390" t="s">
        <v>9</v>
      </c>
      <c r="F390" s="1" t="s">
        <v>3</v>
      </c>
      <c r="G390" s="1">
        <v>45849</v>
      </c>
      <c r="H390" t="s">
        <v>41</v>
      </c>
      <c r="I390" s="2">
        <v>24614.48</v>
      </c>
      <c r="J390" t="s">
        <v>332</v>
      </c>
      <c r="K390" s="7">
        <v>45839</v>
      </c>
    </row>
    <row r="391" spans="1:11">
      <c r="A391" t="s">
        <v>39</v>
      </c>
      <c r="B391" t="s">
        <v>47</v>
      </c>
      <c r="C391" t="s">
        <v>13</v>
      </c>
      <c r="E391" t="s">
        <v>9</v>
      </c>
      <c r="F391" s="1" t="s">
        <v>2</v>
      </c>
      <c r="G391" s="1">
        <v>46056</v>
      </c>
      <c r="H391" t="s">
        <v>41</v>
      </c>
      <c r="I391" s="2">
        <v>126120.92</v>
      </c>
      <c r="J391" t="s">
        <v>333</v>
      </c>
      <c r="K391" s="7">
        <v>46054</v>
      </c>
    </row>
    <row r="392" spans="1:11" hidden="1">
      <c r="A392" t="s">
        <v>39</v>
      </c>
      <c r="B392" t="s">
        <v>144</v>
      </c>
      <c r="C392" t="s">
        <v>13</v>
      </c>
      <c r="E392" t="s">
        <v>9</v>
      </c>
      <c r="F392" s="1" t="s">
        <v>5</v>
      </c>
      <c r="G392" s="1">
        <v>45954</v>
      </c>
      <c r="H392" t="s">
        <v>41</v>
      </c>
      <c r="I392" s="2">
        <v>24416.97</v>
      </c>
      <c r="J392" s="47" t="s">
        <v>244</v>
      </c>
      <c r="K392" s="7">
        <v>45931</v>
      </c>
    </row>
    <row r="393" spans="1:11" hidden="1">
      <c r="A393" t="s">
        <v>39</v>
      </c>
      <c r="B393" t="s">
        <v>47</v>
      </c>
      <c r="C393" t="s">
        <v>14</v>
      </c>
      <c r="E393" t="s">
        <v>9</v>
      </c>
      <c r="F393" s="1" t="s">
        <v>2</v>
      </c>
      <c r="G393" s="1">
        <v>45874</v>
      </c>
      <c r="H393" t="s">
        <v>41</v>
      </c>
      <c r="I393" s="2">
        <v>24255.55</v>
      </c>
      <c r="J393" t="s">
        <v>169</v>
      </c>
      <c r="K393" s="7">
        <v>45870</v>
      </c>
    </row>
    <row r="394" spans="1:11" hidden="1">
      <c r="A394" t="s">
        <v>39</v>
      </c>
      <c r="B394" t="s">
        <v>63</v>
      </c>
      <c r="C394" t="s">
        <v>124</v>
      </c>
      <c r="E394" t="s">
        <v>9</v>
      </c>
      <c r="F394" s="1" t="s">
        <v>5</v>
      </c>
      <c r="G394" s="1">
        <v>46014</v>
      </c>
      <c r="H394" t="s">
        <v>64</v>
      </c>
      <c r="I394" s="2">
        <f>12324166.05/510</f>
        <v>24165.031470588237</v>
      </c>
      <c r="J394" t="s">
        <v>334</v>
      </c>
      <c r="K394" s="7">
        <v>45992</v>
      </c>
    </row>
    <row r="395" spans="1:11" hidden="1">
      <c r="A395" t="s">
        <v>39</v>
      </c>
      <c r="B395" t="s">
        <v>40</v>
      </c>
      <c r="C395" t="s">
        <v>14</v>
      </c>
      <c r="E395" t="s">
        <v>9</v>
      </c>
      <c r="F395" s="1" t="s">
        <v>4</v>
      </c>
      <c r="G395" s="1">
        <v>45793</v>
      </c>
      <c r="H395" t="s">
        <v>41</v>
      </c>
      <c r="I395" s="2">
        <v>1180</v>
      </c>
      <c r="J395" t="s">
        <v>335</v>
      </c>
      <c r="K395" s="7">
        <v>45778</v>
      </c>
    </row>
    <row r="396" spans="1:11" hidden="1">
      <c r="A396" t="s">
        <v>114</v>
      </c>
      <c r="B396" t="s">
        <v>63</v>
      </c>
      <c r="C396" t="s">
        <v>14</v>
      </c>
      <c r="E396" t="s">
        <v>9</v>
      </c>
      <c r="F396" s="1" t="s">
        <v>2</v>
      </c>
      <c r="G396" s="1">
        <v>45904</v>
      </c>
      <c r="H396" t="s">
        <v>41</v>
      </c>
      <c r="I396" s="2">
        <v>24140</v>
      </c>
      <c r="J396" t="s">
        <v>336</v>
      </c>
      <c r="K396" s="7">
        <v>45901</v>
      </c>
    </row>
    <row r="397" spans="1:11" hidden="1">
      <c r="A397" t="s">
        <v>39</v>
      </c>
      <c r="B397" t="s">
        <v>47</v>
      </c>
      <c r="C397" t="s">
        <v>13</v>
      </c>
      <c r="E397" t="s">
        <v>9</v>
      </c>
      <c r="F397" s="1" t="s">
        <v>6</v>
      </c>
      <c r="G397" s="1">
        <v>46020</v>
      </c>
      <c r="H397" t="s">
        <v>41</v>
      </c>
      <c r="I397" s="2">
        <v>24100.31</v>
      </c>
      <c r="J397" s="47" t="s">
        <v>52</v>
      </c>
      <c r="K397" s="7">
        <v>45992</v>
      </c>
    </row>
    <row r="398" spans="1:11" hidden="1">
      <c r="A398" t="s">
        <v>39</v>
      </c>
      <c r="B398" t="s">
        <v>45</v>
      </c>
      <c r="C398" t="s">
        <v>13</v>
      </c>
      <c r="E398" t="s">
        <v>9</v>
      </c>
      <c r="F398" s="1" t="s">
        <v>3</v>
      </c>
      <c r="G398" s="1">
        <v>46000</v>
      </c>
      <c r="H398" t="s">
        <v>41</v>
      </c>
      <c r="I398" s="2">
        <v>23965.55</v>
      </c>
      <c r="J398" t="s">
        <v>337</v>
      </c>
      <c r="K398" s="7">
        <v>45992</v>
      </c>
    </row>
    <row r="399" spans="1:11" hidden="1">
      <c r="A399" t="s">
        <v>56</v>
      </c>
      <c r="B399" t="s">
        <v>40</v>
      </c>
      <c r="C399" t="s">
        <v>14</v>
      </c>
      <c r="E399" t="s">
        <v>9</v>
      </c>
      <c r="F399" s="1" t="s">
        <v>5</v>
      </c>
      <c r="G399" s="1">
        <v>45895</v>
      </c>
      <c r="H399" t="s">
        <v>41</v>
      </c>
      <c r="I399" s="2">
        <v>23545</v>
      </c>
      <c r="J399" t="s">
        <v>338</v>
      </c>
      <c r="K399" s="7">
        <v>45870</v>
      </c>
    </row>
    <row r="400" spans="1:11" hidden="1">
      <c r="A400" t="s">
        <v>39</v>
      </c>
      <c r="B400" t="s">
        <v>45</v>
      </c>
      <c r="C400" t="s">
        <v>14</v>
      </c>
      <c r="E400" t="s">
        <v>9</v>
      </c>
      <c r="F400" s="1" t="s">
        <v>2</v>
      </c>
      <c r="G400" s="1">
        <v>45932</v>
      </c>
      <c r="H400" t="s">
        <v>41</v>
      </c>
      <c r="I400" s="2">
        <v>23399.09</v>
      </c>
      <c r="J400" t="s">
        <v>339</v>
      </c>
      <c r="K400" s="7">
        <v>45931</v>
      </c>
    </row>
    <row r="401" spans="1:11" hidden="1">
      <c r="A401" t="s">
        <v>39</v>
      </c>
      <c r="B401" t="s">
        <v>144</v>
      </c>
      <c r="C401" t="s">
        <v>14</v>
      </c>
      <c r="E401" t="s">
        <v>9</v>
      </c>
      <c r="F401" s="1" t="s">
        <v>3</v>
      </c>
      <c r="G401" s="1">
        <v>45971</v>
      </c>
      <c r="H401" t="s">
        <v>41</v>
      </c>
      <c r="I401" s="2">
        <v>23365.01</v>
      </c>
      <c r="J401" s="47" t="s">
        <v>340</v>
      </c>
      <c r="K401" s="7">
        <v>45962</v>
      </c>
    </row>
    <row r="402" spans="1:11" hidden="1">
      <c r="A402" t="s">
        <v>39</v>
      </c>
      <c r="B402" t="s">
        <v>45</v>
      </c>
      <c r="C402" t="s">
        <v>14</v>
      </c>
      <c r="E402" t="s">
        <v>9</v>
      </c>
      <c r="F402" s="1" t="s">
        <v>5</v>
      </c>
      <c r="G402" s="1">
        <v>46017</v>
      </c>
      <c r="H402" t="s">
        <v>41</v>
      </c>
      <c r="I402" s="2">
        <v>23238.29</v>
      </c>
      <c r="J402" t="s">
        <v>341</v>
      </c>
      <c r="K402" s="7">
        <v>45992</v>
      </c>
    </row>
    <row r="403" spans="1:11" hidden="1">
      <c r="A403" t="s">
        <v>114</v>
      </c>
      <c r="B403" t="s">
        <v>63</v>
      </c>
      <c r="C403" t="s">
        <v>12</v>
      </c>
      <c r="E403" t="s">
        <v>9</v>
      </c>
      <c r="F403" s="1" t="s">
        <v>3</v>
      </c>
      <c r="G403" s="1">
        <v>45883</v>
      </c>
      <c r="H403" t="s">
        <v>41</v>
      </c>
      <c r="I403" s="2">
        <v>22953</v>
      </c>
      <c r="J403" t="s">
        <v>290</v>
      </c>
      <c r="K403" s="7">
        <v>45870</v>
      </c>
    </row>
    <row r="404" spans="1:11" hidden="1">
      <c r="A404" t="s">
        <v>39</v>
      </c>
      <c r="B404" t="s">
        <v>63</v>
      </c>
      <c r="C404" t="s">
        <v>14</v>
      </c>
      <c r="E404" t="s">
        <v>9</v>
      </c>
      <c r="F404" s="1" t="s">
        <v>2</v>
      </c>
      <c r="G404" s="1">
        <v>45965</v>
      </c>
      <c r="H404" t="s">
        <v>41</v>
      </c>
      <c r="I404" s="2">
        <v>22734.83</v>
      </c>
      <c r="J404" t="s">
        <v>342</v>
      </c>
      <c r="K404" s="7">
        <v>45962</v>
      </c>
    </row>
    <row r="405" spans="1:11" hidden="1">
      <c r="A405" t="s">
        <v>114</v>
      </c>
      <c r="B405" t="s">
        <v>63</v>
      </c>
      <c r="C405" t="s">
        <v>14</v>
      </c>
      <c r="E405" t="s">
        <v>9</v>
      </c>
      <c r="F405" s="1" t="s">
        <v>5</v>
      </c>
      <c r="G405" s="1">
        <v>45952</v>
      </c>
      <c r="H405" t="s">
        <v>64</v>
      </c>
      <c r="I405" s="2">
        <f>11590007.75/510</f>
        <v>22725.505392156861</v>
      </c>
      <c r="J405" t="s">
        <v>343</v>
      </c>
      <c r="K405" s="7">
        <v>45931</v>
      </c>
    </row>
    <row r="406" spans="1:11" hidden="1">
      <c r="A406" t="s">
        <v>39</v>
      </c>
      <c r="B406" t="s">
        <v>63</v>
      </c>
      <c r="C406" t="s">
        <v>13</v>
      </c>
      <c r="D406">
        <v>10027663</v>
      </c>
      <c r="E406" t="s">
        <v>9</v>
      </c>
      <c r="F406" s="1" t="s">
        <v>6</v>
      </c>
      <c r="G406" s="1">
        <v>45929</v>
      </c>
      <c r="H406" t="s">
        <v>41</v>
      </c>
      <c r="I406" s="2">
        <v>22600</v>
      </c>
      <c r="J406" t="s">
        <v>344</v>
      </c>
      <c r="K406" s="7">
        <v>45901</v>
      </c>
    </row>
    <row r="407" spans="1:11" hidden="1">
      <c r="A407" t="s">
        <v>39</v>
      </c>
      <c r="B407" t="s">
        <v>144</v>
      </c>
      <c r="C407" t="s">
        <v>14</v>
      </c>
      <c r="E407" t="s">
        <v>9</v>
      </c>
      <c r="F407" s="1" t="s">
        <v>5</v>
      </c>
      <c r="G407" s="1">
        <v>45954</v>
      </c>
      <c r="H407" t="s">
        <v>41</v>
      </c>
      <c r="I407" s="2">
        <v>22600</v>
      </c>
      <c r="J407" s="47" t="s">
        <v>345</v>
      </c>
      <c r="K407" s="7">
        <v>45931</v>
      </c>
    </row>
    <row r="408" spans="1:11" hidden="1">
      <c r="A408" t="s">
        <v>39</v>
      </c>
      <c r="B408" t="s">
        <v>144</v>
      </c>
      <c r="C408" t="s">
        <v>14</v>
      </c>
      <c r="E408" t="s">
        <v>9</v>
      </c>
      <c r="F408" s="1" t="s">
        <v>3</v>
      </c>
      <c r="G408" s="1">
        <v>46003</v>
      </c>
      <c r="H408" t="s">
        <v>41</v>
      </c>
      <c r="I408" s="2">
        <v>22600</v>
      </c>
      <c r="J408" t="s">
        <v>145</v>
      </c>
      <c r="K408" s="7">
        <v>45992</v>
      </c>
    </row>
    <row r="409" spans="1:11" hidden="1">
      <c r="A409" t="s">
        <v>39</v>
      </c>
      <c r="B409" t="s">
        <v>144</v>
      </c>
      <c r="C409" t="s">
        <v>14</v>
      </c>
      <c r="E409" t="s">
        <v>9</v>
      </c>
      <c r="F409" s="1" t="s">
        <v>3</v>
      </c>
      <c r="G409" s="1">
        <v>46038</v>
      </c>
      <c r="H409" t="s">
        <v>41</v>
      </c>
      <c r="I409" s="2">
        <v>22600</v>
      </c>
      <c r="J409" t="s">
        <v>345</v>
      </c>
      <c r="K409" s="7">
        <v>46023</v>
      </c>
    </row>
    <row r="410" spans="1:11" hidden="1">
      <c r="A410" t="s">
        <v>39</v>
      </c>
      <c r="B410" t="s">
        <v>47</v>
      </c>
      <c r="C410" t="s">
        <v>14</v>
      </c>
      <c r="E410" t="s">
        <v>9</v>
      </c>
      <c r="F410" s="1" t="s">
        <v>3</v>
      </c>
      <c r="G410" s="1">
        <v>45939</v>
      </c>
      <c r="H410" t="s">
        <v>64</v>
      </c>
      <c r="I410" s="2">
        <f>11499150.07/510</f>
        <v>22547.353078431373</v>
      </c>
      <c r="J410" t="s">
        <v>346</v>
      </c>
      <c r="K410" s="7">
        <v>45931</v>
      </c>
    </row>
    <row r="411" spans="1:11" hidden="1">
      <c r="A411" t="s">
        <v>39</v>
      </c>
      <c r="B411" t="s">
        <v>40</v>
      </c>
      <c r="C411" t="s">
        <v>14</v>
      </c>
      <c r="E411" t="s">
        <v>9</v>
      </c>
      <c r="F411" s="1" t="s">
        <v>4</v>
      </c>
      <c r="G411" s="1">
        <v>45793</v>
      </c>
      <c r="H411" t="s">
        <v>41</v>
      </c>
      <c r="I411" s="2">
        <v>1000</v>
      </c>
      <c r="J411" t="s">
        <v>317</v>
      </c>
      <c r="K411" s="7">
        <v>45778</v>
      </c>
    </row>
    <row r="412" spans="1:11" hidden="1">
      <c r="A412" t="s">
        <v>39</v>
      </c>
      <c r="B412" t="s">
        <v>45</v>
      </c>
      <c r="C412" t="s">
        <v>12</v>
      </c>
      <c r="E412" t="s">
        <v>9</v>
      </c>
      <c r="F412" s="1" t="s">
        <v>2</v>
      </c>
      <c r="G412" s="1">
        <v>45962</v>
      </c>
      <c r="H412" t="s">
        <v>41</v>
      </c>
      <c r="I412" s="2">
        <v>22491.360000000001</v>
      </c>
      <c r="J412" t="s">
        <v>347</v>
      </c>
      <c r="K412" s="7">
        <v>45962</v>
      </c>
    </row>
    <row r="413" spans="1:11" hidden="1">
      <c r="A413" t="s">
        <v>56</v>
      </c>
      <c r="B413" t="s">
        <v>40</v>
      </c>
      <c r="C413" t="s">
        <v>14</v>
      </c>
      <c r="D413">
        <v>10800</v>
      </c>
      <c r="E413" t="s">
        <v>9</v>
      </c>
      <c r="F413" s="1" t="s">
        <v>2</v>
      </c>
      <c r="G413" s="1">
        <v>45932</v>
      </c>
      <c r="H413" t="s">
        <v>41</v>
      </c>
      <c r="I413" s="2">
        <v>22440</v>
      </c>
      <c r="J413" t="s">
        <v>348</v>
      </c>
      <c r="K413" s="7">
        <v>45931</v>
      </c>
    </row>
    <row r="414" spans="1:11" hidden="1">
      <c r="A414" t="s">
        <v>99</v>
      </c>
      <c r="B414" t="s">
        <v>63</v>
      </c>
      <c r="C414" t="s">
        <v>14</v>
      </c>
      <c r="E414" t="s">
        <v>9</v>
      </c>
      <c r="F414" s="1" t="s">
        <v>6</v>
      </c>
      <c r="G414" s="1">
        <v>45808</v>
      </c>
      <c r="H414" t="s">
        <v>41</v>
      </c>
      <c r="I414" s="2">
        <v>22228.46</v>
      </c>
      <c r="J414" t="s">
        <v>349</v>
      </c>
      <c r="K414" s="7">
        <v>45778</v>
      </c>
    </row>
    <row r="415" spans="1:11" hidden="1">
      <c r="A415" t="s">
        <v>114</v>
      </c>
      <c r="B415" t="s">
        <v>63</v>
      </c>
      <c r="C415" t="s">
        <v>12</v>
      </c>
      <c r="D415">
        <v>15149</v>
      </c>
      <c r="E415" t="s">
        <v>9</v>
      </c>
      <c r="F415" s="1" t="s">
        <v>4</v>
      </c>
      <c r="G415" s="1">
        <v>45793</v>
      </c>
      <c r="H415" t="s">
        <v>41</v>
      </c>
      <c r="I415" s="2">
        <v>799.32</v>
      </c>
      <c r="J415" t="s">
        <v>350</v>
      </c>
      <c r="K415" s="7">
        <v>45778</v>
      </c>
    </row>
    <row r="416" spans="1:11" hidden="1">
      <c r="A416" t="s">
        <v>39</v>
      </c>
      <c r="B416" t="s">
        <v>47</v>
      </c>
      <c r="C416" t="s">
        <v>12</v>
      </c>
      <c r="E416" t="s">
        <v>9</v>
      </c>
      <c r="F416" s="1" t="s">
        <v>2</v>
      </c>
      <c r="G416" s="1">
        <v>45840</v>
      </c>
      <c r="H416" t="s">
        <v>41</v>
      </c>
      <c r="I416" s="2">
        <v>22066.86</v>
      </c>
      <c r="J416" t="s">
        <v>351</v>
      </c>
      <c r="K416" s="7">
        <v>45839</v>
      </c>
    </row>
    <row r="417" spans="1:11" hidden="1">
      <c r="A417" t="s">
        <v>39</v>
      </c>
      <c r="B417" t="s">
        <v>45</v>
      </c>
      <c r="C417" t="s">
        <v>14</v>
      </c>
      <c r="D417">
        <v>10026734</v>
      </c>
      <c r="E417" t="s">
        <v>9</v>
      </c>
      <c r="F417" s="1" t="s">
        <v>2</v>
      </c>
      <c r="G417" s="1">
        <v>45810</v>
      </c>
      <c r="H417" t="s">
        <v>41</v>
      </c>
      <c r="I417" s="2">
        <v>21978.26</v>
      </c>
      <c r="J417" t="s">
        <v>213</v>
      </c>
      <c r="K417" s="7">
        <v>45809</v>
      </c>
    </row>
    <row r="418" spans="1:11" hidden="1">
      <c r="A418" t="s">
        <v>39</v>
      </c>
      <c r="B418" t="s">
        <v>47</v>
      </c>
      <c r="C418" t="s">
        <v>14</v>
      </c>
      <c r="D418">
        <v>10026631</v>
      </c>
      <c r="E418" t="s">
        <v>9</v>
      </c>
      <c r="F418" s="1" t="s">
        <v>4</v>
      </c>
      <c r="G418" s="1">
        <v>45793</v>
      </c>
      <c r="H418" t="s">
        <v>41</v>
      </c>
      <c r="I418" s="2">
        <v>506.01</v>
      </c>
      <c r="J418" t="s">
        <v>352</v>
      </c>
      <c r="K418" s="7">
        <v>45778</v>
      </c>
    </row>
    <row r="419" spans="1:11" hidden="1">
      <c r="A419" t="s">
        <v>39</v>
      </c>
      <c r="B419" t="s">
        <v>45</v>
      </c>
      <c r="C419" t="s">
        <v>14</v>
      </c>
      <c r="E419" t="s">
        <v>9</v>
      </c>
      <c r="F419" s="1" t="s">
        <v>2</v>
      </c>
      <c r="G419" s="1">
        <v>46056</v>
      </c>
      <c r="H419" t="s">
        <v>41</v>
      </c>
      <c r="I419" s="2">
        <v>4723.63</v>
      </c>
      <c r="J419" t="s">
        <v>353</v>
      </c>
      <c r="K419" s="7">
        <v>46054</v>
      </c>
    </row>
    <row r="420" spans="1:11" hidden="1">
      <c r="A420" t="s">
        <v>39</v>
      </c>
      <c r="B420" t="s">
        <v>45</v>
      </c>
      <c r="C420" t="s">
        <v>14</v>
      </c>
      <c r="E420" t="s">
        <v>9</v>
      </c>
      <c r="F420" s="1" t="s">
        <v>3</v>
      </c>
      <c r="G420" s="1">
        <v>45940</v>
      </c>
      <c r="H420" t="s">
        <v>41</v>
      </c>
      <c r="I420" s="2">
        <v>21800.13</v>
      </c>
      <c r="J420" t="s">
        <v>122</v>
      </c>
      <c r="K420" s="7">
        <v>45931</v>
      </c>
    </row>
    <row r="421" spans="1:11" hidden="1">
      <c r="A421" t="s">
        <v>114</v>
      </c>
      <c r="B421" t="s">
        <v>63</v>
      </c>
      <c r="C421" t="s">
        <v>14</v>
      </c>
      <c r="E421" t="s">
        <v>9</v>
      </c>
      <c r="F421" s="1" t="s">
        <v>2</v>
      </c>
      <c r="G421" s="1">
        <v>45962</v>
      </c>
      <c r="H421" t="s">
        <v>41</v>
      </c>
      <c r="I421" s="2">
        <v>21611.24</v>
      </c>
      <c r="J421" t="s">
        <v>354</v>
      </c>
      <c r="K421" s="7">
        <v>45962</v>
      </c>
    </row>
    <row r="422" spans="1:11" hidden="1">
      <c r="A422" t="s">
        <v>39</v>
      </c>
      <c r="B422" t="s">
        <v>40</v>
      </c>
      <c r="C422" t="s">
        <v>14</v>
      </c>
      <c r="E422" t="s">
        <v>9</v>
      </c>
      <c r="F422" s="1" t="s">
        <v>4</v>
      </c>
      <c r="G422" s="1">
        <v>45793</v>
      </c>
      <c r="H422" t="s">
        <v>41</v>
      </c>
      <c r="I422" s="2">
        <v>199.47</v>
      </c>
      <c r="J422" t="s">
        <v>355</v>
      </c>
      <c r="K422" s="7">
        <v>45778</v>
      </c>
    </row>
    <row r="423" spans="1:11" hidden="1">
      <c r="A423" t="s">
        <v>114</v>
      </c>
      <c r="B423" t="s">
        <v>63</v>
      </c>
      <c r="C423" t="s">
        <v>13</v>
      </c>
      <c r="D423">
        <v>15147</v>
      </c>
      <c r="E423" t="s">
        <v>9</v>
      </c>
      <c r="F423" s="1" t="s">
        <v>4</v>
      </c>
      <c r="G423" s="1">
        <v>45793</v>
      </c>
      <c r="H423" t="s">
        <v>41</v>
      </c>
      <c r="I423" s="2">
        <v>96.22</v>
      </c>
      <c r="J423" t="s">
        <v>356</v>
      </c>
      <c r="K423" s="7">
        <v>45778</v>
      </c>
    </row>
    <row r="424" spans="1:11" hidden="1">
      <c r="A424" t="s">
        <v>39</v>
      </c>
      <c r="B424" t="s">
        <v>47</v>
      </c>
      <c r="C424" t="s">
        <v>12</v>
      </c>
      <c r="E424" t="s">
        <v>9</v>
      </c>
      <c r="F424" s="1" t="s">
        <v>5</v>
      </c>
      <c r="G424" s="1">
        <v>45832</v>
      </c>
      <c r="H424" t="s">
        <v>41</v>
      </c>
      <c r="I424" s="2">
        <v>20826.849999999999</v>
      </c>
      <c r="J424" t="s">
        <v>357</v>
      </c>
      <c r="K424" s="7">
        <v>45809</v>
      </c>
    </row>
    <row r="425" spans="1:11" hidden="1">
      <c r="A425" t="s">
        <v>39</v>
      </c>
      <c r="B425" t="s">
        <v>63</v>
      </c>
      <c r="C425" t="s">
        <v>12</v>
      </c>
      <c r="E425" t="s">
        <v>9</v>
      </c>
      <c r="F425" s="1" t="s">
        <v>5</v>
      </c>
      <c r="G425" s="1">
        <v>45925</v>
      </c>
      <c r="H425" t="s">
        <v>41</v>
      </c>
      <c r="I425" s="2">
        <v>20435.91</v>
      </c>
      <c r="J425" t="s">
        <v>358</v>
      </c>
      <c r="K425" s="7">
        <v>45901</v>
      </c>
    </row>
    <row r="426" spans="1:11" hidden="1">
      <c r="A426" t="s">
        <v>114</v>
      </c>
      <c r="B426" t="s">
        <v>63</v>
      </c>
      <c r="C426" t="s">
        <v>14</v>
      </c>
      <c r="E426" t="s">
        <v>9</v>
      </c>
      <c r="F426" s="1" t="s">
        <v>3</v>
      </c>
      <c r="G426" s="1">
        <v>46034</v>
      </c>
      <c r="H426" t="s">
        <v>64</v>
      </c>
      <c r="I426" s="2">
        <f>10101602.39/496</f>
        <v>20366.133850806455</v>
      </c>
      <c r="J426" t="s">
        <v>334</v>
      </c>
      <c r="K426" s="7">
        <v>46023</v>
      </c>
    </row>
    <row r="427" spans="1:11" hidden="1">
      <c r="A427" t="s">
        <v>39</v>
      </c>
      <c r="B427" t="s">
        <v>47</v>
      </c>
      <c r="C427" t="s">
        <v>14</v>
      </c>
      <c r="D427">
        <v>10026606</v>
      </c>
      <c r="E427" t="s">
        <v>9</v>
      </c>
      <c r="F427" s="1" t="s">
        <v>4</v>
      </c>
      <c r="G427" s="1">
        <v>45794</v>
      </c>
      <c r="H427" t="s">
        <v>41</v>
      </c>
      <c r="I427" s="2">
        <v>12273.41</v>
      </c>
      <c r="J427" t="s">
        <v>359</v>
      </c>
      <c r="K427" s="7">
        <v>45778</v>
      </c>
    </row>
    <row r="428" spans="1:11" hidden="1">
      <c r="A428" t="s">
        <v>360</v>
      </c>
      <c r="B428" t="s">
        <v>45</v>
      </c>
      <c r="C428" t="s">
        <v>14</v>
      </c>
      <c r="D428">
        <v>37</v>
      </c>
      <c r="E428" t="s">
        <v>9</v>
      </c>
      <c r="F428" s="1" t="s">
        <v>2</v>
      </c>
      <c r="G428" s="1">
        <v>45874</v>
      </c>
      <c r="H428" t="s">
        <v>41</v>
      </c>
      <c r="I428" s="2">
        <v>20272.2</v>
      </c>
      <c r="J428" t="s">
        <v>361</v>
      </c>
      <c r="K428" s="7">
        <v>45870</v>
      </c>
    </row>
    <row r="429" spans="1:11" hidden="1">
      <c r="A429" t="s">
        <v>99</v>
      </c>
      <c r="B429" t="s">
        <v>63</v>
      </c>
      <c r="C429" t="s">
        <v>14</v>
      </c>
      <c r="E429" t="s">
        <v>9</v>
      </c>
      <c r="F429" s="1" t="s">
        <v>5</v>
      </c>
      <c r="G429" s="1">
        <v>45900</v>
      </c>
      <c r="H429" t="s">
        <v>41</v>
      </c>
      <c r="I429" s="2">
        <v>20246.740000000002</v>
      </c>
      <c r="J429" t="s">
        <v>362</v>
      </c>
      <c r="K429" s="7">
        <v>45870</v>
      </c>
    </row>
    <row r="430" spans="1:11" hidden="1">
      <c r="A430" t="s">
        <v>114</v>
      </c>
      <c r="B430" t="s">
        <v>63</v>
      </c>
      <c r="C430" t="s">
        <v>12</v>
      </c>
      <c r="E430" t="s">
        <v>9</v>
      </c>
      <c r="F430" s="1" t="s">
        <v>2</v>
      </c>
      <c r="G430" s="1">
        <v>45968</v>
      </c>
      <c r="H430" t="s">
        <v>41</v>
      </c>
      <c r="I430" s="2">
        <v>20200.77</v>
      </c>
      <c r="J430" t="s">
        <v>363</v>
      </c>
      <c r="K430" s="7">
        <v>45962</v>
      </c>
    </row>
    <row r="431" spans="1:11" hidden="1">
      <c r="A431" t="s">
        <v>39</v>
      </c>
      <c r="B431" t="s">
        <v>40</v>
      </c>
      <c r="C431" t="s">
        <v>14</v>
      </c>
      <c r="E431" t="s">
        <v>9</v>
      </c>
      <c r="F431" s="1" t="s">
        <v>4</v>
      </c>
      <c r="G431" s="1">
        <v>45794</v>
      </c>
      <c r="H431" t="s">
        <v>41</v>
      </c>
      <c r="I431" s="2">
        <v>2322.84</v>
      </c>
      <c r="J431" t="s">
        <v>317</v>
      </c>
      <c r="K431" s="7">
        <v>45778</v>
      </c>
    </row>
    <row r="432" spans="1:11" hidden="1">
      <c r="A432" t="s">
        <v>39</v>
      </c>
      <c r="B432" t="s">
        <v>40</v>
      </c>
      <c r="C432" t="s">
        <v>14</v>
      </c>
      <c r="E432" t="s">
        <v>9</v>
      </c>
      <c r="F432" s="1" t="s">
        <v>4</v>
      </c>
      <c r="G432" s="1">
        <v>45794</v>
      </c>
      <c r="H432" t="s">
        <v>41</v>
      </c>
      <c r="I432" s="2">
        <v>1640</v>
      </c>
      <c r="J432" t="s">
        <v>198</v>
      </c>
      <c r="K432" s="7">
        <v>45778</v>
      </c>
    </row>
    <row r="433" spans="1:11" hidden="1">
      <c r="A433" t="s">
        <v>39</v>
      </c>
      <c r="B433" t="s">
        <v>40</v>
      </c>
      <c r="C433" t="s">
        <v>14</v>
      </c>
      <c r="E433" t="s">
        <v>9</v>
      </c>
      <c r="F433" s="1" t="s">
        <v>4</v>
      </c>
      <c r="G433" s="1">
        <v>45794</v>
      </c>
      <c r="H433" t="s">
        <v>64</v>
      </c>
      <c r="I433" s="2">
        <f>549454.85/508</f>
        <v>1081.6040354330707</v>
      </c>
      <c r="J433" t="s">
        <v>364</v>
      </c>
      <c r="K433" s="7">
        <v>45778</v>
      </c>
    </row>
    <row r="434" spans="1:11" hidden="1">
      <c r="A434" t="s">
        <v>39</v>
      </c>
      <c r="B434" t="s">
        <v>45</v>
      </c>
      <c r="C434" t="s">
        <v>13</v>
      </c>
      <c r="E434" t="s">
        <v>9</v>
      </c>
      <c r="F434" s="1" t="s">
        <v>3</v>
      </c>
      <c r="G434" s="1">
        <v>45974</v>
      </c>
      <c r="H434" t="s">
        <v>41</v>
      </c>
      <c r="I434" s="2">
        <v>20000</v>
      </c>
      <c r="J434" t="s">
        <v>365</v>
      </c>
      <c r="K434" s="7">
        <v>45962</v>
      </c>
    </row>
    <row r="435" spans="1:11" hidden="1">
      <c r="A435" t="s">
        <v>39</v>
      </c>
      <c r="B435" t="s">
        <v>45</v>
      </c>
      <c r="C435" t="s">
        <v>13</v>
      </c>
      <c r="E435" t="s">
        <v>9</v>
      </c>
      <c r="F435" s="1" t="s">
        <v>3</v>
      </c>
      <c r="G435" s="1">
        <v>45974</v>
      </c>
      <c r="H435" t="s">
        <v>41</v>
      </c>
      <c r="I435" s="2">
        <v>20000</v>
      </c>
      <c r="J435" t="s">
        <v>365</v>
      </c>
      <c r="K435" s="7">
        <v>45962</v>
      </c>
    </row>
    <row r="436" spans="1:11" hidden="1">
      <c r="A436" t="s">
        <v>39</v>
      </c>
      <c r="B436" t="s">
        <v>40</v>
      </c>
      <c r="C436" t="s">
        <v>14</v>
      </c>
      <c r="E436" t="s">
        <v>9</v>
      </c>
      <c r="F436" s="1" t="s">
        <v>4</v>
      </c>
      <c r="G436" s="1">
        <v>45823</v>
      </c>
      <c r="H436" t="s">
        <v>64</v>
      </c>
      <c r="I436" s="2">
        <f>255499/508</f>
        <v>502.95078740157481</v>
      </c>
      <c r="J436" t="s">
        <v>366</v>
      </c>
      <c r="K436" s="7">
        <v>45809</v>
      </c>
    </row>
    <row r="437" spans="1:11" hidden="1">
      <c r="A437" t="s">
        <v>39</v>
      </c>
      <c r="B437" t="s">
        <v>40</v>
      </c>
      <c r="C437" t="s">
        <v>12</v>
      </c>
      <c r="E437" t="s">
        <v>9</v>
      </c>
      <c r="F437" s="1" t="s">
        <v>4</v>
      </c>
      <c r="G437" s="1">
        <v>45824</v>
      </c>
      <c r="H437" t="s">
        <v>41</v>
      </c>
      <c r="I437" s="2">
        <v>5000</v>
      </c>
      <c r="J437" t="s">
        <v>367</v>
      </c>
      <c r="K437" s="7">
        <v>45809</v>
      </c>
    </row>
    <row r="438" spans="1:11" hidden="1">
      <c r="A438" t="s">
        <v>39</v>
      </c>
      <c r="B438" t="s">
        <v>63</v>
      </c>
      <c r="C438" t="s">
        <v>13</v>
      </c>
      <c r="E438" t="s">
        <v>9</v>
      </c>
      <c r="F438" s="1" t="s">
        <v>5</v>
      </c>
      <c r="G438" s="1">
        <v>45834</v>
      </c>
      <c r="H438" t="s">
        <v>41</v>
      </c>
      <c r="I438" s="2">
        <v>19811.439999999999</v>
      </c>
      <c r="J438" t="s">
        <v>158</v>
      </c>
      <c r="K438" s="7">
        <v>45809</v>
      </c>
    </row>
    <row r="439" spans="1:11" hidden="1">
      <c r="A439" t="s">
        <v>39</v>
      </c>
      <c r="B439" t="s">
        <v>40</v>
      </c>
      <c r="C439" t="s">
        <v>14</v>
      </c>
      <c r="D439">
        <v>10027256</v>
      </c>
      <c r="E439" t="s">
        <v>9</v>
      </c>
      <c r="F439" s="1" t="s">
        <v>2</v>
      </c>
      <c r="G439" s="1">
        <v>45876</v>
      </c>
      <c r="H439" t="s">
        <v>41</v>
      </c>
      <c r="I439" s="2">
        <v>19550</v>
      </c>
      <c r="J439" t="s">
        <v>368</v>
      </c>
      <c r="K439" s="7">
        <v>45870</v>
      </c>
    </row>
    <row r="440" spans="1:11" hidden="1">
      <c r="A440" t="s">
        <v>39</v>
      </c>
      <c r="B440" t="s">
        <v>40</v>
      </c>
      <c r="C440" t="s">
        <v>14</v>
      </c>
      <c r="E440" t="s">
        <v>9</v>
      </c>
      <c r="F440" s="1" t="s">
        <v>6</v>
      </c>
      <c r="G440" s="1">
        <v>45961</v>
      </c>
      <c r="H440" t="s">
        <v>41</v>
      </c>
      <c r="I440" s="2">
        <v>19550</v>
      </c>
      <c r="J440" t="s">
        <v>369</v>
      </c>
      <c r="K440" s="7">
        <v>45931</v>
      </c>
    </row>
    <row r="441" spans="1:11" hidden="1">
      <c r="A441" t="s">
        <v>39</v>
      </c>
      <c r="B441" t="s">
        <v>40</v>
      </c>
      <c r="C441" t="s">
        <v>14</v>
      </c>
      <c r="E441" t="s">
        <v>9</v>
      </c>
      <c r="F441" s="1" t="s">
        <v>4</v>
      </c>
      <c r="G441" s="1">
        <v>45824</v>
      </c>
      <c r="H441" t="s">
        <v>41</v>
      </c>
      <c r="I441" s="2">
        <v>5000</v>
      </c>
      <c r="J441" t="s">
        <v>370</v>
      </c>
      <c r="K441" s="7">
        <v>45809</v>
      </c>
    </row>
    <row r="442" spans="1:11" hidden="1">
      <c r="A442" t="s">
        <v>39</v>
      </c>
      <c r="B442" t="s">
        <v>47</v>
      </c>
      <c r="C442" t="s">
        <v>13</v>
      </c>
      <c r="D442">
        <v>10026770</v>
      </c>
      <c r="E442" t="s">
        <v>9</v>
      </c>
      <c r="F442" s="1" t="s">
        <v>2</v>
      </c>
      <c r="G442" s="1">
        <v>45814</v>
      </c>
      <c r="H442" t="s">
        <v>41</v>
      </c>
      <c r="I442" s="2">
        <v>19533.77</v>
      </c>
      <c r="J442" t="s">
        <v>371</v>
      </c>
      <c r="K442" s="7">
        <v>45809</v>
      </c>
    </row>
    <row r="443" spans="1:11" hidden="1">
      <c r="A443" t="s">
        <v>39</v>
      </c>
      <c r="B443" t="s">
        <v>40</v>
      </c>
      <c r="C443" t="s">
        <v>14</v>
      </c>
      <c r="E443" t="s">
        <v>9</v>
      </c>
      <c r="F443" s="1" t="s">
        <v>2</v>
      </c>
      <c r="G443" s="1">
        <v>45993</v>
      </c>
      <c r="H443" t="s">
        <v>64</v>
      </c>
      <c r="I443" s="2">
        <f>9927800/510</f>
        <v>19466.274509803923</v>
      </c>
      <c r="J443" t="s">
        <v>372</v>
      </c>
      <c r="K443" s="7">
        <v>45992</v>
      </c>
    </row>
    <row r="444" spans="1:11" hidden="1">
      <c r="A444" t="s">
        <v>39</v>
      </c>
      <c r="B444" t="s">
        <v>40</v>
      </c>
      <c r="C444" t="s">
        <v>14</v>
      </c>
      <c r="E444" t="s">
        <v>9</v>
      </c>
      <c r="F444" s="1" t="s">
        <v>4</v>
      </c>
      <c r="G444" s="1">
        <v>45824</v>
      </c>
      <c r="H444" t="s">
        <v>41</v>
      </c>
      <c r="I444" s="2">
        <v>5000</v>
      </c>
      <c r="J444" t="s">
        <v>373</v>
      </c>
      <c r="K444" s="7">
        <v>45809</v>
      </c>
    </row>
    <row r="445" spans="1:11" hidden="1">
      <c r="A445" t="s">
        <v>39</v>
      </c>
      <c r="B445" t="s">
        <v>63</v>
      </c>
      <c r="C445" t="s">
        <v>13</v>
      </c>
      <c r="E445" t="s">
        <v>9</v>
      </c>
      <c r="F445" s="1" t="s">
        <v>5</v>
      </c>
      <c r="G445" s="1">
        <v>45833</v>
      </c>
      <c r="H445" t="s">
        <v>41</v>
      </c>
      <c r="I445" s="2">
        <v>19326.060000000001</v>
      </c>
      <c r="J445" t="s">
        <v>157</v>
      </c>
      <c r="K445" s="7">
        <v>45809</v>
      </c>
    </row>
    <row r="446" spans="1:11" hidden="1">
      <c r="A446" t="s">
        <v>39</v>
      </c>
      <c r="B446" t="s">
        <v>63</v>
      </c>
      <c r="C446" t="s">
        <v>13</v>
      </c>
      <c r="D446">
        <v>10027052</v>
      </c>
      <c r="E446" t="s">
        <v>9</v>
      </c>
      <c r="F446" s="1" t="s">
        <v>3</v>
      </c>
      <c r="G446" s="1">
        <v>45849</v>
      </c>
      <c r="H446" t="s">
        <v>41</v>
      </c>
      <c r="I446" s="2">
        <v>19326.060000000001</v>
      </c>
      <c r="J446" t="s">
        <v>157</v>
      </c>
      <c r="K446" s="7">
        <v>45839</v>
      </c>
    </row>
    <row r="447" spans="1:11" hidden="1">
      <c r="A447" t="s">
        <v>39</v>
      </c>
      <c r="B447" t="s">
        <v>40</v>
      </c>
      <c r="C447" t="s">
        <v>12</v>
      </c>
      <c r="E447" t="s">
        <v>9</v>
      </c>
      <c r="F447" s="1" t="s">
        <v>4</v>
      </c>
      <c r="G447" s="1">
        <v>45824</v>
      </c>
      <c r="H447" t="s">
        <v>64</v>
      </c>
      <c r="I447" s="2">
        <v>4000</v>
      </c>
      <c r="J447" t="s">
        <v>374</v>
      </c>
      <c r="K447" s="7">
        <v>45809</v>
      </c>
    </row>
    <row r="448" spans="1:11" hidden="1">
      <c r="A448" t="s">
        <v>39</v>
      </c>
      <c r="B448" t="s">
        <v>40</v>
      </c>
      <c r="C448" t="s">
        <v>14</v>
      </c>
      <c r="D448">
        <v>10028423</v>
      </c>
      <c r="E448" t="s">
        <v>9</v>
      </c>
      <c r="F448" s="1" t="s">
        <v>2</v>
      </c>
      <c r="G448" s="1">
        <v>46056</v>
      </c>
      <c r="H448" t="s">
        <v>41</v>
      </c>
      <c r="I448" s="2">
        <v>3840</v>
      </c>
      <c r="J448" t="s">
        <v>375</v>
      </c>
      <c r="K448" s="7">
        <v>46054</v>
      </c>
    </row>
    <row r="449" spans="1:11" hidden="1">
      <c r="A449" t="s">
        <v>39</v>
      </c>
      <c r="B449" t="s">
        <v>40</v>
      </c>
      <c r="C449" t="s">
        <v>14</v>
      </c>
      <c r="E449" t="s">
        <v>9</v>
      </c>
      <c r="F449" s="1" t="s">
        <v>2</v>
      </c>
      <c r="G449" s="1">
        <v>45812</v>
      </c>
      <c r="H449" t="s">
        <v>64</v>
      </c>
      <c r="I449" s="2">
        <f>9702730/508</f>
        <v>19099.86220472441</v>
      </c>
      <c r="J449" t="s">
        <v>376</v>
      </c>
      <c r="K449" s="7">
        <v>45809</v>
      </c>
    </row>
    <row r="450" spans="1:11">
      <c r="A450" t="s">
        <v>39</v>
      </c>
      <c r="B450" t="s">
        <v>47</v>
      </c>
      <c r="C450" t="s">
        <v>12</v>
      </c>
      <c r="E450" t="s">
        <v>9</v>
      </c>
      <c r="F450" s="1" t="s">
        <v>2</v>
      </c>
      <c r="G450" s="1">
        <v>46056</v>
      </c>
      <c r="H450" t="s">
        <v>41</v>
      </c>
      <c r="I450" s="2">
        <v>3225</v>
      </c>
      <c r="J450" t="s">
        <v>377</v>
      </c>
      <c r="K450" s="7">
        <v>46054</v>
      </c>
    </row>
    <row r="451" spans="1:11" hidden="1">
      <c r="A451" t="s">
        <v>39</v>
      </c>
      <c r="B451" t="s">
        <v>45</v>
      </c>
      <c r="C451" t="s">
        <v>12</v>
      </c>
      <c r="D451">
        <v>10026518</v>
      </c>
      <c r="E451" t="s">
        <v>9</v>
      </c>
      <c r="F451" s="1" t="s">
        <v>3</v>
      </c>
      <c r="G451" s="1">
        <v>45784</v>
      </c>
      <c r="H451" t="s">
        <v>41</v>
      </c>
      <c r="I451" s="2">
        <v>18885.5</v>
      </c>
      <c r="J451" t="s">
        <v>378</v>
      </c>
      <c r="K451" s="7">
        <v>45778</v>
      </c>
    </row>
    <row r="452" spans="1:11" hidden="1">
      <c r="A452" t="s">
        <v>39</v>
      </c>
      <c r="B452" t="s">
        <v>45</v>
      </c>
      <c r="C452" t="s">
        <v>12</v>
      </c>
      <c r="E452" t="s">
        <v>9</v>
      </c>
      <c r="F452" s="1" t="s">
        <v>6</v>
      </c>
      <c r="G452" s="1">
        <v>45961</v>
      </c>
      <c r="H452" t="s">
        <v>41</v>
      </c>
      <c r="I452" s="2">
        <v>18709.650000000001</v>
      </c>
      <c r="J452" t="s">
        <v>379</v>
      </c>
      <c r="K452" s="7">
        <v>45931</v>
      </c>
    </row>
    <row r="453" spans="1:11" hidden="1">
      <c r="A453" t="s">
        <v>39</v>
      </c>
      <c r="B453" t="s">
        <v>40</v>
      </c>
      <c r="C453" t="s">
        <v>14</v>
      </c>
      <c r="E453" t="s">
        <v>9</v>
      </c>
      <c r="F453" s="1" t="s">
        <v>2</v>
      </c>
      <c r="G453" s="1">
        <v>46056</v>
      </c>
      <c r="H453" t="s">
        <v>41</v>
      </c>
      <c r="I453" s="2">
        <v>1500</v>
      </c>
      <c r="J453" s="47" t="s">
        <v>380</v>
      </c>
      <c r="K453" s="7">
        <v>46054</v>
      </c>
    </row>
    <row r="454" spans="1:11" hidden="1">
      <c r="A454" t="s">
        <v>39</v>
      </c>
      <c r="B454" t="s">
        <v>40</v>
      </c>
      <c r="C454" t="s">
        <v>14</v>
      </c>
      <c r="E454" t="s">
        <v>9</v>
      </c>
      <c r="F454" s="1" t="s">
        <v>4</v>
      </c>
      <c r="G454" s="1">
        <v>45824</v>
      </c>
      <c r="H454" t="s">
        <v>41</v>
      </c>
      <c r="I454" s="2">
        <v>3028</v>
      </c>
      <c r="J454" t="s">
        <v>370</v>
      </c>
      <c r="K454" s="7">
        <v>45809</v>
      </c>
    </row>
    <row r="455" spans="1:11" hidden="1">
      <c r="A455" t="s">
        <v>39</v>
      </c>
      <c r="B455" t="s">
        <v>40</v>
      </c>
      <c r="C455" t="s">
        <v>14</v>
      </c>
      <c r="E455" t="s">
        <v>9</v>
      </c>
      <c r="F455" s="1" t="s">
        <v>4</v>
      </c>
      <c r="G455" s="1">
        <v>45824</v>
      </c>
      <c r="H455" t="s">
        <v>41</v>
      </c>
      <c r="I455" s="2">
        <v>3000</v>
      </c>
      <c r="J455" t="s">
        <v>381</v>
      </c>
      <c r="K455" s="7">
        <v>45809</v>
      </c>
    </row>
    <row r="456" spans="1:11" hidden="1">
      <c r="A456" t="s">
        <v>39</v>
      </c>
      <c r="B456" t="s">
        <v>40</v>
      </c>
      <c r="C456" t="s">
        <v>14</v>
      </c>
      <c r="D456">
        <v>10027293</v>
      </c>
      <c r="E456" t="s">
        <v>9</v>
      </c>
      <c r="F456" s="1" t="s">
        <v>3</v>
      </c>
      <c r="G456" s="1">
        <v>45880</v>
      </c>
      <c r="H456" t="s">
        <v>41</v>
      </c>
      <c r="I456" s="2">
        <v>18302</v>
      </c>
      <c r="J456" t="s">
        <v>382</v>
      </c>
      <c r="K456" s="7">
        <v>45870</v>
      </c>
    </row>
    <row r="457" spans="1:11" hidden="1">
      <c r="A457" t="s">
        <v>39</v>
      </c>
      <c r="B457" t="s">
        <v>45</v>
      </c>
      <c r="C457" t="s">
        <v>14</v>
      </c>
      <c r="D457">
        <v>10026723</v>
      </c>
      <c r="E457" t="s">
        <v>9</v>
      </c>
      <c r="F457" s="1" t="s">
        <v>6</v>
      </c>
      <c r="G457" s="1">
        <v>45808</v>
      </c>
      <c r="H457" t="s">
        <v>41</v>
      </c>
      <c r="I457" s="2">
        <v>18275.150000000001</v>
      </c>
      <c r="J457" t="s">
        <v>91</v>
      </c>
      <c r="K457" s="7">
        <v>45778</v>
      </c>
    </row>
    <row r="458" spans="1:11" hidden="1">
      <c r="A458" t="s">
        <v>39</v>
      </c>
      <c r="B458" t="s">
        <v>45</v>
      </c>
      <c r="C458" t="s">
        <v>14</v>
      </c>
      <c r="D458">
        <v>10026724</v>
      </c>
      <c r="E458" t="s">
        <v>9</v>
      </c>
      <c r="F458" s="1" t="s">
        <v>6</v>
      </c>
      <c r="G458" s="1">
        <v>45808</v>
      </c>
      <c r="H458" t="s">
        <v>41</v>
      </c>
      <c r="I458" s="2">
        <v>18275.150000000001</v>
      </c>
      <c r="J458" t="s">
        <v>91</v>
      </c>
      <c r="K458" s="7">
        <v>45778</v>
      </c>
    </row>
    <row r="459" spans="1:11" hidden="1">
      <c r="A459" t="s">
        <v>39</v>
      </c>
      <c r="B459" t="s">
        <v>63</v>
      </c>
      <c r="C459" t="s">
        <v>12</v>
      </c>
      <c r="E459" t="s">
        <v>9</v>
      </c>
      <c r="F459" s="1" t="s">
        <v>3</v>
      </c>
      <c r="G459" s="1">
        <v>45786</v>
      </c>
      <c r="H459" t="s">
        <v>41</v>
      </c>
      <c r="I459" s="2">
        <v>18137.72</v>
      </c>
      <c r="J459" t="s">
        <v>383</v>
      </c>
      <c r="K459" s="7">
        <v>45778</v>
      </c>
    </row>
    <row r="460" spans="1:11" hidden="1">
      <c r="A460" t="s">
        <v>39</v>
      </c>
      <c r="B460" t="s">
        <v>40</v>
      </c>
      <c r="C460" t="s">
        <v>14</v>
      </c>
      <c r="E460" t="s">
        <v>9</v>
      </c>
      <c r="F460" s="1" t="s">
        <v>5</v>
      </c>
      <c r="G460" s="1">
        <v>45798</v>
      </c>
      <c r="H460" t="s">
        <v>41</v>
      </c>
      <c r="I460" s="2">
        <v>18000</v>
      </c>
      <c r="J460" t="s">
        <v>379</v>
      </c>
      <c r="K460" s="7">
        <v>45778</v>
      </c>
    </row>
    <row r="461" spans="1:11" hidden="1">
      <c r="A461" t="s">
        <v>39</v>
      </c>
      <c r="B461" t="s">
        <v>40</v>
      </c>
      <c r="C461" t="s">
        <v>14</v>
      </c>
      <c r="E461" t="s">
        <v>9</v>
      </c>
      <c r="F461" s="1" t="s">
        <v>4</v>
      </c>
      <c r="G461" s="1">
        <v>45824</v>
      </c>
      <c r="H461" t="s">
        <v>41</v>
      </c>
      <c r="I461" s="2">
        <v>2895</v>
      </c>
      <c r="J461" t="s">
        <v>381</v>
      </c>
      <c r="K461" s="7">
        <v>45809</v>
      </c>
    </row>
    <row r="462" spans="1:11">
      <c r="A462" t="s">
        <v>39</v>
      </c>
      <c r="B462" t="s">
        <v>47</v>
      </c>
      <c r="C462" t="s">
        <v>12</v>
      </c>
      <c r="E462" t="s">
        <v>9</v>
      </c>
      <c r="F462" s="1" t="s">
        <v>2</v>
      </c>
      <c r="G462" s="1">
        <v>46056</v>
      </c>
      <c r="H462" t="s">
        <v>41</v>
      </c>
      <c r="I462" s="2">
        <v>1288.6400000000001</v>
      </c>
      <c r="J462" t="s">
        <v>384</v>
      </c>
      <c r="K462" s="7">
        <v>46054</v>
      </c>
    </row>
    <row r="463" spans="1:11" hidden="1">
      <c r="A463" t="s">
        <v>39</v>
      </c>
      <c r="B463" t="s">
        <v>47</v>
      </c>
      <c r="C463" t="s">
        <v>13</v>
      </c>
      <c r="E463" t="s">
        <v>9</v>
      </c>
      <c r="F463" s="1" t="s">
        <v>3</v>
      </c>
      <c r="G463" s="1">
        <v>45911</v>
      </c>
      <c r="H463" t="s">
        <v>41</v>
      </c>
      <c r="I463" s="2">
        <v>17984.259999999998</v>
      </c>
      <c r="J463" t="s">
        <v>185</v>
      </c>
      <c r="K463" s="7">
        <v>45901</v>
      </c>
    </row>
    <row r="464" spans="1:11" hidden="1">
      <c r="A464" t="s">
        <v>39</v>
      </c>
      <c r="B464" t="s">
        <v>63</v>
      </c>
      <c r="C464" t="s">
        <v>14</v>
      </c>
      <c r="E464" t="s">
        <v>9</v>
      </c>
      <c r="F464" s="1" t="s">
        <v>3</v>
      </c>
      <c r="G464" s="1">
        <v>45883</v>
      </c>
      <c r="H464" t="s">
        <v>41</v>
      </c>
      <c r="I464" s="2">
        <v>17892.349999999999</v>
      </c>
      <c r="J464" t="s">
        <v>385</v>
      </c>
      <c r="K464" s="7">
        <v>45870</v>
      </c>
    </row>
    <row r="465" spans="1:11" hidden="1">
      <c r="A465" t="s">
        <v>39</v>
      </c>
      <c r="B465" t="s">
        <v>40</v>
      </c>
      <c r="C465" t="s">
        <v>12</v>
      </c>
      <c r="E465" t="s">
        <v>9</v>
      </c>
      <c r="F465" s="1" t="s">
        <v>6</v>
      </c>
      <c r="G465" s="1">
        <v>45866</v>
      </c>
      <c r="H465" t="s">
        <v>41</v>
      </c>
      <c r="I465" s="2">
        <v>17882</v>
      </c>
      <c r="J465" t="s">
        <v>386</v>
      </c>
      <c r="K465" s="7">
        <v>45839</v>
      </c>
    </row>
    <row r="466" spans="1:11" hidden="1">
      <c r="A466" t="s">
        <v>39</v>
      </c>
      <c r="B466" t="s">
        <v>47</v>
      </c>
      <c r="C466" t="s">
        <v>14</v>
      </c>
      <c r="E466" t="s">
        <v>9</v>
      </c>
      <c r="F466" s="1" t="s">
        <v>2</v>
      </c>
      <c r="G466" s="1">
        <v>45996</v>
      </c>
      <c r="H466" t="s">
        <v>41</v>
      </c>
      <c r="I466" s="2">
        <v>17881.57</v>
      </c>
      <c r="J466" t="s">
        <v>387</v>
      </c>
      <c r="K466" s="7">
        <v>45992</v>
      </c>
    </row>
    <row r="467" spans="1:11" hidden="1">
      <c r="A467" t="s">
        <v>114</v>
      </c>
      <c r="B467" t="s">
        <v>63</v>
      </c>
      <c r="C467" t="s">
        <v>14</v>
      </c>
      <c r="E467" t="s">
        <v>9</v>
      </c>
      <c r="F467" s="1" t="s">
        <v>3</v>
      </c>
      <c r="G467" s="1">
        <v>45937</v>
      </c>
      <c r="H467" t="s">
        <v>41</v>
      </c>
      <c r="I467" s="2">
        <v>17858.25</v>
      </c>
      <c r="J467" t="s">
        <v>388</v>
      </c>
      <c r="K467" s="7">
        <v>45931</v>
      </c>
    </row>
    <row r="468" spans="1:11" hidden="1">
      <c r="A468" t="s">
        <v>39</v>
      </c>
      <c r="B468" t="s">
        <v>40</v>
      </c>
      <c r="C468" t="s">
        <v>14</v>
      </c>
      <c r="E468" t="s">
        <v>9</v>
      </c>
      <c r="F468" s="1" t="s">
        <v>4</v>
      </c>
      <c r="G468" s="1">
        <v>45824</v>
      </c>
      <c r="H468" t="s">
        <v>41</v>
      </c>
      <c r="I468" s="2">
        <v>2730</v>
      </c>
      <c r="J468" t="s">
        <v>389</v>
      </c>
      <c r="K468" s="7">
        <v>45809</v>
      </c>
    </row>
    <row r="469" spans="1:11" hidden="1">
      <c r="A469" t="s">
        <v>39</v>
      </c>
      <c r="B469" t="s">
        <v>40</v>
      </c>
      <c r="C469" t="s">
        <v>14</v>
      </c>
      <c r="E469" t="s">
        <v>9</v>
      </c>
      <c r="F469" s="1" t="s">
        <v>2</v>
      </c>
      <c r="G469" s="1">
        <v>46056</v>
      </c>
      <c r="H469" t="s">
        <v>41</v>
      </c>
      <c r="I469" s="2">
        <v>522</v>
      </c>
      <c r="J469" t="s">
        <v>390</v>
      </c>
      <c r="K469" s="7">
        <v>46054</v>
      </c>
    </row>
    <row r="470" spans="1:11" hidden="1">
      <c r="A470" t="s">
        <v>39</v>
      </c>
      <c r="B470" t="s">
        <v>47</v>
      </c>
      <c r="C470" t="s">
        <v>14</v>
      </c>
      <c r="D470">
        <v>10026720</v>
      </c>
      <c r="E470" t="s">
        <v>9</v>
      </c>
      <c r="F470" s="1" t="s">
        <v>6</v>
      </c>
      <c r="G470" s="1">
        <v>45807</v>
      </c>
      <c r="H470" t="s">
        <v>41</v>
      </c>
      <c r="I470" s="2">
        <v>17645.79</v>
      </c>
      <c r="J470" t="s">
        <v>391</v>
      </c>
      <c r="K470" s="7">
        <v>45778</v>
      </c>
    </row>
    <row r="471" spans="1:11" hidden="1">
      <c r="A471" t="s">
        <v>114</v>
      </c>
      <c r="B471" t="s">
        <v>63</v>
      </c>
      <c r="C471" t="s">
        <v>14</v>
      </c>
      <c r="E471" t="s">
        <v>9</v>
      </c>
      <c r="F471" s="1" t="s">
        <v>2</v>
      </c>
      <c r="G471" s="1">
        <v>45994</v>
      </c>
      <c r="H471" t="s">
        <v>41</v>
      </c>
      <c r="I471" s="2">
        <v>17547.150000000001</v>
      </c>
      <c r="J471" t="s">
        <v>392</v>
      </c>
      <c r="K471" s="7">
        <v>45992</v>
      </c>
    </row>
    <row r="472" spans="1:11" hidden="1">
      <c r="A472" t="s">
        <v>39</v>
      </c>
      <c r="B472" t="s">
        <v>63</v>
      </c>
      <c r="C472" t="s">
        <v>13</v>
      </c>
      <c r="D472">
        <v>10026858</v>
      </c>
      <c r="E472" t="s">
        <v>9</v>
      </c>
      <c r="F472" s="1" t="s">
        <v>4</v>
      </c>
      <c r="G472" s="1">
        <v>45824</v>
      </c>
      <c r="H472" t="s">
        <v>64</v>
      </c>
      <c r="I472" s="2">
        <f>1362551/508</f>
        <v>2682.1870078740158</v>
      </c>
      <c r="J472" t="s">
        <v>160</v>
      </c>
      <c r="K472" s="7">
        <v>45809</v>
      </c>
    </row>
    <row r="473" spans="1:11" hidden="1">
      <c r="A473" t="s">
        <v>39</v>
      </c>
      <c r="B473" t="s">
        <v>40</v>
      </c>
      <c r="C473" t="s">
        <v>14</v>
      </c>
      <c r="D473">
        <v>10026534</v>
      </c>
      <c r="E473" t="s">
        <v>9</v>
      </c>
      <c r="F473" s="1" t="s">
        <v>3</v>
      </c>
      <c r="G473" s="1">
        <v>45786</v>
      </c>
      <c r="H473" t="s">
        <v>41</v>
      </c>
      <c r="I473" s="2">
        <v>17500</v>
      </c>
      <c r="J473" t="s">
        <v>393</v>
      </c>
      <c r="K473" s="7">
        <v>45778</v>
      </c>
    </row>
    <row r="474" spans="1:11" hidden="1">
      <c r="A474" t="s">
        <v>99</v>
      </c>
      <c r="B474" t="s">
        <v>63</v>
      </c>
      <c r="C474" t="s">
        <v>14</v>
      </c>
      <c r="E474" t="s">
        <v>9</v>
      </c>
      <c r="F474" s="1" t="s">
        <v>3</v>
      </c>
      <c r="G474" s="1">
        <v>45913</v>
      </c>
      <c r="H474" t="s">
        <v>41</v>
      </c>
      <c r="I474" s="2">
        <v>17412.939999999999</v>
      </c>
      <c r="J474" t="s">
        <v>394</v>
      </c>
      <c r="K474" s="7">
        <v>45901</v>
      </c>
    </row>
    <row r="475" spans="1:11" hidden="1">
      <c r="A475" t="s">
        <v>39</v>
      </c>
      <c r="B475" t="s">
        <v>47</v>
      </c>
      <c r="C475" t="s">
        <v>14</v>
      </c>
      <c r="E475" t="s">
        <v>9</v>
      </c>
      <c r="F475" s="1" t="s">
        <v>2</v>
      </c>
      <c r="G475" s="1">
        <v>45905</v>
      </c>
      <c r="H475" t="s">
        <v>41</v>
      </c>
      <c r="I475" s="2">
        <v>17373.55</v>
      </c>
      <c r="J475" t="s">
        <v>329</v>
      </c>
      <c r="K475" s="7">
        <v>45901</v>
      </c>
    </row>
    <row r="476" spans="1:11" hidden="1">
      <c r="A476" t="s">
        <v>99</v>
      </c>
      <c r="B476" t="s">
        <v>63</v>
      </c>
      <c r="C476" t="s">
        <v>14</v>
      </c>
      <c r="E476" t="s">
        <v>9</v>
      </c>
      <c r="F476" s="1" t="s">
        <v>5</v>
      </c>
      <c r="G476" s="1">
        <v>45864</v>
      </c>
      <c r="H476" t="s">
        <v>41</v>
      </c>
      <c r="I476" s="2">
        <v>17229.55</v>
      </c>
      <c r="J476" t="s">
        <v>395</v>
      </c>
      <c r="K476" s="7">
        <v>45839</v>
      </c>
    </row>
    <row r="477" spans="1:11" hidden="1">
      <c r="A477" t="s">
        <v>39</v>
      </c>
      <c r="B477" t="s">
        <v>47</v>
      </c>
      <c r="C477" t="s">
        <v>14</v>
      </c>
      <c r="D477">
        <v>10026843</v>
      </c>
      <c r="E477" t="s">
        <v>9</v>
      </c>
      <c r="F477" s="1" t="s">
        <v>4</v>
      </c>
      <c r="G477" s="1">
        <v>45824</v>
      </c>
      <c r="H477" t="s">
        <v>41</v>
      </c>
      <c r="I477" s="2">
        <v>2420.8000000000002</v>
      </c>
      <c r="J477" t="s">
        <v>396</v>
      </c>
      <c r="K477" s="7">
        <v>45809</v>
      </c>
    </row>
    <row r="478" spans="1:11" hidden="1">
      <c r="A478" t="s">
        <v>39</v>
      </c>
      <c r="B478" t="s">
        <v>63</v>
      </c>
      <c r="C478" t="s">
        <v>12</v>
      </c>
      <c r="E478" t="s">
        <v>9</v>
      </c>
      <c r="F478" s="1" t="s">
        <v>2</v>
      </c>
      <c r="G478" s="1">
        <v>45877</v>
      </c>
      <c r="H478" t="s">
        <v>41</v>
      </c>
      <c r="I478" s="2">
        <v>17155.73</v>
      </c>
      <c r="J478" t="s">
        <v>397</v>
      </c>
      <c r="K478" s="7">
        <v>45870</v>
      </c>
    </row>
    <row r="479" spans="1:11" hidden="1">
      <c r="A479" t="s">
        <v>39</v>
      </c>
      <c r="B479" t="s">
        <v>47</v>
      </c>
      <c r="C479" t="s">
        <v>14</v>
      </c>
      <c r="E479" t="s">
        <v>9</v>
      </c>
      <c r="F479" s="1" t="s">
        <v>3</v>
      </c>
      <c r="G479" s="1">
        <v>45912</v>
      </c>
      <c r="H479" t="s">
        <v>41</v>
      </c>
      <c r="I479" s="2">
        <v>17094.53</v>
      </c>
      <c r="J479" t="s">
        <v>398</v>
      </c>
      <c r="K479" s="7">
        <v>45901</v>
      </c>
    </row>
    <row r="480" spans="1:11" hidden="1">
      <c r="A480" t="s">
        <v>39</v>
      </c>
      <c r="B480" t="s">
        <v>47</v>
      </c>
      <c r="C480" t="s">
        <v>12</v>
      </c>
      <c r="E480" t="s">
        <v>9</v>
      </c>
      <c r="F480" s="1" t="s">
        <v>5</v>
      </c>
      <c r="G480" s="1">
        <v>45986</v>
      </c>
      <c r="H480" t="s">
        <v>41</v>
      </c>
      <c r="I480" s="2">
        <v>17059.82</v>
      </c>
      <c r="J480" s="47" t="s">
        <v>399</v>
      </c>
      <c r="K480" s="7">
        <v>45962</v>
      </c>
    </row>
    <row r="481" spans="1:11" hidden="1">
      <c r="A481" t="s">
        <v>39</v>
      </c>
      <c r="B481" t="s">
        <v>47</v>
      </c>
      <c r="C481" t="s">
        <v>14</v>
      </c>
      <c r="D481">
        <v>10026865</v>
      </c>
      <c r="E481" t="s">
        <v>9</v>
      </c>
      <c r="F481" s="1" t="s">
        <v>4</v>
      </c>
      <c r="G481" s="1">
        <v>45824</v>
      </c>
      <c r="H481" t="s">
        <v>41</v>
      </c>
      <c r="I481" s="2">
        <v>2058.2199999999998</v>
      </c>
      <c r="J481" t="s">
        <v>400</v>
      </c>
      <c r="K481" s="7">
        <v>45809</v>
      </c>
    </row>
    <row r="482" spans="1:11" hidden="1">
      <c r="A482" t="s">
        <v>39</v>
      </c>
      <c r="B482" t="s">
        <v>47</v>
      </c>
      <c r="C482" t="s">
        <v>14</v>
      </c>
      <c r="D482">
        <v>10026841</v>
      </c>
      <c r="E482" t="s">
        <v>9</v>
      </c>
      <c r="F482" s="1" t="s">
        <v>4</v>
      </c>
      <c r="G482" s="1">
        <v>45824</v>
      </c>
      <c r="H482" t="s">
        <v>41</v>
      </c>
      <c r="I482" s="2">
        <v>2042.89</v>
      </c>
      <c r="J482" t="s">
        <v>401</v>
      </c>
      <c r="K482" s="7">
        <v>45809</v>
      </c>
    </row>
    <row r="483" spans="1:11" hidden="1">
      <c r="A483" t="s">
        <v>39</v>
      </c>
      <c r="B483" t="s">
        <v>63</v>
      </c>
      <c r="C483" t="s">
        <v>12</v>
      </c>
      <c r="E483" t="s">
        <v>9</v>
      </c>
      <c r="F483" s="1" t="s">
        <v>2</v>
      </c>
      <c r="G483" s="1">
        <v>45903</v>
      </c>
      <c r="H483" t="s">
        <v>41</v>
      </c>
      <c r="I483" s="2">
        <v>17018.11</v>
      </c>
      <c r="J483" t="s">
        <v>402</v>
      </c>
      <c r="K483" s="7">
        <v>45901</v>
      </c>
    </row>
    <row r="484" spans="1:11" hidden="1">
      <c r="A484" t="s">
        <v>39</v>
      </c>
      <c r="B484" t="s">
        <v>63</v>
      </c>
      <c r="C484" t="s">
        <v>12</v>
      </c>
      <c r="D484">
        <v>10026768</v>
      </c>
      <c r="E484" t="s">
        <v>9</v>
      </c>
      <c r="F484" s="1" t="s">
        <v>2</v>
      </c>
      <c r="G484" s="1">
        <v>45814</v>
      </c>
      <c r="H484" t="s">
        <v>41</v>
      </c>
      <c r="I484" s="2">
        <v>17014.45</v>
      </c>
      <c r="J484" t="s">
        <v>403</v>
      </c>
      <c r="K484" s="7">
        <v>45809</v>
      </c>
    </row>
    <row r="485" spans="1:11" hidden="1">
      <c r="A485" t="s">
        <v>56</v>
      </c>
      <c r="B485" t="s">
        <v>40</v>
      </c>
      <c r="C485" t="s">
        <v>14</v>
      </c>
      <c r="E485" t="s">
        <v>9</v>
      </c>
      <c r="F485" s="1" t="s">
        <v>5</v>
      </c>
      <c r="G485" s="1">
        <v>45831</v>
      </c>
      <c r="H485" t="s">
        <v>41</v>
      </c>
      <c r="I485" s="2">
        <v>17000</v>
      </c>
      <c r="J485" t="s">
        <v>404</v>
      </c>
      <c r="K485" s="7">
        <v>45809</v>
      </c>
    </row>
    <row r="486" spans="1:11" hidden="1">
      <c r="A486" t="s">
        <v>39</v>
      </c>
      <c r="B486" t="s">
        <v>47</v>
      </c>
      <c r="C486" t="s">
        <v>12</v>
      </c>
      <c r="E486" t="s">
        <v>9</v>
      </c>
      <c r="F486" s="1" t="s">
        <v>5</v>
      </c>
      <c r="G486" s="1">
        <v>45926</v>
      </c>
      <c r="H486" t="s">
        <v>41</v>
      </c>
      <c r="I486" s="2">
        <v>17000</v>
      </c>
      <c r="J486" t="s">
        <v>405</v>
      </c>
      <c r="K486" s="7">
        <v>45901</v>
      </c>
    </row>
    <row r="487" spans="1:11" hidden="1">
      <c r="A487" t="s">
        <v>39</v>
      </c>
      <c r="B487" t="s">
        <v>406</v>
      </c>
      <c r="C487" t="s">
        <v>14</v>
      </c>
      <c r="E487" t="s">
        <v>9</v>
      </c>
      <c r="F487" s="1" t="s">
        <v>2</v>
      </c>
      <c r="G487" s="1">
        <v>45968</v>
      </c>
      <c r="H487" t="s">
        <v>41</v>
      </c>
      <c r="I487" s="2">
        <v>17000</v>
      </c>
      <c r="J487" s="47" t="s">
        <v>407</v>
      </c>
      <c r="K487" s="7">
        <v>45962</v>
      </c>
    </row>
    <row r="488" spans="1:11" hidden="1">
      <c r="A488" t="s">
        <v>39</v>
      </c>
      <c r="B488" t="s">
        <v>40</v>
      </c>
      <c r="C488" t="s">
        <v>12</v>
      </c>
      <c r="E488" t="s">
        <v>9</v>
      </c>
      <c r="F488" s="1" t="s">
        <v>3</v>
      </c>
      <c r="G488" s="1">
        <v>45850</v>
      </c>
      <c r="H488" t="s">
        <v>41</v>
      </c>
      <c r="I488" s="2">
        <v>16800</v>
      </c>
      <c r="J488" t="s">
        <v>408</v>
      </c>
      <c r="K488" s="7">
        <v>45839</v>
      </c>
    </row>
    <row r="489" spans="1:11" hidden="1">
      <c r="A489" t="s">
        <v>114</v>
      </c>
      <c r="B489" t="s">
        <v>63</v>
      </c>
      <c r="C489" t="s">
        <v>14</v>
      </c>
      <c r="E489" t="s">
        <v>9</v>
      </c>
      <c r="F489" s="1" t="s">
        <v>5</v>
      </c>
      <c r="G489" s="1">
        <v>46048</v>
      </c>
      <c r="H489" t="s">
        <v>64</v>
      </c>
      <c r="I489" s="2">
        <f>8317563.04/496</f>
        <v>16769.280322580646</v>
      </c>
      <c r="J489" t="s">
        <v>334</v>
      </c>
      <c r="K489" s="7">
        <v>46023</v>
      </c>
    </row>
    <row r="490" spans="1:11" hidden="1">
      <c r="A490" t="s">
        <v>56</v>
      </c>
      <c r="B490" t="s">
        <v>40</v>
      </c>
      <c r="C490" t="s">
        <v>12</v>
      </c>
      <c r="E490" t="s">
        <v>9</v>
      </c>
      <c r="F490" s="1" t="s">
        <v>3</v>
      </c>
      <c r="G490" s="1">
        <v>45938</v>
      </c>
      <c r="H490" t="s">
        <v>64</v>
      </c>
      <c r="I490" s="2">
        <f>8500000/510</f>
        <v>16666.666666666668</v>
      </c>
      <c r="J490" t="s">
        <v>409</v>
      </c>
      <c r="K490" s="7">
        <v>45931</v>
      </c>
    </row>
    <row r="491" spans="1:11" hidden="1">
      <c r="A491" t="s">
        <v>39</v>
      </c>
      <c r="B491" t="s">
        <v>40</v>
      </c>
      <c r="C491" t="s">
        <v>14</v>
      </c>
      <c r="E491" t="s">
        <v>9</v>
      </c>
      <c r="F491" s="1" t="s">
        <v>4</v>
      </c>
      <c r="G491" s="1">
        <v>45824</v>
      </c>
      <c r="H491" t="s">
        <v>41</v>
      </c>
      <c r="I491" s="2">
        <v>2000</v>
      </c>
      <c r="J491" t="s">
        <v>410</v>
      </c>
      <c r="K491" s="7">
        <v>45809</v>
      </c>
    </row>
    <row r="492" spans="1:11" hidden="1">
      <c r="A492" t="s">
        <v>39</v>
      </c>
      <c r="B492" t="s">
        <v>47</v>
      </c>
      <c r="C492" t="s">
        <v>14</v>
      </c>
      <c r="E492" t="s">
        <v>9</v>
      </c>
      <c r="F492" s="1" t="s">
        <v>5</v>
      </c>
      <c r="G492" s="1">
        <v>45897</v>
      </c>
      <c r="H492" t="s">
        <v>64</v>
      </c>
      <c r="I492" s="2">
        <v>16552.939999999999</v>
      </c>
      <c r="J492" t="s">
        <v>411</v>
      </c>
      <c r="K492" s="7">
        <v>45870</v>
      </c>
    </row>
    <row r="493" spans="1:11" hidden="1">
      <c r="A493" t="s">
        <v>39</v>
      </c>
      <c r="B493" t="s">
        <v>45</v>
      </c>
      <c r="C493" t="s">
        <v>14</v>
      </c>
      <c r="D493">
        <v>10026934</v>
      </c>
      <c r="E493" t="s">
        <v>9</v>
      </c>
      <c r="F493" s="1" t="s">
        <v>5</v>
      </c>
      <c r="G493" s="1">
        <v>45835</v>
      </c>
      <c r="H493" t="s">
        <v>41</v>
      </c>
      <c r="I493" s="2">
        <v>16409.650000000001</v>
      </c>
      <c r="J493" t="s">
        <v>412</v>
      </c>
      <c r="K493" s="7">
        <v>45809</v>
      </c>
    </row>
    <row r="494" spans="1:11" hidden="1">
      <c r="A494" t="s">
        <v>39</v>
      </c>
      <c r="B494" t="s">
        <v>63</v>
      </c>
      <c r="C494" t="s">
        <v>14</v>
      </c>
      <c r="E494" t="s">
        <v>9</v>
      </c>
      <c r="F494" s="1" t="s">
        <v>2</v>
      </c>
      <c r="G494" s="1">
        <v>45996</v>
      </c>
      <c r="H494" t="s">
        <v>41</v>
      </c>
      <c r="I494" s="2">
        <v>16404.27</v>
      </c>
      <c r="J494" t="s">
        <v>413</v>
      </c>
      <c r="K494" s="7">
        <v>45992</v>
      </c>
    </row>
    <row r="495" spans="1:11" hidden="1">
      <c r="A495" t="s">
        <v>39</v>
      </c>
      <c r="B495" t="s">
        <v>47</v>
      </c>
      <c r="C495" t="s">
        <v>14</v>
      </c>
      <c r="E495" t="s">
        <v>9</v>
      </c>
      <c r="F495" s="1" t="s">
        <v>3</v>
      </c>
      <c r="G495" s="1">
        <v>46038</v>
      </c>
      <c r="H495" t="s">
        <v>41</v>
      </c>
      <c r="I495" s="2">
        <v>16389.669999999998</v>
      </c>
      <c r="J495" t="s">
        <v>414</v>
      </c>
      <c r="K495" s="7">
        <v>46023</v>
      </c>
    </row>
    <row r="496" spans="1:11" hidden="1">
      <c r="A496" t="s">
        <v>39</v>
      </c>
      <c r="B496" t="s">
        <v>47</v>
      </c>
      <c r="C496" t="s">
        <v>12</v>
      </c>
      <c r="E496" t="s">
        <v>9</v>
      </c>
      <c r="F496" s="1" t="s">
        <v>3</v>
      </c>
      <c r="G496" s="1">
        <v>45937</v>
      </c>
      <c r="H496" t="s">
        <v>41</v>
      </c>
      <c r="I496" s="2">
        <v>16389.650000000001</v>
      </c>
      <c r="J496" t="s">
        <v>415</v>
      </c>
      <c r="K496" s="7">
        <v>45931</v>
      </c>
    </row>
    <row r="497" spans="1:11" hidden="1">
      <c r="A497" t="s">
        <v>39</v>
      </c>
      <c r="B497" t="s">
        <v>40</v>
      </c>
      <c r="C497" t="s">
        <v>14</v>
      </c>
      <c r="E497" t="s">
        <v>9</v>
      </c>
      <c r="F497" s="1" t="s">
        <v>4</v>
      </c>
      <c r="G497" s="1">
        <v>45824</v>
      </c>
      <c r="H497" t="s">
        <v>41</v>
      </c>
      <c r="I497" s="2">
        <v>748.6</v>
      </c>
      <c r="J497" t="s">
        <v>416</v>
      </c>
      <c r="K497" s="7">
        <v>45809</v>
      </c>
    </row>
    <row r="498" spans="1:11" hidden="1">
      <c r="A498" t="s">
        <v>39</v>
      </c>
      <c r="B498" t="s">
        <v>40</v>
      </c>
      <c r="C498" t="s">
        <v>14</v>
      </c>
      <c r="E498" t="s">
        <v>9</v>
      </c>
      <c r="F498" s="1" t="s">
        <v>4</v>
      </c>
      <c r="G498" s="1">
        <v>45824</v>
      </c>
      <c r="H498" t="s">
        <v>41</v>
      </c>
      <c r="I498" s="2">
        <v>140</v>
      </c>
      <c r="J498" t="s">
        <v>417</v>
      </c>
      <c r="K498" s="7">
        <v>45809</v>
      </c>
    </row>
    <row r="499" spans="1:11" hidden="1">
      <c r="A499" t="s">
        <v>99</v>
      </c>
      <c r="B499" t="s">
        <v>63</v>
      </c>
      <c r="C499" t="s">
        <v>14</v>
      </c>
      <c r="E499" t="s">
        <v>9</v>
      </c>
      <c r="F499" s="1" t="s">
        <v>3</v>
      </c>
      <c r="G499" s="1">
        <v>45851</v>
      </c>
      <c r="H499" t="s">
        <v>41</v>
      </c>
      <c r="I499" s="2">
        <v>16321.65</v>
      </c>
      <c r="J499" t="s">
        <v>418</v>
      </c>
      <c r="K499" s="7">
        <v>45839</v>
      </c>
    </row>
    <row r="500" spans="1:11" hidden="1">
      <c r="A500" t="s">
        <v>39</v>
      </c>
      <c r="B500" t="s">
        <v>45</v>
      </c>
      <c r="C500" t="s">
        <v>14</v>
      </c>
      <c r="D500">
        <v>10027238</v>
      </c>
      <c r="E500" t="s">
        <v>9</v>
      </c>
      <c r="F500" s="1" t="s">
        <v>2</v>
      </c>
      <c r="G500" s="1">
        <v>45870</v>
      </c>
      <c r="H500" t="s">
        <v>41</v>
      </c>
      <c r="I500" s="2">
        <v>16311.86</v>
      </c>
      <c r="J500" t="s">
        <v>419</v>
      </c>
      <c r="K500" s="7">
        <v>45870</v>
      </c>
    </row>
    <row r="501" spans="1:11" hidden="1">
      <c r="A501" t="s">
        <v>39</v>
      </c>
      <c r="B501" t="s">
        <v>63</v>
      </c>
      <c r="C501" t="s">
        <v>14</v>
      </c>
      <c r="E501" t="s">
        <v>9</v>
      </c>
      <c r="F501" s="1" t="s">
        <v>2</v>
      </c>
      <c r="G501" s="1">
        <v>45877</v>
      </c>
      <c r="H501" t="s">
        <v>41</v>
      </c>
      <c r="I501" s="2">
        <v>16221.52</v>
      </c>
      <c r="J501" t="s">
        <v>329</v>
      </c>
      <c r="K501" s="7">
        <v>45870</v>
      </c>
    </row>
    <row r="502" spans="1:11" hidden="1">
      <c r="A502" t="s">
        <v>360</v>
      </c>
      <c r="B502" t="s">
        <v>45</v>
      </c>
      <c r="C502" t="s">
        <v>14</v>
      </c>
      <c r="D502">
        <v>36</v>
      </c>
      <c r="E502" t="s">
        <v>9</v>
      </c>
      <c r="F502" s="1" t="s">
        <v>2</v>
      </c>
      <c r="G502" s="1">
        <v>45873</v>
      </c>
      <c r="H502" t="s">
        <v>41</v>
      </c>
      <c r="I502" s="2">
        <v>16217.76</v>
      </c>
      <c r="J502" t="s">
        <v>361</v>
      </c>
      <c r="K502" s="7">
        <v>45870</v>
      </c>
    </row>
    <row r="503" spans="1:11" hidden="1">
      <c r="A503" t="s">
        <v>39</v>
      </c>
      <c r="B503" t="s">
        <v>47</v>
      </c>
      <c r="C503" t="s">
        <v>14</v>
      </c>
      <c r="D503">
        <v>10026965</v>
      </c>
      <c r="E503" t="s">
        <v>9</v>
      </c>
      <c r="F503" s="1" t="s">
        <v>5</v>
      </c>
      <c r="G503" s="1">
        <v>45829</v>
      </c>
      <c r="H503" t="s">
        <v>41</v>
      </c>
      <c r="I503" s="2">
        <v>16213.07</v>
      </c>
      <c r="J503" t="s">
        <v>420</v>
      </c>
      <c r="K503" s="7">
        <v>45809</v>
      </c>
    </row>
    <row r="504" spans="1:11" hidden="1">
      <c r="A504" t="s">
        <v>39</v>
      </c>
      <c r="B504" t="s">
        <v>40</v>
      </c>
      <c r="C504" t="s">
        <v>14</v>
      </c>
      <c r="E504" t="s">
        <v>9</v>
      </c>
      <c r="F504" s="1" t="s">
        <v>5</v>
      </c>
      <c r="G504" s="1">
        <v>45799</v>
      </c>
      <c r="H504" t="s">
        <v>41</v>
      </c>
      <c r="I504" s="2">
        <v>16200</v>
      </c>
      <c r="J504" t="s">
        <v>421</v>
      </c>
      <c r="K504" s="7">
        <v>45778</v>
      </c>
    </row>
    <row r="505" spans="1:11" hidden="1">
      <c r="A505" t="s">
        <v>39</v>
      </c>
      <c r="B505" t="s">
        <v>47</v>
      </c>
      <c r="C505" t="s">
        <v>14</v>
      </c>
      <c r="D505">
        <v>10026771</v>
      </c>
      <c r="E505" t="s">
        <v>9</v>
      </c>
      <c r="F505" s="1" t="s">
        <v>2</v>
      </c>
      <c r="G505" s="1">
        <v>45814</v>
      </c>
      <c r="H505" t="s">
        <v>41</v>
      </c>
      <c r="I505" s="2">
        <v>16143.77</v>
      </c>
      <c r="J505" t="s">
        <v>422</v>
      </c>
      <c r="K505" s="7">
        <v>45809</v>
      </c>
    </row>
    <row r="506" spans="1:11" hidden="1">
      <c r="A506" t="s">
        <v>39</v>
      </c>
      <c r="B506" t="s">
        <v>63</v>
      </c>
      <c r="C506" t="s">
        <v>13</v>
      </c>
      <c r="E506" t="s">
        <v>9</v>
      </c>
      <c r="F506" s="1" t="s">
        <v>5</v>
      </c>
      <c r="G506" s="1">
        <v>46050</v>
      </c>
      <c r="H506" t="s">
        <v>64</v>
      </c>
      <c r="I506" s="2">
        <f>7983548.57/496</f>
        <v>16095.864052419356</v>
      </c>
      <c r="J506" t="s">
        <v>413</v>
      </c>
      <c r="K506" s="7">
        <v>46023</v>
      </c>
    </row>
    <row r="507" spans="1:11" hidden="1">
      <c r="A507" t="s">
        <v>39</v>
      </c>
      <c r="B507" t="s">
        <v>63</v>
      </c>
      <c r="C507" t="s">
        <v>13</v>
      </c>
      <c r="E507" t="s">
        <v>9</v>
      </c>
      <c r="F507" s="1" t="s">
        <v>2</v>
      </c>
      <c r="G507" s="1">
        <v>45968</v>
      </c>
      <c r="H507" t="s">
        <v>41</v>
      </c>
      <c r="I507" s="2">
        <v>16041</v>
      </c>
      <c r="J507" t="s">
        <v>292</v>
      </c>
      <c r="K507" s="7">
        <v>45962</v>
      </c>
    </row>
    <row r="508" spans="1:11" hidden="1">
      <c r="A508" t="s">
        <v>114</v>
      </c>
      <c r="B508" t="s">
        <v>63</v>
      </c>
      <c r="C508" t="s">
        <v>14</v>
      </c>
      <c r="D508">
        <v>15176</v>
      </c>
      <c r="E508" t="s">
        <v>9</v>
      </c>
      <c r="F508" s="1" t="s">
        <v>5</v>
      </c>
      <c r="G508" s="1">
        <v>45814</v>
      </c>
      <c r="H508" t="s">
        <v>41</v>
      </c>
      <c r="I508" s="2">
        <v>16030.1</v>
      </c>
      <c r="J508" t="s">
        <v>254</v>
      </c>
      <c r="K508" s="7">
        <v>45809</v>
      </c>
    </row>
    <row r="509" spans="1:11" hidden="1">
      <c r="A509" t="s">
        <v>56</v>
      </c>
      <c r="B509" t="s">
        <v>40</v>
      </c>
      <c r="C509" t="s">
        <v>14</v>
      </c>
      <c r="D509">
        <v>10763</v>
      </c>
      <c r="E509" t="s">
        <v>9</v>
      </c>
      <c r="F509" s="1" t="s">
        <v>3</v>
      </c>
      <c r="G509" s="1">
        <v>45880</v>
      </c>
      <c r="H509" t="s">
        <v>41</v>
      </c>
      <c r="I509" s="2">
        <v>16000</v>
      </c>
      <c r="J509" t="s">
        <v>423</v>
      </c>
      <c r="K509" s="7">
        <v>45870</v>
      </c>
    </row>
    <row r="510" spans="1:11" hidden="1">
      <c r="A510" t="s">
        <v>39</v>
      </c>
      <c r="B510" t="s">
        <v>40</v>
      </c>
      <c r="C510" t="s">
        <v>14</v>
      </c>
      <c r="E510" t="s">
        <v>9</v>
      </c>
      <c r="F510" s="1" t="s">
        <v>3</v>
      </c>
      <c r="G510" s="1">
        <v>45974</v>
      </c>
      <c r="H510" t="s">
        <v>64</v>
      </c>
      <c r="I510" s="2">
        <f>8084252.5/510</f>
        <v>15851.475490196079</v>
      </c>
      <c r="J510" t="s">
        <v>424</v>
      </c>
      <c r="K510" s="7">
        <v>45962</v>
      </c>
    </row>
    <row r="511" spans="1:11" hidden="1">
      <c r="A511" t="s">
        <v>114</v>
      </c>
      <c r="B511" t="s">
        <v>63</v>
      </c>
      <c r="C511" t="s">
        <v>14</v>
      </c>
      <c r="E511" t="s">
        <v>9</v>
      </c>
      <c r="F511" s="1" t="s">
        <v>5</v>
      </c>
      <c r="G511" s="1">
        <v>46052</v>
      </c>
      <c r="H511" t="s">
        <v>41</v>
      </c>
      <c r="I511" s="2">
        <v>15840</v>
      </c>
      <c r="J511" t="s">
        <v>290</v>
      </c>
      <c r="K511" s="7">
        <v>46023</v>
      </c>
    </row>
    <row r="512" spans="1:11" hidden="1">
      <c r="A512" t="s">
        <v>39</v>
      </c>
      <c r="B512" t="s">
        <v>63</v>
      </c>
      <c r="C512" t="s">
        <v>13</v>
      </c>
      <c r="E512" t="s">
        <v>9</v>
      </c>
      <c r="F512" s="1" t="s">
        <v>5</v>
      </c>
      <c r="G512" s="1">
        <v>46015</v>
      </c>
      <c r="H512" t="s">
        <v>64</v>
      </c>
      <c r="I512" s="2">
        <f>8054672.85/510</f>
        <v>15793.476176470587</v>
      </c>
      <c r="J512" s="47" t="s">
        <v>425</v>
      </c>
      <c r="K512" s="7">
        <v>45992</v>
      </c>
    </row>
    <row r="513" spans="1:11" hidden="1">
      <c r="A513" t="s">
        <v>39</v>
      </c>
      <c r="B513" t="s">
        <v>40</v>
      </c>
      <c r="C513" t="s">
        <v>12</v>
      </c>
      <c r="E513" t="s">
        <v>9</v>
      </c>
      <c r="F513" s="1" t="s">
        <v>4</v>
      </c>
      <c r="G513" s="1">
        <v>45825</v>
      </c>
      <c r="H513" t="s">
        <v>41</v>
      </c>
      <c r="I513" s="2">
        <v>8000</v>
      </c>
      <c r="J513" t="s">
        <v>426</v>
      </c>
      <c r="K513" s="7">
        <v>45809</v>
      </c>
    </row>
    <row r="514" spans="1:11" hidden="1">
      <c r="A514" t="s">
        <v>39</v>
      </c>
      <c r="B514" t="s">
        <v>47</v>
      </c>
      <c r="C514" t="s">
        <v>12</v>
      </c>
      <c r="D514">
        <v>10027062</v>
      </c>
      <c r="E514" t="s">
        <v>9</v>
      </c>
      <c r="F514" s="1" t="s">
        <v>3</v>
      </c>
      <c r="G514" s="1">
        <v>45845</v>
      </c>
      <c r="H514" t="s">
        <v>41</v>
      </c>
      <c r="I514" s="2">
        <v>15545.96</v>
      </c>
      <c r="J514" t="s">
        <v>427</v>
      </c>
      <c r="K514" s="7">
        <v>45839</v>
      </c>
    </row>
    <row r="515" spans="1:11" hidden="1">
      <c r="A515" t="s">
        <v>39</v>
      </c>
      <c r="B515" t="s">
        <v>45</v>
      </c>
      <c r="C515" t="s">
        <v>14</v>
      </c>
      <c r="E515" t="s">
        <v>9</v>
      </c>
      <c r="F515" s="1" t="s">
        <v>5</v>
      </c>
      <c r="G515" s="1">
        <v>46017</v>
      </c>
      <c r="H515" t="s">
        <v>41</v>
      </c>
      <c r="I515" s="2">
        <v>15521.11</v>
      </c>
      <c r="J515" t="s">
        <v>428</v>
      </c>
      <c r="K515" s="7">
        <v>45992</v>
      </c>
    </row>
    <row r="516" spans="1:11" hidden="1">
      <c r="A516" t="s">
        <v>39</v>
      </c>
      <c r="B516" t="s">
        <v>40</v>
      </c>
      <c r="C516" t="s">
        <v>14</v>
      </c>
      <c r="E516" t="s">
        <v>9</v>
      </c>
      <c r="F516" s="1" t="s">
        <v>4</v>
      </c>
      <c r="G516" s="1">
        <v>45825</v>
      </c>
      <c r="H516" t="s">
        <v>41</v>
      </c>
      <c r="I516" s="2">
        <v>4500</v>
      </c>
      <c r="J516" t="s">
        <v>429</v>
      </c>
      <c r="K516" s="7">
        <v>45809</v>
      </c>
    </row>
    <row r="517" spans="1:11" hidden="1">
      <c r="A517" t="s">
        <v>39</v>
      </c>
      <c r="B517" t="s">
        <v>63</v>
      </c>
      <c r="C517" t="s">
        <v>14</v>
      </c>
      <c r="E517" t="s">
        <v>9</v>
      </c>
      <c r="F517" s="1" t="s">
        <v>2</v>
      </c>
      <c r="G517" s="1">
        <v>45967</v>
      </c>
      <c r="H517" t="s">
        <v>41</v>
      </c>
      <c r="I517" s="2">
        <v>15485.54</v>
      </c>
      <c r="J517" t="s">
        <v>430</v>
      </c>
      <c r="K517" s="7">
        <v>45962</v>
      </c>
    </row>
    <row r="518" spans="1:11" hidden="1">
      <c r="A518" t="s">
        <v>39</v>
      </c>
      <c r="B518" t="s">
        <v>47</v>
      </c>
      <c r="C518" t="s">
        <v>14</v>
      </c>
      <c r="D518">
        <v>10026859</v>
      </c>
      <c r="E518" t="s">
        <v>9</v>
      </c>
      <c r="F518" s="1" t="s">
        <v>4</v>
      </c>
      <c r="G518" s="1">
        <v>45825</v>
      </c>
      <c r="H518" t="s">
        <v>41</v>
      </c>
      <c r="I518" s="2">
        <v>3250.26</v>
      </c>
      <c r="J518" t="s">
        <v>167</v>
      </c>
      <c r="K518" s="7">
        <v>45809</v>
      </c>
    </row>
    <row r="519" spans="1:11" hidden="1">
      <c r="A519" t="s">
        <v>99</v>
      </c>
      <c r="B519" t="s">
        <v>63</v>
      </c>
      <c r="C519" t="s">
        <v>14</v>
      </c>
      <c r="E519" t="s">
        <v>9</v>
      </c>
      <c r="F519" s="1" t="s">
        <v>3</v>
      </c>
      <c r="G519" s="1">
        <v>45821</v>
      </c>
      <c r="H519" t="s">
        <v>41</v>
      </c>
      <c r="I519" s="2">
        <v>15407.73</v>
      </c>
      <c r="J519" t="s">
        <v>431</v>
      </c>
      <c r="K519" s="7">
        <v>45809</v>
      </c>
    </row>
    <row r="520" spans="1:11" hidden="1">
      <c r="A520" t="s">
        <v>39</v>
      </c>
      <c r="B520" t="s">
        <v>63</v>
      </c>
      <c r="C520" t="s">
        <v>12</v>
      </c>
      <c r="E520" t="s">
        <v>9</v>
      </c>
      <c r="F520" s="1" t="s">
        <v>4</v>
      </c>
      <c r="G520" s="1">
        <v>45825</v>
      </c>
      <c r="H520" t="s">
        <v>41</v>
      </c>
      <c r="I520" s="2">
        <v>2897</v>
      </c>
      <c r="J520" t="s">
        <v>432</v>
      </c>
      <c r="K520" s="7">
        <v>45809</v>
      </c>
    </row>
    <row r="521" spans="1:11" hidden="1">
      <c r="A521" t="s">
        <v>39</v>
      </c>
      <c r="B521" t="s">
        <v>40</v>
      </c>
      <c r="C521" t="s">
        <v>14</v>
      </c>
      <c r="E521" t="s">
        <v>9</v>
      </c>
      <c r="F521" s="1" t="s">
        <v>5</v>
      </c>
      <c r="G521" s="1">
        <v>45952</v>
      </c>
      <c r="H521" t="s">
        <v>41</v>
      </c>
      <c r="I521" s="2">
        <v>15280</v>
      </c>
      <c r="J521" t="s">
        <v>433</v>
      </c>
      <c r="K521" s="7">
        <v>45931</v>
      </c>
    </row>
    <row r="522" spans="1:11" hidden="1">
      <c r="A522" t="s">
        <v>39</v>
      </c>
      <c r="B522" t="s">
        <v>40</v>
      </c>
      <c r="C522" t="s">
        <v>14</v>
      </c>
      <c r="E522" t="s">
        <v>9</v>
      </c>
      <c r="F522" s="1" t="s">
        <v>5</v>
      </c>
      <c r="G522" s="1">
        <v>45952</v>
      </c>
      <c r="H522" t="s">
        <v>41</v>
      </c>
      <c r="I522" s="2">
        <v>15280</v>
      </c>
      <c r="J522" t="s">
        <v>433</v>
      </c>
      <c r="K522" s="7">
        <v>45931</v>
      </c>
    </row>
    <row r="523" spans="1:11" hidden="1">
      <c r="A523" t="s">
        <v>39</v>
      </c>
      <c r="B523" t="s">
        <v>40</v>
      </c>
      <c r="C523" t="s">
        <v>14</v>
      </c>
      <c r="E523" t="s">
        <v>9</v>
      </c>
      <c r="F523" s="1" t="s">
        <v>4</v>
      </c>
      <c r="G523" s="1">
        <v>45825</v>
      </c>
      <c r="H523" t="s">
        <v>41</v>
      </c>
      <c r="I523" s="2">
        <v>2000</v>
      </c>
      <c r="J523" t="s">
        <v>434</v>
      </c>
      <c r="K523" s="7">
        <v>45809</v>
      </c>
    </row>
    <row r="524" spans="1:11" hidden="1">
      <c r="A524" t="s">
        <v>39</v>
      </c>
      <c r="B524" t="s">
        <v>40</v>
      </c>
      <c r="C524" t="s">
        <v>14</v>
      </c>
      <c r="E524" t="s">
        <v>9</v>
      </c>
      <c r="F524" s="1" t="s">
        <v>2</v>
      </c>
      <c r="G524" s="1">
        <v>46056</v>
      </c>
      <c r="H524" t="s">
        <v>41</v>
      </c>
      <c r="I524" s="2">
        <v>425.21</v>
      </c>
      <c r="J524" t="s">
        <v>435</v>
      </c>
      <c r="K524" s="7">
        <v>46054</v>
      </c>
    </row>
    <row r="525" spans="1:11" hidden="1">
      <c r="A525" t="s">
        <v>39</v>
      </c>
      <c r="B525" t="s">
        <v>63</v>
      </c>
      <c r="C525" t="s">
        <v>12</v>
      </c>
      <c r="E525" t="s">
        <v>9</v>
      </c>
      <c r="F525" s="1" t="s">
        <v>3</v>
      </c>
      <c r="G525" s="1">
        <v>45938</v>
      </c>
      <c r="H525" t="s">
        <v>41</v>
      </c>
      <c r="I525" s="2">
        <v>15208.12</v>
      </c>
      <c r="J525" t="s">
        <v>436</v>
      </c>
      <c r="K525" s="7">
        <v>45931</v>
      </c>
    </row>
    <row r="526" spans="1:11" hidden="1">
      <c r="A526" t="s">
        <v>56</v>
      </c>
      <c r="B526" t="s">
        <v>40</v>
      </c>
      <c r="C526" t="s">
        <v>14</v>
      </c>
      <c r="E526" t="s">
        <v>9</v>
      </c>
      <c r="F526" s="1" t="s">
        <v>319</v>
      </c>
      <c r="G526" s="1">
        <v>46003</v>
      </c>
      <c r="H526" t="s">
        <v>41</v>
      </c>
      <c r="I526" s="2">
        <v>15010</v>
      </c>
      <c r="J526" t="s">
        <v>437</v>
      </c>
      <c r="K526" s="7">
        <v>45992</v>
      </c>
    </row>
    <row r="527" spans="1:11" hidden="1">
      <c r="A527" t="s">
        <v>39</v>
      </c>
      <c r="B527" t="s">
        <v>45</v>
      </c>
      <c r="C527" t="s">
        <v>13</v>
      </c>
      <c r="E527" t="s">
        <v>9</v>
      </c>
      <c r="F527" s="1" t="s">
        <v>2</v>
      </c>
      <c r="G527" s="1">
        <v>45877</v>
      </c>
      <c r="H527" t="s">
        <v>41</v>
      </c>
      <c r="I527" s="2">
        <v>15000</v>
      </c>
      <c r="J527" t="s">
        <v>438</v>
      </c>
      <c r="K527" s="7">
        <v>45870</v>
      </c>
    </row>
    <row r="528" spans="1:11" hidden="1">
      <c r="A528" t="s">
        <v>39</v>
      </c>
      <c r="B528" t="s">
        <v>40</v>
      </c>
      <c r="C528" t="s">
        <v>14</v>
      </c>
      <c r="D528">
        <v>10027398</v>
      </c>
      <c r="E528" t="s">
        <v>9</v>
      </c>
      <c r="F528" s="1" t="s">
        <v>5</v>
      </c>
      <c r="G528" s="1">
        <v>45896</v>
      </c>
      <c r="H528" t="s">
        <v>41</v>
      </c>
      <c r="I528" s="2">
        <v>15000</v>
      </c>
      <c r="J528" t="s">
        <v>439</v>
      </c>
      <c r="K528" s="7">
        <v>45870</v>
      </c>
    </row>
    <row r="529" spans="1:11" hidden="1">
      <c r="A529" t="s">
        <v>39</v>
      </c>
      <c r="B529" t="s">
        <v>63</v>
      </c>
      <c r="C529" t="s">
        <v>14</v>
      </c>
      <c r="D529">
        <v>10026913</v>
      </c>
      <c r="E529" t="s">
        <v>9</v>
      </c>
      <c r="F529" s="1" t="s">
        <v>4</v>
      </c>
      <c r="G529" s="1">
        <v>45825</v>
      </c>
      <c r="H529" t="s">
        <v>41</v>
      </c>
      <c r="I529" s="2">
        <v>1873.72</v>
      </c>
      <c r="J529" t="s">
        <v>440</v>
      </c>
      <c r="K529" s="7">
        <v>45809</v>
      </c>
    </row>
    <row r="530" spans="1:11" hidden="1">
      <c r="A530" t="s">
        <v>56</v>
      </c>
      <c r="B530" t="s">
        <v>40</v>
      </c>
      <c r="C530" t="s">
        <v>14</v>
      </c>
      <c r="D530">
        <v>10791</v>
      </c>
      <c r="E530" t="s">
        <v>9</v>
      </c>
      <c r="F530" s="1" t="s">
        <v>5</v>
      </c>
      <c r="G530" s="1">
        <v>45923</v>
      </c>
      <c r="H530" t="s">
        <v>41</v>
      </c>
      <c r="I530" s="2">
        <v>15000</v>
      </c>
      <c r="J530" t="s">
        <v>441</v>
      </c>
      <c r="K530" s="7">
        <v>45901</v>
      </c>
    </row>
    <row r="531" spans="1:11" hidden="1">
      <c r="A531" t="s">
        <v>39</v>
      </c>
      <c r="B531" t="s">
        <v>47</v>
      </c>
      <c r="C531" t="s">
        <v>14</v>
      </c>
      <c r="D531">
        <v>10026860</v>
      </c>
      <c r="E531" t="s">
        <v>9</v>
      </c>
      <c r="F531" s="1" t="s">
        <v>4</v>
      </c>
      <c r="G531" s="1">
        <v>45825</v>
      </c>
      <c r="H531" t="s">
        <v>41</v>
      </c>
      <c r="I531" s="2">
        <v>747.94</v>
      </c>
      <c r="J531" t="s">
        <v>442</v>
      </c>
      <c r="K531" s="7">
        <v>45809</v>
      </c>
    </row>
    <row r="532" spans="1:11" hidden="1">
      <c r="A532" t="s">
        <v>114</v>
      </c>
      <c r="B532" t="s">
        <v>63</v>
      </c>
      <c r="C532" t="s">
        <v>13</v>
      </c>
      <c r="D532">
        <v>15169</v>
      </c>
      <c r="E532" t="s">
        <v>9</v>
      </c>
      <c r="F532" s="1" t="s">
        <v>4</v>
      </c>
      <c r="G532" s="1">
        <v>45825</v>
      </c>
      <c r="H532" t="s">
        <v>41</v>
      </c>
      <c r="I532" s="2">
        <v>197.04</v>
      </c>
      <c r="J532" t="s">
        <v>443</v>
      </c>
      <c r="K532" s="7">
        <v>45809</v>
      </c>
    </row>
    <row r="533" spans="1:11" hidden="1">
      <c r="A533" t="s">
        <v>39</v>
      </c>
      <c r="B533" t="s">
        <v>45</v>
      </c>
      <c r="C533" t="s">
        <v>12</v>
      </c>
      <c r="E533" t="s">
        <v>9</v>
      </c>
      <c r="F533" s="1" t="s">
        <v>4</v>
      </c>
      <c r="G533" s="1">
        <v>45826</v>
      </c>
      <c r="H533" t="s">
        <v>41</v>
      </c>
      <c r="I533" s="2">
        <v>334093.88</v>
      </c>
      <c r="J533" t="s">
        <v>46</v>
      </c>
      <c r="K533" s="7">
        <v>45809</v>
      </c>
    </row>
    <row r="534" spans="1:11" hidden="1">
      <c r="A534" t="s">
        <v>39</v>
      </c>
      <c r="B534" t="s">
        <v>47</v>
      </c>
      <c r="C534" t="s">
        <v>12</v>
      </c>
      <c r="D534">
        <v>10026922</v>
      </c>
      <c r="E534" t="s">
        <v>9</v>
      </c>
      <c r="F534" s="1" t="s">
        <v>4</v>
      </c>
      <c r="G534" s="1">
        <v>45826</v>
      </c>
      <c r="H534" t="s">
        <v>41</v>
      </c>
      <c r="I534" s="2">
        <v>2908.56</v>
      </c>
      <c r="J534" t="s">
        <v>444</v>
      </c>
      <c r="K534" s="7">
        <v>45809</v>
      </c>
    </row>
    <row r="535" spans="1:11" hidden="1">
      <c r="A535" t="s">
        <v>39</v>
      </c>
      <c r="B535" t="s">
        <v>45</v>
      </c>
      <c r="C535" t="s">
        <v>14</v>
      </c>
      <c r="D535">
        <v>10026870</v>
      </c>
      <c r="E535" t="s">
        <v>9</v>
      </c>
      <c r="F535" s="1" t="s">
        <v>4</v>
      </c>
      <c r="G535" s="1">
        <v>45826</v>
      </c>
      <c r="H535" t="s">
        <v>41</v>
      </c>
      <c r="I535" s="2">
        <v>1131</v>
      </c>
      <c r="J535" t="s">
        <v>445</v>
      </c>
      <c r="K535" s="7">
        <v>45809</v>
      </c>
    </row>
    <row r="536" spans="1:11" hidden="1">
      <c r="A536" t="s">
        <v>39</v>
      </c>
      <c r="B536" t="s">
        <v>406</v>
      </c>
      <c r="C536" t="s">
        <v>14</v>
      </c>
      <c r="E536" t="s">
        <v>9</v>
      </c>
      <c r="F536" s="1" t="s">
        <v>3</v>
      </c>
      <c r="G536" s="1">
        <v>46036</v>
      </c>
      <c r="H536" t="s">
        <v>41</v>
      </c>
      <c r="I536" s="2">
        <v>14817.38</v>
      </c>
      <c r="J536" t="s">
        <v>446</v>
      </c>
      <c r="K536" s="7">
        <v>46023</v>
      </c>
    </row>
    <row r="537" spans="1:11" hidden="1">
      <c r="A537" t="s">
        <v>39</v>
      </c>
      <c r="B537" t="s">
        <v>40</v>
      </c>
      <c r="C537" t="s">
        <v>14</v>
      </c>
      <c r="E537" t="s">
        <v>9</v>
      </c>
      <c r="F537" s="1" t="s">
        <v>2</v>
      </c>
      <c r="G537" s="1">
        <v>45996</v>
      </c>
      <c r="H537" t="s">
        <v>41</v>
      </c>
      <c r="I537" s="2">
        <v>14798.79</v>
      </c>
      <c r="J537" t="s">
        <v>447</v>
      </c>
      <c r="K537" s="7">
        <v>45992</v>
      </c>
    </row>
    <row r="538" spans="1:11" hidden="1">
      <c r="A538" t="s">
        <v>99</v>
      </c>
      <c r="B538" t="s">
        <v>63</v>
      </c>
      <c r="C538" t="s">
        <v>14</v>
      </c>
      <c r="E538" t="s">
        <v>9</v>
      </c>
      <c r="F538" s="1" t="s">
        <v>5</v>
      </c>
      <c r="G538" s="1">
        <v>45802</v>
      </c>
      <c r="H538" t="s">
        <v>41</v>
      </c>
      <c r="I538" s="2">
        <v>14765.62</v>
      </c>
      <c r="J538" t="s">
        <v>448</v>
      </c>
      <c r="K538" s="7">
        <v>45778</v>
      </c>
    </row>
    <row r="539" spans="1:11">
      <c r="A539" t="s">
        <v>39</v>
      </c>
      <c r="B539" t="s">
        <v>47</v>
      </c>
      <c r="C539" t="s">
        <v>14</v>
      </c>
      <c r="E539" t="s">
        <v>9</v>
      </c>
      <c r="F539" s="1" t="s">
        <v>2</v>
      </c>
      <c r="G539" s="1">
        <v>46057</v>
      </c>
      <c r="H539" t="s">
        <v>41</v>
      </c>
      <c r="I539" s="2">
        <v>112879.11</v>
      </c>
      <c r="J539" t="s">
        <v>449</v>
      </c>
      <c r="K539" s="7">
        <v>46054</v>
      </c>
    </row>
    <row r="540" spans="1:11" hidden="1">
      <c r="A540" t="s">
        <v>39</v>
      </c>
      <c r="B540" t="s">
        <v>40</v>
      </c>
      <c r="C540" t="s">
        <v>14</v>
      </c>
      <c r="E540" t="s">
        <v>9</v>
      </c>
      <c r="F540" s="1" t="s">
        <v>6</v>
      </c>
      <c r="G540" s="1">
        <v>45804</v>
      </c>
      <c r="H540" t="s">
        <v>41</v>
      </c>
      <c r="I540" s="2">
        <v>14700</v>
      </c>
      <c r="J540" t="s">
        <v>450</v>
      </c>
      <c r="K540" s="7">
        <v>45778</v>
      </c>
    </row>
    <row r="541" spans="1:11" hidden="1">
      <c r="A541" t="s">
        <v>39</v>
      </c>
      <c r="B541" t="s">
        <v>40</v>
      </c>
      <c r="C541" t="s">
        <v>14</v>
      </c>
      <c r="E541" t="s">
        <v>9</v>
      </c>
      <c r="F541" s="1" t="s">
        <v>4</v>
      </c>
      <c r="G541" s="1">
        <v>45826</v>
      </c>
      <c r="H541" t="s">
        <v>64</v>
      </c>
      <c r="I541" s="2">
        <f>120000/508</f>
        <v>236.22047244094489</v>
      </c>
      <c r="J541" t="s">
        <v>451</v>
      </c>
      <c r="K541" s="7">
        <v>45809</v>
      </c>
    </row>
    <row r="542" spans="1:11" hidden="1">
      <c r="A542" t="s">
        <v>56</v>
      </c>
      <c r="B542" t="s">
        <v>40</v>
      </c>
      <c r="C542" t="s">
        <v>14</v>
      </c>
      <c r="E542" t="s">
        <v>9</v>
      </c>
      <c r="F542" s="1" t="s">
        <v>5</v>
      </c>
      <c r="G542" s="1">
        <v>46014</v>
      </c>
      <c r="H542" t="s">
        <v>41</v>
      </c>
      <c r="I542" s="2">
        <v>14650</v>
      </c>
      <c r="J542" s="47" t="s">
        <v>452</v>
      </c>
      <c r="K542" s="7">
        <v>45992</v>
      </c>
    </row>
    <row r="543" spans="1:11" hidden="1">
      <c r="A543" t="s">
        <v>56</v>
      </c>
      <c r="B543" t="s">
        <v>40</v>
      </c>
      <c r="C543" t="s">
        <v>14</v>
      </c>
      <c r="D543">
        <v>10856</v>
      </c>
      <c r="E543" t="s">
        <v>9</v>
      </c>
      <c r="F543" s="1" t="s">
        <v>5</v>
      </c>
      <c r="G543" s="1">
        <v>46014</v>
      </c>
      <c r="H543" t="s">
        <v>41</v>
      </c>
      <c r="I543" s="2">
        <v>14650</v>
      </c>
      <c r="J543" t="s">
        <v>453</v>
      </c>
      <c r="K543" s="7">
        <v>45992</v>
      </c>
    </row>
    <row r="544" spans="1:11" hidden="1">
      <c r="A544" t="s">
        <v>39</v>
      </c>
      <c r="B544" t="s">
        <v>63</v>
      </c>
      <c r="C544" t="s">
        <v>14</v>
      </c>
      <c r="E544" t="s">
        <v>9</v>
      </c>
      <c r="F544" s="1" t="s">
        <v>5</v>
      </c>
      <c r="G544" s="1">
        <v>45861</v>
      </c>
      <c r="H544" t="s">
        <v>41</v>
      </c>
      <c r="I544" s="2">
        <v>14614.8</v>
      </c>
      <c r="J544" t="s">
        <v>229</v>
      </c>
      <c r="K544" s="7">
        <v>45839</v>
      </c>
    </row>
    <row r="545" spans="1:11" hidden="1">
      <c r="A545" t="s">
        <v>56</v>
      </c>
      <c r="B545" t="s">
        <v>40</v>
      </c>
      <c r="C545" t="s">
        <v>12</v>
      </c>
      <c r="E545" t="s">
        <v>9</v>
      </c>
      <c r="F545" s="1" t="s">
        <v>2</v>
      </c>
      <c r="G545" s="1">
        <v>46057</v>
      </c>
      <c r="H545" t="s">
        <v>41</v>
      </c>
      <c r="I545" s="2">
        <v>71677.789999999994</v>
      </c>
      <c r="J545" t="s">
        <v>186</v>
      </c>
      <c r="K545" s="7">
        <v>46054</v>
      </c>
    </row>
    <row r="546" spans="1:11" hidden="1">
      <c r="A546" t="s">
        <v>56</v>
      </c>
      <c r="B546" t="s">
        <v>40</v>
      </c>
      <c r="C546" t="s">
        <v>14</v>
      </c>
      <c r="D546">
        <v>10886</v>
      </c>
      <c r="E546" t="s">
        <v>9</v>
      </c>
      <c r="F546" s="1" t="s">
        <v>2</v>
      </c>
      <c r="G546" s="1">
        <v>46057</v>
      </c>
      <c r="H546" t="s">
        <v>41</v>
      </c>
      <c r="I546" s="2">
        <v>9512</v>
      </c>
      <c r="J546" t="s">
        <v>454</v>
      </c>
      <c r="K546" s="7">
        <v>46054</v>
      </c>
    </row>
    <row r="547" spans="1:11" hidden="1">
      <c r="A547" t="s">
        <v>39</v>
      </c>
      <c r="B547" t="s">
        <v>40</v>
      </c>
      <c r="C547" t="s">
        <v>14</v>
      </c>
      <c r="D547">
        <v>10026530</v>
      </c>
      <c r="E547" t="s">
        <v>9</v>
      </c>
      <c r="F547" s="1" t="s">
        <v>3</v>
      </c>
      <c r="G547" s="1">
        <v>45782</v>
      </c>
      <c r="H547" t="s">
        <v>41</v>
      </c>
      <c r="I547" s="2">
        <v>14500</v>
      </c>
      <c r="J547" t="s">
        <v>455</v>
      </c>
      <c r="K547" s="7">
        <v>45778</v>
      </c>
    </row>
    <row r="548" spans="1:11" hidden="1">
      <c r="A548" t="s">
        <v>39</v>
      </c>
      <c r="B548" t="s">
        <v>45</v>
      </c>
      <c r="C548" t="s">
        <v>14</v>
      </c>
      <c r="D548">
        <v>10026868</v>
      </c>
      <c r="E548" t="s">
        <v>9</v>
      </c>
      <c r="F548" s="1" t="s">
        <v>4</v>
      </c>
      <c r="G548" s="1">
        <v>45827</v>
      </c>
      <c r="H548" t="s">
        <v>41</v>
      </c>
      <c r="I548" s="2">
        <v>48907.73</v>
      </c>
      <c r="J548" t="s">
        <v>243</v>
      </c>
      <c r="K548" s="7">
        <v>45809</v>
      </c>
    </row>
    <row r="549" spans="1:11" hidden="1">
      <c r="A549" t="s">
        <v>39</v>
      </c>
      <c r="B549" t="s">
        <v>40</v>
      </c>
      <c r="C549" t="s">
        <v>14</v>
      </c>
      <c r="D549">
        <v>10028466</v>
      </c>
      <c r="E549" t="s">
        <v>9</v>
      </c>
      <c r="F549" s="1" t="s">
        <v>2</v>
      </c>
      <c r="G549" s="1">
        <v>46057</v>
      </c>
      <c r="H549" t="s">
        <v>41</v>
      </c>
      <c r="I549" s="2">
        <v>4728</v>
      </c>
      <c r="J549" t="s">
        <v>456</v>
      </c>
      <c r="K549" s="7">
        <v>46054</v>
      </c>
    </row>
    <row r="550" spans="1:11" hidden="1">
      <c r="A550" t="s">
        <v>114</v>
      </c>
      <c r="B550" t="s">
        <v>63</v>
      </c>
      <c r="C550" t="s">
        <v>14</v>
      </c>
      <c r="E550" t="s">
        <v>9</v>
      </c>
      <c r="F550" s="1" t="s">
        <v>2</v>
      </c>
      <c r="G550" s="1">
        <v>45842</v>
      </c>
      <c r="H550" t="s">
        <v>41</v>
      </c>
      <c r="I550" s="2">
        <v>14442.48</v>
      </c>
      <c r="J550" t="s">
        <v>457</v>
      </c>
      <c r="K550" s="7">
        <v>45839</v>
      </c>
    </row>
    <row r="551" spans="1:11" hidden="1">
      <c r="A551" t="s">
        <v>39</v>
      </c>
      <c r="B551" t="s">
        <v>40</v>
      </c>
      <c r="C551" t="s">
        <v>13</v>
      </c>
      <c r="E551" t="s">
        <v>9</v>
      </c>
      <c r="F551" s="1" t="s">
        <v>4</v>
      </c>
      <c r="G551" s="1">
        <v>45827</v>
      </c>
      <c r="H551" t="s">
        <v>41</v>
      </c>
      <c r="I551" s="2">
        <v>20350</v>
      </c>
      <c r="J551" t="s">
        <v>458</v>
      </c>
      <c r="K551" s="7">
        <v>45809</v>
      </c>
    </row>
    <row r="552" spans="1:11" hidden="1">
      <c r="A552" t="s">
        <v>99</v>
      </c>
      <c r="B552" t="s">
        <v>63</v>
      </c>
      <c r="C552" t="s">
        <v>14</v>
      </c>
      <c r="E552" t="s">
        <v>9</v>
      </c>
      <c r="F552" s="1" t="s">
        <v>6</v>
      </c>
      <c r="G552" s="1">
        <v>45869</v>
      </c>
      <c r="H552" t="s">
        <v>41</v>
      </c>
      <c r="I552" s="2">
        <v>14347</v>
      </c>
      <c r="J552" t="s">
        <v>459</v>
      </c>
      <c r="K552" s="7">
        <v>45839</v>
      </c>
    </row>
    <row r="553" spans="1:11" hidden="1">
      <c r="A553" t="s">
        <v>39</v>
      </c>
      <c r="B553" t="s">
        <v>45</v>
      </c>
      <c r="C553" t="s">
        <v>13</v>
      </c>
      <c r="D553">
        <v>10026659</v>
      </c>
      <c r="E553" t="s">
        <v>9</v>
      </c>
      <c r="F553" s="1" t="s">
        <v>5</v>
      </c>
      <c r="G553" s="1">
        <v>45800</v>
      </c>
      <c r="H553" t="s">
        <v>41</v>
      </c>
      <c r="I553" s="2">
        <v>14310</v>
      </c>
      <c r="J553" t="s">
        <v>122</v>
      </c>
      <c r="K553" s="7">
        <v>45778</v>
      </c>
    </row>
    <row r="554" spans="1:11" hidden="1">
      <c r="A554" t="s">
        <v>39</v>
      </c>
      <c r="B554" t="s">
        <v>40</v>
      </c>
      <c r="C554" t="s">
        <v>12</v>
      </c>
      <c r="E554" t="s">
        <v>9</v>
      </c>
      <c r="F554" s="1" t="s">
        <v>5</v>
      </c>
      <c r="G554" s="1">
        <v>45952</v>
      </c>
      <c r="H554" t="s">
        <v>41</v>
      </c>
      <c r="I554" s="2">
        <v>14213.8</v>
      </c>
      <c r="J554" t="s">
        <v>460</v>
      </c>
      <c r="K554" s="7">
        <v>45931</v>
      </c>
    </row>
    <row r="555" spans="1:11" hidden="1">
      <c r="A555" t="s">
        <v>39</v>
      </c>
      <c r="B555" t="s">
        <v>144</v>
      </c>
      <c r="C555" t="s">
        <v>14</v>
      </c>
      <c r="E555" t="s">
        <v>9</v>
      </c>
      <c r="F555" s="1" t="s">
        <v>2</v>
      </c>
      <c r="G555" s="1">
        <v>46027</v>
      </c>
      <c r="H555" t="s">
        <v>41</v>
      </c>
      <c r="I555" s="2">
        <v>14193.93</v>
      </c>
      <c r="J555" t="s">
        <v>203</v>
      </c>
      <c r="K555" s="7">
        <v>46023</v>
      </c>
    </row>
    <row r="556" spans="1:11" hidden="1">
      <c r="A556" t="s">
        <v>39</v>
      </c>
      <c r="B556" t="s">
        <v>45</v>
      </c>
      <c r="C556" t="s">
        <v>14</v>
      </c>
      <c r="E556" t="s">
        <v>9</v>
      </c>
      <c r="F556" s="1" t="s">
        <v>3</v>
      </c>
      <c r="G556" s="1">
        <v>45909</v>
      </c>
      <c r="H556" t="s">
        <v>41</v>
      </c>
      <c r="I556" s="2">
        <v>14192.8</v>
      </c>
      <c r="J556" t="s">
        <v>461</v>
      </c>
      <c r="K556" s="7">
        <v>45901</v>
      </c>
    </row>
    <row r="557" spans="1:11" hidden="1">
      <c r="A557" t="s">
        <v>39</v>
      </c>
      <c r="B557" t="s">
        <v>47</v>
      </c>
      <c r="C557" t="s">
        <v>14</v>
      </c>
      <c r="E557" t="s">
        <v>9</v>
      </c>
      <c r="F557" s="1" t="s">
        <v>2</v>
      </c>
      <c r="G557" s="1">
        <v>46030</v>
      </c>
      <c r="H557" t="s">
        <v>41</v>
      </c>
      <c r="I557" s="2">
        <v>14131.09</v>
      </c>
      <c r="J557" t="s">
        <v>462</v>
      </c>
      <c r="K557" s="7">
        <v>46023</v>
      </c>
    </row>
    <row r="558" spans="1:11" hidden="1">
      <c r="A558" t="s">
        <v>39</v>
      </c>
      <c r="B558" t="s">
        <v>40</v>
      </c>
      <c r="C558" t="s">
        <v>14</v>
      </c>
      <c r="D558">
        <v>10028194</v>
      </c>
      <c r="E558" t="s">
        <v>9</v>
      </c>
      <c r="F558" s="1" t="s">
        <v>5</v>
      </c>
      <c r="G558" s="1">
        <v>46013</v>
      </c>
      <c r="H558" t="s">
        <v>41</v>
      </c>
      <c r="I558" s="2">
        <v>14000</v>
      </c>
      <c r="J558" t="s">
        <v>463</v>
      </c>
      <c r="K558" s="7">
        <v>45992</v>
      </c>
    </row>
    <row r="559" spans="1:11" hidden="1">
      <c r="A559" t="s">
        <v>39</v>
      </c>
      <c r="B559" t="s">
        <v>40</v>
      </c>
      <c r="C559" t="s">
        <v>14</v>
      </c>
      <c r="E559" t="s">
        <v>9</v>
      </c>
      <c r="F559" s="1" t="s">
        <v>4</v>
      </c>
      <c r="G559" s="1">
        <v>45827</v>
      </c>
      <c r="H559" t="s">
        <v>64</v>
      </c>
      <c r="I559" s="2">
        <f>9453657/508</f>
        <v>18609.561023622045</v>
      </c>
      <c r="J559" t="s">
        <v>464</v>
      </c>
      <c r="K559" s="7">
        <v>45809</v>
      </c>
    </row>
    <row r="560" spans="1:11" hidden="1">
      <c r="A560" t="s">
        <v>39</v>
      </c>
      <c r="B560" t="s">
        <v>63</v>
      </c>
      <c r="C560" t="s">
        <v>14</v>
      </c>
      <c r="D560">
        <v>10026927</v>
      </c>
      <c r="E560" t="s">
        <v>9</v>
      </c>
      <c r="F560" s="1" t="s">
        <v>5</v>
      </c>
      <c r="G560" s="1">
        <v>45834</v>
      </c>
      <c r="H560" t="s">
        <v>41</v>
      </c>
      <c r="I560" s="2">
        <v>13827.54</v>
      </c>
      <c r="J560" t="s">
        <v>288</v>
      </c>
      <c r="K560" s="7">
        <v>45809</v>
      </c>
    </row>
    <row r="561" spans="1:11" hidden="1">
      <c r="A561" t="s">
        <v>114</v>
      </c>
      <c r="B561" t="s">
        <v>63</v>
      </c>
      <c r="C561" t="s">
        <v>14</v>
      </c>
      <c r="E561" t="s">
        <v>9</v>
      </c>
      <c r="F561" s="1" t="s">
        <v>6</v>
      </c>
      <c r="G561" s="1">
        <v>45959</v>
      </c>
      <c r="H561" t="s">
        <v>41</v>
      </c>
      <c r="I561" s="2">
        <v>13806.15</v>
      </c>
      <c r="J561" t="s">
        <v>465</v>
      </c>
      <c r="K561" s="7">
        <v>45931</v>
      </c>
    </row>
    <row r="562" spans="1:11" hidden="1">
      <c r="A562" t="s">
        <v>39</v>
      </c>
      <c r="B562" t="s">
        <v>40</v>
      </c>
      <c r="C562" t="s">
        <v>14</v>
      </c>
      <c r="E562" t="s">
        <v>9</v>
      </c>
      <c r="F562" s="1" t="s">
        <v>2</v>
      </c>
      <c r="G562" s="1">
        <v>46057</v>
      </c>
      <c r="H562" t="s">
        <v>41</v>
      </c>
      <c r="I562" s="2">
        <v>3900</v>
      </c>
      <c r="J562" t="s">
        <v>466</v>
      </c>
      <c r="K562" s="7">
        <v>46054</v>
      </c>
    </row>
    <row r="563" spans="1:11" hidden="1">
      <c r="A563" t="s">
        <v>39</v>
      </c>
      <c r="B563" t="s">
        <v>40</v>
      </c>
      <c r="C563" t="s">
        <v>14</v>
      </c>
      <c r="D563">
        <v>10028427</v>
      </c>
      <c r="E563" t="s">
        <v>9</v>
      </c>
      <c r="F563" s="1" t="s">
        <v>2</v>
      </c>
      <c r="G563" s="1">
        <v>46057</v>
      </c>
      <c r="H563" t="s">
        <v>41</v>
      </c>
      <c r="I563" s="2">
        <v>2600</v>
      </c>
      <c r="J563" t="s">
        <v>467</v>
      </c>
      <c r="K563" s="7">
        <v>46054</v>
      </c>
    </row>
    <row r="564" spans="1:11" hidden="1">
      <c r="A564" t="s">
        <v>39</v>
      </c>
      <c r="B564" t="s">
        <v>45</v>
      </c>
      <c r="C564" t="s">
        <v>13</v>
      </c>
      <c r="E564" t="s">
        <v>9</v>
      </c>
      <c r="F564" s="1" t="s">
        <v>5</v>
      </c>
      <c r="G564" s="1">
        <v>45926</v>
      </c>
      <c r="H564" t="s">
        <v>41</v>
      </c>
      <c r="I564" s="2">
        <v>13627.15</v>
      </c>
      <c r="J564" t="s">
        <v>353</v>
      </c>
      <c r="K564" s="7">
        <v>45901</v>
      </c>
    </row>
    <row r="565" spans="1:11" hidden="1">
      <c r="A565" t="s">
        <v>114</v>
      </c>
      <c r="B565" t="s">
        <v>63</v>
      </c>
      <c r="C565" t="s">
        <v>13</v>
      </c>
      <c r="E565" t="s">
        <v>9</v>
      </c>
      <c r="F565" s="1" t="s">
        <v>5</v>
      </c>
      <c r="G565" s="1">
        <v>46014</v>
      </c>
      <c r="H565" t="s">
        <v>64</v>
      </c>
      <c r="I565" s="2">
        <f>6940804.3/510</f>
        <v>13609.42019607843</v>
      </c>
      <c r="J565" t="s">
        <v>425</v>
      </c>
      <c r="K565" s="7">
        <v>45992</v>
      </c>
    </row>
    <row r="566" spans="1:11" hidden="1">
      <c r="A566" t="s">
        <v>99</v>
      </c>
      <c r="B566" t="s">
        <v>63</v>
      </c>
      <c r="C566" t="s">
        <v>14</v>
      </c>
      <c r="E566" t="s">
        <v>9</v>
      </c>
      <c r="F566" s="1" t="s">
        <v>5</v>
      </c>
      <c r="G566" s="1">
        <v>45956</v>
      </c>
      <c r="H566" t="s">
        <v>41</v>
      </c>
      <c r="I566" s="2">
        <v>13608.96</v>
      </c>
      <c r="J566" t="s">
        <v>468</v>
      </c>
      <c r="K566" s="7">
        <v>45931</v>
      </c>
    </row>
    <row r="567" spans="1:11" hidden="1">
      <c r="A567" t="s">
        <v>39</v>
      </c>
      <c r="B567" t="s">
        <v>63</v>
      </c>
      <c r="C567" t="s">
        <v>14</v>
      </c>
      <c r="D567">
        <v>10027292</v>
      </c>
      <c r="E567" t="s">
        <v>9</v>
      </c>
      <c r="F567" s="1" t="s">
        <v>3</v>
      </c>
      <c r="G567" s="1">
        <v>45880</v>
      </c>
      <c r="H567" t="s">
        <v>41</v>
      </c>
      <c r="I567" s="2">
        <v>13577.82</v>
      </c>
      <c r="J567" t="s">
        <v>469</v>
      </c>
      <c r="K567" s="7">
        <v>45870</v>
      </c>
    </row>
    <row r="568" spans="1:11" hidden="1">
      <c r="A568" t="s">
        <v>39</v>
      </c>
      <c r="B568" t="s">
        <v>144</v>
      </c>
      <c r="C568" t="s">
        <v>14</v>
      </c>
      <c r="E568" t="s">
        <v>9</v>
      </c>
      <c r="F568" s="1" t="s">
        <v>5</v>
      </c>
      <c r="G568" s="1">
        <v>45954</v>
      </c>
      <c r="H568" t="s">
        <v>41</v>
      </c>
      <c r="I568" s="2">
        <v>13560</v>
      </c>
      <c r="J568" s="47" t="s">
        <v>345</v>
      </c>
      <c r="K568" s="7">
        <v>45931</v>
      </c>
    </row>
    <row r="569" spans="1:11" hidden="1">
      <c r="A569" t="s">
        <v>99</v>
      </c>
      <c r="B569" t="s">
        <v>63</v>
      </c>
      <c r="C569" t="s">
        <v>14</v>
      </c>
      <c r="E569" t="s">
        <v>9</v>
      </c>
      <c r="F569" s="1" t="s">
        <v>3</v>
      </c>
      <c r="G569" s="1">
        <v>45885</v>
      </c>
      <c r="H569" t="s">
        <v>41</v>
      </c>
      <c r="I569" s="2">
        <v>13540.15</v>
      </c>
      <c r="J569" t="s">
        <v>470</v>
      </c>
      <c r="K569" s="7">
        <v>45870</v>
      </c>
    </row>
    <row r="570" spans="1:11" hidden="1">
      <c r="A570" t="s">
        <v>114</v>
      </c>
      <c r="B570" t="s">
        <v>63</v>
      </c>
      <c r="C570" t="s">
        <v>14</v>
      </c>
      <c r="E570" t="s">
        <v>9</v>
      </c>
      <c r="F570" s="1" t="s">
        <v>5</v>
      </c>
      <c r="G570" s="1">
        <v>45861</v>
      </c>
      <c r="H570" t="s">
        <v>41</v>
      </c>
      <c r="I570" s="2">
        <v>13498.08</v>
      </c>
      <c r="J570" t="s">
        <v>471</v>
      </c>
      <c r="K570" s="7">
        <v>45839</v>
      </c>
    </row>
    <row r="571" spans="1:11" hidden="1">
      <c r="A571" t="s">
        <v>39</v>
      </c>
      <c r="B571" t="s">
        <v>40</v>
      </c>
      <c r="C571" t="s">
        <v>14</v>
      </c>
      <c r="E571" t="s">
        <v>9</v>
      </c>
      <c r="F571" s="1" t="s">
        <v>4</v>
      </c>
      <c r="G571" s="1">
        <v>45827</v>
      </c>
      <c r="H571" t="s">
        <v>41</v>
      </c>
      <c r="I571" s="2">
        <v>11600</v>
      </c>
      <c r="J571" t="s">
        <v>410</v>
      </c>
      <c r="K571" s="7">
        <v>45809</v>
      </c>
    </row>
    <row r="572" spans="1:11" hidden="1">
      <c r="A572" t="s">
        <v>39</v>
      </c>
      <c r="B572" t="s">
        <v>63</v>
      </c>
      <c r="C572" t="s">
        <v>124</v>
      </c>
      <c r="E572" t="s">
        <v>9</v>
      </c>
      <c r="F572" s="1" t="s">
        <v>3</v>
      </c>
      <c r="G572" s="1">
        <v>45849</v>
      </c>
      <c r="H572" t="s">
        <v>41</v>
      </c>
      <c r="I572" s="2">
        <v>13411.8</v>
      </c>
      <c r="J572" t="s">
        <v>225</v>
      </c>
      <c r="K572" s="7">
        <v>45839</v>
      </c>
    </row>
    <row r="573" spans="1:11" hidden="1">
      <c r="A573" t="s">
        <v>114</v>
      </c>
      <c r="B573" t="s">
        <v>63</v>
      </c>
      <c r="C573" t="s">
        <v>14</v>
      </c>
      <c r="D573">
        <v>15170</v>
      </c>
      <c r="E573" t="s">
        <v>9</v>
      </c>
      <c r="F573" s="1" t="s">
        <v>4</v>
      </c>
      <c r="G573" s="1">
        <v>45827</v>
      </c>
      <c r="H573" t="s">
        <v>41</v>
      </c>
      <c r="I573" s="2">
        <v>10699.45</v>
      </c>
      <c r="J573" t="s">
        <v>472</v>
      </c>
      <c r="K573" s="7">
        <v>45809</v>
      </c>
    </row>
    <row r="574" spans="1:11" hidden="1">
      <c r="A574" t="s">
        <v>114</v>
      </c>
      <c r="B574" t="s">
        <v>63</v>
      </c>
      <c r="C574" t="s">
        <v>14</v>
      </c>
      <c r="D574">
        <v>15201</v>
      </c>
      <c r="E574" t="s">
        <v>9</v>
      </c>
      <c r="F574" s="1" t="s">
        <v>6</v>
      </c>
      <c r="G574" s="1">
        <v>45868</v>
      </c>
      <c r="H574" t="s">
        <v>41</v>
      </c>
      <c r="I574" s="2">
        <v>13352.19</v>
      </c>
      <c r="J574" t="s">
        <v>254</v>
      </c>
      <c r="K574" s="7">
        <v>45839</v>
      </c>
    </row>
    <row r="575" spans="1:11" hidden="1">
      <c r="A575" t="s">
        <v>114</v>
      </c>
      <c r="B575" t="s">
        <v>63</v>
      </c>
      <c r="C575" t="s">
        <v>14</v>
      </c>
      <c r="D575">
        <v>15170</v>
      </c>
      <c r="E575" t="s">
        <v>9</v>
      </c>
      <c r="F575" s="1" t="s">
        <v>4</v>
      </c>
      <c r="G575" s="1">
        <v>45827</v>
      </c>
      <c r="H575" t="s">
        <v>41</v>
      </c>
      <c r="I575" s="2">
        <v>3698.59</v>
      </c>
      <c r="J575" t="s">
        <v>472</v>
      </c>
      <c r="K575" s="7">
        <v>45809</v>
      </c>
    </row>
    <row r="576" spans="1:11" hidden="1">
      <c r="A576" t="s">
        <v>39</v>
      </c>
      <c r="B576" t="s">
        <v>40</v>
      </c>
      <c r="C576" t="s">
        <v>14</v>
      </c>
      <c r="E576" t="s">
        <v>9</v>
      </c>
      <c r="F576" s="1" t="s">
        <v>5</v>
      </c>
      <c r="G576" s="1">
        <v>45985</v>
      </c>
      <c r="H576" t="s">
        <v>41</v>
      </c>
      <c r="I576" s="2">
        <v>13200</v>
      </c>
      <c r="J576" t="s">
        <v>473</v>
      </c>
      <c r="K576" s="7">
        <v>45962</v>
      </c>
    </row>
    <row r="577" spans="1:11" hidden="1">
      <c r="A577" t="s">
        <v>39</v>
      </c>
      <c r="B577" t="s">
        <v>63</v>
      </c>
      <c r="C577" t="s">
        <v>12</v>
      </c>
      <c r="E577" t="s">
        <v>9</v>
      </c>
      <c r="F577" s="1" t="s">
        <v>3</v>
      </c>
      <c r="G577" s="1">
        <v>46001</v>
      </c>
      <c r="H577" t="s">
        <v>41</v>
      </c>
      <c r="I577" s="2">
        <v>13161.07</v>
      </c>
      <c r="J577" t="s">
        <v>474</v>
      </c>
      <c r="K577" s="7">
        <v>45992</v>
      </c>
    </row>
    <row r="578" spans="1:11" hidden="1">
      <c r="A578" t="s">
        <v>99</v>
      </c>
      <c r="B578" t="s">
        <v>63</v>
      </c>
      <c r="C578" t="s">
        <v>14</v>
      </c>
      <c r="E578" t="s">
        <v>9</v>
      </c>
      <c r="F578" s="1" t="s">
        <v>5</v>
      </c>
      <c r="G578" s="1">
        <v>45927</v>
      </c>
      <c r="H578" t="s">
        <v>41</v>
      </c>
      <c r="I578" s="2">
        <v>13136.37</v>
      </c>
      <c r="J578" t="s">
        <v>475</v>
      </c>
      <c r="K578" s="7">
        <v>45901</v>
      </c>
    </row>
    <row r="579" spans="1:11" hidden="1">
      <c r="A579" t="s">
        <v>39</v>
      </c>
      <c r="B579" t="s">
        <v>47</v>
      </c>
      <c r="C579" t="s">
        <v>14</v>
      </c>
      <c r="E579" t="s">
        <v>9</v>
      </c>
      <c r="F579" s="1" t="s">
        <v>5</v>
      </c>
      <c r="G579" s="1">
        <v>45987</v>
      </c>
      <c r="H579" t="s">
        <v>41</v>
      </c>
      <c r="I579" s="2">
        <v>13073.72</v>
      </c>
      <c r="J579" s="47" t="s">
        <v>476</v>
      </c>
      <c r="K579" s="7">
        <v>45962</v>
      </c>
    </row>
    <row r="580" spans="1:11" hidden="1">
      <c r="A580" t="s">
        <v>39</v>
      </c>
      <c r="B580" t="s">
        <v>40</v>
      </c>
      <c r="C580" t="s">
        <v>14</v>
      </c>
      <c r="E580" t="s">
        <v>9</v>
      </c>
      <c r="F580" s="1" t="s">
        <v>4</v>
      </c>
      <c r="G580" s="1">
        <v>45827</v>
      </c>
      <c r="H580" t="s">
        <v>41</v>
      </c>
      <c r="I580" s="2">
        <v>2000</v>
      </c>
      <c r="J580" t="s">
        <v>410</v>
      </c>
      <c r="K580" s="7">
        <v>45809</v>
      </c>
    </row>
    <row r="581" spans="1:11" hidden="1">
      <c r="A581" t="s">
        <v>39</v>
      </c>
      <c r="B581" t="s">
        <v>40</v>
      </c>
      <c r="C581" t="s">
        <v>14</v>
      </c>
      <c r="E581" t="s">
        <v>9</v>
      </c>
      <c r="F581" s="1" t="s">
        <v>5</v>
      </c>
      <c r="G581" s="1">
        <v>45894</v>
      </c>
      <c r="H581" t="s">
        <v>41</v>
      </c>
      <c r="I581" s="2">
        <v>13000</v>
      </c>
      <c r="J581" t="s">
        <v>477</v>
      </c>
      <c r="K581" s="7">
        <v>45870</v>
      </c>
    </row>
    <row r="582" spans="1:11" hidden="1">
      <c r="A582" t="s">
        <v>39</v>
      </c>
      <c r="B582" t="s">
        <v>47</v>
      </c>
      <c r="C582" t="s">
        <v>14</v>
      </c>
      <c r="D582">
        <v>10026869</v>
      </c>
      <c r="E582" t="s">
        <v>9</v>
      </c>
      <c r="F582" s="1" t="s">
        <v>4</v>
      </c>
      <c r="G582" s="1">
        <v>45827</v>
      </c>
      <c r="H582" t="s">
        <v>41</v>
      </c>
      <c r="I582" s="2">
        <v>1944.66</v>
      </c>
      <c r="J582" t="s">
        <v>478</v>
      </c>
      <c r="K582" s="7">
        <v>45809</v>
      </c>
    </row>
    <row r="583" spans="1:11" hidden="1">
      <c r="A583" t="s">
        <v>39</v>
      </c>
      <c r="B583" t="s">
        <v>40</v>
      </c>
      <c r="C583" t="s">
        <v>14</v>
      </c>
      <c r="E583" t="s">
        <v>9</v>
      </c>
      <c r="F583" s="1" t="s">
        <v>5</v>
      </c>
      <c r="G583" s="1">
        <v>45836</v>
      </c>
      <c r="H583" t="s">
        <v>41</v>
      </c>
      <c r="I583" s="2">
        <v>12992.45</v>
      </c>
      <c r="J583" t="s">
        <v>463</v>
      </c>
      <c r="K583" s="7">
        <v>45809</v>
      </c>
    </row>
    <row r="584" spans="1:11" hidden="1">
      <c r="A584" t="s">
        <v>39</v>
      </c>
      <c r="B584" t="s">
        <v>45</v>
      </c>
      <c r="C584" t="s">
        <v>12</v>
      </c>
      <c r="E584" t="s">
        <v>9</v>
      </c>
      <c r="F584" s="1" t="s">
        <v>3</v>
      </c>
      <c r="G584" s="1">
        <v>46038</v>
      </c>
      <c r="H584" t="s">
        <v>41</v>
      </c>
      <c r="I584" s="2">
        <v>12986.24</v>
      </c>
      <c r="J584" t="s">
        <v>479</v>
      </c>
      <c r="K584" s="7">
        <v>46023</v>
      </c>
    </row>
    <row r="585" spans="1:11" hidden="1">
      <c r="A585" t="s">
        <v>99</v>
      </c>
      <c r="B585" t="s">
        <v>63</v>
      </c>
      <c r="C585" t="s">
        <v>14</v>
      </c>
      <c r="E585" t="s">
        <v>9</v>
      </c>
      <c r="F585" s="1" t="s">
        <v>5</v>
      </c>
      <c r="G585" s="1">
        <v>45838</v>
      </c>
      <c r="H585" t="s">
        <v>41</v>
      </c>
      <c r="I585" s="2">
        <v>12979.89</v>
      </c>
      <c r="J585" t="s">
        <v>480</v>
      </c>
      <c r="K585" s="7">
        <v>45809</v>
      </c>
    </row>
    <row r="586" spans="1:11" hidden="1">
      <c r="A586" t="s">
        <v>39</v>
      </c>
      <c r="B586" t="s">
        <v>63</v>
      </c>
      <c r="C586" t="s">
        <v>14</v>
      </c>
      <c r="D586">
        <v>10026652</v>
      </c>
      <c r="E586" t="s">
        <v>9</v>
      </c>
      <c r="F586" s="1" t="s">
        <v>5</v>
      </c>
      <c r="G586" s="1">
        <v>45799</v>
      </c>
      <c r="H586" t="s">
        <v>41</v>
      </c>
      <c r="I586" s="2">
        <v>12979.11</v>
      </c>
      <c r="J586" t="s">
        <v>481</v>
      </c>
      <c r="K586" s="7">
        <v>45778</v>
      </c>
    </row>
    <row r="587" spans="1:11" hidden="1">
      <c r="A587" t="s">
        <v>39</v>
      </c>
      <c r="B587" t="s">
        <v>47</v>
      </c>
      <c r="C587" t="s">
        <v>14</v>
      </c>
      <c r="D587">
        <v>10026866</v>
      </c>
      <c r="E587" t="s">
        <v>9</v>
      </c>
      <c r="F587" s="1" t="s">
        <v>4</v>
      </c>
      <c r="G587" s="1">
        <v>45827</v>
      </c>
      <c r="H587" t="s">
        <v>41</v>
      </c>
      <c r="I587" s="2">
        <v>1747.17</v>
      </c>
      <c r="J587" t="s">
        <v>133</v>
      </c>
      <c r="K587" s="7">
        <v>45809</v>
      </c>
    </row>
    <row r="588" spans="1:11" hidden="1">
      <c r="A588" t="s">
        <v>39</v>
      </c>
      <c r="B588" t="s">
        <v>63</v>
      </c>
      <c r="C588" t="s">
        <v>14</v>
      </c>
      <c r="E588" t="s">
        <v>9</v>
      </c>
      <c r="F588" s="1" t="s">
        <v>5</v>
      </c>
      <c r="G588" s="1">
        <v>45832</v>
      </c>
      <c r="H588" t="s">
        <v>41</v>
      </c>
      <c r="I588" s="2">
        <v>12887.31</v>
      </c>
      <c r="J588" t="s">
        <v>461</v>
      </c>
      <c r="K588" s="7">
        <v>45809</v>
      </c>
    </row>
    <row r="589" spans="1:11" hidden="1">
      <c r="A589" t="s">
        <v>39</v>
      </c>
      <c r="B589" t="s">
        <v>63</v>
      </c>
      <c r="C589" t="s">
        <v>12</v>
      </c>
      <c r="E589" t="s">
        <v>9</v>
      </c>
      <c r="F589" s="1" t="s">
        <v>3</v>
      </c>
      <c r="G589" s="1">
        <v>45821</v>
      </c>
      <c r="H589" t="s">
        <v>41</v>
      </c>
      <c r="I589" s="2">
        <v>12869.66</v>
      </c>
      <c r="J589" t="s">
        <v>482</v>
      </c>
      <c r="K589" s="7">
        <v>45809</v>
      </c>
    </row>
    <row r="590" spans="1:11" hidden="1">
      <c r="A590" t="s">
        <v>99</v>
      </c>
      <c r="B590" t="s">
        <v>63</v>
      </c>
      <c r="C590" t="s">
        <v>14</v>
      </c>
      <c r="E590" t="s">
        <v>9</v>
      </c>
      <c r="F590" s="1" t="s">
        <v>2</v>
      </c>
      <c r="G590" s="1">
        <v>45815</v>
      </c>
      <c r="H590" t="s">
        <v>41</v>
      </c>
      <c r="I590" s="2">
        <v>12829.06</v>
      </c>
      <c r="J590" t="s">
        <v>483</v>
      </c>
      <c r="K590" s="7">
        <v>45809</v>
      </c>
    </row>
    <row r="591" spans="1:11" hidden="1">
      <c r="A591" t="s">
        <v>39</v>
      </c>
      <c r="B591" t="s">
        <v>40</v>
      </c>
      <c r="C591" t="s">
        <v>12</v>
      </c>
      <c r="E591" t="s">
        <v>9</v>
      </c>
      <c r="F591" s="1" t="s">
        <v>3</v>
      </c>
      <c r="G591" s="1">
        <v>45940</v>
      </c>
      <c r="H591" t="s">
        <v>41</v>
      </c>
      <c r="I591" s="2">
        <v>12800</v>
      </c>
      <c r="J591" t="s">
        <v>473</v>
      </c>
      <c r="K591" s="7">
        <v>45931</v>
      </c>
    </row>
    <row r="592" spans="1:11" hidden="1">
      <c r="A592" t="s">
        <v>39</v>
      </c>
      <c r="B592" t="s">
        <v>47</v>
      </c>
      <c r="C592" t="s">
        <v>14</v>
      </c>
      <c r="E592" t="s">
        <v>9</v>
      </c>
      <c r="F592" s="1" t="s">
        <v>5</v>
      </c>
      <c r="G592" s="1">
        <v>45926</v>
      </c>
      <c r="H592" t="s">
        <v>41</v>
      </c>
      <c r="I592" s="2">
        <v>12753.59</v>
      </c>
      <c r="J592" t="s">
        <v>422</v>
      </c>
      <c r="K592" s="7">
        <v>45901</v>
      </c>
    </row>
    <row r="593" spans="1:11" hidden="1">
      <c r="A593" t="s">
        <v>39</v>
      </c>
      <c r="B593" t="s">
        <v>47</v>
      </c>
      <c r="C593" t="s">
        <v>12</v>
      </c>
      <c r="E593" t="s">
        <v>9</v>
      </c>
      <c r="F593" s="1" t="s">
        <v>2</v>
      </c>
      <c r="G593" s="1">
        <v>45814</v>
      </c>
      <c r="H593" t="s">
        <v>41</v>
      </c>
      <c r="I593" s="2">
        <v>12677.56</v>
      </c>
      <c r="J593" t="s">
        <v>199</v>
      </c>
      <c r="K593" s="7">
        <v>45809</v>
      </c>
    </row>
    <row r="594" spans="1:11" hidden="1">
      <c r="A594" t="s">
        <v>39</v>
      </c>
      <c r="B594" t="s">
        <v>47</v>
      </c>
      <c r="C594" t="s">
        <v>12</v>
      </c>
      <c r="E594" t="s">
        <v>9</v>
      </c>
      <c r="F594" s="1" t="s">
        <v>5</v>
      </c>
      <c r="G594" s="1">
        <v>45951</v>
      </c>
      <c r="H594" t="s">
        <v>41</v>
      </c>
      <c r="I594" s="2">
        <v>12636.03</v>
      </c>
      <c r="J594" t="s">
        <v>484</v>
      </c>
      <c r="K594" s="7">
        <v>45931</v>
      </c>
    </row>
    <row r="595" spans="1:11" hidden="1">
      <c r="A595" t="s">
        <v>39</v>
      </c>
      <c r="B595" t="s">
        <v>63</v>
      </c>
      <c r="C595" t="s">
        <v>14</v>
      </c>
      <c r="D595">
        <v>10026740</v>
      </c>
      <c r="E595" t="s">
        <v>9</v>
      </c>
      <c r="F595" s="1" t="s">
        <v>2</v>
      </c>
      <c r="G595" s="1">
        <v>45810</v>
      </c>
      <c r="H595" t="s">
        <v>41</v>
      </c>
      <c r="I595" s="2">
        <v>12491.51</v>
      </c>
      <c r="J595" t="s">
        <v>149</v>
      </c>
      <c r="K595" s="7">
        <v>45809</v>
      </c>
    </row>
    <row r="596" spans="1:11" hidden="1">
      <c r="A596" t="s">
        <v>99</v>
      </c>
      <c r="B596" t="s">
        <v>63</v>
      </c>
      <c r="C596" t="s">
        <v>14</v>
      </c>
      <c r="E596" t="s">
        <v>9</v>
      </c>
      <c r="F596" s="1" t="s">
        <v>2</v>
      </c>
      <c r="G596" s="1">
        <v>45968</v>
      </c>
      <c r="H596" t="s">
        <v>41</v>
      </c>
      <c r="I596" s="2">
        <v>12475.638300000001</v>
      </c>
      <c r="J596" t="s">
        <v>485</v>
      </c>
      <c r="K596" s="7">
        <v>45962</v>
      </c>
    </row>
    <row r="597" spans="1:11" hidden="1">
      <c r="A597" t="s">
        <v>56</v>
      </c>
      <c r="B597" t="s">
        <v>40</v>
      </c>
      <c r="C597" t="s">
        <v>14</v>
      </c>
      <c r="E597" t="s">
        <v>9</v>
      </c>
      <c r="F597" s="1" t="s">
        <v>6</v>
      </c>
      <c r="G597" s="1">
        <v>45803</v>
      </c>
      <c r="H597" t="s">
        <v>41</v>
      </c>
      <c r="I597" s="2">
        <v>12454</v>
      </c>
      <c r="J597" t="s">
        <v>330</v>
      </c>
      <c r="K597" s="7">
        <v>45778</v>
      </c>
    </row>
    <row r="598" spans="1:11" hidden="1">
      <c r="A598" t="s">
        <v>39</v>
      </c>
      <c r="B598" t="s">
        <v>47</v>
      </c>
      <c r="C598" t="s">
        <v>13</v>
      </c>
      <c r="D598">
        <v>10026485</v>
      </c>
      <c r="E598" t="s">
        <v>9</v>
      </c>
      <c r="F598" s="1" t="s">
        <v>3</v>
      </c>
      <c r="G598" s="1">
        <v>45784</v>
      </c>
      <c r="H598" t="s">
        <v>41</v>
      </c>
      <c r="I598" s="2">
        <v>12441.82</v>
      </c>
      <c r="J598" t="s">
        <v>121</v>
      </c>
      <c r="K598" s="7">
        <v>45778</v>
      </c>
    </row>
    <row r="599" spans="1:11" hidden="1">
      <c r="A599" t="s">
        <v>114</v>
      </c>
      <c r="B599" t="s">
        <v>63</v>
      </c>
      <c r="C599" t="s">
        <v>14</v>
      </c>
      <c r="D599">
        <v>15157</v>
      </c>
      <c r="E599" t="s">
        <v>9</v>
      </c>
      <c r="F599" s="1" t="s">
        <v>2</v>
      </c>
      <c r="G599" s="1">
        <v>45810</v>
      </c>
      <c r="H599" t="s">
        <v>41</v>
      </c>
      <c r="I599" s="2">
        <v>12392.43</v>
      </c>
      <c r="J599" t="s">
        <v>486</v>
      </c>
      <c r="K599" s="7">
        <v>45809</v>
      </c>
    </row>
    <row r="600" spans="1:11" hidden="1">
      <c r="A600" t="s">
        <v>39</v>
      </c>
      <c r="B600" t="s">
        <v>63</v>
      </c>
      <c r="C600" t="s">
        <v>14</v>
      </c>
      <c r="E600" t="s">
        <v>9</v>
      </c>
      <c r="F600" s="1" t="s">
        <v>6</v>
      </c>
      <c r="G600" s="1">
        <v>45961</v>
      </c>
      <c r="H600" t="s">
        <v>41</v>
      </c>
      <c r="I600" s="2">
        <v>12373.56</v>
      </c>
      <c r="J600" t="s">
        <v>487</v>
      </c>
      <c r="K600" s="7">
        <v>45931</v>
      </c>
    </row>
    <row r="601" spans="1:11" hidden="1">
      <c r="A601" t="s">
        <v>56</v>
      </c>
      <c r="B601" t="s">
        <v>40</v>
      </c>
      <c r="C601" t="s">
        <v>12</v>
      </c>
      <c r="E601" t="s">
        <v>9</v>
      </c>
      <c r="F601" s="1" t="s">
        <v>2</v>
      </c>
      <c r="G601" s="1">
        <v>45841</v>
      </c>
      <c r="H601" t="s">
        <v>41</v>
      </c>
      <c r="I601" s="2">
        <v>12362</v>
      </c>
      <c r="J601" t="s">
        <v>488</v>
      </c>
      <c r="K601" s="7">
        <v>45839</v>
      </c>
    </row>
    <row r="602" spans="1:11" hidden="1">
      <c r="A602" t="s">
        <v>39</v>
      </c>
      <c r="B602" t="s">
        <v>40</v>
      </c>
      <c r="C602" t="s">
        <v>14</v>
      </c>
      <c r="E602" t="s">
        <v>9</v>
      </c>
      <c r="F602" s="1" t="s">
        <v>4</v>
      </c>
      <c r="G602" s="1">
        <v>45827</v>
      </c>
      <c r="H602" t="s">
        <v>41</v>
      </c>
      <c r="I602" s="2">
        <v>1729</v>
      </c>
      <c r="J602" t="s">
        <v>489</v>
      </c>
      <c r="K602" s="7">
        <v>45809</v>
      </c>
    </row>
    <row r="603" spans="1:11" hidden="1">
      <c r="A603" t="s">
        <v>114</v>
      </c>
      <c r="B603" t="s">
        <v>63</v>
      </c>
      <c r="C603" t="s">
        <v>13</v>
      </c>
      <c r="D603">
        <v>15171</v>
      </c>
      <c r="E603" t="s">
        <v>9</v>
      </c>
      <c r="F603" s="1" t="s">
        <v>4</v>
      </c>
      <c r="G603" s="1">
        <v>45827</v>
      </c>
      <c r="H603" t="s">
        <v>41</v>
      </c>
      <c r="I603" s="2">
        <v>1287</v>
      </c>
      <c r="J603" t="s">
        <v>490</v>
      </c>
      <c r="K603" s="7">
        <v>45809</v>
      </c>
    </row>
    <row r="604" spans="1:11" hidden="1">
      <c r="A604" t="s">
        <v>56</v>
      </c>
      <c r="B604" t="s">
        <v>40</v>
      </c>
      <c r="C604" t="s">
        <v>14</v>
      </c>
      <c r="E604" t="s">
        <v>9</v>
      </c>
      <c r="F604" s="1" t="s">
        <v>2</v>
      </c>
      <c r="G604" s="1">
        <v>46057</v>
      </c>
      <c r="H604" t="s">
        <v>41</v>
      </c>
      <c r="I604" s="2">
        <v>379</v>
      </c>
      <c r="J604" t="s">
        <v>454</v>
      </c>
      <c r="K604" s="7">
        <v>46054</v>
      </c>
    </row>
    <row r="605" spans="1:11" hidden="1">
      <c r="A605" t="s">
        <v>39</v>
      </c>
      <c r="B605" t="s">
        <v>40</v>
      </c>
      <c r="C605" t="s">
        <v>14</v>
      </c>
      <c r="E605" t="s">
        <v>9</v>
      </c>
      <c r="F605" s="1" t="s">
        <v>2</v>
      </c>
      <c r="G605" s="1">
        <v>45839</v>
      </c>
      <c r="H605" t="s">
        <v>41</v>
      </c>
      <c r="I605" s="2">
        <v>12300</v>
      </c>
      <c r="J605" t="s">
        <v>491</v>
      </c>
      <c r="K605" s="7">
        <v>45839</v>
      </c>
    </row>
    <row r="606" spans="1:11" hidden="1">
      <c r="A606" t="s">
        <v>39</v>
      </c>
      <c r="B606" t="s">
        <v>45</v>
      </c>
      <c r="C606" t="s">
        <v>14</v>
      </c>
      <c r="D606">
        <v>10026984</v>
      </c>
      <c r="E606" t="s">
        <v>9</v>
      </c>
      <c r="F606" s="1" t="s">
        <v>2</v>
      </c>
      <c r="G606" s="1">
        <v>45839</v>
      </c>
      <c r="H606" t="s">
        <v>41</v>
      </c>
      <c r="I606" s="2">
        <v>12288.52</v>
      </c>
      <c r="J606" t="s">
        <v>492</v>
      </c>
      <c r="K606" s="7">
        <v>45839</v>
      </c>
    </row>
    <row r="607" spans="1:11" hidden="1">
      <c r="A607" t="s">
        <v>39</v>
      </c>
      <c r="B607" t="s">
        <v>47</v>
      </c>
      <c r="C607" t="s">
        <v>12</v>
      </c>
      <c r="D607">
        <v>10026906</v>
      </c>
      <c r="E607" t="s">
        <v>9</v>
      </c>
      <c r="F607" s="1" t="s">
        <v>4</v>
      </c>
      <c r="G607" s="1">
        <v>45827</v>
      </c>
      <c r="H607" t="s">
        <v>41</v>
      </c>
      <c r="I607" s="2">
        <v>643.13</v>
      </c>
      <c r="J607" t="s">
        <v>493</v>
      </c>
      <c r="K607" s="7">
        <v>45809</v>
      </c>
    </row>
    <row r="608" spans="1:11" hidden="1">
      <c r="A608" t="s">
        <v>39</v>
      </c>
      <c r="B608" t="s">
        <v>40</v>
      </c>
      <c r="C608" t="s">
        <v>14</v>
      </c>
      <c r="E608" t="s">
        <v>9</v>
      </c>
      <c r="F608" s="1" t="s">
        <v>4</v>
      </c>
      <c r="G608" s="1">
        <v>45827</v>
      </c>
      <c r="H608" t="s">
        <v>41</v>
      </c>
      <c r="I608" s="2">
        <v>150</v>
      </c>
      <c r="J608" t="s">
        <v>494</v>
      </c>
      <c r="K608" s="7">
        <v>45809</v>
      </c>
    </row>
    <row r="609" spans="1:11" hidden="1">
      <c r="A609" t="s">
        <v>99</v>
      </c>
      <c r="B609" t="s">
        <v>63</v>
      </c>
      <c r="C609" t="s">
        <v>14</v>
      </c>
      <c r="E609" t="s">
        <v>9</v>
      </c>
      <c r="F609" s="1" t="s">
        <v>5</v>
      </c>
      <c r="G609" s="1">
        <v>46053</v>
      </c>
      <c r="H609" t="s">
        <v>41</v>
      </c>
      <c r="I609" s="2">
        <v>12242.15</v>
      </c>
      <c r="J609" t="s">
        <v>495</v>
      </c>
      <c r="K609" s="7">
        <v>46023</v>
      </c>
    </row>
    <row r="610" spans="1:11" hidden="1">
      <c r="A610" t="s">
        <v>39</v>
      </c>
      <c r="B610" t="s">
        <v>47</v>
      </c>
      <c r="C610" t="s">
        <v>12</v>
      </c>
      <c r="E610" t="s">
        <v>9</v>
      </c>
      <c r="F610" s="1" t="s">
        <v>3</v>
      </c>
      <c r="G610" s="1">
        <v>45974</v>
      </c>
      <c r="H610" t="s">
        <v>41</v>
      </c>
      <c r="I610" s="2">
        <v>12203.78</v>
      </c>
      <c r="J610" t="s">
        <v>496</v>
      </c>
      <c r="K610" s="7">
        <v>45962</v>
      </c>
    </row>
    <row r="611" spans="1:11" hidden="1">
      <c r="A611" t="s">
        <v>114</v>
      </c>
      <c r="B611" t="s">
        <v>63</v>
      </c>
      <c r="C611" t="s">
        <v>13</v>
      </c>
      <c r="D611">
        <v>15171</v>
      </c>
      <c r="E611" t="s">
        <v>9</v>
      </c>
      <c r="F611" s="1" t="s">
        <v>4</v>
      </c>
      <c r="G611" s="1">
        <v>45827</v>
      </c>
      <c r="H611" t="s">
        <v>41</v>
      </c>
      <c r="I611" s="2">
        <v>143.43</v>
      </c>
      <c r="J611" t="s">
        <v>490</v>
      </c>
      <c r="K611" s="7">
        <v>45809</v>
      </c>
    </row>
    <row r="612" spans="1:11" hidden="1">
      <c r="A612" t="s">
        <v>39</v>
      </c>
      <c r="B612" t="s">
        <v>45</v>
      </c>
      <c r="C612" t="s">
        <v>14</v>
      </c>
      <c r="E612" t="s">
        <v>9</v>
      </c>
      <c r="F612" s="1" t="s">
        <v>2</v>
      </c>
      <c r="G612" s="1">
        <v>45967</v>
      </c>
      <c r="H612" t="s">
        <v>41</v>
      </c>
      <c r="I612" s="2">
        <v>12102.69</v>
      </c>
      <c r="J612" t="s">
        <v>497</v>
      </c>
      <c r="K612" s="7">
        <v>45962</v>
      </c>
    </row>
    <row r="613" spans="1:11" hidden="1">
      <c r="A613" t="s">
        <v>39</v>
      </c>
      <c r="B613" t="s">
        <v>63</v>
      </c>
      <c r="C613" t="s">
        <v>13</v>
      </c>
      <c r="E613" t="s">
        <v>9</v>
      </c>
      <c r="F613" s="1" t="s">
        <v>5</v>
      </c>
      <c r="G613" s="1">
        <v>45989</v>
      </c>
      <c r="H613" t="s">
        <v>41</v>
      </c>
      <c r="I613" s="2">
        <v>12091.81</v>
      </c>
      <c r="J613" s="47" t="s">
        <v>498</v>
      </c>
      <c r="K613" s="7">
        <v>45962</v>
      </c>
    </row>
    <row r="614" spans="1:11" hidden="1">
      <c r="A614" t="s">
        <v>99</v>
      </c>
      <c r="B614" t="s">
        <v>63</v>
      </c>
      <c r="C614" t="s">
        <v>14</v>
      </c>
      <c r="E614" t="s">
        <v>9</v>
      </c>
      <c r="F614" s="1" t="s">
        <v>3</v>
      </c>
      <c r="G614" s="1">
        <v>46004</v>
      </c>
      <c r="H614" t="s">
        <v>41</v>
      </c>
      <c r="I614" s="2">
        <v>12012</v>
      </c>
      <c r="J614" t="s">
        <v>499</v>
      </c>
      <c r="K614" s="7">
        <v>45992</v>
      </c>
    </row>
    <row r="615" spans="1:11" hidden="1">
      <c r="A615" t="s">
        <v>39</v>
      </c>
      <c r="B615" t="s">
        <v>47</v>
      </c>
      <c r="C615" t="s">
        <v>14</v>
      </c>
      <c r="D615">
        <v>10026878</v>
      </c>
      <c r="E615" t="s">
        <v>9</v>
      </c>
      <c r="F615" s="1" t="s">
        <v>4</v>
      </c>
      <c r="G615" s="1">
        <v>45828</v>
      </c>
      <c r="H615" t="s">
        <v>41</v>
      </c>
      <c r="I615" s="2">
        <v>31122.68</v>
      </c>
      <c r="J615" t="s">
        <v>500</v>
      </c>
      <c r="K615" s="7">
        <v>45809</v>
      </c>
    </row>
    <row r="616" spans="1:11" hidden="1">
      <c r="A616" t="s">
        <v>39</v>
      </c>
      <c r="B616" t="s">
        <v>40</v>
      </c>
      <c r="C616" t="s">
        <v>14</v>
      </c>
      <c r="D616">
        <v>10027676</v>
      </c>
      <c r="E616" t="s">
        <v>9</v>
      </c>
      <c r="F616" s="1" t="s">
        <v>6</v>
      </c>
      <c r="G616" s="1">
        <v>45930</v>
      </c>
      <c r="H616" t="s">
        <v>41</v>
      </c>
      <c r="I616" s="2">
        <v>12000</v>
      </c>
      <c r="J616" t="s">
        <v>501</v>
      </c>
      <c r="K616" s="7">
        <v>45901</v>
      </c>
    </row>
    <row r="617" spans="1:11" hidden="1">
      <c r="A617" t="s">
        <v>39</v>
      </c>
      <c r="B617" t="s">
        <v>40</v>
      </c>
      <c r="C617" t="s">
        <v>14</v>
      </c>
      <c r="E617" t="s">
        <v>9</v>
      </c>
      <c r="F617" s="1" t="s">
        <v>5</v>
      </c>
      <c r="G617" s="1">
        <v>45951</v>
      </c>
      <c r="H617" t="s">
        <v>41</v>
      </c>
      <c r="I617" s="2">
        <v>12000</v>
      </c>
      <c r="J617" t="s">
        <v>502</v>
      </c>
      <c r="K617" s="7">
        <v>45931</v>
      </c>
    </row>
    <row r="618" spans="1:11" hidden="1">
      <c r="A618" t="s">
        <v>56</v>
      </c>
      <c r="B618" t="s">
        <v>40</v>
      </c>
      <c r="C618" t="s">
        <v>14</v>
      </c>
      <c r="E618" t="s">
        <v>9</v>
      </c>
      <c r="F618" s="1" t="s">
        <v>5</v>
      </c>
      <c r="G618" s="1">
        <v>46048</v>
      </c>
      <c r="H618" t="s">
        <v>41</v>
      </c>
      <c r="I618" s="2">
        <v>12000</v>
      </c>
      <c r="J618" t="s">
        <v>503</v>
      </c>
      <c r="K618" s="7">
        <v>46023</v>
      </c>
    </row>
    <row r="619" spans="1:11" hidden="1">
      <c r="A619" t="s">
        <v>56</v>
      </c>
      <c r="B619" t="s">
        <v>40</v>
      </c>
      <c r="C619" t="s">
        <v>14</v>
      </c>
      <c r="E619" t="s">
        <v>9</v>
      </c>
      <c r="F619" s="1" t="s">
        <v>4</v>
      </c>
      <c r="G619" s="1">
        <v>45828</v>
      </c>
      <c r="H619" t="s">
        <v>41</v>
      </c>
      <c r="I619" s="2">
        <v>30234.31</v>
      </c>
      <c r="J619" t="s">
        <v>211</v>
      </c>
      <c r="K619" s="7">
        <v>45809</v>
      </c>
    </row>
    <row r="620" spans="1:11" hidden="1">
      <c r="A620" t="s">
        <v>39</v>
      </c>
      <c r="B620" t="s">
        <v>40</v>
      </c>
      <c r="C620" t="s">
        <v>14</v>
      </c>
      <c r="E620" t="s">
        <v>9</v>
      </c>
      <c r="F620" s="1" t="s">
        <v>5</v>
      </c>
      <c r="G620" s="1">
        <v>45799</v>
      </c>
      <c r="H620" t="s">
        <v>41</v>
      </c>
      <c r="I620" s="2">
        <v>11913</v>
      </c>
      <c r="J620" t="s">
        <v>67</v>
      </c>
      <c r="K620" s="7">
        <v>45778</v>
      </c>
    </row>
    <row r="621" spans="1:11" hidden="1">
      <c r="A621" t="s">
        <v>39</v>
      </c>
      <c r="B621" t="s">
        <v>45</v>
      </c>
      <c r="C621" t="s">
        <v>14</v>
      </c>
      <c r="D621">
        <v>10026522</v>
      </c>
      <c r="E621" t="s">
        <v>9</v>
      </c>
      <c r="F621" s="1" t="s">
        <v>3</v>
      </c>
      <c r="G621" s="1">
        <v>45785</v>
      </c>
      <c r="H621" t="s">
        <v>41</v>
      </c>
      <c r="I621" s="2">
        <v>11812.03</v>
      </c>
      <c r="J621" t="s">
        <v>504</v>
      </c>
      <c r="K621" s="7">
        <v>45778</v>
      </c>
    </row>
    <row r="622" spans="1:11" hidden="1">
      <c r="A622" t="s">
        <v>39</v>
      </c>
      <c r="B622" t="s">
        <v>40</v>
      </c>
      <c r="C622" t="s">
        <v>14</v>
      </c>
      <c r="E622" t="s">
        <v>9</v>
      </c>
      <c r="F622" s="1" t="s">
        <v>5</v>
      </c>
      <c r="G622" s="1">
        <v>45834</v>
      </c>
      <c r="H622" t="s">
        <v>64</v>
      </c>
      <c r="I622" s="2">
        <f>5990400/508</f>
        <v>11792.125984251968</v>
      </c>
      <c r="J622" t="s">
        <v>505</v>
      </c>
      <c r="K622" s="7">
        <v>45809</v>
      </c>
    </row>
    <row r="623" spans="1:11" hidden="1">
      <c r="A623" t="s">
        <v>114</v>
      </c>
      <c r="B623" t="s">
        <v>63</v>
      </c>
      <c r="C623" t="s">
        <v>14</v>
      </c>
      <c r="E623" t="s">
        <v>9</v>
      </c>
      <c r="F623" s="1" t="s">
        <v>5</v>
      </c>
      <c r="G623" s="1">
        <v>46014</v>
      </c>
      <c r="H623" t="s">
        <v>41</v>
      </c>
      <c r="I623" s="2">
        <v>11699.4</v>
      </c>
      <c r="J623" t="s">
        <v>506</v>
      </c>
      <c r="K623" s="7">
        <v>45992</v>
      </c>
    </row>
    <row r="624" spans="1:11" hidden="1">
      <c r="A624" t="s">
        <v>39</v>
      </c>
      <c r="B624" t="s">
        <v>63</v>
      </c>
      <c r="C624" t="s">
        <v>14</v>
      </c>
      <c r="E624" t="s">
        <v>9</v>
      </c>
      <c r="F624" s="1" t="s">
        <v>6</v>
      </c>
      <c r="G624" s="1">
        <v>45960</v>
      </c>
      <c r="H624" t="s">
        <v>41</v>
      </c>
      <c r="I624" s="2">
        <v>11684.9</v>
      </c>
      <c r="J624" t="s">
        <v>507</v>
      </c>
      <c r="K624" s="7">
        <v>45931</v>
      </c>
    </row>
    <row r="625" spans="1:11" hidden="1">
      <c r="A625" t="s">
        <v>114</v>
      </c>
      <c r="B625" t="s">
        <v>63</v>
      </c>
      <c r="C625" t="s">
        <v>13</v>
      </c>
      <c r="E625" t="s">
        <v>9</v>
      </c>
      <c r="F625" s="1" t="s">
        <v>2</v>
      </c>
      <c r="G625" s="1">
        <v>45933</v>
      </c>
      <c r="H625" t="s">
        <v>41</v>
      </c>
      <c r="I625" s="2">
        <v>11621.68</v>
      </c>
      <c r="J625" t="s">
        <v>508</v>
      </c>
      <c r="K625" s="7">
        <v>45931</v>
      </c>
    </row>
    <row r="626" spans="1:11" hidden="1">
      <c r="A626" t="s">
        <v>39</v>
      </c>
      <c r="B626" t="s">
        <v>47</v>
      </c>
      <c r="C626" t="s">
        <v>14</v>
      </c>
      <c r="D626">
        <v>10026886</v>
      </c>
      <c r="E626" t="s">
        <v>9</v>
      </c>
      <c r="F626" s="1" t="s">
        <v>4</v>
      </c>
      <c r="G626" s="1">
        <v>45828</v>
      </c>
      <c r="H626" t="s">
        <v>41</v>
      </c>
      <c r="I626" s="2">
        <v>11925.57</v>
      </c>
      <c r="J626" t="s">
        <v>509</v>
      </c>
      <c r="K626" s="7">
        <v>45809</v>
      </c>
    </row>
    <row r="627" spans="1:11" hidden="1">
      <c r="A627" t="s">
        <v>39</v>
      </c>
      <c r="B627" t="s">
        <v>47</v>
      </c>
      <c r="C627" t="s">
        <v>14</v>
      </c>
      <c r="E627" t="s">
        <v>9</v>
      </c>
      <c r="F627" s="1" t="s">
        <v>3</v>
      </c>
      <c r="G627" s="1">
        <v>45936</v>
      </c>
      <c r="H627" t="s">
        <v>41</v>
      </c>
      <c r="I627" s="2">
        <v>11550</v>
      </c>
      <c r="J627" t="s">
        <v>162</v>
      </c>
      <c r="K627" s="7">
        <v>45931</v>
      </c>
    </row>
    <row r="628" spans="1:11" hidden="1">
      <c r="A628" t="s">
        <v>39</v>
      </c>
      <c r="B628" t="s">
        <v>63</v>
      </c>
      <c r="C628" t="s">
        <v>14</v>
      </c>
      <c r="D628">
        <v>10026884</v>
      </c>
      <c r="E628" t="s">
        <v>9</v>
      </c>
      <c r="F628" s="1" t="s">
        <v>4</v>
      </c>
      <c r="G628" s="1">
        <v>45828</v>
      </c>
      <c r="H628" t="s">
        <v>41</v>
      </c>
      <c r="I628" s="2">
        <v>6231.58</v>
      </c>
      <c r="J628" t="s">
        <v>149</v>
      </c>
      <c r="K628" s="7">
        <v>45809</v>
      </c>
    </row>
    <row r="629" spans="1:11" hidden="1">
      <c r="A629" t="s">
        <v>39</v>
      </c>
      <c r="B629" t="s">
        <v>63</v>
      </c>
      <c r="C629" t="s">
        <v>14</v>
      </c>
      <c r="E629" t="s">
        <v>9</v>
      </c>
      <c r="F629" s="1" t="s">
        <v>3</v>
      </c>
      <c r="G629" s="1">
        <v>46038</v>
      </c>
      <c r="H629" t="s">
        <v>41</v>
      </c>
      <c r="I629" s="2">
        <v>11504.93</v>
      </c>
      <c r="J629" t="s">
        <v>510</v>
      </c>
      <c r="K629" s="7">
        <v>46023</v>
      </c>
    </row>
    <row r="630" spans="1:11" hidden="1">
      <c r="A630" t="s">
        <v>39</v>
      </c>
      <c r="B630" t="s">
        <v>40</v>
      </c>
      <c r="C630" t="s">
        <v>14</v>
      </c>
      <c r="E630" t="s">
        <v>9</v>
      </c>
      <c r="F630" s="1" t="s">
        <v>3</v>
      </c>
      <c r="G630" s="1">
        <v>45819</v>
      </c>
      <c r="H630" t="s">
        <v>41</v>
      </c>
      <c r="I630" s="2">
        <v>11500</v>
      </c>
      <c r="J630" t="s">
        <v>511</v>
      </c>
      <c r="K630" s="7">
        <v>45809</v>
      </c>
    </row>
    <row r="631" spans="1:11" hidden="1">
      <c r="A631" t="s">
        <v>39</v>
      </c>
      <c r="B631" t="s">
        <v>63</v>
      </c>
      <c r="C631" t="s">
        <v>13</v>
      </c>
      <c r="D631">
        <v>10026884</v>
      </c>
      <c r="E631" t="s">
        <v>9</v>
      </c>
      <c r="F631" s="1" t="s">
        <v>4</v>
      </c>
      <c r="G631" s="1">
        <v>45828</v>
      </c>
      <c r="H631" t="s">
        <v>41</v>
      </c>
      <c r="I631" s="2">
        <v>2255.5</v>
      </c>
      <c r="J631" t="s">
        <v>149</v>
      </c>
      <c r="K631" s="7">
        <v>45809</v>
      </c>
    </row>
    <row r="632" spans="1:11" hidden="1">
      <c r="A632" t="s">
        <v>56</v>
      </c>
      <c r="B632" t="s">
        <v>40</v>
      </c>
      <c r="C632" t="s">
        <v>14</v>
      </c>
      <c r="D632">
        <v>10794</v>
      </c>
      <c r="E632" t="s">
        <v>9</v>
      </c>
      <c r="F632" s="1" t="s">
        <v>5</v>
      </c>
      <c r="G632" s="1">
        <v>45926</v>
      </c>
      <c r="H632" t="s">
        <v>41</v>
      </c>
      <c r="I632" s="2">
        <v>11462.27</v>
      </c>
      <c r="J632" t="s">
        <v>512</v>
      </c>
      <c r="K632" s="7">
        <v>45901</v>
      </c>
    </row>
    <row r="633" spans="1:11" hidden="1">
      <c r="A633" t="s">
        <v>39</v>
      </c>
      <c r="B633" t="s">
        <v>63</v>
      </c>
      <c r="C633" t="s">
        <v>14</v>
      </c>
      <c r="E633" t="s">
        <v>9</v>
      </c>
      <c r="F633" s="1" t="s">
        <v>6</v>
      </c>
      <c r="G633" s="1">
        <v>46021</v>
      </c>
      <c r="H633" t="s">
        <v>41</v>
      </c>
      <c r="I633" s="2">
        <v>11437.16</v>
      </c>
      <c r="J633" s="47" t="s">
        <v>403</v>
      </c>
      <c r="K633" s="7">
        <v>45992</v>
      </c>
    </row>
    <row r="634" spans="1:11" hidden="1">
      <c r="A634" t="s">
        <v>39</v>
      </c>
      <c r="B634" t="s">
        <v>47</v>
      </c>
      <c r="C634" t="s">
        <v>13</v>
      </c>
      <c r="D634">
        <v>10026754</v>
      </c>
      <c r="E634" t="s">
        <v>9</v>
      </c>
      <c r="F634" s="1" t="s">
        <v>2</v>
      </c>
      <c r="G634" s="1">
        <v>45811</v>
      </c>
      <c r="H634" t="s">
        <v>41</v>
      </c>
      <c r="I634" s="2">
        <v>11433.41</v>
      </c>
      <c r="J634" t="s">
        <v>135</v>
      </c>
      <c r="K634" s="7">
        <v>45809</v>
      </c>
    </row>
    <row r="635" spans="1:11" hidden="1">
      <c r="A635" t="s">
        <v>56</v>
      </c>
      <c r="B635" t="s">
        <v>40</v>
      </c>
      <c r="C635" t="s">
        <v>14</v>
      </c>
      <c r="D635">
        <v>10799</v>
      </c>
      <c r="E635" t="s">
        <v>9</v>
      </c>
      <c r="F635" s="1" t="s">
        <v>2</v>
      </c>
      <c r="G635" s="1">
        <v>45931</v>
      </c>
      <c r="H635" t="s">
        <v>41</v>
      </c>
      <c r="I635" s="2">
        <v>11348</v>
      </c>
      <c r="J635" t="s">
        <v>513</v>
      </c>
      <c r="K635" s="7">
        <v>45931</v>
      </c>
    </row>
    <row r="636" spans="1:11" hidden="1">
      <c r="A636" t="s">
        <v>39</v>
      </c>
      <c r="B636" t="s">
        <v>63</v>
      </c>
      <c r="C636" t="s">
        <v>14</v>
      </c>
      <c r="E636" t="s">
        <v>9</v>
      </c>
      <c r="F636" s="1" t="s">
        <v>6</v>
      </c>
      <c r="G636" s="1">
        <v>46021</v>
      </c>
      <c r="H636" t="s">
        <v>41</v>
      </c>
      <c r="I636" s="2">
        <v>11345.41</v>
      </c>
      <c r="J636" s="47" t="s">
        <v>403</v>
      </c>
      <c r="K636" s="7">
        <v>45992</v>
      </c>
    </row>
    <row r="637" spans="1:11" hidden="1">
      <c r="A637" t="s">
        <v>39</v>
      </c>
      <c r="B637" t="s">
        <v>63</v>
      </c>
      <c r="C637" t="s">
        <v>14</v>
      </c>
      <c r="E637" t="s">
        <v>9</v>
      </c>
      <c r="F637" s="1" t="s">
        <v>6</v>
      </c>
      <c r="G637" s="1">
        <v>46021</v>
      </c>
      <c r="H637" t="s">
        <v>41</v>
      </c>
      <c r="I637" s="2">
        <v>11342.97</v>
      </c>
      <c r="J637" s="47" t="s">
        <v>403</v>
      </c>
      <c r="K637" s="7">
        <v>45992</v>
      </c>
    </row>
    <row r="638" spans="1:11" hidden="1">
      <c r="A638" t="s">
        <v>39</v>
      </c>
      <c r="B638" t="s">
        <v>40</v>
      </c>
      <c r="C638" t="s">
        <v>14</v>
      </c>
      <c r="D638">
        <v>10028428</v>
      </c>
      <c r="E638" t="s">
        <v>9</v>
      </c>
      <c r="F638" s="1" t="s">
        <v>2</v>
      </c>
      <c r="G638" s="1">
        <v>46057</v>
      </c>
      <c r="H638" t="s">
        <v>41</v>
      </c>
      <c r="I638" s="2">
        <v>373.87</v>
      </c>
      <c r="J638" t="s">
        <v>514</v>
      </c>
      <c r="K638" s="7">
        <v>46054</v>
      </c>
    </row>
    <row r="639" spans="1:11" hidden="1">
      <c r="A639" t="s">
        <v>39</v>
      </c>
      <c r="B639" t="s">
        <v>47</v>
      </c>
      <c r="C639" t="s">
        <v>14</v>
      </c>
      <c r="E639" t="s">
        <v>9</v>
      </c>
      <c r="F639" s="1" t="s">
        <v>5</v>
      </c>
      <c r="G639" s="1">
        <v>46051</v>
      </c>
      <c r="H639" t="s">
        <v>41</v>
      </c>
      <c r="I639" s="2">
        <v>11288.5</v>
      </c>
      <c r="J639" t="s">
        <v>371</v>
      </c>
      <c r="K639" s="7">
        <v>46023</v>
      </c>
    </row>
    <row r="640" spans="1:11" hidden="1">
      <c r="A640" t="s">
        <v>39</v>
      </c>
      <c r="B640" t="s">
        <v>47</v>
      </c>
      <c r="C640" t="s">
        <v>12</v>
      </c>
      <c r="E640" t="s">
        <v>9</v>
      </c>
      <c r="F640" s="1" t="s">
        <v>3</v>
      </c>
      <c r="G640" s="1">
        <v>46003</v>
      </c>
      <c r="H640" t="s">
        <v>41</v>
      </c>
      <c r="I640" s="2">
        <v>11287.11</v>
      </c>
      <c r="J640" t="s">
        <v>515</v>
      </c>
      <c r="K640" s="7">
        <v>45992</v>
      </c>
    </row>
    <row r="641" spans="1:11" hidden="1">
      <c r="A641" t="s">
        <v>39</v>
      </c>
      <c r="B641" t="s">
        <v>45</v>
      </c>
      <c r="C641" t="s">
        <v>14</v>
      </c>
      <c r="D641">
        <v>10026808</v>
      </c>
      <c r="E641" t="s">
        <v>9</v>
      </c>
      <c r="F641" s="1" t="s">
        <v>3</v>
      </c>
      <c r="G641" s="1">
        <v>45821</v>
      </c>
      <c r="H641" t="s">
        <v>41</v>
      </c>
      <c r="I641" s="2">
        <v>11250</v>
      </c>
      <c r="J641" t="s">
        <v>516</v>
      </c>
      <c r="K641" s="7">
        <v>45809</v>
      </c>
    </row>
    <row r="642" spans="1:11" hidden="1">
      <c r="A642" t="s">
        <v>114</v>
      </c>
      <c r="B642" t="s">
        <v>63</v>
      </c>
      <c r="C642" t="s">
        <v>14</v>
      </c>
      <c r="E642" t="s">
        <v>9</v>
      </c>
      <c r="F642" s="1" t="s">
        <v>2</v>
      </c>
      <c r="G642" s="1">
        <v>45842</v>
      </c>
      <c r="H642" t="s">
        <v>41</v>
      </c>
      <c r="I642" s="2">
        <v>11232.75</v>
      </c>
      <c r="J642" t="s">
        <v>517</v>
      </c>
      <c r="K642" s="7">
        <v>45839</v>
      </c>
    </row>
    <row r="643" spans="1:11" hidden="1">
      <c r="A643" t="s">
        <v>39</v>
      </c>
      <c r="B643" t="s">
        <v>47</v>
      </c>
      <c r="C643" t="s">
        <v>14</v>
      </c>
      <c r="E643" t="s">
        <v>9</v>
      </c>
      <c r="F643" s="1" t="s">
        <v>3</v>
      </c>
      <c r="G643" s="1">
        <v>45972</v>
      </c>
      <c r="H643" t="s">
        <v>41</v>
      </c>
      <c r="I643" s="2">
        <v>11203.2</v>
      </c>
      <c r="J643" s="47" t="s">
        <v>518</v>
      </c>
      <c r="K643" s="7">
        <v>45962</v>
      </c>
    </row>
    <row r="644" spans="1:11" hidden="1">
      <c r="A644" t="s">
        <v>39</v>
      </c>
      <c r="B644" t="s">
        <v>40</v>
      </c>
      <c r="C644" t="s">
        <v>14</v>
      </c>
      <c r="E644" t="s">
        <v>9</v>
      </c>
      <c r="F644" s="1" t="s">
        <v>5</v>
      </c>
      <c r="G644" s="1">
        <v>45986</v>
      </c>
      <c r="H644" t="s">
        <v>41</v>
      </c>
      <c r="I644" s="2">
        <v>11200</v>
      </c>
      <c r="J644" t="s">
        <v>519</v>
      </c>
      <c r="K644" s="7">
        <v>45962</v>
      </c>
    </row>
    <row r="645" spans="1:11" hidden="1">
      <c r="A645" t="s">
        <v>39</v>
      </c>
      <c r="B645" t="s">
        <v>47</v>
      </c>
      <c r="C645" t="s">
        <v>13</v>
      </c>
      <c r="E645" t="s">
        <v>9</v>
      </c>
      <c r="F645" s="1" t="s">
        <v>4</v>
      </c>
      <c r="G645" s="1">
        <v>45828</v>
      </c>
      <c r="H645" t="s">
        <v>64</v>
      </c>
      <c r="I645" s="2">
        <f>694708.38/508</f>
        <v>1367.5361811023622</v>
      </c>
      <c r="J645" t="s">
        <v>168</v>
      </c>
      <c r="K645" s="7">
        <v>45809</v>
      </c>
    </row>
    <row r="646" spans="1:11" hidden="1">
      <c r="A646" t="s">
        <v>39</v>
      </c>
      <c r="B646" t="s">
        <v>47</v>
      </c>
      <c r="C646" t="s">
        <v>13</v>
      </c>
      <c r="D646">
        <v>10026754</v>
      </c>
      <c r="E646" t="s">
        <v>9</v>
      </c>
      <c r="F646" s="1" t="s">
        <v>2</v>
      </c>
      <c r="G646" s="1">
        <v>45811</v>
      </c>
      <c r="H646" t="s">
        <v>41</v>
      </c>
      <c r="I646" s="2">
        <v>11147.9</v>
      </c>
      <c r="J646" t="s">
        <v>135</v>
      </c>
      <c r="K646" s="7">
        <v>45809</v>
      </c>
    </row>
    <row r="647" spans="1:11" hidden="1">
      <c r="A647" t="s">
        <v>39</v>
      </c>
      <c r="B647" t="s">
        <v>40</v>
      </c>
      <c r="C647" t="s">
        <v>14</v>
      </c>
      <c r="D647">
        <v>10027651</v>
      </c>
      <c r="E647" t="s">
        <v>9</v>
      </c>
      <c r="F647" s="1" t="s">
        <v>5</v>
      </c>
      <c r="G647" s="1">
        <v>45926</v>
      </c>
      <c r="H647" t="s">
        <v>41</v>
      </c>
      <c r="I647" s="2">
        <v>11050</v>
      </c>
      <c r="J647" t="s">
        <v>520</v>
      </c>
      <c r="K647" s="7">
        <v>45901</v>
      </c>
    </row>
    <row r="648" spans="1:11" hidden="1">
      <c r="A648" t="s">
        <v>39</v>
      </c>
      <c r="B648" t="s">
        <v>63</v>
      </c>
      <c r="C648" t="s">
        <v>13</v>
      </c>
      <c r="D648">
        <v>10026884</v>
      </c>
      <c r="E648" t="s">
        <v>9</v>
      </c>
      <c r="F648" s="1" t="s">
        <v>4</v>
      </c>
      <c r="G648" s="1">
        <v>45828</v>
      </c>
      <c r="H648" t="s">
        <v>41</v>
      </c>
      <c r="I648" s="2">
        <v>659.92</v>
      </c>
      <c r="J648" t="s">
        <v>149</v>
      </c>
      <c r="K648" s="7">
        <v>45809</v>
      </c>
    </row>
    <row r="649" spans="1:11" hidden="1">
      <c r="A649" t="s">
        <v>56</v>
      </c>
      <c r="B649" t="s">
        <v>40</v>
      </c>
      <c r="C649" t="s">
        <v>14</v>
      </c>
      <c r="D649">
        <v>10818</v>
      </c>
      <c r="E649" t="s">
        <v>9</v>
      </c>
      <c r="F649" s="1" t="s">
        <v>6</v>
      </c>
      <c r="G649" s="1">
        <v>45961</v>
      </c>
      <c r="H649" t="s">
        <v>41</v>
      </c>
      <c r="I649" s="2">
        <v>11000</v>
      </c>
      <c r="J649" t="s">
        <v>521</v>
      </c>
      <c r="K649" s="7">
        <v>45931</v>
      </c>
    </row>
    <row r="650" spans="1:11" hidden="1">
      <c r="A650" t="s">
        <v>39</v>
      </c>
      <c r="B650" t="s">
        <v>47</v>
      </c>
      <c r="C650" t="s">
        <v>14</v>
      </c>
      <c r="E650" t="s">
        <v>9</v>
      </c>
      <c r="F650" s="1" t="s">
        <v>2</v>
      </c>
      <c r="G650" s="1">
        <v>46367</v>
      </c>
      <c r="H650" t="s">
        <v>41</v>
      </c>
      <c r="I650" s="2">
        <v>11000</v>
      </c>
      <c r="J650" s="47" t="s">
        <v>522</v>
      </c>
      <c r="K650" s="7">
        <v>45992</v>
      </c>
    </row>
    <row r="651" spans="1:11" hidden="1">
      <c r="A651" t="s">
        <v>114</v>
      </c>
      <c r="B651" t="s">
        <v>63</v>
      </c>
      <c r="C651" t="s">
        <v>12</v>
      </c>
      <c r="E651" t="s">
        <v>9</v>
      </c>
      <c r="F651" s="1" t="s">
        <v>5</v>
      </c>
      <c r="G651" s="1">
        <v>45985</v>
      </c>
      <c r="H651" t="s">
        <v>41</v>
      </c>
      <c r="I651" s="2">
        <v>10965.07</v>
      </c>
      <c r="J651" s="47" t="s">
        <v>523</v>
      </c>
      <c r="K651" s="7">
        <v>45962</v>
      </c>
    </row>
    <row r="652" spans="1:11" hidden="1">
      <c r="A652" t="s">
        <v>39</v>
      </c>
      <c r="B652" t="s">
        <v>63</v>
      </c>
      <c r="C652" t="s">
        <v>14</v>
      </c>
      <c r="D652">
        <v>10026688</v>
      </c>
      <c r="E652" t="s">
        <v>9</v>
      </c>
      <c r="F652" s="1" t="s">
        <v>6</v>
      </c>
      <c r="G652" s="1">
        <v>45804</v>
      </c>
      <c r="H652" t="s">
        <v>41</v>
      </c>
      <c r="I652" s="2">
        <v>10851.96</v>
      </c>
      <c r="J652" t="s">
        <v>344</v>
      </c>
      <c r="K652" s="7">
        <v>45778</v>
      </c>
    </row>
    <row r="653" spans="1:11" hidden="1">
      <c r="A653" t="s">
        <v>39</v>
      </c>
      <c r="B653" t="s">
        <v>63</v>
      </c>
      <c r="C653" t="s">
        <v>124</v>
      </c>
      <c r="D653">
        <v>10026986</v>
      </c>
      <c r="E653" t="s">
        <v>9</v>
      </c>
      <c r="F653" s="1" t="s">
        <v>2</v>
      </c>
      <c r="G653" s="1">
        <v>45839</v>
      </c>
      <c r="H653" t="s">
        <v>41</v>
      </c>
      <c r="I653" s="2">
        <v>10851.96</v>
      </c>
      <c r="J653" t="s">
        <v>344</v>
      </c>
      <c r="K653" s="7">
        <v>45839</v>
      </c>
    </row>
    <row r="654" spans="1:11" hidden="1">
      <c r="A654" t="s">
        <v>39</v>
      </c>
      <c r="B654" t="s">
        <v>40</v>
      </c>
      <c r="C654" t="s">
        <v>14</v>
      </c>
      <c r="E654" t="s">
        <v>9</v>
      </c>
      <c r="F654" s="1" t="s">
        <v>5</v>
      </c>
      <c r="G654" s="1">
        <v>45986</v>
      </c>
      <c r="H654" t="s">
        <v>41</v>
      </c>
      <c r="I654" s="2">
        <v>10834</v>
      </c>
      <c r="J654" t="s">
        <v>519</v>
      </c>
      <c r="K654" s="7">
        <v>45962</v>
      </c>
    </row>
    <row r="655" spans="1:11" hidden="1">
      <c r="A655" t="s">
        <v>39</v>
      </c>
      <c r="B655" t="s">
        <v>40</v>
      </c>
      <c r="C655" t="s">
        <v>14</v>
      </c>
      <c r="D655">
        <v>10027360</v>
      </c>
      <c r="E655" t="s">
        <v>9</v>
      </c>
      <c r="F655" s="1" t="s">
        <v>5</v>
      </c>
      <c r="G655" s="1">
        <v>45891</v>
      </c>
      <c r="H655" t="s">
        <v>41</v>
      </c>
      <c r="I655" s="2">
        <v>10800</v>
      </c>
      <c r="J655" t="s">
        <v>450</v>
      </c>
      <c r="K655" s="7">
        <v>45870</v>
      </c>
    </row>
    <row r="656" spans="1:11" hidden="1">
      <c r="A656" t="s">
        <v>39</v>
      </c>
      <c r="B656" t="s">
        <v>45</v>
      </c>
      <c r="C656" t="s">
        <v>13</v>
      </c>
      <c r="E656" t="s">
        <v>9</v>
      </c>
      <c r="F656" s="1" t="s">
        <v>6</v>
      </c>
      <c r="G656" s="1">
        <v>45961</v>
      </c>
      <c r="H656" t="s">
        <v>41</v>
      </c>
      <c r="I656" s="2">
        <v>10787.15</v>
      </c>
      <c r="J656" s="47" t="s">
        <v>524</v>
      </c>
      <c r="K656" s="7">
        <v>45931</v>
      </c>
    </row>
    <row r="657" spans="1:11" hidden="1">
      <c r="A657" t="s">
        <v>39</v>
      </c>
      <c r="B657" t="s">
        <v>40</v>
      </c>
      <c r="C657" t="s">
        <v>14</v>
      </c>
      <c r="D657">
        <v>10028048</v>
      </c>
      <c r="E657" t="s">
        <v>9</v>
      </c>
      <c r="F657" s="1" t="s">
        <v>2</v>
      </c>
      <c r="G657" s="1">
        <v>45992</v>
      </c>
      <c r="H657" t="s">
        <v>41</v>
      </c>
      <c r="I657" s="2">
        <v>10750</v>
      </c>
      <c r="J657" t="s">
        <v>520</v>
      </c>
      <c r="K657" s="7">
        <v>45992</v>
      </c>
    </row>
    <row r="658" spans="1:11" hidden="1">
      <c r="A658" t="s">
        <v>39</v>
      </c>
      <c r="B658" t="s">
        <v>63</v>
      </c>
      <c r="C658" t="s">
        <v>13</v>
      </c>
      <c r="D658">
        <v>10026821</v>
      </c>
      <c r="E658" t="s">
        <v>9</v>
      </c>
      <c r="F658" s="1" t="s">
        <v>3</v>
      </c>
      <c r="G658" s="1">
        <v>45821</v>
      </c>
      <c r="H658" t="s">
        <v>41</v>
      </c>
      <c r="I658" s="2">
        <v>10732.63</v>
      </c>
      <c r="J658" t="s">
        <v>525</v>
      </c>
      <c r="K658" s="7">
        <v>45809</v>
      </c>
    </row>
    <row r="659" spans="1:11" hidden="1">
      <c r="A659" t="s">
        <v>39</v>
      </c>
      <c r="B659" t="s">
        <v>40</v>
      </c>
      <c r="C659" t="s">
        <v>14</v>
      </c>
      <c r="E659" t="s">
        <v>9</v>
      </c>
      <c r="F659" s="1" t="s">
        <v>4</v>
      </c>
      <c r="G659" s="1">
        <v>45828</v>
      </c>
      <c r="H659" t="s">
        <v>41</v>
      </c>
      <c r="I659" s="2">
        <v>150</v>
      </c>
      <c r="J659" t="s">
        <v>310</v>
      </c>
      <c r="K659" s="7">
        <v>45809</v>
      </c>
    </row>
    <row r="660" spans="1:11" hidden="1">
      <c r="A660" t="s">
        <v>99</v>
      </c>
      <c r="B660" t="s">
        <v>63</v>
      </c>
      <c r="C660" t="s">
        <v>14</v>
      </c>
      <c r="E660" t="s">
        <v>9</v>
      </c>
      <c r="F660" s="1" t="s">
        <v>3</v>
      </c>
      <c r="G660" s="1">
        <v>45942</v>
      </c>
      <c r="H660" t="s">
        <v>41</v>
      </c>
      <c r="I660" s="2">
        <v>10688.56</v>
      </c>
      <c r="J660" t="s">
        <v>526</v>
      </c>
      <c r="K660" s="7">
        <v>45931</v>
      </c>
    </row>
    <row r="661" spans="1:11" hidden="1">
      <c r="A661" t="s">
        <v>39</v>
      </c>
      <c r="B661" t="s">
        <v>47</v>
      </c>
      <c r="C661" t="s">
        <v>12</v>
      </c>
      <c r="E661" t="s">
        <v>9</v>
      </c>
      <c r="F661" s="1" t="s">
        <v>6</v>
      </c>
      <c r="G661" s="1">
        <v>45960</v>
      </c>
      <c r="H661" t="s">
        <v>41</v>
      </c>
      <c r="I661" s="2">
        <v>10625</v>
      </c>
      <c r="J661" t="s">
        <v>527</v>
      </c>
      <c r="K661" s="7">
        <v>45931</v>
      </c>
    </row>
    <row r="662" spans="1:11" hidden="1">
      <c r="A662" t="s">
        <v>39</v>
      </c>
      <c r="B662" t="s">
        <v>47</v>
      </c>
      <c r="C662" t="s">
        <v>14</v>
      </c>
      <c r="D662">
        <v>10026889</v>
      </c>
      <c r="E662" t="s">
        <v>9</v>
      </c>
      <c r="F662" s="1" t="s">
        <v>4</v>
      </c>
      <c r="G662" s="1">
        <v>45828</v>
      </c>
      <c r="H662" t="s">
        <v>41</v>
      </c>
      <c r="I662" s="2">
        <v>128.87</v>
      </c>
      <c r="J662" t="s">
        <v>528</v>
      </c>
      <c r="K662" s="7">
        <v>45809</v>
      </c>
    </row>
    <row r="663" spans="1:11" hidden="1">
      <c r="A663" t="s">
        <v>39</v>
      </c>
      <c r="B663" t="s">
        <v>40</v>
      </c>
      <c r="C663" t="s">
        <v>14</v>
      </c>
      <c r="D663">
        <v>10026532</v>
      </c>
      <c r="E663" t="s">
        <v>9</v>
      </c>
      <c r="F663" s="1" t="s">
        <v>3</v>
      </c>
      <c r="G663" s="1">
        <v>45785</v>
      </c>
      <c r="H663" t="s">
        <v>41</v>
      </c>
      <c r="I663" s="2">
        <v>10599</v>
      </c>
      <c r="J663" t="s">
        <v>529</v>
      </c>
      <c r="K663" s="7">
        <v>45778</v>
      </c>
    </row>
    <row r="664" spans="1:11" hidden="1">
      <c r="A664" t="s">
        <v>39</v>
      </c>
      <c r="B664" t="s">
        <v>40</v>
      </c>
      <c r="C664" t="s">
        <v>14</v>
      </c>
      <c r="E664" t="s">
        <v>9</v>
      </c>
      <c r="F664" s="1" t="s">
        <v>3</v>
      </c>
      <c r="G664" s="1">
        <v>45971</v>
      </c>
      <c r="H664" t="s">
        <v>41</v>
      </c>
      <c r="I664" s="2">
        <v>10590</v>
      </c>
      <c r="J664" t="s">
        <v>530</v>
      </c>
      <c r="K664" s="7">
        <v>45962</v>
      </c>
    </row>
    <row r="665" spans="1:11" hidden="1">
      <c r="A665" t="s">
        <v>39</v>
      </c>
      <c r="B665" t="s">
        <v>45</v>
      </c>
      <c r="C665" t="s">
        <v>13</v>
      </c>
      <c r="D665">
        <v>10026673</v>
      </c>
      <c r="E665" t="s">
        <v>9</v>
      </c>
      <c r="F665" s="1" t="s">
        <v>5</v>
      </c>
      <c r="G665" s="1">
        <v>45800</v>
      </c>
      <c r="H665" t="s">
        <v>41</v>
      </c>
      <c r="I665" s="2">
        <v>10575</v>
      </c>
      <c r="J665" t="s">
        <v>531</v>
      </c>
      <c r="K665" s="7">
        <v>45778</v>
      </c>
    </row>
    <row r="666" spans="1:11" hidden="1">
      <c r="A666" t="s">
        <v>39</v>
      </c>
      <c r="B666" t="s">
        <v>45</v>
      </c>
      <c r="C666" t="s">
        <v>13</v>
      </c>
      <c r="D666">
        <v>10026935</v>
      </c>
      <c r="E666" t="s">
        <v>9</v>
      </c>
      <c r="F666" s="1" t="s">
        <v>5</v>
      </c>
      <c r="G666" s="1">
        <v>45835</v>
      </c>
      <c r="H666" t="s">
        <v>41</v>
      </c>
      <c r="I666" s="2">
        <v>10575</v>
      </c>
      <c r="J666" t="s">
        <v>531</v>
      </c>
      <c r="K666" s="7">
        <v>45809</v>
      </c>
    </row>
    <row r="667" spans="1:11" hidden="1">
      <c r="A667" t="s">
        <v>99</v>
      </c>
      <c r="B667" t="s">
        <v>63</v>
      </c>
      <c r="C667" t="s">
        <v>14</v>
      </c>
      <c r="E667" t="s">
        <v>9</v>
      </c>
      <c r="F667" s="1" t="s">
        <v>4</v>
      </c>
      <c r="G667" s="1">
        <v>45829</v>
      </c>
      <c r="H667" t="s">
        <v>41</v>
      </c>
      <c r="I667" s="2">
        <v>8971.5300000000007</v>
      </c>
      <c r="J667" t="s">
        <v>532</v>
      </c>
      <c r="K667" s="7">
        <v>45809</v>
      </c>
    </row>
    <row r="668" spans="1:11" hidden="1">
      <c r="A668" t="s">
        <v>39</v>
      </c>
      <c r="B668" t="s">
        <v>40</v>
      </c>
      <c r="C668" t="s">
        <v>14</v>
      </c>
      <c r="E668" t="s">
        <v>9</v>
      </c>
      <c r="F668" s="1" t="s">
        <v>5</v>
      </c>
      <c r="G668" s="1">
        <v>45986</v>
      </c>
      <c r="H668" t="s">
        <v>41</v>
      </c>
      <c r="I668" s="2">
        <v>10424</v>
      </c>
      <c r="J668" t="s">
        <v>519</v>
      </c>
      <c r="K668" s="7">
        <v>45962</v>
      </c>
    </row>
    <row r="669" spans="1:11" hidden="1">
      <c r="A669" t="s">
        <v>39</v>
      </c>
      <c r="B669" t="s">
        <v>40</v>
      </c>
      <c r="C669" t="s">
        <v>14</v>
      </c>
      <c r="E669" t="s">
        <v>9</v>
      </c>
      <c r="F669" s="1" t="s">
        <v>5</v>
      </c>
      <c r="G669" s="1">
        <v>45985</v>
      </c>
      <c r="H669" t="s">
        <v>41</v>
      </c>
      <c r="I669" s="2">
        <v>10409.43</v>
      </c>
      <c r="J669" t="s">
        <v>210</v>
      </c>
      <c r="K669" s="7">
        <v>45962</v>
      </c>
    </row>
    <row r="670" spans="1:11" hidden="1">
      <c r="A670" t="s">
        <v>39</v>
      </c>
      <c r="B670" t="s">
        <v>40</v>
      </c>
      <c r="C670" t="s">
        <v>14</v>
      </c>
      <c r="E670" t="s">
        <v>9</v>
      </c>
      <c r="F670" s="1" t="s">
        <v>5</v>
      </c>
      <c r="G670" s="1">
        <v>45986</v>
      </c>
      <c r="H670" t="s">
        <v>41</v>
      </c>
      <c r="I670" s="2">
        <v>10409.43</v>
      </c>
      <c r="J670" s="47" t="s">
        <v>210</v>
      </c>
      <c r="K670" s="7">
        <v>45962</v>
      </c>
    </row>
    <row r="671" spans="1:11" hidden="1">
      <c r="A671" t="s">
        <v>39</v>
      </c>
      <c r="B671" t="s">
        <v>45</v>
      </c>
      <c r="C671" t="s">
        <v>13</v>
      </c>
      <c r="E671" t="s">
        <v>9</v>
      </c>
      <c r="F671" s="1" t="s">
        <v>5</v>
      </c>
      <c r="G671" s="1">
        <v>46015</v>
      </c>
      <c r="H671" t="s">
        <v>41</v>
      </c>
      <c r="I671" s="2">
        <v>10407.49</v>
      </c>
      <c r="J671" t="s">
        <v>533</v>
      </c>
      <c r="K671" s="7">
        <v>45992</v>
      </c>
    </row>
    <row r="672" spans="1:11" hidden="1">
      <c r="A672" t="s">
        <v>39</v>
      </c>
      <c r="B672" t="s">
        <v>45</v>
      </c>
      <c r="C672" t="s">
        <v>14</v>
      </c>
      <c r="D672">
        <v>10026471</v>
      </c>
      <c r="E672" t="s">
        <v>9</v>
      </c>
      <c r="F672" t="s">
        <v>2</v>
      </c>
      <c r="G672" s="1">
        <v>45779</v>
      </c>
      <c r="H672" t="s">
        <v>41</v>
      </c>
      <c r="I672" s="2">
        <v>10373.549999999999</v>
      </c>
      <c r="J672" t="s">
        <v>81</v>
      </c>
      <c r="K672" s="7">
        <v>45778</v>
      </c>
    </row>
    <row r="673" spans="1:11" hidden="1">
      <c r="A673" t="s">
        <v>114</v>
      </c>
      <c r="B673" t="s">
        <v>63</v>
      </c>
      <c r="C673" t="s">
        <v>14</v>
      </c>
      <c r="E673" t="s">
        <v>9</v>
      </c>
      <c r="F673" s="1" t="s">
        <v>5</v>
      </c>
      <c r="G673" s="1">
        <v>45897</v>
      </c>
      <c r="H673" t="s">
        <v>41</v>
      </c>
      <c r="I673" s="2">
        <v>10307.15</v>
      </c>
      <c r="J673" t="s">
        <v>534</v>
      </c>
      <c r="K673" s="7">
        <v>45870</v>
      </c>
    </row>
    <row r="674" spans="1:11" hidden="1">
      <c r="A674" t="s">
        <v>39</v>
      </c>
      <c r="B674" t="s">
        <v>40</v>
      </c>
      <c r="C674" t="s">
        <v>14</v>
      </c>
      <c r="E674" t="s">
        <v>9</v>
      </c>
      <c r="F674" s="1" t="s">
        <v>4</v>
      </c>
      <c r="G674" s="1">
        <v>45829</v>
      </c>
      <c r="H674" t="s">
        <v>41</v>
      </c>
      <c r="I674" s="2">
        <v>1600</v>
      </c>
      <c r="J674" t="s">
        <v>535</v>
      </c>
      <c r="K674" s="7">
        <v>45809</v>
      </c>
    </row>
    <row r="675" spans="1:11" hidden="1">
      <c r="A675" t="s">
        <v>39</v>
      </c>
      <c r="B675" t="s">
        <v>63</v>
      </c>
      <c r="C675" t="s">
        <v>12</v>
      </c>
      <c r="D675">
        <v>10026987</v>
      </c>
      <c r="E675" t="s">
        <v>9</v>
      </c>
      <c r="F675" s="1" t="s">
        <v>2</v>
      </c>
      <c r="G675" s="1">
        <v>45839</v>
      </c>
      <c r="H675" t="s">
        <v>41</v>
      </c>
      <c r="I675" s="2">
        <v>10300</v>
      </c>
      <c r="J675" t="s">
        <v>344</v>
      </c>
      <c r="K675" s="7">
        <v>45839</v>
      </c>
    </row>
    <row r="676" spans="1:11" hidden="1">
      <c r="A676" t="s">
        <v>39</v>
      </c>
      <c r="B676" t="s">
        <v>40</v>
      </c>
      <c r="C676" t="s">
        <v>14</v>
      </c>
      <c r="E676" t="s">
        <v>9</v>
      </c>
      <c r="F676" s="1" t="s">
        <v>5</v>
      </c>
      <c r="G676" s="1">
        <v>45796</v>
      </c>
      <c r="H676" t="s">
        <v>41</v>
      </c>
      <c r="I676" s="2">
        <v>10290</v>
      </c>
      <c r="J676" t="s">
        <v>536</v>
      </c>
      <c r="K676" s="7">
        <v>45778</v>
      </c>
    </row>
    <row r="677" spans="1:11" hidden="1">
      <c r="A677" t="s">
        <v>39</v>
      </c>
      <c r="B677" t="s">
        <v>63</v>
      </c>
      <c r="C677" t="s">
        <v>14</v>
      </c>
      <c r="E677" t="s">
        <v>9</v>
      </c>
      <c r="F677" s="1" t="s">
        <v>3</v>
      </c>
      <c r="G677" s="1">
        <v>46034</v>
      </c>
      <c r="H677" t="s">
        <v>41</v>
      </c>
      <c r="I677" s="2">
        <v>10271.24</v>
      </c>
      <c r="J677" t="s">
        <v>344</v>
      </c>
      <c r="K677" s="7">
        <v>46023</v>
      </c>
    </row>
    <row r="678" spans="1:11" hidden="1">
      <c r="A678" t="s">
        <v>39</v>
      </c>
      <c r="B678" t="s">
        <v>63</v>
      </c>
      <c r="C678" t="s">
        <v>12</v>
      </c>
      <c r="E678" t="s">
        <v>9</v>
      </c>
      <c r="F678" s="1" t="s">
        <v>2</v>
      </c>
      <c r="G678" s="1">
        <v>45870</v>
      </c>
      <c r="H678" t="s">
        <v>41</v>
      </c>
      <c r="I678" s="2">
        <v>10206.16</v>
      </c>
      <c r="J678" t="s">
        <v>537</v>
      </c>
      <c r="K678" s="7">
        <v>45870</v>
      </c>
    </row>
    <row r="679" spans="1:11" hidden="1">
      <c r="A679" t="s">
        <v>39</v>
      </c>
      <c r="B679" t="s">
        <v>63</v>
      </c>
      <c r="C679" t="s">
        <v>14</v>
      </c>
      <c r="E679" t="s">
        <v>9</v>
      </c>
      <c r="F679" s="1" t="s">
        <v>5</v>
      </c>
      <c r="G679" s="1">
        <v>45926</v>
      </c>
      <c r="H679" t="s">
        <v>41</v>
      </c>
      <c r="I679" s="2">
        <v>10172.49</v>
      </c>
      <c r="J679" t="s">
        <v>538</v>
      </c>
      <c r="K679" s="7">
        <v>45901</v>
      </c>
    </row>
    <row r="680" spans="1:11" hidden="1">
      <c r="A680" t="s">
        <v>39</v>
      </c>
      <c r="B680" t="s">
        <v>40</v>
      </c>
      <c r="C680" t="s">
        <v>12</v>
      </c>
      <c r="E680" t="s">
        <v>8</v>
      </c>
      <c r="F680" s="1" t="s">
        <v>2</v>
      </c>
      <c r="G680" s="1">
        <v>45843</v>
      </c>
      <c r="H680" t="s">
        <v>41</v>
      </c>
      <c r="I680" s="2">
        <v>10000</v>
      </c>
      <c r="J680" t="s">
        <v>98</v>
      </c>
      <c r="K680" s="7">
        <v>45839</v>
      </c>
    </row>
    <row r="681" spans="1:11" hidden="1">
      <c r="A681" t="s">
        <v>56</v>
      </c>
      <c r="B681" t="s">
        <v>40</v>
      </c>
      <c r="C681" t="s">
        <v>14</v>
      </c>
      <c r="E681" t="s">
        <v>8</v>
      </c>
      <c r="F681" s="1" t="s">
        <v>2</v>
      </c>
      <c r="G681" s="1">
        <v>45843</v>
      </c>
      <c r="H681" t="s">
        <v>41</v>
      </c>
      <c r="I681" s="2">
        <v>10000</v>
      </c>
      <c r="J681" t="s">
        <v>98</v>
      </c>
      <c r="K681" s="7">
        <v>45839</v>
      </c>
    </row>
    <row r="682" spans="1:11" hidden="1">
      <c r="A682" t="s">
        <v>39</v>
      </c>
      <c r="B682" t="s">
        <v>40</v>
      </c>
      <c r="C682" t="s">
        <v>14</v>
      </c>
      <c r="E682" t="s">
        <v>8</v>
      </c>
      <c r="F682" s="1" t="s">
        <v>2</v>
      </c>
      <c r="G682" s="1">
        <v>45843</v>
      </c>
      <c r="H682" t="s">
        <v>41</v>
      </c>
      <c r="I682" s="2">
        <v>15000</v>
      </c>
      <c r="J682" t="s">
        <v>98</v>
      </c>
      <c r="K682" s="7">
        <v>45839</v>
      </c>
    </row>
    <row r="683" spans="1:11" hidden="1">
      <c r="A683" t="s">
        <v>56</v>
      </c>
      <c r="B683" t="s">
        <v>40</v>
      </c>
      <c r="C683" t="s">
        <v>12</v>
      </c>
      <c r="E683" t="s">
        <v>8</v>
      </c>
      <c r="F683" s="1" t="s">
        <v>2</v>
      </c>
      <c r="G683" s="1">
        <v>45843</v>
      </c>
      <c r="H683" t="s">
        <v>41</v>
      </c>
      <c r="I683" s="2">
        <v>5000</v>
      </c>
      <c r="J683" t="s">
        <v>98</v>
      </c>
      <c r="K683" s="7">
        <v>45839</v>
      </c>
    </row>
    <row r="684" spans="1:11" hidden="1">
      <c r="A684" t="s">
        <v>39</v>
      </c>
      <c r="B684" t="s">
        <v>47</v>
      </c>
      <c r="C684" t="s">
        <v>13</v>
      </c>
      <c r="E684" t="s">
        <v>9</v>
      </c>
      <c r="F684" s="1" t="s">
        <v>5</v>
      </c>
      <c r="G684" s="1">
        <v>45950</v>
      </c>
      <c r="H684" t="s">
        <v>41</v>
      </c>
      <c r="I684" s="2">
        <v>10123.85</v>
      </c>
      <c r="J684" t="s">
        <v>539</v>
      </c>
      <c r="K684" s="7">
        <v>45931</v>
      </c>
    </row>
    <row r="685" spans="1:11" hidden="1">
      <c r="A685" t="s">
        <v>39</v>
      </c>
      <c r="B685" t="s">
        <v>63</v>
      </c>
      <c r="C685" t="s">
        <v>14</v>
      </c>
      <c r="E685" t="s">
        <v>9</v>
      </c>
      <c r="F685" s="1" t="s">
        <v>5</v>
      </c>
      <c r="G685" s="1">
        <v>45894</v>
      </c>
      <c r="H685" t="s">
        <v>64</v>
      </c>
      <c r="I685" s="2">
        <f>5130491/510</f>
        <v>10059.786274509805</v>
      </c>
      <c r="J685" s="47" t="s">
        <v>540</v>
      </c>
      <c r="K685" s="7">
        <v>45870</v>
      </c>
    </row>
    <row r="686" spans="1:11" hidden="1">
      <c r="A686" t="s">
        <v>114</v>
      </c>
      <c r="B686" t="s">
        <v>63</v>
      </c>
      <c r="C686" t="s">
        <v>14</v>
      </c>
      <c r="E686" t="s">
        <v>9</v>
      </c>
      <c r="F686" s="1" t="s">
        <v>3</v>
      </c>
      <c r="G686" s="1">
        <v>45849</v>
      </c>
      <c r="H686" t="s">
        <v>64</v>
      </c>
      <c r="I686" s="2">
        <f>5103949.33/508</f>
        <v>10047.144350393701</v>
      </c>
      <c r="J686" t="s">
        <v>541</v>
      </c>
      <c r="K686" s="7">
        <v>45839</v>
      </c>
    </row>
    <row r="687" spans="1:11" hidden="1">
      <c r="A687" t="s">
        <v>39</v>
      </c>
      <c r="B687" t="s">
        <v>47</v>
      </c>
      <c r="C687" t="s">
        <v>12</v>
      </c>
      <c r="E687" t="s">
        <v>9</v>
      </c>
      <c r="F687" s="1" t="s">
        <v>2</v>
      </c>
      <c r="G687" s="1">
        <v>45905</v>
      </c>
      <c r="H687" t="s">
        <v>41</v>
      </c>
      <c r="I687" s="2">
        <v>10030.59</v>
      </c>
      <c r="J687" t="s">
        <v>542</v>
      </c>
      <c r="K687" s="7">
        <v>45901</v>
      </c>
    </row>
    <row r="688" spans="1:11" hidden="1">
      <c r="A688" t="s">
        <v>39</v>
      </c>
      <c r="B688" t="s">
        <v>63</v>
      </c>
      <c r="C688" t="s">
        <v>14</v>
      </c>
      <c r="E688" t="s">
        <v>9</v>
      </c>
      <c r="F688" s="1" t="s">
        <v>5</v>
      </c>
      <c r="G688" s="1">
        <v>45954</v>
      </c>
      <c r="H688" t="s">
        <v>41</v>
      </c>
      <c r="I688" s="2">
        <v>10000.14</v>
      </c>
      <c r="J688" t="s">
        <v>543</v>
      </c>
      <c r="K688" s="7">
        <v>45931</v>
      </c>
    </row>
    <row r="689" spans="1:11" hidden="1">
      <c r="A689" t="s">
        <v>56</v>
      </c>
      <c r="B689" t="s">
        <v>40</v>
      </c>
      <c r="C689" t="s">
        <v>14</v>
      </c>
      <c r="E689" t="s">
        <v>9</v>
      </c>
      <c r="F689" s="1" t="s">
        <v>3</v>
      </c>
      <c r="G689" s="1">
        <v>45786</v>
      </c>
      <c r="H689" t="s">
        <v>41</v>
      </c>
      <c r="I689" s="2">
        <v>10000</v>
      </c>
      <c r="J689" t="s">
        <v>67</v>
      </c>
      <c r="K689" s="7">
        <v>45778</v>
      </c>
    </row>
    <row r="690" spans="1:11" hidden="1">
      <c r="A690" t="s">
        <v>39</v>
      </c>
      <c r="B690" t="s">
        <v>40</v>
      </c>
      <c r="C690" t="s">
        <v>14</v>
      </c>
      <c r="E690" t="s">
        <v>9</v>
      </c>
      <c r="F690" s="1" t="s">
        <v>6</v>
      </c>
      <c r="G690" s="1">
        <v>45804</v>
      </c>
      <c r="H690" t="s">
        <v>41</v>
      </c>
      <c r="I690" s="2">
        <v>10000</v>
      </c>
      <c r="J690" t="s">
        <v>544</v>
      </c>
      <c r="K690" s="7">
        <v>45778</v>
      </c>
    </row>
    <row r="691" spans="1:11" hidden="1">
      <c r="A691" t="s">
        <v>39</v>
      </c>
      <c r="B691" t="s">
        <v>40</v>
      </c>
      <c r="C691" t="s">
        <v>14</v>
      </c>
      <c r="E691" t="s">
        <v>9</v>
      </c>
      <c r="F691" s="1" t="s">
        <v>5</v>
      </c>
      <c r="G691" s="1">
        <v>45838</v>
      </c>
      <c r="H691" t="s">
        <v>41</v>
      </c>
      <c r="I691" s="2">
        <v>10000</v>
      </c>
      <c r="J691" t="s">
        <v>463</v>
      </c>
      <c r="K691" s="7">
        <v>45809</v>
      </c>
    </row>
    <row r="692" spans="1:11" hidden="1">
      <c r="A692" t="s">
        <v>39</v>
      </c>
      <c r="B692" t="s">
        <v>40</v>
      </c>
      <c r="C692" t="s">
        <v>14</v>
      </c>
      <c r="E692" t="s">
        <v>9</v>
      </c>
      <c r="F692" s="1" t="s">
        <v>5</v>
      </c>
      <c r="G692" s="1">
        <v>45838</v>
      </c>
      <c r="H692" t="s">
        <v>41</v>
      </c>
      <c r="I692" s="2">
        <v>10000</v>
      </c>
      <c r="J692" t="s">
        <v>463</v>
      </c>
      <c r="K692" s="7">
        <v>45809</v>
      </c>
    </row>
    <row r="693" spans="1:11" hidden="1">
      <c r="A693" t="s">
        <v>39</v>
      </c>
      <c r="B693" t="s">
        <v>40</v>
      </c>
      <c r="C693" t="s">
        <v>14</v>
      </c>
      <c r="D693">
        <v>10027028</v>
      </c>
      <c r="E693" t="s">
        <v>9</v>
      </c>
      <c r="F693" s="1" t="s">
        <v>3</v>
      </c>
      <c r="G693" s="1">
        <v>45846</v>
      </c>
      <c r="H693" t="s">
        <v>41</v>
      </c>
      <c r="I693" s="2">
        <v>10000</v>
      </c>
      <c r="J693" t="s">
        <v>545</v>
      </c>
      <c r="K693" s="7">
        <v>45839</v>
      </c>
    </row>
    <row r="694" spans="1:11" hidden="1">
      <c r="A694" t="s">
        <v>39</v>
      </c>
      <c r="B694" t="s">
        <v>40</v>
      </c>
      <c r="C694" t="s">
        <v>14</v>
      </c>
      <c r="E694" t="s">
        <v>9</v>
      </c>
      <c r="F694" s="1" t="s">
        <v>4</v>
      </c>
      <c r="G694" s="1">
        <v>45829</v>
      </c>
      <c r="H694" t="s">
        <v>41</v>
      </c>
      <c r="I694" s="2">
        <v>1301.45</v>
      </c>
      <c r="J694" t="s">
        <v>546</v>
      </c>
      <c r="K694" s="7">
        <v>45809</v>
      </c>
    </row>
    <row r="695" spans="1:11" hidden="1">
      <c r="A695" t="s">
        <v>39</v>
      </c>
      <c r="B695" t="s">
        <v>40</v>
      </c>
      <c r="C695" t="s">
        <v>14</v>
      </c>
      <c r="D695">
        <v>10027283</v>
      </c>
      <c r="E695" t="s">
        <v>9</v>
      </c>
      <c r="F695" s="1" t="s">
        <v>3</v>
      </c>
      <c r="G695" s="1">
        <v>45878</v>
      </c>
      <c r="H695" t="s">
        <v>41</v>
      </c>
      <c r="I695" s="2">
        <v>10000</v>
      </c>
      <c r="J695" t="s">
        <v>310</v>
      </c>
      <c r="K695" s="7">
        <v>45870</v>
      </c>
    </row>
    <row r="696" spans="1:11" hidden="1">
      <c r="A696" t="s">
        <v>39</v>
      </c>
      <c r="B696" t="s">
        <v>40</v>
      </c>
      <c r="C696" t="s">
        <v>14</v>
      </c>
      <c r="E696" t="s">
        <v>9</v>
      </c>
      <c r="F696" s="1" t="s">
        <v>4</v>
      </c>
      <c r="G696" s="1">
        <v>45829</v>
      </c>
      <c r="H696" t="s">
        <v>41</v>
      </c>
      <c r="I696" s="2">
        <v>1199</v>
      </c>
      <c r="J696" t="s">
        <v>547</v>
      </c>
      <c r="K696" s="7">
        <v>45809</v>
      </c>
    </row>
    <row r="697" spans="1:11" hidden="1">
      <c r="A697" t="s">
        <v>39</v>
      </c>
      <c r="B697" t="s">
        <v>40</v>
      </c>
      <c r="C697" t="s">
        <v>14</v>
      </c>
      <c r="E697" t="s">
        <v>9</v>
      </c>
      <c r="F697" s="1" t="s">
        <v>4</v>
      </c>
      <c r="G697" s="1">
        <v>45829</v>
      </c>
      <c r="H697" t="s">
        <v>41</v>
      </c>
      <c r="I697" s="2">
        <v>1000</v>
      </c>
      <c r="J697" t="s">
        <v>548</v>
      </c>
      <c r="K697" s="7">
        <v>45809</v>
      </c>
    </row>
    <row r="698" spans="1:11" hidden="1">
      <c r="A698" t="s">
        <v>56</v>
      </c>
      <c r="B698" t="s">
        <v>40</v>
      </c>
      <c r="C698" t="s">
        <v>14</v>
      </c>
      <c r="E698" t="s">
        <v>9</v>
      </c>
      <c r="F698" s="1" t="s">
        <v>2</v>
      </c>
      <c r="G698" s="1">
        <v>45904</v>
      </c>
      <c r="H698" t="s">
        <v>41</v>
      </c>
      <c r="I698" s="2">
        <v>10000</v>
      </c>
      <c r="J698" t="s">
        <v>549</v>
      </c>
      <c r="K698" s="7">
        <v>45901</v>
      </c>
    </row>
    <row r="699" spans="1:11" hidden="1">
      <c r="A699" t="s">
        <v>39</v>
      </c>
      <c r="B699" t="s">
        <v>40</v>
      </c>
      <c r="C699" t="s">
        <v>14</v>
      </c>
      <c r="E699" t="s">
        <v>9</v>
      </c>
      <c r="F699" s="1" t="s">
        <v>3</v>
      </c>
      <c r="G699" s="1">
        <v>45973</v>
      </c>
      <c r="H699" t="s">
        <v>41</v>
      </c>
      <c r="I699" s="2">
        <v>10000</v>
      </c>
      <c r="J699" t="s">
        <v>550</v>
      </c>
      <c r="K699" s="7">
        <v>45962</v>
      </c>
    </row>
    <row r="700" spans="1:11" hidden="1">
      <c r="A700" t="s">
        <v>39</v>
      </c>
      <c r="B700" t="s">
        <v>45</v>
      </c>
      <c r="C700" t="s">
        <v>14</v>
      </c>
      <c r="E700" t="s">
        <v>9</v>
      </c>
      <c r="F700" s="1" t="s">
        <v>3</v>
      </c>
      <c r="G700" s="1">
        <v>45975</v>
      </c>
      <c r="H700" t="s">
        <v>41</v>
      </c>
      <c r="I700" s="2">
        <v>10000</v>
      </c>
      <c r="J700" t="s">
        <v>551</v>
      </c>
      <c r="K700" s="7">
        <v>45962</v>
      </c>
    </row>
    <row r="701" spans="1:11" hidden="1">
      <c r="A701" t="s">
        <v>39</v>
      </c>
      <c r="B701" t="s">
        <v>63</v>
      </c>
      <c r="C701" t="s">
        <v>14</v>
      </c>
      <c r="E701" t="s">
        <v>9</v>
      </c>
      <c r="F701" s="1" t="s">
        <v>5</v>
      </c>
      <c r="G701" s="1">
        <v>45989</v>
      </c>
      <c r="H701" t="s">
        <v>41</v>
      </c>
      <c r="I701" s="2">
        <v>10000</v>
      </c>
      <c r="J701" s="47" t="s">
        <v>552</v>
      </c>
      <c r="K701" s="7">
        <v>45962</v>
      </c>
    </row>
    <row r="702" spans="1:11" hidden="1">
      <c r="A702" t="s">
        <v>39</v>
      </c>
      <c r="B702" t="s">
        <v>40</v>
      </c>
      <c r="C702" t="s">
        <v>14</v>
      </c>
      <c r="E702" t="s">
        <v>9</v>
      </c>
      <c r="F702" s="1" t="s">
        <v>2</v>
      </c>
      <c r="G702" s="1">
        <v>45996</v>
      </c>
      <c r="H702" t="s">
        <v>41</v>
      </c>
      <c r="I702" s="2">
        <v>10000</v>
      </c>
      <c r="J702" t="s">
        <v>553</v>
      </c>
      <c r="K702" s="7">
        <v>45992</v>
      </c>
    </row>
    <row r="703" spans="1:11" hidden="1">
      <c r="A703" t="s">
        <v>39</v>
      </c>
      <c r="B703" t="s">
        <v>40</v>
      </c>
      <c r="C703" t="s">
        <v>14</v>
      </c>
      <c r="E703" t="s">
        <v>9</v>
      </c>
      <c r="F703" s="1" t="s">
        <v>2</v>
      </c>
      <c r="G703" s="1">
        <v>46023</v>
      </c>
      <c r="H703" t="s">
        <v>41</v>
      </c>
      <c r="I703" s="2">
        <v>10000</v>
      </c>
      <c r="J703" t="s">
        <v>554</v>
      </c>
      <c r="K703" s="7">
        <v>46023</v>
      </c>
    </row>
    <row r="704" spans="1:11" hidden="1">
      <c r="A704" t="s">
        <v>39</v>
      </c>
      <c r="B704" t="s">
        <v>40</v>
      </c>
      <c r="C704" t="s">
        <v>14</v>
      </c>
      <c r="E704" t="s">
        <v>9</v>
      </c>
      <c r="F704" s="1" t="s">
        <v>4</v>
      </c>
      <c r="G704" s="1">
        <v>45829</v>
      </c>
      <c r="H704" t="s">
        <v>41</v>
      </c>
      <c r="I704" s="2">
        <v>706.2</v>
      </c>
      <c r="J704" t="s">
        <v>555</v>
      </c>
      <c r="K704" s="7">
        <v>45809</v>
      </c>
    </row>
    <row r="705" spans="1:11" hidden="1">
      <c r="A705" t="s">
        <v>39</v>
      </c>
      <c r="B705" t="s">
        <v>40</v>
      </c>
      <c r="C705" t="s">
        <v>14</v>
      </c>
      <c r="D705">
        <v>10028378</v>
      </c>
      <c r="E705" t="s">
        <v>9</v>
      </c>
      <c r="F705" s="1" t="s">
        <v>5</v>
      </c>
      <c r="G705" s="1">
        <v>46050</v>
      </c>
      <c r="H705" t="s">
        <v>41</v>
      </c>
      <c r="I705" s="2">
        <v>10000</v>
      </c>
      <c r="J705" t="s">
        <v>556</v>
      </c>
      <c r="K705" s="7">
        <v>46023</v>
      </c>
    </row>
    <row r="706" spans="1:11" hidden="1">
      <c r="A706" t="s">
        <v>39</v>
      </c>
      <c r="B706" t="s">
        <v>45</v>
      </c>
      <c r="C706" t="s">
        <v>14</v>
      </c>
      <c r="E706" t="s">
        <v>9</v>
      </c>
      <c r="F706" s="1" t="s">
        <v>2</v>
      </c>
      <c r="G706" s="1">
        <v>45933</v>
      </c>
      <c r="H706" t="s">
        <v>41</v>
      </c>
      <c r="I706" s="2">
        <v>9993.98</v>
      </c>
      <c r="J706" t="s">
        <v>332</v>
      </c>
      <c r="K706" s="7">
        <v>45931</v>
      </c>
    </row>
    <row r="707" spans="1:11" hidden="1">
      <c r="A707" t="s">
        <v>114</v>
      </c>
      <c r="B707" t="s">
        <v>63</v>
      </c>
      <c r="C707" t="s">
        <v>12</v>
      </c>
      <c r="E707" t="s">
        <v>9</v>
      </c>
      <c r="F707" s="1" t="s">
        <v>5</v>
      </c>
      <c r="G707" s="1">
        <v>45950</v>
      </c>
      <c r="H707" t="s">
        <v>41</v>
      </c>
      <c r="I707" s="2">
        <v>9865.66</v>
      </c>
      <c r="J707" t="s">
        <v>557</v>
      </c>
      <c r="K707" s="7">
        <v>45931</v>
      </c>
    </row>
    <row r="708" spans="1:11" hidden="1">
      <c r="A708" t="s">
        <v>56</v>
      </c>
      <c r="B708" t="s">
        <v>40</v>
      </c>
      <c r="C708" t="s">
        <v>12</v>
      </c>
      <c r="E708" t="s">
        <v>9</v>
      </c>
      <c r="F708" s="1" t="s">
        <v>2</v>
      </c>
      <c r="G708" s="1">
        <v>45905</v>
      </c>
      <c r="H708" t="s">
        <v>41</v>
      </c>
      <c r="I708" s="2">
        <v>9800</v>
      </c>
      <c r="J708" t="s">
        <v>558</v>
      </c>
      <c r="K708" s="7">
        <v>45901</v>
      </c>
    </row>
    <row r="709" spans="1:11" hidden="1">
      <c r="A709" t="s">
        <v>39</v>
      </c>
      <c r="B709" t="s">
        <v>47</v>
      </c>
      <c r="C709" t="s">
        <v>14</v>
      </c>
      <c r="D709">
        <v>10027594</v>
      </c>
      <c r="E709" t="s">
        <v>9</v>
      </c>
      <c r="F709" s="1" t="s">
        <v>5</v>
      </c>
      <c r="G709" s="1">
        <v>45922</v>
      </c>
      <c r="H709" t="s">
        <v>41</v>
      </c>
      <c r="I709" s="2">
        <v>9780.0400000000009</v>
      </c>
      <c r="J709" t="s">
        <v>559</v>
      </c>
      <c r="K709" s="7">
        <v>45901</v>
      </c>
    </row>
    <row r="710" spans="1:11" hidden="1">
      <c r="A710" t="s">
        <v>56</v>
      </c>
      <c r="B710" t="s">
        <v>40</v>
      </c>
      <c r="C710" t="s">
        <v>14</v>
      </c>
      <c r="E710" t="s">
        <v>9</v>
      </c>
      <c r="F710" s="1" t="s">
        <v>6</v>
      </c>
      <c r="G710" s="1">
        <v>45807</v>
      </c>
      <c r="H710" t="s">
        <v>41</v>
      </c>
      <c r="I710" s="2">
        <v>9780</v>
      </c>
      <c r="J710" t="s">
        <v>421</v>
      </c>
      <c r="K710" s="7">
        <v>45778</v>
      </c>
    </row>
    <row r="711" spans="1:11" hidden="1">
      <c r="A711" t="s">
        <v>39</v>
      </c>
      <c r="B711" t="s">
        <v>63</v>
      </c>
      <c r="C711" t="s">
        <v>14</v>
      </c>
      <c r="E711" t="s">
        <v>9</v>
      </c>
      <c r="F711" s="1" t="s">
        <v>5</v>
      </c>
      <c r="G711" s="1">
        <v>45925</v>
      </c>
      <c r="H711" t="s">
        <v>41</v>
      </c>
      <c r="I711" s="2">
        <v>9713.94</v>
      </c>
      <c r="J711" t="s">
        <v>560</v>
      </c>
      <c r="K711" s="7">
        <v>45901</v>
      </c>
    </row>
    <row r="712" spans="1:11" hidden="1">
      <c r="A712" t="s">
        <v>56</v>
      </c>
      <c r="B712" t="s">
        <v>40</v>
      </c>
      <c r="C712" t="s">
        <v>14</v>
      </c>
      <c r="D712">
        <v>10824</v>
      </c>
      <c r="E712" t="s">
        <v>9</v>
      </c>
      <c r="F712" s="1" t="s">
        <v>3</v>
      </c>
      <c r="G712" s="1">
        <v>45973</v>
      </c>
      <c r="H712" t="s">
        <v>41</v>
      </c>
      <c r="I712" s="2">
        <v>9712</v>
      </c>
      <c r="J712" t="s">
        <v>441</v>
      </c>
      <c r="K712" s="7">
        <v>45962</v>
      </c>
    </row>
    <row r="713" spans="1:11" hidden="1">
      <c r="A713" t="s">
        <v>39</v>
      </c>
      <c r="B713" t="s">
        <v>63</v>
      </c>
      <c r="C713" t="s">
        <v>14</v>
      </c>
      <c r="E713" t="s">
        <v>9</v>
      </c>
      <c r="F713" s="1" t="s">
        <v>3</v>
      </c>
      <c r="G713" s="1">
        <v>46035</v>
      </c>
      <c r="H713" t="s">
        <v>64</v>
      </c>
      <c r="I713" s="2">
        <f>4800000/496</f>
        <v>9677.4193548387102</v>
      </c>
      <c r="J713" t="s">
        <v>561</v>
      </c>
      <c r="K713" s="7">
        <v>46023</v>
      </c>
    </row>
    <row r="714" spans="1:11" hidden="1">
      <c r="A714" t="s">
        <v>39</v>
      </c>
      <c r="B714" t="s">
        <v>40</v>
      </c>
      <c r="C714" t="s">
        <v>14</v>
      </c>
      <c r="E714" t="s">
        <v>9</v>
      </c>
      <c r="F714" s="1" t="s">
        <v>4</v>
      </c>
      <c r="G714" s="1">
        <v>45829</v>
      </c>
      <c r="H714" t="s">
        <v>64</v>
      </c>
      <c r="I714" s="2">
        <f>36546.72/508</f>
        <v>71.942362204724418</v>
      </c>
      <c r="J714" t="s">
        <v>562</v>
      </c>
      <c r="K714" s="7">
        <v>45809</v>
      </c>
    </row>
    <row r="715" spans="1:11" hidden="1">
      <c r="A715" t="s">
        <v>39</v>
      </c>
      <c r="B715" t="s">
        <v>63</v>
      </c>
      <c r="C715" t="s">
        <v>14</v>
      </c>
      <c r="E715" t="s">
        <v>9</v>
      </c>
      <c r="F715" s="1" t="s">
        <v>2</v>
      </c>
      <c r="G715" s="1">
        <v>45877</v>
      </c>
      <c r="H715" t="s">
        <v>41</v>
      </c>
      <c r="I715" s="2">
        <v>9618.67</v>
      </c>
      <c r="J715" t="s">
        <v>387</v>
      </c>
      <c r="K715" s="7">
        <v>45870</v>
      </c>
    </row>
    <row r="716" spans="1:11" hidden="1">
      <c r="A716" t="s">
        <v>39</v>
      </c>
      <c r="B716" t="s">
        <v>40</v>
      </c>
      <c r="C716" t="s">
        <v>14</v>
      </c>
      <c r="E716" t="s">
        <v>9</v>
      </c>
      <c r="F716" s="1" t="s">
        <v>4</v>
      </c>
      <c r="G716" s="1">
        <v>45829</v>
      </c>
      <c r="H716" t="s">
        <v>64</v>
      </c>
      <c r="I716" s="2">
        <f>36546.72/508</f>
        <v>71.942362204724418</v>
      </c>
      <c r="J716" t="s">
        <v>562</v>
      </c>
      <c r="K716" s="7">
        <v>45809</v>
      </c>
    </row>
    <row r="717" spans="1:11" hidden="1">
      <c r="A717" t="s">
        <v>39</v>
      </c>
      <c r="B717" t="s">
        <v>45</v>
      </c>
      <c r="C717" t="s">
        <v>14</v>
      </c>
      <c r="D717">
        <v>10027210</v>
      </c>
      <c r="E717" t="s">
        <v>9</v>
      </c>
      <c r="F717" s="1" t="s">
        <v>6</v>
      </c>
      <c r="G717" s="1">
        <v>45869</v>
      </c>
      <c r="H717" t="s">
        <v>41</v>
      </c>
      <c r="I717" s="2">
        <v>9600</v>
      </c>
      <c r="J717" t="s">
        <v>563</v>
      </c>
      <c r="K717" s="7">
        <v>45839</v>
      </c>
    </row>
    <row r="718" spans="1:11" hidden="1">
      <c r="A718" t="s">
        <v>39</v>
      </c>
      <c r="B718" t="s">
        <v>40</v>
      </c>
      <c r="C718" t="s">
        <v>14</v>
      </c>
      <c r="E718" t="s">
        <v>9</v>
      </c>
      <c r="F718" s="1" t="s">
        <v>3</v>
      </c>
      <c r="G718" s="1">
        <v>46036</v>
      </c>
      <c r="H718" t="s">
        <v>41</v>
      </c>
      <c r="I718" s="2">
        <v>9600</v>
      </c>
      <c r="J718" t="s">
        <v>564</v>
      </c>
      <c r="K718" s="7">
        <v>46023</v>
      </c>
    </row>
    <row r="719" spans="1:11" hidden="1">
      <c r="A719" t="s">
        <v>39</v>
      </c>
      <c r="B719" t="s">
        <v>63</v>
      </c>
      <c r="C719" t="s">
        <v>13</v>
      </c>
      <c r="D719">
        <v>10026730</v>
      </c>
      <c r="E719" t="s">
        <v>9</v>
      </c>
      <c r="F719" s="1" t="s">
        <v>6</v>
      </c>
      <c r="G719" s="1">
        <v>45807</v>
      </c>
      <c r="H719" t="s">
        <v>41</v>
      </c>
      <c r="I719" s="2">
        <v>9554.65</v>
      </c>
      <c r="J719" t="s">
        <v>565</v>
      </c>
      <c r="K719" s="7">
        <v>45778</v>
      </c>
    </row>
    <row r="720" spans="1:11" hidden="1">
      <c r="A720" t="s">
        <v>114</v>
      </c>
      <c r="B720" t="s">
        <v>63</v>
      </c>
      <c r="C720" t="s">
        <v>14</v>
      </c>
      <c r="E720" t="s">
        <v>9</v>
      </c>
      <c r="F720" s="1" t="s">
        <v>2</v>
      </c>
      <c r="G720" s="1">
        <v>46058</v>
      </c>
      <c r="H720" t="s">
        <v>64</v>
      </c>
      <c r="I720" s="2">
        <f>3533066.57/496</f>
        <v>7123.1180846774187</v>
      </c>
      <c r="J720" s="47" t="s">
        <v>133</v>
      </c>
      <c r="K720" s="7">
        <v>46054</v>
      </c>
    </row>
    <row r="721" spans="1:11" hidden="1">
      <c r="A721" t="s">
        <v>39</v>
      </c>
      <c r="B721" t="s">
        <v>40</v>
      </c>
      <c r="C721" t="s">
        <v>14</v>
      </c>
      <c r="E721" t="s">
        <v>9</v>
      </c>
      <c r="F721" s="1" t="s">
        <v>5</v>
      </c>
      <c r="G721" s="1">
        <v>45801</v>
      </c>
      <c r="H721" t="s">
        <v>41</v>
      </c>
      <c r="I721" s="2">
        <v>9500</v>
      </c>
      <c r="J721" t="s">
        <v>566</v>
      </c>
      <c r="K721" s="7">
        <v>45778</v>
      </c>
    </row>
    <row r="722" spans="1:11" hidden="1">
      <c r="A722" t="s">
        <v>56</v>
      </c>
      <c r="B722" t="s">
        <v>40</v>
      </c>
      <c r="C722" t="s">
        <v>14</v>
      </c>
      <c r="D722">
        <v>10854</v>
      </c>
      <c r="E722" t="s">
        <v>9</v>
      </c>
      <c r="F722" s="1" t="s">
        <v>5</v>
      </c>
      <c r="G722" s="1">
        <v>46014</v>
      </c>
      <c r="H722" t="s">
        <v>41</v>
      </c>
      <c r="I722" s="2">
        <v>9500</v>
      </c>
      <c r="J722" t="s">
        <v>567</v>
      </c>
      <c r="K722" s="7">
        <v>45992</v>
      </c>
    </row>
    <row r="723" spans="1:11" hidden="1">
      <c r="A723" t="s">
        <v>39</v>
      </c>
      <c r="B723" t="s">
        <v>47</v>
      </c>
      <c r="C723" t="s">
        <v>14</v>
      </c>
      <c r="D723" s="6">
        <v>10026844</v>
      </c>
      <c r="E723" t="s">
        <v>9</v>
      </c>
      <c r="F723" s="1" t="s">
        <v>4</v>
      </c>
      <c r="G723" s="1">
        <v>45838</v>
      </c>
      <c r="H723" t="s">
        <v>41</v>
      </c>
      <c r="I723" s="2">
        <v>291.10000000000002</v>
      </c>
      <c r="J723" t="s">
        <v>568</v>
      </c>
      <c r="K723" s="7">
        <v>45809</v>
      </c>
    </row>
    <row r="724" spans="1:11" hidden="1">
      <c r="A724" t="s">
        <v>99</v>
      </c>
      <c r="B724" t="s">
        <v>63</v>
      </c>
      <c r="C724" t="s">
        <v>14</v>
      </c>
      <c r="E724" t="s">
        <v>9</v>
      </c>
      <c r="F724" s="1" t="s">
        <v>6</v>
      </c>
      <c r="G724" s="1">
        <v>45961</v>
      </c>
      <c r="H724" t="s">
        <v>41</v>
      </c>
      <c r="I724" s="2">
        <v>9475.43</v>
      </c>
      <c r="J724" t="s">
        <v>569</v>
      </c>
      <c r="K724" s="7">
        <v>45931</v>
      </c>
    </row>
    <row r="725" spans="1:11" hidden="1">
      <c r="A725" t="s">
        <v>56</v>
      </c>
      <c r="B725" t="s">
        <v>40</v>
      </c>
      <c r="C725" t="s">
        <v>12</v>
      </c>
      <c r="E725" t="s">
        <v>9</v>
      </c>
      <c r="F725" s="1" t="s">
        <v>2</v>
      </c>
      <c r="G725" s="1">
        <v>45813</v>
      </c>
      <c r="H725" t="s">
        <v>41</v>
      </c>
      <c r="I725" s="2">
        <v>9433</v>
      </c>
      <c r="J725" t="s">
        <v>570</v>
      </c>
      <c r="K725" s="7">
        <v>45809</v>
      </c>
    </row>
    <row r="726" spans="1:11" hidden="1">
      <c r="A726" t="s">
        <v>56</v>
      </c>
      <c r="B726" t="s">
        <v>40</v>
      </c>
      <c r="C726" t="s">
        <v>12</v>
      </c>
      <c r="E726" t="s">
        <v>9</v>
      </c>
      <c r="F726" s="1" t="s">
        <v>2</v>
      </c>
      <c r="G726" s="1">
        <v>45813</v>
      </c>
      <c r="H726" t="s">
        <v>41</v>
      </c>
      <c r="I726" s="2">
        <v>9433</v>
      </c>
      <c r="J726" t="s">
        <v>570</v>
      </c>
      <c r="K726" s="7">
        <v>45809</v>
      </c>
    </row>
    <row r="727" spans="1:11" hidden="1">
      <c r="A727" t="s">
        <v>39</v>
      </c>
      <c r="B727" t="s">
        <v>40</v>
      </c>
      <c r="C727" t="s">
        <v>14</v>
      </c>
      <c r="D727">
        <v>10026438</v>
      </c>
      <c r="E727" t="s">
        <v>9</v>
      </c>
      <c r="F727" s="1" t="s">
        <v>4</v>
      </c>
      <c r="G727" s="1">
        <v>45839</v>
      </c>
      <c r="H727" t="s">
        <v>41</v>
      </c>
      <c r="I727" s="2">
        <v>406.9</v>
      </c>
      <c r="J727" t="s">
        <v>571</v>
      </c>
      <c r="K727" s="7">
        <v>45839</v>
      </c>
    </row>
    <row r="728" spans="1:11" hidden="1">
      <c r="A728" t="s">
        <v>39</v>
      </c>
      <c r="B728" t="s">
        <v>63</v>
      </c>
      <c r="C728" t="s">
        <v>124</v>
      </c>
      <c r="D728">
        <v>10027095</v>
      </c>
      <c r="E728" t="s">
        <v>9</v>
      </c>
      <c r="F728" s="1" t="s">
        <v>4</v>
      </c>
      <c r="G728" s="1">
        <v>45843</v>
      </c>
      <c r="H728" t="s">
        <v>41</v>
      </c>
      <c r="I728" s="2">
        <v>682.86</v>
      </c>
      <c r="J728" t="s">
        <v>572</v>
      </c>
      <c r="K728" s="7">
        <v>45839</v>
      </c>
    </row>
    <row r="729" spans="1:11" hidden="1">
      <c r="A729" t="s">
        <v>99</v>
      </c>
      <c r="B729" t="s">
        <v>63</v>
      </c>
      <c r="C729" t="s">
        <v>14</v>
      </c>
      <c r="E729" t="s">
        <v>9</v>
      </c>
      <c r="F729" s="1" t="s">
        <v>2</v>
      </c>
      <c r="G729" s="1">
        <v>45844</v>
      </c>
      <c r="H729" t="s">
        <v>41</v>
      </c>
      <c r="I729" s="2">
        <v>9363.7800000000007</v>
      </c>
      <c r="J729" t="s">
        <v>573</v>
      </c>
      <c r="K729" s="7">
        <v>45839</v>
      </c>
    </row>
    <row r="730" spans="1:11" hidden="1">
      <c r="A730" t="s">
        <v>39</v>
      </c>
      <c r="B730" t="s">
        <v>47</v>
      </c>
      <c r="C730" t="s">
        <v>14</v>
      </c>
      <c r="D730">
        <v>10027075</v>
      </c>
      <c r="E730" t="s">
        <v>9</v>
      </c>
      <c r="F730" s="1" t="s">
        <v>4</v>
      </c>
      <c r="G730" s="1">
        <v>45848</v>
      </c>
      <c r="H730" t="s">
        <v>41</v>
      </c>
      <c r="I730" s="2">
        <v>3183.44</v>
      </c>
      <c r="J730" t="s">
        <v>574</v>
      </c>
      <c r="K730" s="7">
        <v>45839</v>
      </c>
    </row>
    <row r="731" spans="1:11" hidden="1">
      <c r="A731" t="s">
        <v>56</v>
      </c>
      <c r="B731" t="s">
        <v>40</v>
      </c>
      <c r="C731" t="s">
        <v>124</v>
      </c>
      <c r="E731" t="s">
        <v>9</v>
      </c>
      <c r="F731" s="1" t="s">
        <v>5</v>
      </c>
      <c r="G731" s="1">
        <v>46014</v>
      </c>
      <c r="H731" t="s">
        <v>41</v>
      </c>
      <c r="I731" s="2">
        <v>9348</v>
      </c>
      <c r="J731" t="s">
        <v>575</v>
      </c>
      <c r="K731" s="7">
        <v>45992</v>
      </c>
    </row>
    <row r="732" spans="1:11" hidden="1">
      <c r="A732" t="s">
        <v>39</v>
      </c>
      <c r="B732" t="s">
        <v>40</v>
      </c>
      <c r="C732" t="s">
        <v>14</v>
      </c>
      <c r="E732" t="s">
        <v>9</v>
      </c>
      <c r="F732" s="1" t="s">
        <v>2</v>
      </c>
      <c r="G732" s="1">
        <v>45996</v>
      </c>
      <c r="H732" t="s">
        <v>41</v>
      </c>
      <c r="I732" s="2">
        <v>9316.7999999999993</v>
      </c>
      <c r="J732" t="s">
        <v>553</v>
      </c>
      <c r="K732" s="7">
        <v>45992</v>
      </c>
    </row>
    <row r="733" spans="1:11" hidden="1">
      <c r="A733" t="s">
        <v>39</v>
      </c>
      <c r="B733" t="s">
        <v>47</v>
      </c>
      <c r="C733" t="s">
        <v>14</v>
      </c>
      <c r="E733" t="s">
        <v>9</v>
      </c>
      <c r="F733" s="1" t="s">
        <v>2</v>
      </c>
      <c r="G733" s="1">
        <v>45996</v>
      </c>
      <c r="H733" t="s">
        <v>41</v>
      </c>
      <c r="I733" s="2">
        <v>9303.91</v>
      </c>
      <c r="J733" t="s">
        <v>576</v>
      </c>
      <c r="K733" s="7">
        <v>45992</v>
      </c>
    </row>
    <row r="734" spans="1:11" hidden="1">
      <c r="A734" t="s">
        <v>39</v>
      </c>
      <c r="B734" t="s">
        <v>47</v>
      </c>
      <c r="C734" t="s">
        <v>14</v>
      </c>
      <c r="D734">
        <v>10027076</v>
      </c>
      <c r="E734" t="s">
        <v>9</v>
      </c>
      <c r="F734" s="1" t="s">
        <v>4</v>
      </c>
      <c r="G734" s="1">
        <v>45848</v>
      </c>
      <c r="H734" t="s">
        <v>41</v>
      </c>
      <c r="I734" s="2">
        <v>57.39</v>
      </c>
      <c r="J734" t="s">
        <v>574</v>
      </c>
      <c r="K734" s="7">
        <v>45839</v>
      </c>
    </row>
    <row r="735" spans="1:11" hidden="1">
      <c r="A735" t="s">
        <v>39</v>
      </c>
      <c r="B735" t="s">
        <v>40</v>
      </c>
      <c r="C735" t="s">
        <v>14</v>
      </c>
      <c r="D735">
        <v>10027066</v>
      </c>
      <c r="E735" t="s">
        <v>9</v>
      </c>
      <c r="F735" s="1" t="s">
        <v>4</v>
      </c>
      <c r="G735" s="1">
        <v>45849</v>
      </c>
      <c r="H735" t="s">
        <v>41</v>
      </c>
      <c r="I735" s="2">
        <v>2000</v>
      </c>
      <c r="J735" t="s">
        <v>577</v>
      </c>
      <c r="K735" s="7">
        <v>45839</v>
      </c>
    </row>
    <row r="736" spans="1:11" hidden="1">
      <c r="A736" t="s">
        <v>39</v>
      </c>
      <c r="B736" t="s">
        <v>40</v>
      </c>
      <c r="C736" t="s">
        <v>14</v>
      </c>
      <c r="E736" t="s">
        <v>9</v>
      </c>
      <c r="F736" s="1" t="s">
        <v>3</v>
      </c>
      <c r="G736" s="1">
        <v>45845</v>
      </c>
      <c r="H736" t="s">
        <v>64</v>
      </c>
      <c r="I736" s="2">
        <f>4631900/508</f>
        <v>9117.9133858267724</v>
      </c>
      <c r="J736" t="s">
        <v>42</v>
      </c>
      <c r="K736" s="7">
        <v>45839</v>
      </c>
    </row>
    <row r="737" spans="1:11" hidden="1">
      <c r="A737" t="s">
        <v>39</v>
      </c>
      <c r="B737" t="s">
        <v>47</v>
      </c>
      <c r="C737" t="s">
        <v>14</v>
      </c>
      <c r="E737" t="s">
        <v>9</v>
      </c>
      <c r="F737" s="1" t="s">
        <v>5</v>
      </c>
      <c r="G737" s="1">
        <v>46052</v>
      </c>
      <c r="H737" t="s">
        <v>41</v>
      </c>
      <c r="I737" s="2">
        <v>9081.92</v>
      </c>
      <c r="J737" t="s">
        <v>578</v>
      </c>
      <c r="K737" s="7">
        <v>46023</v>
      </c>
    </row>
    <row r="738" spans="1:11" hidden="1">
      <c r="A738" t="s">
        <v>39</v>
      </c>
      <c r="B738" t="s">
        <v>40</v>
      </c>
      <c r="C738" t="s">
        <v>14</v>
      </c>
      <c r="E738" t="s">
        <v>9</v>
      </c>
      <c r="F738" s="1" t="s">
        <v>5</v>
      </c>
      <c r="G738" s="1">
        <v>45836</v>
      </c>
      <c r="H738" t="s">
        <v>41</v>
      </c>
      <c r="I738" s="2">
        <v>9000</v>
      </c>
      <c r="J738" t="s">
        <v>463</v>
      </c>
      <c r="K738" s="7">
        <v>45809</v>
      </c>
    </row>
    <row r="739" spans="1:11" hidden="1">
      <c r="A739" t="s">
        <v>39</v>
      </c>
      <c r="B739" t="s">
        <v>40</v>
      </c>
      <c r="C739" t="s">
        <v>14</v>
      </c>
      <c r="E739" t="s">
        <v>9</v>
      </c>
      <c r="F739" s="1" t="s">
        <v>5</v>
      </c>
      <c r="G739" s="1">
        <v>45837</v>
      </c>
      <c r="H739" t="s">
        <v>41</v>
      </c>
      <c r="I739" s="2">
        <v>9000</v>
      </c>
      <c r="J739" t="s">
        <v>579</v>
      </c>
      <c r="K739" s="7">
        <v>45809</v>
      </c>
    </row>
    <row r="740" spans="1:11" hidden="1">
      <c r="A740" t="s">
        <v>56</v>
      </c>
      <c r="B740" t="s">
        <v>40</v>
      </c>
      <c r="C740" t="s">
        <v>14</v>
      </c>
      <c r="E740" t="s">
        <v>9</v>
      </c>
      <c r="F740" s="1" t="s">
        <v>5</v>
      </c>
      <c r="G740" s="1">
        <v>46014</v>
      </c>
      <c r="H740" t="s">
        <v>41</v>
      </c>
      <c r="I740" s="2">
        <v>9000</v>
      </c>
      <c r="J740" t="s">
        <v>580</v>
      </c>
      <c r="K740" s="7">
        <v>45992</v>
      </c>
    </row>
    <row r="741" spans="1:11" hidden="1">
      <c r="A741" t="s">
        <v>56</v>
      </c>
      <c r="B741" t="s">
        <v>40</v>
      </c>
      <c r="C741" t="s">
        <v>14</v>
      </c>
      <c r="D741">
        <v>10864</v>
      </c>
      <c r="E741" t="s">
        <v>9</v>
      </c>
      <c r="F741" s="1" t="s">
        <v>2</v>
      </c>
      <c r="G741" s="1">
        <v>46030</v>
      </c>
      <c r="H741" t="s">
        <v>41</v>
      </c>
      <c r="I741" s="2">
        <v>9000</v>
      </c>
      <c r="J741" t="s">
        <v>567</v>
      </c>
      <c r="K741" s="7">
        <v>46023</v>
      </c>
    </row>
    <row r="742" spans="1:11" hidden="1">
      <c r="A742" t="s">
        <v>56</v>
      </c>
      <c r="B742" t="s">
        <v>40</v>
      </c>
      <c r="C742" t="s">
        <v>14</v>
      </c>
      <c r="D742">
        <v>10865</v>
      </c>
      <c r="E742" t="s">
        <v>9</v>
      </c>
      <c r="F742" s="1" t="s">
        <v>2</v>
      </c>
      <c r="G742" s="1">
        <v>46030</v>
      </c>
      <c r="H742" t="s">
        <v>41</v>
      </c>
      <c r="I742" s="2">
        <v>9000</v>
      </c>
      <c r="J742" t="s">
        <v>567</v>
      </c>
      <c r="K742" s="7">
        <v>46023</v>
      </c>
    </row>
    <row r="743" spans="1:11" hidden="1">
      <c r="A743" t="s">
        <v>39</v>
      </c>
      <c r="B743" t="s">
        <v>40</v>
      </c>
      <c r="C743" t="s">
        <v>14</v>
      </c>
      <c r="E743" t="s">
        <v>9</v>
      </c>
      <c r="F743" s="1" t="s">
        <v>3</v>
      </c>
      <c r="G743" s="1">
        <v>45821</v>
      </c>
      <c r="H743" t="s">
        <v>41</v>
      </c>
      <c r="I743" s="2">
        <v>8996.08</v>
      </c>
      <c r="J743" t="s">
        <v>416</v>
      </c>
      <c r="K743" s="7">
        <v>45809</v>
      </c>
    </row>
    <row r="744" spans="1:11" hidden="1">
      <c r="A744" t="s">
        <v>39</v>
      </c>
      <c r="B744" t="s">
        <v>40</v>
      </c>
      <c r="C744" t="s">
        <v>14</v>
      </c>
      <c r="D744">
        <v>10027079</v>
      </c>
      <c r="E744" t="s">
        <v>9</v>
      </c>
      <c r="F744" s="1" t="s">
        <v>4</v>
      </c>
      <c r="G744" s="1">
        <v>45849</v>
      </c>
      <c r="H744" t="s">
        <v>64</v>
      </c>
      <c r="I744" s="2">
        <f>508030/508</f>
        <v>1000.0590551181102</v>
      </c>
      <c r="J744" t="s">
        <v>581</v>
      </c>
      <c r="K744" s="7">
        <v>45839</v>
      </c>
    </row>
    <row r="745" spans="1:11" hidden="1">
      <c r="A745" t="s">
        <v>39</v>
      </c>
      <c r="B745" t="s">
        <v>40</v>
      </c>
      <c r="C745" t="s">
        <v>14</v>
      </c>
      <c r="E745" t="s">
        <v>9</v>
      </c>
      <c r="F745" s="1" t="s">
        <v>3</v>
      </c>
      <c r="G745" s="1">
        <v>45817</v>
      </c>
      <c r="H745" t="s">
        <v>41</v>
      </c>
      <c r="I745" s="2">
        <v>8969.74</v>
      </c>
      <c r="J745" t="s">
        <v>582</v>
      </c>
      <c r="K745" s="7">
        <v>45809</v>
      </c>
    </row>
    <row r="746" spans="1:11" hidden="1">
      <c r="A746" t="s">
        <v>39</v>
      </c>
      <c r="B746" t="s">
        <v>40</v>
      </c>
      <c r="C746" t="s">
        <v>14</v>
      </c>
      <c r="D746">
        <v>10028461</v>
      </c>
      <c r="E746" t="s">
        <v>9</v>
      </c>
      <c r="F746" s="1" t="s">
        <v>2</v>
      </c>
      <c r="G746" s="1">
        <v>46058</v>
      </c>
      <c r="H746" t="s">
        <v>41</v>
      </c>
      <c r="I746" s="2">
        <v>3000</v>
      </c>
      <c r="J746" t="s">
        <v>583</v>
      </c>
      <c r="K746" s="7">
        <v>46054</v>
      </c>
    </row>
    <row r="747" spans="1:11" hidden="1">
      <c r="A747" t="s">
        <v>39</v>
      </c>
      <c r="B747" t="s">
        <v>40</v>
      </c>
      <c r="C747" t="s">
        <v>14</v>
      </c>
      <c r="D747">
        <v>10026554</v>
      </c>
      <c r="E747" t="s">
        <v>9</v>
      </c>
      <c r="F747" s="1" t="s">
        <v>3</v>
      </c>
      <c r="G747" s="1">
        <v>45787</v>
      </c>
      <c r="H747" t="s">
        <v>41</v>
      </c>
      <c r="I747" s="2">
        <v>8950</v>
      </c>
      <c r="J747" t="s">
        <v>584</v>
      </c>
      <c r="K747" s="7">
        <v>45778</v>
      </c>
    </row>
    <row r="748" spans="1:11" hidden="1">
      <c r="A748" t="s">
        <v>114</v>
      </c>
      <c r="B748" t="s">
        <v>63</v>
      </c>
      <c r="C748" t="s">
        <v>14</v>
      </c>
      <c r="E748" t="s">
        <v>9</v>
      </c>
      <c r="F748" s="1" t="s">
        <v>3</v>
      </c>
      <c r="G748" s="1">
        <v>45973</v>
      </c>
      <c r="H748" t="s">
        <v>41</v>
      </c>
      <c r="I748" s="2">
        <v>8947.2000000000007</v>
      </c>
      <c r="J748" t="s">
        <v>191</v>
      </c>
      <c r="K748" s="7">
        <v>45962</v>
      </c>
    </row>
    <row r="749" spans="1:11" hidden="1">
      <c r="A749" t="s">
        <v>39</v>
      </c>
      <c r="B749" t="s">
        <v>40</v>
      </c>
      <c r="C749" t="s">
        <v>14</v>
      </c>
      <c r="D749">
        <v>10027068</v>
      </c>
      <c r="E749" t="s">
        <v>9</v>
      </c>
      <c r="F749" s="1" t="s">
        <v>4</v>
      </c>
      <c r="G749" s="1">
        <v>45849</v>
      </c>
      <c r="H749" t="s">
        <v>41</v>
      </c>
      <c r="I749" s="2">
        <v>157.5</v>
      </c>
      <c r="J749" t="s">
        <v>585</v>
      </c>
      <c r="K749" s="7">
        <v>45839</v>
      </c>
    </row>
    <row r="750" spans="1:11" hidden="1">
      <c r="A750" t="s">
        <v>39</v>
      </c>
      <c r="B750" t="s">
        <v>40</v>
      </c>
      <c r="C750" t="s">
        <v>14</v>
      </c>
      <c r="D750">
        <v>10027066</v>
      </c>
      <c r="E750" t="s">
        <v>9</v>
      </c>
      <c r="F750" s="1" t="s">
        <v>4</v>
      </c>
      <c r="G750" s="1">
        <v>45849</v>
      </c>
      <c r="H750" t="s">
        <v>41</v>
      </c>
      <c r="I750" s="2">
        <v>140.6</v>
      </c>
      <c r="J750" t="s">
        <v>586</v>
      </c>
      <c r="K750" s="7">
        <v>45839</v>
      </c>
    </row>
    <row r="751" spans="1:11" hidden="1">
      <c r="A751" t="s">
        <v>39</v>
      </c>
      <c r="B751" t="s">
        <v>40</v>
      </c>
      <c r="C751" t="s">
        <v>14</v>
      </c>
      <c r="E751" t="s">
        <v>9</v>
      </c>
      <c r="F751" s="1" t="s">
        <v>2</v>
      </c>
      <c r="G751" s="1">
        <v>45904</v>
      </c>
      <c r="H751" t="s">
        <v>41</v>
      </c>
      <c r="I751" s="2">
        <v>8893.81</v>
      </c>
      <c r="J751" t="s">
        <v>587</v>
      </c>
      <c r="K751" s="7">
        <v>45901</v>
      </c>
    </row>
    <row r="752" spans="1:11" hidden="1">
      <c r="A752" t="s">
        <v>39</v>
      </c>
      <c r="B752" t="s">
        <v>63</v>
      </c>
      <c r="C752" t="s">
        <v>14</v>
      </c>
      <c r="E752" t="s">
        <v>9</v>
      </c>
      <c r="F752" s="1" t="s">
        <v>2</v>
      </c>
      <c r="G752" s="1">
        <v>45994</v>
      </c>
      <c r="H752" t="s">
        <v>41</v>
      </c>
      <c r="I752" s="2">
        <v>8856.82</v>
      </c>
      <c r="J752" t="s">
        <v>436</v>
      </c>
      <c r="K752" s="7">
        <v>45992</v>
      </c>
    </row>
    <row r="753" spans="1:11" hidden="1">
      <c r="A753" t="s">
        <v>39</v>
      </c>
      <c r="B753" t="s">
        <v>63</v>
      </c>
      <c r="C753" t="s">
        <v>13</v>
      </c>
      <c r="D753">
        <v>10026666</v>
      </c>
      <c r="E753" t="s">
        <v>9</v>
      </c>
      <c r="F753" s="1" t="s">
        <v>5</v>
      </c>
      <c r="G753" s="1">
        <v>45800</v>
      </c>
      <c r="H753" t="s">
        <v>41</v>
      </c>
      <c r="I753" s="2">
        <v>8817.35</v>
      </c>
      <c r="J753" t="s">
        <v>588</v>
      </c>
      <c r="K753" s="7">
        <v>45778</v>
      </c>
    </row>
    <row r="754" spans="1:11" hidden="1">
      <c r="A754" t="s">
        <v>39</v>
      </c>
      <c r="B754" t="s">
        <v>45</v>
      </c>
      <c r="C754" t="s">
        <v>13</v>
      </c>
      <c r="E754" t="s">
        <v>9</v>
      </c>
      <c r="F754" s="1" t="s">
        <v>5</v>
      </c>
      <c r="G754" s="1">
        <v>45954</v>
      </c>
      <c r="H754" t="s">
        <v>41</v>
      </c>
      <c r="I754" s="2">
        <v>8778.86</v>
      </c>
      <c r="J754" t="s">
        <v>589</v>
      </c>
      <c r="K754" s="7">
        <v>45931</v>
      </c>
    </row>
    <row r="755" spans="1:11" hidden="1">
      <c r="A755" t="s">
        <v>39</v>
      </c>
      <c r="B755" t="s">
        <v>40</v>
      </c>
      <c r="C755" t="s">
        <v>14</v>
      </c>
      <c r="D755">
        <v>10027115</v>
      </c>
      <c r="E755" t="s">
        <v>9</v>
      </c>
      <c r="F755" s="1" t="s">
        <v>4</v>
      </c>
      <c r="G755" s="1">
        <v>45850</v>
      </c>
      <c r="H755" t="s">
        <v>41</v>
      </c>
      <c r="I755" s="2">
        <v>10000</v>
      </c>
      <c r="J755" t="s">
        <v>310</v>
      </c>
      <c r="K755" s="7">
        <v>45839</v>
      </c>
    </row>
    <row r="756" spans="1:11" hidden="1">
      <c r="A756" t="s">
        <v>39</v>
      </c>
      <c r="B756" t="s">
        <v>40</v>
      </c>
      <c r="C756" t="s">
        <v>14</v>
      </c>
      <c r="D756">
        <v>10027074</v>
      </c>
      <c r="E756" t="s">
        <v>9</v>
      </c>
      <c r="F756" s="1" t="s">
        <v>4</v>
      </c>
      <c r="G756" s="1">
        <v>45850</v>
      </c>
      <c r="H756" t="s">
        <v>41</v>
      </c>
      <c r="I756" s="2">
        <v>1673.82</v>
      </c>
      <c r="J756" t="s">
        <v>590</v>
      </c>
      <c r="K756" s="7">
        <v>45839</v>
      </c>
    </row>
    <row r="757" spans="1:11" hidden="1">
      <c r="A757" t="s">
        <v>39</v>
      </c>
      <c r="B757" t="s">
        <v>47</v>
      </c>
      <c r="C757" t="s">
        <v>12</v>
      </c>
      <c r="E757" t="s">
        <v>9</v>
      </c>
      <c r="F757" s="1" t="s">
        <v>5</v>
      </c>
      <c r="G757" s="1">
        <v>45952</v>
      </c>
      <c r="H757" t="s">
        <v>41</v>
      </c>
      <c r="I757" s="2">
        <v>8758.02</v>
      </c>
      <c r="J757" s="47" t="s">
        <v>591</v>
      </c>
      <c r="K757" s="7">
        <v>45931</v>
      </c>
    </row>
    <row r="758" spans="1:11" hidden="1">
      <c r="A758" t="s">
        <v>39</v>
      </c>
      <c r="B758" t="s">
        <v>47</v>
      </c>
      <c r="C758" t="s">
        <v>14</v>
      </c>
      <c r="E758" t="s">
        <v>9</v>
      </c>
      <c r="F758" s="1" t="s">
        <v>3</v>
      </c>
      <c r="G758" s="1">
        <v>46000</v>
      </c>
      <c r="H758" t="s">
        <v>41</v>
      </c>
      <c r="I758" s="2">
        <v>8757</v>
      </c>
      <c r="J758" t="s">
        <v>592</v>
      </c>
      <c r="K758" s="7">
        <v>45992</v>
      </c>
    </row>
    <row r="759" spans="1:11" hidden="1">
      <c r="A759" t="s">
        <v>39</v>
      </c>
      <c r="B759" t="s">
        <v>45</v>
      </c>
      <c r="C759" t="s">
        <v>14</v>
      </c>
      <c r="D759">
        <v>10026964</v>
      </c>
      <c r="E759" t="s">
        <v>9</v>
      </c>
      <c r="F759" s="1" t="s">
        <v>5</v>
      </c>
      <c r="G759" s="1">
        <v>45838</v>
      </c>
      <c r="H759" t="s">
        <v>41</v>
      </c>
      <c r="I759" s="2">
        <v>8694.1299999999992</v>
      </c>
      <c r="J759" t="s">
        <v>163</v>
      </c>
      <c r="K759" s="7">
        <v>45809</v>
      </c>
    </row>
    <row r="760" spans="1:11" hidden="1">
      <c r="A760" t="s">
        <v>39</v>
      </c>
      <c r="B760" t="s">
        <v>63</v>
      </c>
      <c r="C760" t="s">
        <v>13</v>
      </c>
      <c r="D760">
        <v>10026666</v>
      </c>
      <c r="E760" t="s">
        <v>9</v>
      </c>
      <c r="F760" s="1" t="s">
        <v>5</v>
      </c>
      <c r="G760" s="1">
        <v>45800</v>
      </c>
      <c r="H760" t="s">
        <v>41</v>
      </c>
      <c r="I760" s="2">
        <v>8681.4</v>
      </c>
      <c r="J760" t="s">
        <v>588</v>
      </c>
      <c r="K760" s="7">
        <v>45778</v>
      </c>
    </row>
    <row r="761" spans="1:11" hidden="1">
      <c r="A761" t="s">
        <v>39</v>
      </c>
      <c r="B761" t="s">
        <v>63</v>
      </c>
      <c r="C761" t="s">
        <v>14</v>
      </c>
      <c r="E761" t="s">
        <v>9</v>
      </c>
      <c r="F761" s="1" t="s">
        <v>5</v>
      </c>
      <c r="G761" s="1">
        <v>45987</v>
      </c>
      <c r="H761" t="s">
        <v>41</v>
      </c>
      <c r="I761" s="2">
        <v>8681.1299999999992</v>
      </c>
      <c r="J761" s="47" t="s">
        <v>538</v>
      </c>
      <c r="K761" s="7">
        <v>45962</v>
      </c>
    </row>
    <row r="762" spans="1:11" hidden="1">
      <c r="A762" t="s">
        <v>39</v>
      </c>
      <c r="B762" t="s">
        <v>47</v>
      </c>
      <c r="C762" t="s">
        <v>14</v>
      </c>
      <c r="D762">
        <v>10026930</v>
      </c>
      <c r="E762" t="s">
        <v>9</v>
      </c>
      <c r="F762" s="1" t="s">
        <v>5</v>
      </c>
      <c r="G762" s="1">
        <v>45835</v>
      </c>
      <c r="H762" t="s">
        <v>41</v>
      </c>
      <c r="I762" s="2">
        <v>8661.1299999999992</v>
      </c>
      <c r="J762" t="s">
        <v>593</v>
      </c>
      <c r="K762" s="7">
        <v>45809</v>
      </c>
    </row>
    <row r="763" spans="1:11" hidden="1">
      <c r="A763" t="s">
        <v>39</v>
      </c>
      <c r="B763" t="s">
        <v>40</v>
      </c>
      <c r="C763" t="s">
        <v>14</v>
      </c>
      <c r="D763">
        <v>10027059</v>
      </c>
      <c r="E763" t="s">
        <v>9</v>
      </c>
      <c r="F763" s="1" t="s">
        <v>4</v>
      </c>
      <c r="G763" s="1">
        <v>45850</v>
      </c>
      <c r="H763" t="s">
        <v>64</v>
      </c>
      <c r="I763" s="2">
        <f>118765.52/508</f>
        <v>233.7903937007874</v>
      </c>
      <c r="J763" t="s">
        <v>594</v>
      </c>
      <c r="K763" s="7">
        <v>45839</v>
      </c>
    </row>
    <row r="764" spans="1:11" hidden="1">
      <c r="A764" t="s">
        <v>39</v>
      </c>
      <c r="B764" t="s">
        <v>45</v>
      </c>
      <c r="C764" t="s">
        <v>14</v>
      </c>
      <c r="D764">
        <v>10027072</v>
      </c>
      <c r="E764" t="s">
        <v>9</v>
      </c>
      <c r="F764" s="1" t="s">
        <v>4</v>
      </c>
      <c r="G764" s="1">
        <v>45852</v>
      </c>
      <c r="H764" t="s">
        <v>41</v>
      </c>
      <c r="I764" s="2">
        <v>16379.6</v>
      </c>
      <c r="J764" t="s">
        <v>163</v>
      </c>
      <c r="K764" s="7">
        <v>45839</v>
      </c>
    </row>
    <row r="765" spans="1:11" hidden="1">
      <c r="A765" t="s">
        <v>39</v>
      </c>
      <c r="B765" t="s">
        <v>63</v>
      </c>
      <c r="C765" t="s">
        <v>14</v>
      </c>
      <c r="E765" t="s">
        <v>9</v>
      </c>
      <c r="F765" s="1" t="s">
        <v>5</v>
      </c>
      <c r="G765" s="1">
        <v>46052</v>
      </c>
      <c r="H765" t="s">
        <v>41</v>
      </c>
      <c r="I765" s="2">
        <v>8627.9</v>
      </c>
      <c r="J765" t="s">
        <v>595</v>
      </c>
      <c r="K765" s="7">
        <v>46023</v>
      </c>
    </row>
    <row r="766" spans="1:11" hidden="1">
      <c r="A766" t="s">
        <v>114</v>
      </c>
      <c r="B766" t="s">
        <v>63</v>
      </c>
      <c r="C766" t="s">
        <v>14</v>
      </c>
      <c r="D766">
        <v>15167</v>
      </c>
      <c r="E766" t="s">
        <v>9</v>
      </c>
      <c r="F766" s="1" t="s">
        <v>3</v>
      </c>
      <c r="G766" s="1">
        <v>45820</v>
      </c>
      <c r="H766" t="s">
        <v>41</v>
      </c>
      <c r="I766" s="2">
        <v>8625.4500000000007</v>
      </c>
      <c r="J766" t="s">
        <v>254</v>
      </c>
      <c r="K766" s="7">
        <v>45809</v>
      </c>
    </row>
    <row r="767" spans="1:11" hidden="1">
      <c r="A767" t="s">
        <v>114</v>
      </c>
      <c r="B767" t="s">
        <v>63</v>
      </c>
      <c r="C767" t="s">
        <v>14</v>
      </c>
      <c r="D767">
        <v>15167</v>
      </c>
      <c r="E767" t="s">
        <v>9</v>
      </c>
      <c r="F767" s="1" t="s">
        <v>3</v>
      </c>
      <c r="G767" s="1">
        <v>45820</v>
      </c>
      <c r="H767" t="s">
        <v>41</v>
      </c>
      <c r="I767" s="2">
        <v>8625.4500000000007</v>
      </c>
      <c r="J767" t="s">
        <v>254</v>
      </c>
      <c r="K767" s="7">
        <v>45809</v>
      </c>
    </row>
    <row r="768" spans="1:11" hidden="1">
      <c r="A768" t="s">
        <v>39</v>
      </c>
      <c r="B768" t="s">
        <v>47</v>
      </c>
      <c r="C768" t="s">
        <v>14</v>
      </c>
      <c r="E768" t="s">
        <v>9</v>
      </c>
      <c r="F768" s="1" t="s">
        <v>4</v>
      </c>
      <c r="G768" s="1">
        <v>45852</v>
      </c>
      <c r="H768" t="s">
        <v>41</v>
      </c>
      <c r="I768" s="2">
        <v>9603.02</v>
      </c>
      <c r="J768" t="s">
        <v>596</v>
      </c>
      <c r="K768" s="7">
        <v>45839</v>
      </c>
    </row>
    <row r="769" spans="1:11" hidden="1">
      <c r="A769" t="s">
        <v>39</v>
      </c>
      <c r="B769" t="s">
        <v>40</v>
      </c>
      <c r="C769" t="s">
        <v>14</v>
      </c>
      <c r="D769">
        <v>10028014</v>
      </c>
      <c r="E769" t="s">
        <v>9</v>
      </c>
      <c r="F769" s="1" t="s">
        <v>5</v>
      </c>
      <c r="G769" s="1">
        <v>45986</v>
      </c>
      <c r="H769" t="s">
        <v>64</v>
      </c>
      <c r="I769" s="2">
        <v>8575</v>
      </c>
      <c r="J769" t="s">
        <v>597</v>
      </c>
      <c r="K769" s="7">
        <v>45962</v>
      </c>
    </row>
    <row r="770" spans="1:11" hidden="1">
      <c r="A770" t="s">
        <v>39</v>
      </c>
      <c r="B770" t="s">
        <v>40</v>
      </c>
      <c r="C770" t="s">
        <v>14</v>
      </c>
      <c r="E770" t="s">
        <v>9</v>
      </c>
      <c r="F770" s="1" t="s">
        <v>5</v>
      </c>
      <c r="G770" s="1">
        <v>45986</v>
      </c>
      <c r="H770" t="s">
        <v>41</v>
      </c>
      <c r="I770" s="2">
        <v>8559</v>
      </c>
      <c r="J770" t="s">
        <v>597</v>
      </c>
      <c r="K770" s="7">
        <v>45962</v>
      </c>
    </row>
    <row r="771" spans="1:11" hidden="1">
      <c r="A771" t="s">
        <v>114</v>
      </c>
      <c r="B771" t="s">
        <v>63</v>
      </c>
      <c r="C771" t="s">
        <v>14</v>
      </c>
      <c r="E771" t="s">
        <v>9</v>
      </c>
      <c r="F771" s="1" t="s">
        <v>4</v>
      </c>
      <c r="G771" s="1">
        <v>45852</v>
      </c>
      <c r="H771" t="s">
        <v>41</v>
      </c>
      <c r="I771" s="2">
        <v>4651.93</v>
      </c>
      <c r="J771" t="s">
        <v>598</v>
      </c>
      <c r="K771" s="7">
        <v>45839</v>
      </c>
    </row>
    <row r="772" spans="1:11" hidden="1">
      <c r="A772" t="s">
        <v>39</v>
      </c>
      <c r="B772" t="s">
        <v>40</v>
      </c>
      <c r="C772" t="s">
        <v>14</v>
      </c>
      <c r="D772">
        <v>10027086</v>
      </c>
      <c r="E772" t="s">
        <v>9</v>
      </c>
      <c r="F772" s="1" t="s">
        <v>4</v>
      </c>
      <c r="G772" s="1">
        <v>45852</v>
      </c>
      <c r="H772" t="s">
        <v>41</v>
      </c>
      <c r="I772" s="2">
        <v>2000</v>
      </c>
      <c r="J772" t="s">
        <v>599</v>
      </c>
      <c r="K772" s="7">
        <v>45839</v>
      </c>
    </row>
    <row r="773" spans="1:11" hidden="1">
      <c r="A773" t="s">
        <v>39</v>
      </c>
      <c r="B773" t="s">
        <v>40</v>
      </c>
      <c r="C773" t="s">
        <v>14</v>
      </c>
      <c r="D773">
        <v>10027077</v>
      </c>
      <c r="E773" t="s">
        <v>9</v>
      </c>
      <c r="F773" s="1" t="s">
        <v>4</v>
      </c>
      <c r="G773" s="1">
        <v>45852</v>
      </c>
      <c r="H773" t="s">
        <v>41</v>
      </c>
      <c r="I773" s="2">
        <v>199.46</v>
      </c>
      <c r="J773" t="s">
        <v>600</v>
      </c>
      <c r="K773" s="7">
        <v>45839</v>
      </c>
    </row>
    <row r="774" spans="1:11" hidden="1">
      <c r="A774" t="s">
        <v>39</v>
      </c>
      <c r="B774" t="s">
        <v>63</v>
      </c>
      <c r="C774" t="s">
        <v>13</v>
      </c>
      <c r="E774" t="s">
        <v>9</v>
      </c>
      <c r="F774" s="1" t="s">
        <v>4</v>
      </c>
      <c r="G774" s="1">
        <v>45853</v>
      </c>
      <c r="H774" t="s">
        <v>64</v>
      </c>
      <c r="I774" s="2">
        <f>7859704.5/508</f>
        <v>15471.859251968504</v>
      </c>
      <c r="J774" t="s">
        <v>601</v>
      </c>
      <c r="K774" s="7">
        <v>45839</v>
      </c>
    </row>
    <row r="775" spans="1:11" hidden="1">
      <c r="A775" t="s">
        <v>39</v>
      </c>
      <c r="B775" t="s">
        <v>47</v>
      </c>
      <c r="C775" t="s">
        <v>14</v>
      </c>
      <c r="E775" t="s">
        <v>9</v>
      </c>
      <c r="F775" s="1" t="s">
        <v>3</v>
      </c>
      <c r="G775" s="1">
        <v>45977</v>
      </c>
      <c r="H775" t="s">
        <v>41</v>
      </c>
      <c r="I775" s="2">
        <v>8517.67</v>
      </c>
      <c r="J775" t="s">
        <v>602</v>
      </c>
      <c r="K775" s="7">
        <v>45962</v>
      </c>
    </row>
    <row r="776" spans="1:11" hidden="1">
      <c r="A776" t="s">
        <v>39</v>
      </c>
      <c r="B776" t="s">
        <v>40</v>
      </c>
      <c r="C776" t="s">
        <v>14</v>
      </c>
      <c r="D776">
        <v>10027188</v>
      </c>
      <c r="E776" t="s">
        <v>9</v>
      </c>
      <c r="F776" s="1" t="s">
        <v>5</v>
      </c>
      <c r="G776" s="1">
        <v>45864</v>
      </c>
      <c r="H776" t="s">
        <v>41</v>
      </c>
      <c r="I776" s="2">
        <v>8500</v>
      </c>
      <c r="J776" t="s">
        <v>434</v>
      </c>
      <c r="K776" s="7">
        <v>45839</v>
      </c>
    </row>
    <row r="777" spans="1:11" hidden="1">
      <c r="A777" t="s">
        <v>39</v>
      </c>
      <c r="B777" t="s">
        <v>63</v>
      </c>
      <c r="C777" t="s">
        <v>13</v>
      </c>
      <c r="D777">
        <v>10027081</v>
      </c>
      <c r="E777" t="s">
        <v>9</v>
      </c>
      <c r="F777" s="1" t="s">
        <v>4</v>
      </c>
      <c r="G777" s="1">
        <v>45853</v>
      </c>
      <c r="H777" t="s">
        <v>41</v>
      </c>
      <c r="I777" s="2">
        <v>9357.25</v>
      </c>
      <c r="J777" t="s">
        <v>131</v>
      </c>
      <c r="K777" s="7">
        <v>45839</v>
      </c>
    </row>
    <row r="778" spans="1:11" hidden="1">
      <c r="A778" t="s">
        <v>39</v>
      </c>
      <c r="B778" t="s">
        <v>45</v>
      </c>
      <c r="C778" t="s">
        <v>12</v>
      </c>
      <c r="D778">
        <v>10027180</v>
      </c>
      <c r="E778" t="s">
        <v>9</v>
      </c>
      <c r="F778" s="1" t="s">
        <v>4</v>
      </c>
      <c r="G778" s="1">
        <v>45853</v>
      </c>
      <c r="H778" t="s">
        <v>41</v>
      </c>
      <c r="I778" s="2">
        <v>4778.47</v>
      </c>
      <c r="J778" t="s">
        <v>603</v>
      </c>
      <c r="K778" s="7">
        <v>45839</v>
      </c>
    </row>
    <row r="779" spans="1:11" hidden="1">
      <c r="A779" t="s">
        <v>39</v>
      </c>
      <c r="B779" t="s">
        <v>47</v>
      </c>
      <c r="C779" t="s">
        <v>12</v>
      </c>
      <c r="E779" t="s">
        <v>9</v>
      </c>
      <c r="F779" s="1" t="s">
        <v>3</v>
      </c>
      <c r="G779" s="1">
        <v>45938</v>
      </c>
      <c r="H779" t="s">
        <v>41</v>
      </c>
      <c r="I779" s="2">
        <v>8462.7199999999993</v>
      </c>
      <c r="J779" t="s">
        <v>604</v>
      </c>
      <c r="K779" s="7">
        <v>45931</v>
      </c>
    </row>
    <row r="780" spans="1:11">
      <c r="A780" t="s">
        <v>39</v>
      </c>
      <c r="B780" t="s">
        <v>47</v>
      </c>
      <c r="C780" t="s">
        <v>14</v>
      </c>
      <c r="E780" t="s">
        <v>9</v>
      </c>
      <c r="F780" s="1" t="s">
        <v>2</v>
      </c>
      <c r="G780" s="1">
        <v>46058</v>
      </c>
      <c r="H780" t="s">
        <v>41</v>
      </c>
      <c r="I780" s="2">
        <v>1531.6</v>
      </c>
      <c r="J780" t="s">
        <v>605</v>
      </c>
      <c r="K780" s="7">
        <v>46054</v>
      </c>
    </row>
    <row r="781" spans="1:11" hidden="1">
      <c r="A781" t="s">
        <v>114</v>
      </c>
      <c r="B781" t="s">
        <v>63</v>
      </c>
      <c r="C781" t="s">
        <v>14</v>
      </c>
      <c r="D781">
        <v>15227</v>
      </c>
      <c r="E781" t="s">
        <v>9</v>
      </c>
      <c r="F781" s="1" t="s">
        <v>5</v>
      </c>
      <c r="G781" s="1">
        <v>45924</v>
      </c>
      <c r="H781" t="s">
        <v>41</v>
      </c>
      <c r="I781" s="2">
        <v>8400.92</v>
      </c>
      <c r="J781" t="s">
        <v>465</v>
      </c>
      <c r="K781" s="7">
        <v>45901</v>
      </c>
    </row>
    <row r="782" spans="1:11" hidden="1">
      <c r="A782" t="s">
        <v>39</v>
      </c>
      <c r="B782" t="s">
        <v>406</v>
      </c>
      <c r="C782" t="s">
        <v>14</v>
      </c>
      <c r="E782" t="s">
        <v>9</v>
      </c>
      <c r="F782" s="1" t="s">
        <v>5</v>
      </c>
      <c r="G782" s="1">
        <v>45987</v>
      </c>
      <c r="H782" t="s">
        <v>41</v>
      </c>
      <c r="I782" s="2">
        <v>8400</v>
      </c>
      <c r="J782" s="47" t="s">
        <v>606</v>
      </c>
      <c r="K782" s="7">
        <v>45962</v>
      </c>
    </row>
    <row r="783" spans="1:11" hidden="1">
      <c r="A783" t="s">
        <v>39</v>
      </c>
      <c r="B783" t="s">
        <v>63</v>
      </c>
      <c r="C783" t="s">
        <v>14</v>
      </c>
      <c r="E783" t="s">
        <v>9</v>
      </c>
      <c r="F783" s="1" t="s">
        <v>3</v>
      </c>
      <c r="G783" s="1">
        <v>45883</v>
      </c>
      <c r="H783" t="s">
        <v>41</v>
      </c>
      <c r="I783" s="2">
        <v>8383.58</v>
      </c>
      <c r="J783" t="s">
        <v>607</v>
      </c>
      <c r="K783" s="7">
        <v>45870</v>
      </c>
    </row>
    <row r="784" spans="1:11" hidden="1">
      <c r="A784" t="s">
        <v>39</v>
      </c>
      <c r="B784" t="s">
        <v>45</v>
      </c>
      <c r="C784" t="s">
        <v>14</v>
      </c>
      <c r="D784">
        <v>10027114</v>
      </c>
      <c r="E784" t="s">
        <v>9</v>
      </c>
      <c r="F784" s="1" t="s">
        <v>4</v>
      </c>
      <c r="G784" s="1">
        <v>45853</v>
      </c>
      <c r="H784" t="s">
        <v>41</v>
      </c>
      <c r="I784" s="2">
        <v>681.69</v>
      </c>
      <c r="J784" t="s">
        <v>608</v>
      </c>
      <c r="K784" s="7">
        <v>45839</v>
      </c>
    </row>
    <row r="785" spans="1:11" hidden="1">
      <c r="A785" t="s">
        <v>39</v>
      </c>
      <c r="B785" t="s">
        <v>63</v>
      </c>
      <c r="C785" t="s">
        <v>14</v>
      </c>
      <c r="D785">
        <v>10026665</v>
      </c>
      <c r="E785" t="s">
        <v>9</v>
      </c>
      <c r="F785" s="1" t="s">
        <v>5</v>
      </c>
      <c r="G785" s="1">
        <v>45800</v>
      </c>
      <c r="H785" t="s">
        <v>41</v>
      </c>
      <c r="I785" s="2">
        <v>8324.9</v>
      </c>
      <c r="J785" t="s">
        <v>609</v>
      </c>
      <c r="K785" s="7">
        <v>45778</v>
      </c>
    </row>
    <row r="786" spans="1:11" hidden="1">
      <c r="A786" t="s">
        <v>39</v>
      </c>
      <c r="B786" t="s">
        <v>40</v>
      </c>
      <c r="C786" t="s">
        <v>14</v>
      </c>
      <c r="D786">
        <v>10027082</v>
      </c>
      <c r="E786" t="s">
        <v>9</v>
      </c>
      <c r="F786" s="1" t="s">
        <v>4</v>
      </c>
      <c r="G786" s="1">
        <v>45853</v>
      </c>
      <c r="H786" t="s">
        <v>41</v>
      </c>
      <c r="I786" s="2">
        <v>235.6</v>
      </c>
      <c r="J786" t="s">
        <v>610</v>
      </c>
      <c r="K786" s="7">
        <v>45839</v>
      </c>
    </row>
    <row r="787" spans="1:11" hidden="1">
      <c r="A787" t="s">
        <v>39</v>
      </c>
      <c r="B787" t="s">
        <v>40</v>
      </c>
      <c r="C787" t="s">
        <v>14</v>
      </c>
      <c r="E787" t="s">
        <v>9</v>
      </c>
      <c r="F787" s="1" t="s">
        <v>6</v>
      </c>
      <c r="G787" s="1">
        <v>45804</v>
      </c>
      <c r="H787" t="s">
        <v>41</v>
      </c>
      <c r="I787" s="2">
        <v>8300</v>
      </c>
      <c r="J787" t="s">
        <v>544</v>
      </c>
      <c r="K787" s="7">
        <v>45778</v>
      </c>
    </row>
    <row r="788" spans="1:11" hidden="1">
      <c r="A788" t="s">
        <v>39</v>
      </c>
      <c r="B788" t="s">
        <v>40</v>
      </c>
      <c r="C788" t="s">
        <v>14</v>
      </c>
      <c r="D788">
        <v>10027040</v>
      </c>
      <c r="E788" t="s">
        <v>9</v>
      </c>
      <c r="F788" s="1" t="s">
        <v>3</v>
      </c>
      <c r="G788" s="1">
        <v>45846</v>
      </c>
      <c r="H788" t="s">
        <v>41</v>
      </c>
      <c r="I788" s="2">
        <v>8300</v>
      </c>
      <c r="J788" t="s">
        <v>611</v>
      </c>
      <c r="K788" s="7">
        <v>45839</v>
      </c>
    </row>
    <row r="789" spans="1:11" hidden="1">
      <c r="A789" t="s">
        <v>39</v>
      </c>
      <c r="B789" t="s">
        <v>40</v>
      </c>
      <c r="C789" t="s">
        <v>14</v>
      </c>
      <c r="D789">
        <v>10027088</v>
      </c>
      <c r="E789" t="s">
        <v>9</v>
      </c>
      <c r="F789" s="1" t="s">
        <v>4</v>
      </c>
      <c r="G789" s="1">
        <v>45853</v>
      </c>
      <c r="H789" t="s">
        <v>41</v>
      </c>
      <c r="I789" s="2">
        <v>200</v>
      </c>
      <c r="J789" t="s">
        <v>109</v>
      </c>
      <c r="K789" s="7">
        <v>45839</v>
      </c>
    </row>
    <row r="790" spans="1:11" hidden="1">
      <c r="A790" t="s">
        <v>39</v>
      </c>
      <c r="B790" t="s">
        <v>40</v>
      </c>
      <c r="C790" t="s">
        <v>14</v>
      </c>
      <c r="D790">
        <v>10027315</v>
      </c>
      <c r="E790" t="s">
        <v>9</v>
      </c>
      <c r="F790" s="1" t="s">
        <v>3</v>
      </c>
      <c r="G790" s="1">
        <v>45883</v>
      </c>
      <c r="H790" t="s">
        <v>41</v>
      </c>
      <c r="I790" s="2">
        <v>8200</v>
      </c>
      <c r="J790" t="s">
        <v>612</v>
      </c>
      <c r="K790" s="7">
        <v>45870</v>
      </c>
    </row>
    <row r="791" spans="1:11" hidden="1">
      <c r="A791" t="s">
        <v>39</v>
      </c>
      <c r="B791" t="s">
        <v>40</v>
      </c>
      <c r="C791" t="s">
        <v>14</v>
      </c>
      <c r="D791">
        <v>10027858</v>
      </c>
      <c r="E791" t="s">
        <v>9</v>
      </c>
      <c r="F791" s="1" t="s">
        <v>5</v>
      </c>
      <c r="G791" s="1">
        <v>45955</v>
      </c>
      <c r="H791" t="s">
        <v>41</v>
      </c>
      <c r="I791" s="2">
        <v>8200</v>
      </c>
      <c r="J791" t="s">
        <v>613</v>
      </c>
      <c r="K791" s="7">
        <v>45931</v>
      </c>
    </row>
    <row r="792" spans="1:11" hidden="1">
      <c r="A792" t="s">
        <v>39</v>
      </c>
      <c r="B792" t="s">
        <v>40</v>
      </c>
      <c r="C792" t="s">
        <v>12</v>
      </c>
      <c r="E792" t="s">
        <v>9</v>
      </c>
      <c r="F792" s="1" t="s">
        <v>3</v>
      </c>
      <c r="G792" s="1">
        <v>45937</v>
      </c>
      <c r="H792" t="s">
        <v>41</v>
      </c>
      <c r="I792" s="2">
        <v>8190</v>
      </c>
      <c r="J792" t="s">
        <v>614</v>
      </c>
      <c r="K792" s="7">
        <v>45931</v>
      </c>
    </row>
    <row r="793" spans="1:11" hidden="1">
      <c r="A793" t="s">
        <v>39</v>
      </c>
      <c r="B793" t="s">
        <v>40</v>
      </c>
      <c r="C793" t="s">
        <v>14</v>
      </c>
      <c r="D793">
        <v>10027083</v>
      </c>
      <c r="E793" t="s">
        <v>9</v>
      </c>
      <c r="F793" s="1" t="s">
        <v>4</v>
      </c>
      <c r="G793" s="1">
        <v>45853</v>
      </c>
      <c r="H793" t="s">
        <v>41</v>
      </c>
      <c r="I793" s="2">
        <v>150</v>
      </c>
      <c r="J793" t="s">
        <v>615</v>
      </c>
      <c r="K793" s="7">
        <v>45839</v>
      </c>
    </row>
    <row r="794" spans="1:11" hidden="1">
      <c r="A794" t="s">
        <v>39</v>
      </c>
      <c r="B794" t="s">
        <v>40</v>
      </c>
      <c r="C794" t="s">
        <v>14</v>
      </c>
      <c r="E794" t="s">
        <v>9</v>
      </c>
      <c r="F794" s="1" t="s">
        <v>3</v>
      </c>
      <c r="G794" s="1">
        <v>46002</v>
      </c>
      <c r="H794" t="s">
        <v>41</v>
      </c>
      <c r="I794" s="2">
        <v>8135.85</v>
      </c>
      <c r="J794" t="s">
        <v>616</v>
      </c>
      <c r="K794" s="7">
        <v>45992</v>
      </c>
    </row>
    <row r="795" spans="1:11" hidden="1">
      <c r="A795" t="s">
        <v>360</v>
      </c>
      <c r="B795" t="s">
        <v>45</v>
      </c>
      <c r="C795" t="s">
        <v>13</v>
      </c>
      <c r="E795" t="s">
        <v>9</v>
      </c>
      <c r="F795" s="1" t="s">
        <v>2</v>
      </c>
      <c r="G795" s="1">
        <v>45905</v>
      </c>
      <c r="H795" t="s">
        <v>64</v>
      </c>
      <c r="I795" s="2">
        <f>4143182/510</f>
        <v>8123.886274509804</v>
      </c>
      <c r="J795" t="s">
        <v>617</v>
      </c>
      <c r="K795" s="7">
        <v>45901</v>
      </c>
    </row>
    <row r="796" spans="1:11" hidden="1">
      <c r="A796" t="s">
        <v>114</v>
      </c>
      <c r="B796" t="s">
        <v>63</v>
      </c>
      <c r="C796" t="s">
        <v>14</v>
      </c>
      <c r="E796" t="s">
        <v>9</v>
      </c>
      <c r="F796" s="1" t="s">
        <v>4</v>
      </c>
      <c r="G796" s="1">
        <v>45854</v>
      </c>
      <c r="H796" t="s">
        <v>41</v>
      </c>
      <c r="I796" s="2">
        <v>8940</v>
      </c>
      <c r="J796" t="s">
        <v>618</v>
      </c>
      <c r="K796" s="7">
        <v>45839</v>
      </c>
    </row>
    <row r="797" spans="1:11" hidden="1">
      <c r="A797" t="s">
        <v>39</v>
      </c>
      <c r="B797" t="s">
        <v>63</v>
      </c>
      <c r="C797" t="s">
        <v>12</v>
      </c>
      <c r="D797">
        <v>10026824</v>
      </c>
      <c r="E797" t="s">
        <v>9</v>
      </c>
      <c r="F797" s="1" t="s">
        <v>3</v>
      </c>
      <c r="G797" s="1">
        <v>45821</v>
      </c>
      <c r="H797" t="s">
        <v>41</v>
      </c>
      <c r="I797" s="2">
        <v>8084.69</v>
      </c>
      <c r="J797" t="s">
        <v>383</v>
      </c>
      <c r="K797" s="7">
        <v>45809</v>
      </c>
    </row>
    <row r="798" spans="1:11" hidden="1">
      <c r="A798" t="s">
        <v>56</v>
      </c>
      <c r="B798" t="s">
        <v>40</v>
      </c>
      <c r="C798" t="s">
        <v>12</v>
      </c>
      <c r="E798" t="s">
        <v>8</v>
      </c>
      <c r="F798" s="1" t="s">
        <v>4</v>
      </c>
      <c r="G798" s="1">
        <v>45857</v>
      </c>
      <c r="H798" t="s">
        <v>41</v>
      </c>
      <c r="I798" s="2">
        <v>5000</v>
      </c>
      <c r="J798" t="s">
        <v>98</v>
      </c>
      <c r="K798" s="7">
        <v>45839</v>
      </c>
    </row>
    <row r="799" spans="1:11" hidden="1">
      <c r="A799" t="s">
        <v>39</v>
      </c>
      <c r="B799" t="s">
        <v>40</v>
      </c>
      <c r="C799" t="s">
        <v>12</v>
      </c>
      <c r="E799" t="s">
        <v>8</v>
      </c>
      <c r="F799" s="1" t="s">
        <v>4</v>
      </c>
      <c r="G799" s="1">
        <v>45857</v>
      </c>
      <c r="H799" t="s">
        <v>41</v>
      </c>
      <c r="I799" s="2">
        <v>15000</v>
      </c>
      <c r="J799" t="s">
        <v>98</v>
      </c>
      <c r="K799" s="7">
        <v>45839</v>
      </c>
    </row>
    <row r="800" spans="1:11" hidden="1">
      <c r="A800" t="s">
        <v>56</v>
      </c>
      <c r="B800" t="s">
        <v>40</v>
      </c>
      <c r="C800" t="s">
        <v>14</v>
      </c>
      <c r="E800" t="s">
        <v>8</v>
      </c>
      <c r="F800" s="1" t="s">
        <v>4</v>
      </c>
      <c r="G800" s="1">
        <v>45857</v>
      </c>
      <c r="H800" t="s">
        <v>41</v>
      </c>
      <c r="I800" s="2">
        <v>30000</v>
      </c>
      <c r="J800" t="s">
        <v>98</v>
      </c>
      <c r="K800" s="7">
        <v>45839</v>
      </c>
    </row>
    <row r="801" spans="1:11" hidden="1">
      <c r="A801" t="s">
        <v>39</v>
      </c>
      <c r="B801" t="s">
        <v>40</v>
      </c>
      <c r="C801" t="s">
        <v>14</v>
      </c>
      <c r="E801" t="s">
        <v>8</v>
      </c>
      <c r="F801" s="1" t="s">
        <v>4</v>
      </c>
      <c r="G801" s="1">
        <v>45857</v>
      </c>
      <c r="H801" t="s">
        <v>41</v>
      </c>
      <c r="I801" s="2">
        <v>90000</v>
      </c>
      <c r="J801" t="s">
        <v>98</v>
      </c>
      <c r="K801" s="7">
        <v>45839</v>
      </c>
    </row>
    <row r="802" spans="1:11" hidden="1">
      <c r="A802" t="s">
        <v>39</v>
      </c>
      <c r="B802" t="s">
        <v>47</v>
      </c>
      <c r="C802" t="s">
        <v>14</v>
      </c>
      <c r="E802" t="s">
        <v>9</v>
      </c>
      <c r="F802" s="1" t="s">
        <v>5</v>
      </c>
      <c r="G802" s="1">
        <v>45987</v>
      </c>
      <c r="H802" t="s">
        <v>41</v>
      </c>
      <c r="I802" s="2">
        <v>8027.14</v>
      </c>
      <c r="J802" s="47" t="s">
        <v>476</v>
      </c>
      <c r="K802" s="7">
        <v>45962</v>
      </c>
    </row>
    <row r="803" spans="1:11" hidden="1">
      <c r="A803" t="s">
        <v>56</v>
      </c>
      <c r="B803" t="s">
        <v>40</v>
      </c>
      <c r="C803" t="s">
        <v>12</v>
      </c>
      <c r="E803" t="s">
        <v>9</v>
      </c>
      <c r="F803" s="1" t="s">
        <v>4</v>
      </c>
      <c r="G803" s="1">
        <v>45854</v>
      </c>
      <c r="H803" t="s">
        <v>41</v>
      </c>
      <c r="I803" s="2">
        <v>7545.12</v>
      </c>
      <c r="J803" t="s">
        <v>619</v>
      </c>
      <c r="K803" s="7">
        <v>45839</v>
      </c>
    </row>
    <row r="804" spans="1:11" hidden="1">
      <c r="A804" t="s">
        <v>39</v>
      </c>
      <c r="B804" t="s">
        <v>40</v>
      </c>
      <c r="C804" t="s">
        <v>14</v>
      </c>
      <c r="D804">
        <v>10028047</v>
      </c>
      <c r="E804" t="s">
        <v>9</v>
      </c>
      <c r="F804" s="1" t="s">
        <v>5</v>
      </c>
      <c r="G804" s="1">
        <v>45990</v>
      </c>
      <c r="H804" t="s">
        <v>41</v>
      </c>
      <c r="I804" s="2">
        <v>8007</v>
      </c>
      <c r="J804" t="s">
        <v>620</v>
      </c>
      <c r="K804" s="7">
        <v>45962</v>
      </c>
    </row>
    <row r="805" spans="1:11" hidden="1">
      <c r="A805" t="s">
        <v>39</v>
      </c>
      <c r="B805" t="s">
        <v>40</v>
      </c>
      <c r="C805" t="s">
        <v>14</v>
      </c>
      <c r="E805" t="s">
        <v>9</v>
      </c>
      <c r="F805" s="1" t="s">
        <v>5</v>
      </c>
      <c r="G805" s="1">
        <v>45802</v>
      </c>
      <c r="H805" t="s">
        <v>41</v>
      </c>
      <c r="I805" s="2">
        <v>8000</v>
      </c>
      <c r="J805" t="s">
        <v>621</v>
      </c>
      <c r="K805" s="7">
        <v>45778</v>
      </c>
    </row>
    <row r="806" spans="1:11" hidden="1">
      <c r="A806" t="s">
        <v>39</v>
      </c>
      <c r="B806" t="s">
        <v>40</v>
      </c>
      <c r="C806" t="s">
        <v>14</v>
      </c>
      <c r="D806">
        <v>10027131</v>
      </c>
      <c r="E806" t="s">
        <v>9</v>
      </c>
      <c r="F806" s="1" t="s">
        <v>4</v>
      </c>
      <c r="G806" s="1">
        <v>45854</v>
      </c>
      <c r="H806" t="s">
        <v>41</v>
      </c>
      <c r="I806" s="2">
        <v>2050</v>
      </c>
      <c r="J806" t="s">
        <v>622</v>
      </c>
      <c r="K806" s="7">
        <v>45839</v>
      </c>
    </row>
    <row r="807" spans="1:11" hidden="1">
      <c r="A807" t="s">
        <v>39</v>
      </c>
      <c r="B807" t="s">
        <v>47</v>
      </c>
      <c r="C807" t="s">
        <v>12</v>
      </c>
      <c r="E807" t="s">
        <v>9</v>
      </c>
      <c r="F807" s="1" t="s">
        <v>2</v>
      </c>
      <c r="G807" s="1">
        <v>45933</v>
      </c>
      <c r="H807" t="s">
        <v>41</v>
      </c>
      <c r="I807" s="2">
        <v>8000</v>
      </c>
      <c r="J807" t="s">
        <v>623</v>
      </c>
      <c r="K807" s="7">
        <v>45931</v>
      </c>
    </row>
    <row r="808" spans="1:11" hidden="1">
      <c r="A808" t="s">
        <v>39</v>
      </c>
      <c r="B808" t="s">
        <v>47</v>
      </c>
      <c r="C808" t="s">
        <v>12</v>
      </c>
      <c r="E808" t="s">
        <v>9</v>
      </c>
      <c r="F808" s="1" t="s">
        <v>3</v>
      </c>
      <c r="G808" s="1">
        <v>45937</v>
      </c>
      <c r="H808" t="s">
        <v>41</v>
      </c>
      <c r="I808" s="2">
        <v>8000</v>
      </c>
      <c r="J808" t="s">
        <v>602</v>
      </c>
      <c r="K808" s="7">
        <v>45931</v>
      </c>
    </row>
    <row r="809" spans="1:11" hidden="1">
      <c r="A809" t="s">
        <v>39</v>
      </c>
      <c r="B809" t="s">
        <v>63</v>
      </c>
      <c r="C809" t="s">
        <v>13</v>
      </c>
      <c r="E809" t="s">
        <v>9</v>
      </c>
      <c r="F809" s="1" t="s">
        <v>2</v>
      </c>
      <c r="G809" s="1">
        <v>45968</v>
      </c>
      <c r="H809" t="s">
        <v>41</v>
      </c>
      <c r="I809" s="2">
        <v>8000</v>
      </c>
      <c r="J809" t="s">
        <v>482</v>
      </c>
      <c r="K809" s="7">
        <v>45962</v>
      </c>
    </row>
    <row r="810" spans="1:11" hidden="1">
      <c r="A810" t="s">
        <v>39</v>
      </c>
      <c r="B810" t="s">
        <v>40</v>
      </c>
      <c r="C810" t="s">
        <v>14</v>
      </c>
      <c r="E810" t="s">
        <v>9</v>
      </c>
      <c r="F810" s="1" t="s">
        <v>3</v>
      </c>
      <c r="G810" s="1">
        <v>45971</v>
      </c>
      <c r="H810" t="s">
        <v>41</v>
      </c>
      <c r="I810" s="2">
        <v>8000</v>
      </c>
      <c r="J810" t="s">
        <v>624</v>
      </c>
      <c r="K810" s="7">
        <v>45962</v>
      </c>
    </row>
    <row r="811" spans="1:11" hidden="1">
      <c r="A811" t="s">
        <v>39</v>
      </c>
      <c r="B811" t="s">
        <v>40</v>
      </c>
      <c r="C811" t="s">
        <v>14</v>
      </c>
      <c r="D811">
        <v>10027135</v>
      </c>
      <c r="E811" t="s">
        <v>9</v>
      </c>
      <c r="F811" s="1" t="s">
        <v>4</v>
      </c>
      <c r="G811" s="1">
        <v>45854</v>
      </c>
      <c r="H811" t="s">
        <v>64</v>
      </c>
      <c r="I811" s="2">
        <f>750000/508</f>
        <v>1476.3779527559054</v>
      </c>
      <c r="J811" t="s">
        <v>625</v>
      </c>
      <c r="K811" s="7">
        <v>45839</v>
      </c>
    </row>
    <row r="812" spans="1:11" hidden="1">
      <c r="A812" t="s">
        <v>39</v>
      </c>
      <c r="B812" t="s">
        <v>47</v>
      </c>
      <c r="C812" t="s">
        <v>14</v>
      </c>
      <c r="E812" t="s">
        <v>9</v>
      </c>
      <c r="F812" s="1" t="s">
        <v>3</v>
      </c>
      <c r="G812" s="1">
        <v>46038</v>
      </c>
      <c r="H812" t="s">
        <v>41</v>
      </c>
      <c r="I812" s="2">
        <v>7950.38</v>
      </c>
      <c r="J812" t="s">
        <v>70</v>
      </c>
      <c r="K812" s="7">
        <v>46023</v>
      </c>
    </row>
    <row r="813" spans="1:11" hidden="1">
      <c r="A813" t="s">
        <v>114</v>
      </c>
      <c r="B813" t="s">
        <v>63</v>
      </c>
      <c r="C813" t="s">
        <v>124</v>
      </c>
      <c r="E813" t="s">
        <v>9</v>
      </c>
      <c r="F813" s="1" t="s">
        <v>5</v>
      </c>
      <c r="G813" s="1">
        <v>46014</v>
      </c>
      <c r="H813" t="s">
        <v>64</v>
      </c>
      <c r="I813" s="2">
        <f>4041237.28/510</f>
        <v>7923.9946666666665</v>
      </c>
      <c r="J813" t="s">
        <v>334</v>
      </c>
      <c r="K813" s="7">
        <v>45992</v>
      </c>
    </row>
    <row r="814" spans="1:11" hidden="1">
      <c r="A814" t="s">
        <v>39</v>
      </c>
      <c r="B814" t="s">
        <v>47</v>
      </c>
      <c r="C814" t="s">
        <v>14</v>
      </c>
      <c r="E814" t="s">
        <v>9</v>
      </c>
      <c r="F814" s="1" t="s">
        <v>5</v>
      </c>
      <c r="G814" s="1">
        <v>46015</v>
      </c>
      <c r="H814" t="s">
        <v>41</v>
      </c>
      <c r="I814" s="2">
        <v>7921.03</v>
      </c>
      <c r="J814" t="s">
        <v>146</v>
      </c>
      <c r="K814" s="7">
        <v>45992</v>
      </c>
    </row>
    <row r="815" spans="1:11" hidden="1">
      <c r="A815" t="s">
        <v>39</v>
      </c>
      <c r="B815" t="s">
        <v>40</v>
      </c>
      <c r="C815" t="s">
        <v>14</v>
      </c>
      <c r="E815" t="s">
        <v>9</v>
      </c>
      <c r="F815" s="1" t="s">
        <v>3</v>
      </c>
      <c r="G815" s="1">
        <v>45817</v>
      </c>
      <c r="H815" t="s">
        <v>41</v>
      </c>
      <c r="I815" s="2">
        <v>7910</v>
      </c>
      <c r="J815" t="s">
        <v>626</v>
      </c>
      <c r="K815" s="7">
        <v>45809</v>
      </c>
    </row>
    <row r="816" spans="1:11" hidden="1">
      <c r="A816" t="s">
        <v>39</v>
      </c>
      <c r="B816" t="s">
        <v>47</v>
      </c>
      <c r="C816" t="s">
        <v>12</v>
      </c>
      <c r="E816" t="s">
        <v>9</v>
      </c>
      <c r="F816" s="1" t="s">
        <v>6</v>
      </c>
      <c r="G816" s="1">
        <v>45930</v>
      </c>
      <c r="H816" t="s">
        <v>41</v>
      </c>
      <c r="I816" s="2">
        <v>7908</v>
      </c>
      <c r="J816" t="s">
        <v>627</v>
      </c>
      <c r="K816" s="7">
        <v>45901</v>
      </c>
    </row>
    <row r="817" spans="1:11" hidden="1">
      <c r="A817" t="s">
        <v>39</v>
      </c>
      <c r="B817" t="s">
        <v>47</v>
      </c>
      <c r="C817" t="s">
        <v>14</v>
      </c>
      <c r="E817" t="s">
        <v>9</v>
      </c>
      <c r="F817" s="1" t="s">
        <v>5</v>
      </c>
      <c r="G817" s="1">
        <v>45953</v>
      </c>
      <c r="H817" t="s">
        <v>41</v>
      </c>
      <c r="I817" s="2">
        <v>7899.81</v>
      </c>
      <c r="J817" t="s">
        <v>628</v>
      </c>
      <c r="K817" s="7">
        <v>45931</v>
      </c>
    </row>
    <row r="818" spans="1:11" hidden="1">
      <c r="A818" t="s">
        <v>39</v>
      </c>
      <c r="B818" t="s">
        <v>45</v>
      </c>
      <c r="C818" t="s">
        <v>14</v>
      </c>
      <c r="E818" t="s">
        <v>9</v>
      </c>
      <c r="F818" s="1" t="s">
        <v>5</v>
      </c>
      <c r="G818" s="1">
        <v>45926</v>
      </c>
      <c r="H818" t="s">
        <v>41</v>
      </c>
      <c r="I818" s="2">
        <v>7892.96</v>
      </c>
      <c r="J818" t="s">
        <v>629</v>
      </c>
      <c r="K818" s="7">
        <v>45901</v>
      </c>
    </row>
    <row r="819" spans="1:11" hidden="1">
      <c r="A819" t="s">
        <v>114</v>
      </c>
      <c r="B819" t="s">
        <v>63</v>
      </c>
      <c r="C819" t="s">
        <v>14</v>
      </c>
      <c r="D819">
        <v>15186</v>
      </c>
      <c r="E819" t="s">
        <v>9</v>
      </c>
      <c r="F819" s="1" t="s">
        <v>4</v>
      </c>
      <c r="G819" s="1">
        <v>45854</v>
      </c>
      <c r="H819" t="s">
        <v>41</v>
      </c>
      <c r="I819" s="2">
        <v>341.26</v>
      </c>
      <c r="J819" t="s">
        <v>190</v>
      </c>
      <c r="K819" s="7">
        <v>45839</v>
      </c>
    </row>
    <row r="820" spans="1:11" hidden="1">
      <c r="A820" t="s">
        <v>39</v>
      </c>
      <c r="B820" t="s">
        <v>40</v>
      </c>
      <c r="C820" t="s">
        <v>14</v>
      </c>
      <c r="D820">
        <v>10027103</v>
      </c>
      <c r="E820" t="s">
        <v>9</v>
      </c>
      <c r="F820" s="1" t="s">
        <v>4</v>
      </c>
      <c r="G820" s="1">
        <v>45854</v>
      </c>
      <c r="H820" t="s">
        <v>41</v>
      </c>
      <c r="I820" s="2">
        <v>100</v>
      </c>
      <c r="J820" t="s">
        <v>630</v>
      </c>
      <c r="K820" s="7">
        <v>45839</v>
      </c>
    </row>
    <row r="821" spans="1:11" hidden="1">
      <c r="A821" t="s">
        <v>114</v>
      </c>
      <c r="B821" t="s">
        <v>63</v>
      </c>
      <c r="C821" t="s">
        <v>14</v>
      </c>
      <c r="E821" t="s">
        <v>9</v>
      </c>
      <c r="F821" s="1" t="s">
        <v>4</v>
      </c>
      <c r="G821" s="1">
        <v>45855</v>
      </c>
      <c r="H821" t="s">
        <v>41</v>
      </c>
      <c r="I821" s="2">
        <v>8138.26</v>
      </c>
      <c r="J821" t="s">
        <v>631</v>
      </c>
      <c r="K821" s="7">
        <v>45839</v>
      </c>
    </row>
    <row r="822" spans="1:11" hidden="1">
      <c r="A822" t="s">
        <v>39</v>
      </c>
      <c r="B822" t="s">
        <v>63</v>
      </c>
      <c r="C822" t="s">
        <v>14</v>
      </c>
      <c r="E822" t="s">
        <v>9</v>
      </c>
      <c r="F822" s="1" t="s">
        <v>2</v>
      </c>
      <c r="G822" s="1">
        <v>45814</v>
      </c>
      <c r="H822" t="s">
        <v>41</v>
      </c>
      <c r="I822" s="2">
        <v>7845.14</v>
      </c>
      <c r="J822" t="s">
        <v>632</v>
      </c>
      <c r="K822" s="7">
        <v>45809</v>
      </c>
    </row>
    <row r="823" spans="1:11" hidden="1">
      <c r="A823" t="s">
        <v>114</v>
      </c>
      <c r="B823" t="s">
        <v>63</v>
      </c>
      <c r="C823" t="s">
        <v>13</v>
      </c>
      <c r="E823" t="s">
        <v>9</v>
      </c>
      <c r="F823" s="1" t="s">
        <v>4</v>
      </c>
      <c r="G823" s="1">
        <v>45855</v>
      </c>
      <c r="H823" t="s">
        <v>41</v>
      </c>
      <c r="I823" s="2">
        <v>4204.9699999999993</v>
      </c>
      <c r="J823" t="s">
        <v>182</v>
      </c>
      <c r="K823" s="7">
        <v>45839</v>
      </c>
    </row>
    <row r="824" spans="1:11" hidden="1">
      <c r="A824" t="s">
        <v>39</v>
      </c>
      <c r="B824" t="s">
        <v>40</v>
      </c>
      <c r="C824" t="s">
        <v>14</v>
      </c>
      <c r="D824">
        <v>10028284</v>
      </c>
      <c r="E824" t="s">
        <v>9</v>
      </c>
      <c r="F824" s="1" t="s">
        <v>3</v>
      </c>
      <c r="G824" s="1">
        <v>46037</v>
      </c>
      <c r="H824" t="s">
        <v>64</v>
      </c>
      <c r="I824" s="2">
        <f>3850370.77/496</f>
        <v>7762.8442943548389</v>
      </c>
      <c r="J824" t="s">
        <v>633</v>
      </c>
      <c r="K824" s="7">
        <v>46023</v>
      </c>
    </row>
    <row r="825" spans="1:11" hidden="1">
      <c r="A825" t="s">
        <v>39</v>
      </c>
      <c r="B825" t="s">
        <v>40</v>
      </c>
      <c r="C825" t="s">
        <v>14</v>
      </c>
      <c r="E825" t="s">
        <v>9</v>
      </c>
      <c r="F825" s="1" t="s">
        <v>2</v>
      </c>
      <c r="G825" s="1">
        <v>45993</v>
      </c>
      <c r="H825" t="s">
        <v>41</v>
      </c>
      <c r="I825" s="2">
        <v>7749</v>
      </c>
      <c r="J825" t="s">
        <v>634</v>
      </c>
      <c r="K825" s="7">
        <v>45992</v>
      </c>
    </row>
    <row r="826" spans="1:11" hidden="1">
      <c r="A826" t="s">
        <v>39</v>
      </c>
      <c r="B826" t="s">
        <v>63</v>
      </c>
      <c r="C826" t="s">
        <v>13</v>
      </c>
      <c r="E826" t="s">
        <v>9</v>
      </c>
      <c r="F826" s="1" t="s">
        <v>4</v>
      </c>
      <c r="G826" s="1">
        <v>45855</v>
      </c>
      <c r="H826" t="s">
        <v>41</v>
      </c>
      <c r="I826" s="2">
        <v>3595.42</v>
      </c>
      <c r="J826" t="s">
        <v>635</v>
      </c>
      <c r="K826" s="7">
        <v>45839</v>
      </c>
    </row>
    <row r="827" spans="1:11" hidden="1">
      <c r="A827" t="s">
        <v>39</v>
      </c>
      <c r="B827" t="s">
        <v>47</v>
      </c>
      <c r="C827" t="s">
        <v>12</v>
      </c>
      <c r="E827" t="s">
        <v>9</v>
      </c>
      <c r="F827" s="1" t="s">
        <v>4</v>
      </c>
      <c r="G827" s="1">
        <v>45855</v>
      </c>
      <c r="H827" t="s">
        <v>41</v>
      </c>
      <c r="I827" s="2">
        <v>2581</v>
      </c>
      <c r="J827" t="s">
        <v>636</v>
      </c>
      <c r="K827" s="7">
        <v>45839</v>
      </c>
    </row>
    <row r="828" spans="1:11" hidden="1">
      <c r="A828" t="s">
        <v>114</v>
      </c>
      <c r="B828" t="s">
        <v>63</v>
      </c>
      <c r="C828" t="s">
        <v>124</v>
      </c>
      <c r="E828" t="s">
        <v>9</v>
      </c>
      <c r="F828" s="1" t="s">
        <v>5</v>
      </c>
      <c r="G828" s="1">
        <v>46014</v>
      </c>
      <c r="H828" t="s">
        <v>64</v>
      </c>
      <c r="I828" s="2">
        <f>3913811.18/510</f>
        <v>7674.1395686274509</v>
      </c>
      <c r="J828" t="s">
        <v>334</v>
      </c>
      <c r="K828" s="7">
        <v>45992</v>
      </c>
    </row>
    <row r="829" spans="1:11" hidden="1">
      <c r="A829" t="s">
        <v>99</v>
      </c>
      <c r="B829" t="s">
        <v>63</v>
      </c>
      <c r="C829" t="s">
        <v>14</v>
      </c>
      <c r="E829" t="s">
        <v>9</v>
      </c>
      <c r="F829" s="1" t="s">
        <v>2</v>
      </c>
      <c r="G829" s="1">
        <v>45997</v>
      </c>
      <c r="H829" t="s">
        <v>41</v>
      </c>
      <c r="I829" s="2">
        <v>7672</v>
      </c>
      <c r="J829" t="s">
        <v>637</v>
      </c>
      <c r="K829" s="7">
        <v>45992</v>
      </c>
    </row>
    <row r="830" spans="1:11" hidden="1">
      <c r="A830" t="s">
        <v>39</v>
      </c>
      <c r="B830" t="s">
        <v>45</v>
      </c>
      <c r="C830" t="s">
        <v>14</v>
      </c>
      <c r="E830" t="s">
        <v>9</v>
      </c>
      <c r="F830" s="1" t="s">
        <v>3</v>
      </c>
      <c r="G830" s="1">
        <v>45939</v>
      </c>
      <c r="H830" t="s">
        <v>41</v>
      </c>
      <c r="I830" s="2">
        <v>7653.49</v>
      </c>
      <c r="J830" t="s">
        <v>638</v>
      </c>
      <c r="K830" s="7">
        <v>45931</v>
      </c>
    </row>
    <row r="831" spans="1:11" hidden="1">
      <c r="A831" t="s">
        <v>39</v>
      </c>
      <c r="B831" t="s">
        <v>40</v>
      </c>
      <c r="C831" t="s">
        <v>14</v>
      </c>
      <c r="E831" t="s">
        <v>9</v>
      </c>
      <c r="F831" s="1" t="s">
        <v>2</v>
      </c>
      <c r="G831" s="1">
        <v>45902</v>
      </c>
      <c r="H831" t="s">
        <v>41</v>
      </c>
      <c r="I831" s="2">
        <v>7640.5</v>
      </c>
      <c r="J831" s="47" t="s">
        <v>639</v>
      </c>
      <c r="K831" s="7">
        <v>45901</v>
      </c>
    </row>
    <row r="832" spans="1:11" hidden="1">
      <c r="A832" t="s">
        <v>39</v>
      </c>
      <c r="B832" t="s">
        <v>40</v>
      </c>
      <c r="C832" t="s">
        <v>14</v>
      </c>
      <c r="E832" t="s">
        <v>9</v>
      </c>
      <c r="F832" s="1" t="s">
        <v>2</v>
      </c>
      <c r="G832" s="1">
        <v>46058</v>
      </c>
      <c r="H832" t="s">
        <v>41</v>
      </c>
      <c r="I832" s="2">
        <v>910</v>
      </c>
      <c r="J832" t="s">
        <v>640</v>
      </c>
      <c r="K832" s="7">
        <v>46054</v>
      </c>
    </row>
    <row r="833" spans="1:11" hidden="1">
      <c r="A833" t="s">
        <v>39</v>
      </c>
      <c r="B833" t="s">
        <v>40</v>
      </c>
      <c r="C833" t="s">
        <v>14</v>
      </c>
      <c r="E833" t="s">
        <v>9</v>
      </c>
      <c r="F833" s="1" t="s">
        <v>3</v>
      </c>
      <c r="G833" s="1">
        <v>45910</v>
      </c>
      <c r="H833" t="s">
        <v>41</v>
      </c>
      <c r="I833" s="2">
        <v>7600</v>
      </c>
      <c r="J833" t="s">
        <v>641</v>
      </c>
      <c r="K833" s="7">
        <v>45901</v>
      </c>
    </row>
    <row r="834" spans="1:11" hidden="1">
      <c r="A834" t="s">
        <v>114</v>
      </c>
      <c r="B834" t="s">
        <v>63</v>
      </c>
      <c r="C834" t="s">
        <v>12</v>
      </c>
      <c r="E834" t="s">
        <v>9</v>
      </c>
      <c r="F834" s="1" t="s">
        <v>4</v>
      </c>
      <c r="G834" s="1">
        <v>45855</v>
      </c>
      <c r="H834" t="s">
        <v>41</v>
      </c>
      <c r="I834" s="2">
        <v>1063.0999999999999</v>
      </c>
      <c r="J834" t="s">
        <v>642</v>
      </c>
      <c r="K834" s="7">
        <v>45839</v>
      </c>
    </row>
    <row r="835" spans="1:11" hidden="1">
      <c r="A835" t="s">
        <v>39</v>
      </c>
      <c r="B835" t="s">
        <v>47</v>
      </c>
      <c r="C835" t="s">
        <v>12</v>
      </c>
      <c r="E835" t="s">
        <v>9</v>
      </c>
      <c r="F835" s="1" t="s">
        <v>3</v>
      </c>
      <c r="G835" s="1">
        <v>45974</v>
      </c>
      <c r="H835" t="s">
        <v>41</v>
      </c>
      <c r="I835" s="2">
        <v>7534.29</v>
      </c>
      <c r="J835" t="s">
        <v>442</v>
      </c>
      <c r="K835" s="7">
        <v>45962</v>
      </c>
    </row>
    <row r="836" spans="1:11" hidden="1">
      <c r="A836" t="s">
        <v>39</v>
      </c>
      <c r="B836" t="s">
        <v>63</v>
      </c>
      <c r="C836" t="s">
        <v>13</v>
      </c>
      <c r="D836">
        <v>10026544</v>
      </c>
      <c r="E836" t="s">
        <v>9</v>
      </c>
      <c r="F836" s="1" t="s">
        <v>3</v>
      </c>
      <c r="G836" s="1">
        <v>45786</v>
      </c>
      <c r="H836" t="s">
        <v>41</v>
      </c>
      <c r="I836" s="2">
        <v>7513.82</v>
      </c>
      <c r="J836" t="s">
        <v>643</v>
      </c>
      <c r="K836" s="7">
        <v>45778</v>
      </c>
    </row>
    <row r="837" spans="1:11" hidden="1">
      <c r="A837" t="s">
        <v>39</v>
      </c>
      <c r="B837" t="s">
        <v>40</v>
      </c>
      <c r="C837" t="s">
        <v>14</v>
      </c>
      <c r="D837">
        <v>10026504</v>
      </c>
      <c r="E837" t="s">
        <v>9</v>
      </c>
      <c r="F837" s="1" t="s">
        <v>3</v>
      </c>
      <c r="G837" s="1">
        <v>45783</v>
      </c>
      <c r="H837" t="s">
        <v>41</v>
      </c>
      <c r="I837" s="2">
        <v>7500</v>
      </c>
      <c r="J837" t="s">
        <v>150</v>
      </c>
      <c r="K837" s="7">
        <v>45778</v>
      </c>
    </row>
    <row r="838" spans="1:11" hidden="1">
      <c r="A838" t="s">
        <v>39</v>
      </c>
      <c r="B838" t="s">
        <v>63</v>
      </c>
      <c r="C838" t="s">
        <v>13</v>
      </c>
      <c r="D838">
        <v>10026937</v>
      </c>
      <c r="E838" t="s">
        <v>9</v>
      </c>
      <c r="F838" s="1" t="s">
        <v>5</v>
      </c>
      <c r="G838" s="1">
        <v>45835</v>
      </c>
      <c r="H838" t="s">
        <v>41</v>
      </c>
      <c r="I838" s="2">
        <v>7500</v>
      </c>
      <c r="J838" t="s">
        <v>307</v>
      </c>
      <c r="K838" s="7">
        <v>45809</v>
      </c>
    </row>
    <row r="839" spans="1:11" hidden="1">
      <c r="A839" t="s">
        <v>39</v>
      </c>
      <c r="B839" t="s">
        <v>63</v>
      </c>
      <c r="C839" t="s">
        <v>13</v>
      </c>
      <c r="D839">
        <v>10026937</v>
      </c>
      <c r="E839" t="s">
        <v>9</v>
      </c>
      <c r="F839" s="1" t="s">
        <v>5</v>
      </c>
      <c r="G839" s="1">
        <v>45835</v>
      </c>
      <c r="H839" t="s">
        <v>41</v>
      </c>
      <c r="I839" s="2">
        <v>7500</v>
      </c>
      <c r="J839" t="s">
        <v>307</v>
      </c>
      <c r="K839" s="7">
        <v>45809</v>
      </c>
    </row>
    <row r="840" spans="1:11" hidden="1">
      <c r="A840" t="s">
        <v>39</v>
      </c>
      <c r="B840" t="s">
        <v>40</v>
      </c>
      <c r="C840" t="s">
        <v>14</v>
      </c>
      <c r="D840">
        <v>10027024</v>
      </c>
      <c r="E840" t="s">
        <v>9</v>
      </c>
      <c r="F840" s="1" t="s">
        <v>3</v>
      </c>
      <c r="G840" s="1">
        <v>45846</v>
      </c>
      <c r="H840" t="s">
        <v>41</v>
      </c>
      <c r="I840" s="2">
        <v>7500</v>
      </c>
      <c r="J840" t="s">
        <v>150</v>
      </c>
      <c r="K840" s="7">
        <v>45839</v>
      </c>
    </row>
    <row r="841" spans="1:11" hidden="1">
      <c r="A841" t="s">
        <v>56</v>
      </c>
      <c r="B841" t="s">
        <v>40</v>
      </c>
      <c r="C841" t="s">
        <v>14</v>
      </c>
      <c r="D841">
        <v>10825</v>
      </c>
      <c r="E841" t="s">
        <v>9</v>
      </c>
      <c r="F841" s="1" t="s">
        <v>3</v>
      </c>
      <c r="G841" s="1">
        <v>45974</v>
      </c>
      <c r="H841" t="s">
        <v>41</v>
      </c>
      <c r="I841" s="2">
        <v>7500</v>
      </c>
      <c r="J841" t="s">
        <v>644</v>
      </c>
      <c r="K841" s="7">
        <v>45962</v>
      </c>
    </row>
    <row r="842" spans="1:11" hidden="1">
      <c r="A842" t="s">
        <v>39</v>
      </c>
      <c r="B842" t="s">
        <v>47</v>
      </c>
      <c r="C842" t="s">
        <v>14</v>
      </c>
      <c r="E842" t="s">
        <v>9</v>
      </c>
      <c r="F842" s="1" t="s">
        <v>5</v>
      </c>
      <c r="G842" s="1">
        <v>45988</v>
      </c>
      <c r="H842" t="s">
        <v>41</v>
      </c>
      <c r="I842" s="2">
        <v>7500</v>
      </c>
      <c r="J842" s="47" t="s">
        <v>645</v>
      </c>
      <c r="K842" s="7">
        <v>45962</v>
      </c>
    </row>
    <row r="843" spans="1:11" hidden="1">
      <c r="A843" t="s">
        <v>56</v>
      </c>
      <c r="B843" t="s">
        <v>40</v>
      </c>
      <c r="C843" t="s">
        <v>14</v>
      </c>
      <c r="E843" t="s">
        <v>9</v>
      </c>
      <c r="F843" s="1" t="s">
        <v>5</v>
      </c>
      <c r="G843" s="1">
        <v>46014</v>
      </c>
      <c r="H843" t="s">
        <v>41</v>
      </c>
      <c r="I843" s="2">
        <v>7500</v>
      </c>
      <c r="J843" t="s">
        <v>580</v>
      </c>
      <c r="K843" s="7">
        <v>45992</v>
      </c>
    </row>
    <row r="844" spans="1:11" hidden="1">
      <c r="A844" t="s">
        <v>99</v>
      </c>
      <c r="B844" t="s">
        <v>63</v>
      </c>
      <c r="C844" t="s">
        <v>14</v>
      </c>
      <c r="E844" t="s">
        <v>9</v>
      </c>
      <c r="F844" s="1" t="s">
        <v>3</v>
      </c>
      <c r="G844" s="1">
        <v>45975</v>
      </c>
      <c r="H844" t="s">
        <v>41</v>
      </c>
      <c r="I844" s="2">
        <v>7493.52</v>
      </c>
      <c r="J844" t="s">
        <v>646</v>
      </c>
      <c r="K844" s="7">
        <v>45962</v>
      </c>
    </row>
    <row r="845" spans="1:11" hidden="1">
      <c r="A845" t="s">
        <v>56</v>
      </c>
      <c r="B845" t="s">
        <v>40</v>
      </c>
      <c r="C845" t="s">
        <v>14</v>
      </c>
      <c r="E845" t="s">
        <v>9</v>
      </c>
      <c r="F845" s="1" t="s">
        <v>2</v>
      </c>
      <c r="G845" s="1">
        <v>46058</v>
      </c>
      <c r="H845" t="s">
        <v>41</v>
      </c>
      <c r="I845" s="2">
        <v>663.06</v>
      </c>
      <c r="J845" t="s">
        <v>647</v>
      </c>
      <c r="K845" s="7">
        <v>46054</v>
      </c>
    </row>
    <row r="846" spans="1:11" hidden="1">
      <c r="A846" t="s">
        <v>39</v>
      </c>
      <c r="B846" t="s">
        <v>40</v>
      </c>
      <c r="C846" t="s">
        <v>14</v>
      </c>
      <c r="D846">
        <v>10027392</v>
      </c>
      <c r="E846" t="s">
        <v>9</v>
      </c>
      <c r="F846" s="1" t="s">
        <v>5</v>
      </c>
      <c r="G846" s="1">
        <v>45896</v>
      </c>
      <c r="H846" t="s">
        <v>41</v>
      </c>
      <c r="I846" s="2">
        <v>7478</v>
      </c>
      <c r="J846" t="s">
        <v>648</v>
      </c>
      <c r="K846" s="7">
        <v>45870</v>
      </c>
    </row>
    <row r="847" spans="1:11" hidden="1">
      <c r="A847" t="s">
        <v>39</v>
      </c>
      <c r="B847" t="s">
        <v>40</v>
      </c>
      <c r="C847" t="s">
        <v>14</v>
      </c>
      <c r="E847" t="s">
        <v>9</v>
      </c>
      <c r="F847" s="1" t="s">
        <v>3</v>
      </c>
      <c r="G847" s="1">
        <v>46003</v>
      </c>
      <c r="H847" t="s">
        <v>41</v>
      </c>
      <c r="I847" s="2">
        <v>7442.3</v>
      </c>
      <c r="J847" t="s">
        <v>649</v>
      </c>
      <c r="K847" s="7">
        <v>45992</v>
      </c>
    </row>
    <row r="848" spans="1:11" hidden="1">
      <c r="A848" t="s">
        <v>39</v>
      </c>
      <c r="B848" t="s">
        <v>63</v>
      </c>
      <c r="C848" t="s">
        <v>14</v>
      </c>
      <c r="D848">
        <v>10026944</v>
      </c>
      <c r="E848" t="s">
        <v>9</v>
      </c>
      <c r="F848" s="1" t="s">
        <v>5</v>
      </c>
      <c r="G848" s="1">
        <v>45835</v>
      </c>
      <c r="H848" t="s">
        <v>41</v>
      </c>
      <c r="I848" s="2">
        <v>7417.04</v>
      </c>
      <c r="J848" t="s">
        <v>650</v>
      </c>
      <c r="K848" s="7">
        <v>45809</v>
      </c>
    </row>
    <row r="849" spans="1:11" hidden="1">
      <c r="A849" t="s">
        <v>56</v>
      </c>
      <c r="B849" t="s">
        <v>40</v>
      </c>
      <c r="C849" t="s">
        <v>12</v>
      </c>
      <c r="E849" t="s">
        <v>8</v>
      </c>
      <c r="F849" s="1" t="s">
        <v>5</v>
      </c>
      <c r="G849" s="1">
        <v>45864</v>
      </c>
      <c r="H849" t="s">
        <v>41</v>
      </c>
      <c r="I849" s="2">
        <v>5000</v>
      </c>
      <c r="J849" t="s">
        <v>98</v>
      </c>
      <c r="K849" s="7">
        <v>45839</v>
      </c>
    </row>
    <row r="850" spans="1:11" hidden="1">
      <c r="A850" t="s">
        <v>39</v>
      </c>
      <c r="B850" t="s">
        <v>40</v>
      </c>
      <c r="C850" t="s">
        <v>12</v>
      </c>
      <c r="E850" t="s">
        <v>8</v>
      </c>
      <c r="F850" s="1" t="s">
        <v>5</v>
      </c>
      <c r="G850" s="1">
        <v>45864</v>
      </c>
      <c r="H850" t="s">
        <v>41</v>
      </c>
      <c r="I850" s="2">
        <v>18000</v>
      </c>
      <c r="J850" t="s">
        <v>98</v>
      </c>
      <c r="K850" s="7">
        <v>45839</v>
      </c>
    </row>
    <row r="851" spans="1:11" hidden="1">
      <c r="A851" t="s">
        <v>56</v>
      </c>
      <c r="B851" t="s">
        <v>40</v>
      </c>
      <c r="C851" t="s">
        <v>14</v>
      </c>
      <c r="E851" t="s">
        <v>8</v>
      </c>
      <c r="F851" s="1" t="s">
        <v>5</v>
      </c>
      <c r="G851" s="1">
        <v>45864</v>
      </c>
      <c r="H851" t="s">
        <v>41</v>
      </c>
      <c r="I851" s="2">
        <v>25000</v>
      </c>
      <c r="J851" t="s">
        <v>98</v>
      </c>
      <c r="K851" s="7">
        <v>45839</v>
      </c>
    </row>
    <row r="852" spans="1:11" hidden="1">
      <c r="A852" t="s">
        <v>39</v>
      </c>
      <c r="B852" t="s">
        <v>40</v>
      </c>
      <c r="C852" t="s">
        <v>14</v>
      </c>
      <c r="E852" t="s">
        <v>8</v>
      </c>
      <c r="F852" s="1" t="s">
        <v>5</v>
      </c>
      <c r="G852" s="1">
        <v>45864</v>
      </c>
      <c r="H852" t="s">
        <v>41</v>
      </c>
      <c r="I852" s="2">
        <v>100000</v>
      </c>
      <c r="J852" t="s">
        <v>98</v>
      </c>
      <c r="K852" s="7">
        <v>45839</v>
      </c>
    </row>
    <row r="853" spans="1:11" hidden="1">
      <c r="A853" t="s">
        <v>39</v>
      </c>
      <c r="B853" t="s">
        <v>40</v>
      </c>
      <c r="C853" t="s">
        <v>14</v>
      </c>
      <c r="D853">
        <v>10026580</v>
      </c>
      <c r="E853" t="s">
        <v>9</v>
      </c>
      <c r="F853" s="1" t="s">
        <v>3</v>
      </c>
      <c r="G853" s="1">
        <v>45787</v>
      </c>
      <c r="H853" t="s">
        <v>41</v>
      </c>
      <c r="I853" s="2">
        <v>7400</v>
      </c>
      <c r="J853" t="s">
        <v>651</v>
      </c>
      <c r="K853" s="7">
        <v>45778</v>
      </c>
    </row>
    <row r="854" spans="1:11" hidden="1">
      <c r="A854" t="s">
        <v>39</v>
      </c>
      <c r="B854" t="s">
        <v>40</v>
      </c>
      <c r="C854" t="s">
        <v>14</v>
      </c>
      <c r="E854" t="s">
        <v>9</v>
      </c>
      <c r="F854" s="1" t="s">
        <v>3</v>
      </c>
      <c r="G854" s="1">
        <v>46036</v>
      </c>
      <c r="H854" t="s">
        <v>41</v>
      </c>
      <c r="I854" s="2">
        <v>7400</v>
      </c>
      <c r="J854" t="s">
        <v>652</v>
      </c>
      <c r="K854" s="7">
        <v>46023</v>
      </c>
    </row>
    <row r="855" spans="1:11" hidden="1">
      <c r="A855" t="s">
        <v>39</v>
      </c>
      <c r="B855" t="s">
        <v>63</v>
      </c>
      <c r="C855" t="s">
        <v>13</v>
      </c>
      <c r="E855" t="s">
        <v>9</v>
      </c>
      <c r="F855" s="1" t="s">
        <v>4</v>
      </c>
      <c r="G855" s="1">
        <v>45855</v>
      </c>
      <c r="H855" t="s">
        <v>41</v>
      </c>
      <c r="I855" s="2">
        <v>897.5</v>
      </c>
      <c r="J855" t="s">
        <v>430</v>
      </c>
      <c r="K855" s="7">
        <v>45839</v>
      </c>
    </row>
    <row r="856" spans="1:11" hidden="1">
      <c r="A856" t="s">
        <v>39</v>
      </c>
      <c r="B856" t="s">
        <v>45</v>
      </c>
      <c r="C856" t="s">
        <v>14</v>
      </c>
      <c r="E856" t="s">
        <v>9</v>
      </c>
      <c r="F856" s="1" t="s">
        <v>5</v>
      </c>
      <c r="G856" s="1">
        <v>45954</v>
      </c>
      <c r="H856" t="s">
        <v>41</v>
      </c>
      <c r="I856" s="2">
        <v>7374.76</v>
      </c>
      <c r="J856" t="s">
        <v>653</v>
      </c>
      <c r="K856" s="7">
        <v>45931</v>
      </c>
    </row>
    <row r="857" spans="1:11" hidden="1">
      <c r="A857" t="s">
        <v>39</v>
      </c>
      <c r="B857" t="s">
        <v>47</v>
      </c>
      <c r="C857" t="s">
        <v>14</v>
      </c>
      <c r="E857" t="s">
        <v>9</v>
      </c>
      <c r="F857" s="1" t="s">
        <v>2</v>
      </c>
      <c r="G857" s="1">
        <v>46031</v>
      </c>
      <c r="H857" t="s">
        <v>41</v>
      </c>
      <c r="I857" s="2">
        <v>7371.03</v>
      </c>
      <c r="J857" t="s">
        <v>411</v>
      </c>
      <c r="K857" s="7">
        <v>46023</v>
      </c>
    </row>
    <row r="858" spans="1:11" hidden="1">
      <c r="A858" t="s">
        <v>39</v>
      </c>
      <c r="B858" t="s">
        <v>45</v>
      </c>
      <c r="C858" t="s">
        <v>14</v>
      </c>
      <c r="E858" t="s">
        <v>9</v>
      </c>
      <c r="F858" s="1" t="s">
        <v>3</v>
      </c>
      <c r="G858" s="1">
        <v>45975</v>
      </c>
      <c r="H858" t="s">
        <v>41</v>
      </c>
      <c r="I858" s="2">
        <v>7340.48</v>
      </c>
      <c r="J858" t="s">
        <v>654</v>
      </c>
      <c r="K858" s="7">
        <v>45962</v>
      </c>
    </row>
    <row r="859" spans="1:11" hidden="1">
      <c r="A859" t="s">
        <v>39</v>
      </c>
      <c r="B859" t="s">
        <v>63</v>
      </c>
      <c r="C859" t="s">
        <v>14</v>
      </c>
      <c r="E859" t="s">
        <v>9</v>
      </c>
      <c r="F859" s="1" t="s">
        <v>5</v>
      </c>
      <c r="G859" s="1">
        <v>45986</v>
      </c>
      <c r="H859" t="s">
        <v>41</v>
      </c>
      <c r="I859" s="2">
        <v>7317.52</v>
      </c>
      <c r="J859" s="47" t="s">
        <v>159</v>
      </c>
      <c r="K859" s="7">
        <v>45962</v>
      </c>
    </row>
    <row r="860" spans="1:11">
      <c r="A860" t="s">
        <v>39</v>
      </c>
      <c r="B860" t="s">
        <v>47</v>
      </c>
      <c r="C860" t="s">
        <v>14</v>
      </c>
      <c r="E860" t="s">
        <v>9</v>
      </c>
      <c r="F860" s="1" t="s">
        <v>2</v>
      </c>
      <c r="G860" s="1">
        <v>46059</v>
      </c>
      <c r="H860" t="s">
        <v>41</v>
      </c>
      <c r="I860" s="2">
        <v>268167.21999999997</v>
      </c>
      <c r="J860" t="s">
        <v>371</v>
      </c>
      <c r="K860" s="7">
        <v>46054</v>
      </c>
    </row>
    <row r="861" spans="1:11" hidden="1">
      <c r="A861" t="s">
        <v>39</v>
      </c>
      <c r="B861" t="s">
        <v>40</v>
      </c>
      <c r="C861" t="s">
        <v>14</v>
      </c>
      <c r="D861">
        <v>10027092</v>
      </c>
      <c r="E861" t="s">
        <v>9</v>
      </c>
      <c r="F861" s="1" t="s">
        <v>4</v>
      </c>
      <c r="G861" s="1">
        <v>45855</v>
      </c>
      <c r="H861" t="s">
        <v>41</v>
      </c>
      <c r="I861" s="2">
        <v>171.5</v>
      </c>
      <c r="J861" t="s">
        <v>655</v>
      </c>
      <c r="K861" s="7">
        <v>45839</v>
      </c>
    </row>
    <row r="862" spans="1:11" hidden="1">
      <c r="A862" t="s">
        <v>39</v>
      </c>
      <c r="B862" t="s">
        <v>63</v>
      </c>
      <c r="C862" t="s">
        <v>14</v>
      </c>
      <c r="E862" t="s">
        <v>9</v>
      </c>
      <c r="F862" s="1" t="s">
        <v>3</v>
      </c>
      <c r="G862" s="1">
        <v>45975</v>
      </c>
      <c r="H862" t="s">
        <v>41</v>
      </c>
      <c r="I862" s="2">
        <v>7289.31</v>
      </c>
      <c r="J862" t="s">
        <v>543</v>
      </c>
      <c r="K862" s="7">
        <v>45962</v>
      </c>
    </row>
    <row r="863" spans="1:11" hidden="1">
      <c r="A863" t="s">
        <v>39</v>
      </c>
      <c r="B863" t="s">
        <v>47</v>
      </c>
      <c r="C863" t="s">
        <v>14</v>
      </c>
      <c r="D863">
        <v>10026656</v>
      </c>
      <c r="E863" t="s">
        <v>9</v>
      </c>
      <c r="F863" s="1" t="s">
        <v>5</v>
      </c>
      <c r="G863" s="1">
        <v>45800</v>
      </c>
      <c r="H863" t="s">
        <v>41</v>
      </c>
      <c r="I863" s="2">
        <v>7283.79</v>
      </c>
      <c r="J863" t="s">
        <v>656</v>
      </c>
      <c r="K863" s="7">
        <v>45778</v>
      </c>
    </row>
    <row r="864" spans="1:11" hidden="1">
      <c r="A864" t="s">
        <v>39</v>
      </c>
      <c r="B864" t="s">
        <v>40</v>
      </c>
      <c r="C864" t="s">
        <v>14</v>
      </c>
      <c r="E864" t="s">
        <v>9</v>
      </c>
      <c r="F864" s="1" t="s">
        <v>3</v>
      </c>
      <c r="G864" s="1">
        <v>45972</v>
      </c>
      <c r="H864" t="s">
        <v>41</v>
      </c>
      <c r="I864" s="2">
        <v>7200</v>
      </c>
      <c r="J864" t="s">
        <v>657</v>
      </c>
      <c r="K864" s="7">
        <v>45962</v>
      </c>
    </row>
    <row r="865" spans="1:11" hidden="1">
      <c r="A865" t="s">
        <v>39</v>
      </c>
      <c r="B865" t="s">
        <v>47</v>
      </c>
      <c r="C865" t="s">
        <v>13</v>
      </c>
      <c r="D865">
        <v>10026754</v>
      </c>
      <c r="E865" t="s">
        <v>9</v>
      </c>
      <c r="F865" s="1" t="s">
        <v>2</v>
      </c>
      <c r="G865" s="1">
        <v>45811</v>
      </c>
      <c r="H865" t="s">
        <v>41</v>
      </c>
      <c r="I865" s="2">
        <v>7191.65</v>
      </c>
      <c r="J865" t="s">
        <v>135</v>
      </c>
      <c r="K865" s="7">
        <v>45809</v>
      </c>
    </row>
    <row r="866" spans="1:11" hidden="1">
      <c r="A866" t="s">
        <v>114</v>
      </c>
      <c r="B866" t="s">
        <v>63</v>
      </c>
      <c r="C866" t="s">
        <v>14</v>
      </c>
      <c r="E866" t="s">
        <v>9</v>
      </c>
      <c r="F866" s="1" t="s">
        <v>3</v>
      </c>
      <c r="G866" s="1">
        <v>46002</v>
      </c>
      <c r="H866" t="s">
        <v>41</v>
      </c>
      <c r="I866" s="2">
        <v>7182.74</v>
      </c>
      <c r="J866" t="s">
        <v>388</v>
      </c>
      <c r="K866" s="7">
        <v>45992</v>
      </c>
    </row>
    <row r="867" spans="1:11" hidden="1">
      <c r="A867" t="s">
        <v>39</v>
      </c>
      <c r="B867" t="s">
        <v>40</v>
      </c>
      <c r="C867" t="s">
        <v>14</v>
      </c>
      <c r="D867">
        <v>10027618</v>
      </c>
      <c r="E867" t="s">
        <v>9</v>
      </c>
      <c r="F867" s="1" t="s">
        <v>5</v>
      </c>
      <c r="G867" s="1">
        <v>45925</v>
      </c>
      <c r="H867" t="s">
        <v>41</v>
      </c>
      <c r="I867" s="2">
        <v>7173.99</v>
      </c>
      <c r="J867" t="s">
        <v>582</v>
      </c>
      <c r="K867" s="7">
        <v>45901</v>
      </c>
    </row>
    <row r="868" spans="1:11" hidden="1">
      <c r="A868" t="s">
        <v>39</v>
      </c>
      <c r="B868" t="s">
        <v>45</v>
      </c>
      <c r="C868" t="s">
        <v>14</v>
      </c>
      <c r="E868" t="s">
        <v>9</v>
      </c>
      <c r="F868" s="1" t="s">
        <v>2</v>
      </c>
      <c r="G868" s="1">
        <v>46059</v>
      </c>
      <c r="H868" t="s">
        <v>41</v>
      </c>
      <c r="I868" s="2">
        <v>68611.17</v>
      </c>
      <c r="J868" t="s">
        <v>658</v>
      </c>
      <c r="K868" s="7">
        <v>46054</v>
      </c>
    </row>
    <row r="869" spans="1:11" hidden="1">
      <c r="A869" t="s">
        <v>114</v>
      </c>
      <c r="B869" t="s">
        <v>63</v>
      </c>
      <c r="C869" t="s">
        <v>14</v>
      </c>
      <c r="E869" t="s">
        <v>9</v>
      </c>
      <c r="F869" s="1" t="s">
        <v>3</v>
      </c>
      <c r="G869" s="1">
        <v>46003</v>
      </c>
      <c r="H869" t="s">
        <v>41</v>
      </c>
      <c r="I869" s="2">
        <v>7119</v>
      </c>
      <c r="J869" t="s">
        <v>249</v>
      </c>
      <c r="K869" s="7">
        <v>45992</v>
      </c>
    </row>
    <row r="870" spans="1:11" hidden="1">
      <c r="A870" t="s">
        <v>39</v>
      </c>
      <c r="B870" t="s">
        <v>40</v>
      </c>
      <c r="C870" t="s">
        <v>14</v>
      </c>
      <c r="E870" t="s">
        <v>9</v>
      </c>
      <c r="F870" s="1" t="s">
        <v>5</v>
      </c>
      <c r="G870" s="1">
        <v>45951</v>
      </c>
      <c r="H870" t="s">
        <v>41</v>
      </c>
      <c r="I870" s="2">
        <v>7111.12</v>
      </c>
      <c r="J870" t="s">
        <v>659</v>
      </c>
      <c r="K870" s="7">
        <v>45931</v>
      </c>
    </row>
    <row r="871" spans="1:11" hidden="1">
      <c r="A871" t="s">
        <v>56</v>
      </c>
      <c r="B871" t="s">
        <v>40</v>
      </c>
      <c r="C871" t="s">
        <v>14</v>
      </c>
      <c r="E871" t="s">
        <v>9</v>
      </c>
      <c r="F871" s="52" t="s">
        <v>3</v>
      </c>
      <c r="G871" s="1">
        <v>45911</v>
      </c>
      <c r="H871" t="s">
        <v>41</v>
      </c>
      <c r="I871" s="2">
        <v>7094</v>
      </c>
      <c r="J871" t="s">
        <v>660</v>
      </c>
      <c r="K871" s="7">
        <v>45901</v>
      </c>
    </row>
    <row r="872" spans="1:11" hidden="1">
      <c r="A872" t="s">
        <v>56</v>
      </c>
      <c r="B872" t="s">
        <v>40</v>
      </c>
      <c r="C872" t="s">
        <v>14</v>
      </c>
      <c r="D872">
        <v>10735</v>
      </c>
      <c r="E872" t="s">
        <v>9</v>
      </c>
      <c r="F872" t="s">
        <v>2</v>
      </c>
      <c r="G872" s="1">
        <v>45779</v>
      </c>
      <c r="H872" t="s">
        <v>41</v>
      </c>
      <c r="I872" s="2">
        <v>7080</v>
      </c>
      <c r="J872" t="s">
        <v>661</v>
      </c>
      <c r="K872" s="7">
        <v>45778</v>
      </c>
    </row>
    <row r="873" spans="1:11" hidden="1">
      <c r="A873" t="s">
        <v>39</v>
      </c>
      <c r="B873" t="s">
        <v>63</v>
      </c>
      <c r="C873" t="s">
        <v>14</v>
      </c>
      <c r="D873">
        <v>10026728</v>
      </c>
      <c r="E873" t="s">
        <v>9</v>
      </c>
      <c r="F873" s="1" t="s">
        <v>6</v>
      </c>
      <c r="G873" s="1">
        <v>45807</v>
      </c>
      <c r="H873" t="s">
        <v>41</v>
      </c>
      <c r="I873" s="2">
        <v>7068.91</v>
      </c>
      <c r="J873" t="s">
        <v>662</v>
      </c>
      <c r="K873" s="7">
        <v>45778</v>
      </c>
    </row>
    <row r="874" spans="1:11" hidden="1">
      <c r="A874" t="s">
        <v>39</v>
      </c>
      <c r="B874" t="s">
        <v>40</v>
      </c>
      <c r="C874" t="s">
        <v>14</v>
      </c>
      <c r="D874">
        <v>10026561</v>
      </c>
      <c r="E874" t="s">
        <v>9</v>
      </c>
      <c r="F874" t="s">
        <v>2</v>
      </c>
      <c r="G874" s="1">
        <v>45778</v>
      </c>
      <c r="H874" t="s">
        <v>41</v>
      </c>
      <c r="I874" s="2">
        <v>7044.93</v>
      </c>
      <c r="J874" t="s">
        <v>663</v>
      </c>
      <c r="K874" s="7">
        <v>45778</v>
      </c>
    </row>
    <row r="875" spans="1:11" hidden="1">
      <c r="A875" t="s">
        <v>39</v>
      </c>
      <c r="B875" t="s">
        <v>40</v>
      </c>
      <c r="C875" t="s">
        <v>14</v>
      </c>
      <c r="D875">
        <v>10026490</v>
      </c>
      <c r="E875" t="s">
        <v>9</v>
      </c>
      <c r="F875" t="s">
        <v>2</v>
      </c>
      <c r="G875" s="1">
        <v>45780</v>
      </c>
      <c r="H875" t="s">
        <v>41</v>
      </c>
      <c r="I875" s="2">
        <v>7001</v>
      </c>
      <c r="J875" t="s">
        <v>94</v>
      </c>
      <c r="K875" s="7">
        <v>45778</v>
      </c>
    </row>
    <row r="876" spans="1:11" hidden="1">
      <c r="A876" t="s">
        <v>39</v>
      </c>
      <c r="B876" t="s">
        <v>47</v>
      </c>
      <c r="C876" t="s">
        <v>14</v>
      </c>
      <c r="D876">
        <v>10026524</v>
      </c>
      <c r="E876" t="s">
        <v>9</v>
      </c>
      <c r="F876" s="1" t="s">
        <v>3</v>
      </c>
      <c r="G876" s="1">
        <v>45785</v>
      </c>
      <c r="H876" t="s">
        <v>41</v>
      </c>
      <c r="I876" s="2">
        <v>7000</v>
      </c>
      <c r="J876" t="s">
        <v>262</v>
      </c>
      <c r="K876" s="7">
        <v>45778</v>
      </c>
    </row>
    <row r="877" spans="1:11" hidden="1">
      <c r="A877" t="s">
        <v>39</v>
      </c>
      <c r="B877" t="s">
        <v>47</v>
      </c>
      <c r="C877" t="s">
        <v>12</v>
      </c>
      <c r="E877" t="s">
        <v>9</v>
      </c>
      <c r="F877" s="1" t="s">
        <v>4</v>
      </c>
      <c r="G877" s="1">
        <v>45856</v>
      </c>
      <c r="H877" t="s">
        <v>41</v>
      </c>
      <c r="I877" s="2">
        <v>133421.23000000001</v>
      </c>
      <c r="J877" t="s">
        <v>664</v>
      </c>
      <c r="K877" s="7">
        <v>45839</v>
      </c>
    </row>
    <row r="878" spans="1:11" hidden="1">
      <c r="A878" t="s">
        <v>56</v>
      </c>
      <c r="B878" t="s">
        <v>40</v>
      </c>
      <c r="C878" t="s">
        <v>12</v>
      </c>
      <c r="E878" t="s">
        <v>9</v>
      </c>
      <c r="F878" s="1" t="s">
        <v>6</v>
      </c>
      <c r="G878" s="1">
        <v>45867</v>
      </c>
      <c r="H878" t="s">
        <v>41</v>
      </c>
      <c r="I878" s="2">
        <v>7000</v>
      </c>
      <c r="J878" s="4" t="s">
        <v>665</v>
      </c>
      <c r="K878" s="7">
        <v>45839</v>
      </c>
    </row>
    <row r="879" spans="1:11" hidden="1">
      <c r="A879" t="s">
        <v>39</v>
      </c>
      <c r="B879" t="s">
        <v>40</v>
      </c>
      <c r="C879" t="s">
        <v>14</v>
      </c>
      <c r="D879">
        <v>10027213</v>
      </c>
      <c r="E879" t="s">
        <v>9</v>
      </c>
      <c r="F879" s="1" t="s">
        <v>2</v>
      </c>
      <c r="G879" s="1">
        <v>45870</v>
      </c>
      <c r="H879" t="s">
        <v>41</v>
      </c>
      <c r="I879" s="2">
        <v>7000</v>
      </c>
      <c r="J879" t="s">
        <v>666</v>
      </c>
      <c r="K879" s="7">
        <v>45870</v>
      </c>
    </row>
    <row r="880" spans="1:11" hidden="1">
      <c r="A880" t="s">
        <v>39</v>
      </c>
      <c r="B880" t="s">
        <v>40</v>
      </c>
      <c r="C880" t="s">
        <v>14</v>
      </c>
      <c r="E880" t="s">
        <v>9</v>
      </c>
      <c r="F880" s="1" t="s">
        <v>5</v>
      </c>
      <c r="G880" s="1">
        <v>45986</v>
      </c>
      <c r="H880" t="s">
        <v>41</v>
      </c>
      <c r="I880" s="2">
        <v>7000</v>
      </c>
      <c r="J880" s="47" t="s">
        <v>667</v>
      </c>
      <c r="K880" s="7">
        <v>45962</v>
      </c>
    </row>
    <row r="881" spans="1:11" hidden="1">
      <c r="A881" t="s">
        <v>39</v>
      </c>
      <c r="B881" t="s">
        <v>63</v>
      </c>
      <c r="C881" t="s">
        <v>14</v>
      </c>
      <c r="E881" t="s">
        <v>9</v>
      </c>
      <c r="F881" s="1" t="s">
        <v>5</v>
      </c>
      <c r="G881" s="1">
        <v>45952</v>
      </c>
      <c r="H881" t="s">
        <v>64</v>
      </c>
      <c r="I881" s="2">
        <f>3569028.34/510</f>
        <v>6998.0947843137255</v>
      </c>
      <c r="J881" t="s">
        <v>334</v>
      </c>
      <c r="K881" s="7">
        <v>45931</v>
      </c>
    </row>
    <row r="882" spans="1:11" hidden="1">
      <c r="A882" t="s">
        <v>39</v>
      </c>
      <c r="B882" t="s">
        <v>47</v>
      </c>
      <c r="C882" t="s">
        <v>14</v>
      </c>
      <c r="E882" t="s">
        <v>9</v>
      </c>
      <c r="F882" s="1" t="s">
        <v>5</v>
      </c>
      <c r="G882" s="1">
        <v>46052</v>
      </c>
      <c r="H882" t="s">
        <v>41</v>
      </c>
      <c r="I882" s="2">
        <v>6969.82</v>
      </c>
      <c r="J882" t="s">
        <v>668</v>
      </c>
      <c r="K882" s="7">
        <v>46023</v>
      </c>
    </row>
    <row r="883" spans="1:11" hidden="1">
      <c r="A883" t="s">
        <v>39</v>
      </c>
      <c r="B883" t="s">
        <v>40</v>
      </c>
      <c r="C883" t="s">
        <v>14</v>
      </c>
      <c r="E883" t="s">
        <v>9</v>
      </c>
      <c r="F883" s="1" t="s">
        <v>3</v>
      </c>
      <c r="G883" s="1">
        <v>45821</v>
      </c>
      <c r="H883" t="s">
        <v>41</v>
      </c>
      <c r="I883" s="2">
        <v>6960</v>
      </c>
      <c r="J883" t="s">
        <v>669</v>
      </c>
      <c r="K883" s="7">
        <v>45809</v>
      </c>
    </row>
    <row r="884" spans="1:11" hidden="1">
      <c r="A884" t="s">
        <v>39</v>
      </c>
      <c r="B884" t="s">
        <v>45</v>
      </c>
      <c r="C884" t="s">
        <v>14</v>
      </c>
      <c r="D884">
        <v>10027091</v>
      </c>
      <c r="E884" t="s">
        <v>9</v>
      </c>
      <c r="F884" s="1" t="s">
        <v>4</v>
      </c>
      <c r="G884" s="1">
        <v>45856</v>
      </c>
      <c r="H884" t="s">
        <v>41</v>
      </c>
      <c r="I884" s="2">
        <v>50000</v>
      </c>
      <c r="J884" t="s">
        <v>670</v>
      </c>
      <c r="K884" s="7">
        <v>45839</v>
      </c>
    </row>
    <row r="885" spans="1:11" hidden="1">
      <c r="A885" t="s">
        <v>39</v>
      </c>
      <c r="B885" t="s">
        <v>406</v>
      </c>
      <c r="C885" t="s">
        <v>14</v>
      </c>
      <c r="E885" t="s">
        <v>9</v>
      </c>
      <c r="F885" s="1" t="s">
        <v>5</v>
      </c>
      <c r="G885" s="1">
        <v>46015</v>
      </c>
      <c r="H885" t="s">
        <v>41</v>
      </c>
      <c r="I885" s="2">
        <v>6955.53</v>
      </c>
      <c r="J885" t="s">
        <v>671</v>
      </c>
      <c r="K885" s="7">
        <v>45992</v>
      </c>
    </row>
    <row r="886" spans="1:11" hidden="1">
      <c r="A886" t="s">
        <v>39</v>
      </c>
      <c r="B886" t="s">
        <v>406</v>
      </c>
      <c r="C886" t="s">
        <v>14</v>
      </c>
      <c r="E886" t="s">
        <v>9</v>
      </c>
      <c r="F886" s="1" t="s">
        <v>5</v>
      </c>
      <c r="G886" s="1">
        <v>45985</v>
      </c>
      <c r="H886" t="s">
        <v>41</v>
      </c>
      <c r="I886" s="2">
        <v>6955.33</v>
      </c>
      <c r="J886" s="47" t="s">
        <v>671</v>
      </c>
      <c r="K886" s="7">
        <v>45962</v>
      </c>
    </row>
    <row r="887" spans="1:11" hidden="1">
      <c r="A887" t="s">
        <v>39</v>
      </c>
      <c r="B887" t="s">
        <v>47</v>
      </c>
      <c r="C887" t="s">
        <v>14</v>
      </c>
      <c r="E887" t="s">
        <v>9</v>
      </c>
      <c r="F887" s="1" t="s">
        <v>5</v>
      </c>
      <c r="G887" s="1">
        <v>45988</v>
      </c>
      <c r="H887" t="s">
        <v>41</v>
      </c>
      <c r="I887" s="2">
        <v>6947.21</v>
      </c>
      <c r="J887" s="47" t="s">
        <v>672</v>
      </c>
      <c r="K887" s="7">
        <v>45962</v>
      </c>
    </row>
    <row r="888" spans="1:11" hidden="1">
      <c r="A888" t="s">
        <v>39</v>
      </c>
      <c r="B888" t="s">
        <v>40</v>
      </c>
      <c r="C888" t="s">
        <v>14</v>
      </c>
      <c r="E888" t="s">
        <v>9</v>
      </c>
      <c r="F888" s="1" t="s">
        <v>3</v>
      </c>
      <c r="G888" s="1">
        <v>45820</v>
      </c>
      <c r="H888" t="s">
        <v>41</v>
      </c>
      <c r="I888" s="2">
        <v>6900</v>
      </c>
      <c r="J888" t="s">
        <v>673</v>
      </c>
      <c r="K888" s="7">
        <v>45809</v>
      </c>
    </row>
    <row r="889" spans="1:11" hidden="1">
      <c r="A889" t="s">
        <v>39</v>
      </c>
      <c r="B889" t="s">
        <v>63</v>
      </c>
      <c r="C889" t="s">
        <v>124</v>
      </c>
      <c r="D889">
        <v>10027108</v>
      </c>
      <c r="E889" t="s">
        <v>9</v>
      </c>
      <c r="F889" s="1" t="s">
        <v>4</v>
      </c>
      <c r="G889" s="1">
        <v>45856</v>
      </c>
      <c r="H889" t="s">
        <v>41</v>
      </c>
      <c r="I889" s="2">
        <v>42582.98</v>
      </c>
      <c r="J889" t="s">
        <v>288</v>
      </c>
      <c r="K889" s="7">
        <v>45839</v>
      </c>
    </row>
    <row r="890" spans="1:11" hidden="1">
      <c r="A890" t="s">
        <v>39</v>
      </c>
      <c r="B890" t="s">
        <v>63</v>
      </c>
      <c r="C890" t="s">
        <v>13</v>
      </c>
      <c r="E890" t="s">
        <v>9</v>
      </c>
      <c r="F890" s="1" t="s">
        <v>3</v>
      </c>
      <c r="G890" s="1">
        <v>46003</v>
      </c>
      <c r="H890" t="s">
        <v>41</v>
      </c>
      <c r="I890" s="2">
        <v>6836.95</v>
      </c>
      <c r="J890" t="s">
        <v>674</v>
      </c>
      <c r="K890" s="7">
        <v>45992</v>
      </c>
    </row>
    <row r="891" spans="1:11" hidden="1">
      <c r="A891" t="s">
        <v>39</v>
      </c>
      <c r="B891" t="s">
        <v>40</v>
      </c>
      <c r="C891" t="s">
        <v>14</v>
      </c>
      <c r="D891">
        <v>10028065</v>
      </c>
      <c r="E891" t="s">
        <v>9</v>
      </c>
      <c r="F891" s="1" t="s">
        <v>2</v>
      </c>
      <c r="G891" s="1">
        <v>45995</v>
      </c>
      <c r="H891" t="s">
        <v>41</v>
      </c>
      <c r="I891" s="2">
        <v>6827.16</v>
      </c>
      <c r="J891" t="s">
        <v>675</v>
      </c>
      <c r="K891" s="7">
        <v>45992</v>
      </c>
    </row>
    <row r="892" spans="1:11" hidden="1">
      <c r="A892" t="s">
        <v>39</v>
      </c>
      <c r="B892" t="s">
        <v>40</v>
      </c>
      <c r="C892" t="s">
        <v>14</v>
      </c>
      <c r="D892">
        <v>10027454</v>
      </c>
      <c r="E892" t="s">
        <v>9</v>
      </c>
      <c r="F892" s="1" t="s">
        <v>2</v>
      </c>
      <c r="G892" s="1">
        <v>45903</v>
      </c>
      <c r="H892" t="s">
        <v>41</v>
      </c>
      <c r="I892" s="2">
        <v>6800</v>
      </c>
      <c r="J892" t="s">
        <v>676</v>
      </c>
      <c r="K892" s="7">
        <v>45901</v>
      </c>
    </row>
    <row r="893" spans="1:11" hidden="1">
      <c r="A893" t="s">
        <v>56</v>
      </c>
      <c r="B893" t="s">
        <v>40</v>
      </c>
      <c r="C893" t="s">
        <v>12</v>
      </c>
      <c r="E893" t="s">
        <v>8</v>
      </c>
      <c r="F893" s="1" t="s">
        <v>6</v>
      </c>
      <c r="G893" s="1">
        <v>45869</v>
      </c>
      <c r="H893" t="s">
        <v>41</v>
      </c>
      <c r="I893" s="2">
        <v>3000</v>
      </c>
      <c r="J893" t="s">
        <v>98</v>
      </c>
      <c r="K893" s="7">
        <v>45839</v>
      </c>
    </row>
    <row r="894" spans="1:11" hidden="1">
      <c r="A894" t="s">
        <v>39</v>
      </c>
      <c r="B894" t="s">
        <v>40</v>
      </c>
      <c r="C894" t="s">
        <v>12</v>
      </c>
      <c r="E894" t="s">
        <v>8</v>
      </c>
      <c r="F894" s="1" t="s">
        <v>6</v>
      </c>
      <c r="G894" s="1">
        <v>45869</v>
      </c>
      <c r="H894" t="s">
        <v>41</v>
      </c>
      <c r="I894" s="2">
        <v>10000</v>
      </c>
      <c r="J894" t="s">
        <v>98</v>
      </c>
      <c r="K894" s="7">
        <v>45839</v>
      </c>
    </row>
    <row r="895" spans="1:11" hidden="1">
      <c r="A895" t="s">
        <v>56</v>
      </c>
      <c r="B895" t="s">
        <v>40</v>
      </c>
      <c r="C895" t="s">
        <v>14</v>
      </c>
      <c r="E895" t="s">
        <v>8</v>
      </c>
      <c r="F895" s="1" t="s">
        <v>6</v>
      </c>
      <c r="G895" s="1">
        <v>45869</v>
      </c>
      <c r="H895" t="s">
        <v>41</v>
      </c>
      <c r="I895" s="2">
        <v>15000</v>
      </c>
      <c r="J895" t="s">
        <v>98</v>
      </c>
      <c r="K895" s="7">
        <v>45839</v>
      </c>
    </row>
    <row r="896" spans="1:11" hidden="1">
      <c r="A896" t="s">
        <v>39</v>
      </c>
      <c r="B896" t="s">
        <v>40</v>
      </c>
      <c r="C896" t="s">
        <v>14</v>
      </c>
      <c r="E896" t="s">
        <v>8</v>
      </c>
      <c r="F896" s="1" t="s">
        <v>6</v>
      </c>
      <c r="G896" s="1">
        <v>45869</v>
      </c>
      <c r="H896" t="s">
        <v>41</v>
      </c>
      <c r="I896" s="2">
        <v>30000</v>
      </c>
      <c r="J896" t="s">
        <v>98</v>
      </c>
      <c r="K896" s="7">
        <v>45839</v>
      </c>
    </row>
    <row r="897" spans="1:11" hidden="1">
      <c r="A897" t="s">
        <v>39</v>
      </c>
      <c r="B897" t="s">
        <v>63</v>
      </c>
      <c r="C897" t="s">
        <v>14</v>
      </c>
      <c r="D897">
        <v>10026819</v>
      </c>
      <c r="E897" t="s">
        <v>9</v>
      </c>
      <c r="F897" s="1" t="s">
        <v>3</v>
      </c>
      <c r="G897" s="1">
        <v>45821</v>
      </c>
      <c r="H897" t="s">
        <v>41</v>
      </c>
      <c r="I897" s="2">
        <v>6771.03</v>
      </c>
      <c r="J897" t="s">
        <v>677</v>
      </c>
      <c r="K897" s="7">
        <v>45809</v>
      </c>
    </row>
    <row r="898" spans="1:11" hidden="1">
      <c r="A898" t="s">
        <v>39</v>
      </c>
      <c r="B898" t="s">
        <v>47</v>
      </c>
      <c r="C898" t="s">
        <v>12</v>
      </c>
      <c r="D898">
        <v>10027065</v>
      </c>
      <c r="E898" t="s">
        <v>9</v>
      </c>
      <c r="F898" s="1" t="s">
        <v>3</v>
      </c>
      <c r="G898" s="1">
        <v>45845</v>
      </c>
      <c r="H898" t="s">
        <v>41</v>
      </c>
      <c r="I898" s="2">
        <v>6768.63</v>
      </c>
      <c r="J898" t="s">
        <v>678</v>
      </c>
      <c r="K898" s="7">
        <v>45839</v>
      </c>
    </row>
    <row r="899" spans="1:11" hidden="1">
      <c r="A899" t="s">
        <v>39</v>
      </c>
      <c r="B899" t="s">
        <v>63</v>
      </c>
      <c r="C899" t="s">
        <v>124</v>
      </c>
      <c r="D899">
        <v>10027108</v>
      </c>
      <c r="E899" t="s">
        <v>9</v>
      </c>
      <c r="F899" s="1" t="s">
        <v>4</v>
      </c>
      <c r="G899" s="1">
        <v>45856</v>
      </c>
      <c r="H899" t="s">
        <v>41</v>
      </c>
      <c r="I899" s="2">
        <v>29175.360000000001</v>
      </c>
      <c r="J899" t="s">
        <v>288</v>
      </c>
      <c r="K899" s="7">
        <v>45839</v>
      </c>
    </row>
    <row r="900" spans="1:11" hidden="1">
      <c r="A900" t="s">
        <v>114</v>
      </c>
      <c r="B900" t="s">
        <v>63</v>
      </c>
      <c r="C900" t="s">
        <v>12</v>
      </c>
      <c r="E900" t="s">
        <v>9</v>
      </c>
      <c r="F900" s="1" t="s">
        <v>3</v>
      </c>
      <c r="G900" s="1">
        <v>45975</v>
      </c>
      <c r="H900" t="s">
        <v>41</v>
      </c>
      <c r="I900" s="2">
        <v>6733.96</v>
      </c>
      <c r="J900" t="s">
        <v>363</v>
      </c>
      <c r="K900" s="7">
        <v>45962</v>
      </c>
    </row>
    <row r="901" spans="1:11" hidden="1">
      <c r="A901" t="s">
        <v>39</v>
      </c>
      <c r="B901" t="s">
        <v>63</v>
      </c>
      <c r="C901" t="s">
        <v>14</v>
      </c>
      <c r="E901" t="s">
        <v>9</v>
      </c>
      <c r="F901" s="1" t="s">
        <v>5</v>
      </c>
      <c r="G901" s="1">
        <v>45926</v>
      </c>
      <c r="H901" t="s">
        <v>41</v>
      </c>
      <c r="I901" s="2">
        <v>6720</v>
      </c>
      <c r="J901" t="s">
        <v>679</v>
      </c>
      <c r="K901" s="7">
        <v>45901</v>
      </c>
    </row>
    <row r="902" spans="1:11" hidden="1">
      <c r="A902" t="s">
        <v>114</v>
      </c>
      <c r="B902" t="s">
        <v>63</v>
      </c>
      <c r="C902" t="s">
        <v>13</v>
      </c>
      <c r="D902">
        <v>15207</v>
      </c>
      <c r="E902" t="s">
        <v>9</v>
      </c>
      <c r="F902" s="1" t="s">
        <v>3</v>
      </c>
      <c r="G902" s="1">
        <v>45880</v>
      </c>
      <c r="H902" t="s">
        <v>41</v>
      </c>
      <c r="I902" s="2">
        <v>6719.07</v>
      </c>
      <c r="J902" t="s">
        <v>215</v>
      </c>
      <c r="K902" s="7">
        <v>45870</v>
      </c>
    </row>
    <row r="903" spans="1:11" hidden="1">
      <c r="A903" t="s">
        <v>39</v>
      </c>
      <c r="B903" t="s">
        <v>47</v>
      </c>
      <c r="C903" t="s">
        <v>14</v>
      </c>
      <c r="D903">
        <v>10027105</v>
      </c>
      <c r="E903" t="s">
        <v>9</v>
      </c>
      <c r="F903" s="1" t="s">
        <v>4</v>
      </c>
      <c r="G903" s="1">
        <v>45856</v>
      </c>
      <c r="H903" t="s">
        <v>41</v>
      </c>
      <c r="I903" s="2">
        <v>24150</v>
      </c>
      <c r="J903" t="s">
        <v>257</v>
      </c>
      <c r="K903" s="7">
        <v>45839</v>
      </c>
    </row>
    <row r="904" spans="1:11" hidden="1">
      <c r="A904" t="s">
        <v>99</v>
      </c>
      <c r="B904" t="s">
        <v>63</v>
      </c>
      <c r="C904" t="s">
        <v>14</v>
      </c>
      <c r="E904" t="s">
        <v>9</v>
      </c>
      <c r="F904" s="1" t="s">
        <v>3</v>
      </c>
      <c r="G904" s="1">
        <v>45786</v>
      </c>
      <c r="H904" t="s">
        <v>41</v>
      </c>
      <c r="I904" s="2">
        <v>6695.38</v>
      </c>
      <c r="J904" t="s">
        <v>680</v>
      </c>
      <c r="K904" s="7">
        <v>45778</v>
      </c>
    </row>
    <row r="905" spans="1:11" hidden="1">
      <c r="A905" t="s">
        <v>39</v>
      </c>
      <c r="B905" t="s">
        <v>47</v>
      </c>
      <c r="C905" t="s">
        <v>14</v>
      </c>
      <c r="E905" t="s">
        <v>9</v>
      </c>
      <c r="F905" s="1" t="s">
        <v>2</v>
      </c>
      <c r="G905" s="1">
        <v>45968</v>
      </c>
      <c r="H905" t="s">
        <v>41</v>
      </c>
      <c r="I905" s="2">
        <v>6687.08</v>
      </c>
      <c r="J905" t="s">
        <v>681</v>
      </c>
      <c r="K905" s="7">
        <v>45962</v>
      </c>
    </row>
    <row r="906" spans="1:11" hidden="1">
      <c r="A906" t="s">
        <v>39</v>
      </c>
      <c r="B906" t="s">
        <v>63</v>
      </c>
      <c r="C906" t="s">
        <v>14</v>
      </c>
      <c r="E906" t="s">
        <v>8</v>
      </c>
      <c r="F906" s="1" t="s">
        <v>2</v>
      </c>
      <c r="G906" s="1">
        <v>45870</v>
      </c>
      <c r="H906" t="s">
        <v>41</v>
      </c>
      <c r="I906" s="49">
        <v>50000</v>
      </c>
      <c r="J906" t="s">
        <v>254</v>
      </c>
      <c r="K906" s="7">
        <v>45870</v>
      </c>
    </row>
    <row r="907" spans="1:11" hidden="1">
      <c r="A907" t="s">
        <v>114</v>
      </c>
      <c r="B907" t="s">
        <v>63</v>
      </c>
      <c r="C907" t="s">
        <v>14</v>
      </c>
      <c r="D907">
        <v>15180</v>
      </c>
      <c r="E907" t="s">
        <v>9</v>
      </c>
      <c r="F907" s="1" t="s">
        <v>3</v>
      </c>
      <c r="G907" s="1">
        <v>45846</v>
      </c>
      <c r="H907" t="s">
        <v>41</v>
      </c>
      <c r="I907" s="2">
        <v>6684.12</v>
      </c>
      <c r="J907" t="s">
        <v>682</v>
      </c>
      <c r="K907" s="7">
        <v>45839</v>
      </c>
    </row>
    <row r="908" spans="1:11" hidden="1">
      <c r="A908" t="s">
        <v>39</v>
      </c>
      <c r="B908" t="s">
        <v>45</v>
      </c>
      <c r="C908" t="s">
        <v>14</v>
      </c>
      <c r="E908" t="s">
        <v>8</v>
      </c>
      <c r="F908" s="1" t="s">
        <v>2</v>
      </c>
      <c r="G908" s="1">
        <v>45870</v>
      </c>
      <c r="H908" t="s">
        <v>41</v>
      </c>
      <c r="I908" s="2">
        <v>16311.86</v>
      </c>
      <c r="J908" t="s">
        <v>419</v>
      </c>
      <c r="K908" s="7">
        <v>45870</v>
      </c>
    </row>
    <row r="909" spans="1:11" hidden="1">
      <c r="A909" t="s">
        <v>39</v>
      </c>
      <c r="B909" t="s">
        <v>40</v>
      </c>
      <c r="C909" t="s">
        <v>12</v>
      </c>
      <c r="E909" t="s">
        <v>9</v>
      </c>
      <c r="F909" s="1" t="s">
        <v>3</v>
      </c>
      <c r="G909" s="1">
        <v>45820</v>
      </c>
      <c r="H909" t="s">
        <v>41</v>
      </c>
      <c r="I909" s="2">
        <v>6625</v>
      </c>
      <c r="J909" t="s">
        <v>683</v>
      </c>
      <c r="K909" s="7">
        <v>45809</v>
      </c>
    </row>
    <row r="910" spans="1:11" hidden="1">
      <c r="A910" t="s">
        <v>39</v>
      </c>
      <c r="B910" t="s">
        <v>45</v>
      </c>
      <c r="C910" t="s">
        <v>14</v>
      </c>
      <c r="E910" t="s">
        <v>8</v>
      </c>
      <c r="F910" s="1" t="s">
        <v>2</v>
      </c>
      <c r="G910" s="1">
        <v>45870</v>
      </c>
      <c r="H910" t="s">
        <v>41</v>
      </c>
      <c r="I910" s="2">
        <v>9718.6299999999992</v>
      </c>
      <c r="J910" t="s">
        <v>88</v>
      </c>
      <c r="K910" s="7">
        <v>45870</v>
      </c>
    </row>
    <row r="911" spans="1:11" hidden="1">
      <c r="A911" t="s">
        <v>39</v>
      </c>
      <c r="B911" t="s">
        <v>47</v>
      </c>
      <c r="C911" t="s">
        <v>14</v>
      </c>
      <c r="E911" t="s">
        <v>9</v>
      </c>
      <c r="F911" s="1" t="s">
        <v>3</v>
      </c>
      <c r="G911" s="1">
        <v>46037</v>
      </c>
      <c r="H911" t="s">
        <v>41</v>
      </c>
      <c r="I911" s="2">
        <v>6611.55</v>
      </c>
      <c r="J911" t="s">
        <v>74</v>
      </c>
      <c r="K911" s="7">
        <v>46023</v>
      </c>
    </row>
    <row r="912" spans="1:11" hidden="1">
      <c r="A912" t="s">
        <v>56</v>
      </c>
      <c r="B912" t="s">
        <v>40</v>
      </c>
      <c r="C912" t="s">
        <v>12</v>
      </c>
      <c r="E912" t="s">
        <v>9</v>
      </c>
      <c r="F912" s="1" t="s">
        <v>2</v>
      </c>
      <c r="G912" s="1">
        <v>46059</v>
      </c>
      <c r="H912" t="s">
        <v>41</v>
      </c>
      <c r="I912" s="2">
        <v>18649</v>
      </c>
      <c r="J912" t="s">
        <v>684</v>
      </c>
      <c r="K912" s="7">
        <v>46054</v>
      </c>
    </row>
    <row r="913" spans="1:11" hidden="1">
      <c r="A913" t="s">
        <v>39</v>
      </c>
      <c r="B913" t="s">
        <v>40</v>
      </c>
      <c r="C913" t="s">
        <v>14</v>
      </c>
      <c r="D913">
        <v>10027908</v>
      </c>
      <c r="E913" t="s">
        <v>9</v>
      </c>
      <c r="F913" s="1" t="s">
        <v>2</v>
      </c>
      <c r="G913" s="1">
        <v>45968</v>
      </c>
      <c r="H913" t="s">
        <v>41</v>
      </c>
      <c r="I913" s="2">
        <v>6600</v>
      </c>
      <c r="J913" t="s">
        <v>611</v>
      </c>
      <c r="K913" s="7">
        <v>45962</v>
      </c>
    </row>
    <row r="914" spans="1:11" hidden="1">
      <c r="A914" t="s">
        <v>39</v>
      </c>
      <c r="B914" t="s">
        <v>47</v>
      </c>
      <c r="C914" t="s">
        <v>12</v>
      </c>
      <c r="E914" t="s">
        <v>9</v>
      </c>
      <c r="F914" s="1" t="s">
        <v>6</v>
      </c>
      <c r="G914" s="1">
        <v>45957</v>
      </c>
      <c r="H914" t="s">
        <v>41</v>
      </c>
      <c r="I914" s="2">
        <v>6559.44</v>
      </c>
      <c r="J914" t="s">
        <v>685</v>
      </c>
      <c r="K914" s="7">
        <v>45931</v>
      </c>
    </row>
    <row r="915" spans="1:11" hidden="1">
      <c r="A915" t="s">
        <v>39</v>
      </c>
      <c r="B915" t="s">
        <v>63</v>
      </c>
      <c r="C915" t="s">
        <v>14</v>
      </c>
      <c r="E915" t="s">
        <v>9</v>
      </c>
      <c r="F915" s="1" t="s">
        <v>5</v>
      </c>
      <c r="G915" s="1">
        <v>45988</v>
      </c>
      <c r="H915" t="s">
        <v>41</v>
      </c>
      <c r="I915" s="2">
        <v>6538.77</v>
      </c>
      <c r="J915" s="47" t="s">
        <v>54</v>
      </c>
      <c r="K915" s="7">
        <v>45962</v>
      </c>
    </row>
    <row r="916" spans="1:11" hidden="1">
      <c r="A916" t="s">
        <v>39</v>
      </c>
      <c r="B916" t="s">
        <v>40</v>
      </c>
      <c r="C916" t="s">
        <v>12</v>
      </c>
      <c r="E916" t="s">
        <v>9</v>
      </c>
      <c r="F916" s="1" t="s">
        <v>4</v>
      </c>
      <c r="G916" s="1">
        <v>45856</v>
      </c>
      <c r="H916" t="s">
        <v>64</v>
      </c>
      <c r="I916" s="2">
        <v>20000</v>
      </c>
      <c r="J916" t="s">
        <v>550</v>
      </c>
      <c r="K916" s="7">
        <v>45839</v>
      </c>
    </row>
    <row r="917" spans="1:11" hidden="1">
      <c r="A917" t="s">
        <v>99</v>
      </c>
      <c r="B917" t="s">
        <v>63</v>
      </c>
      <c r="C917" t="s">
        <v>14</v>
      </c>
      <c r="E917" t="s">
        <v>9</v>
      </c>
      <c r="F917" s="1" t="s">
        <v>2</v>
      </c>
      <c r="G917" s="1">
        <v>45906</v>
      </c>
      <c r="H917" t="s">
        <v>41</v>
      </c>
      <c r="I917" s="2">
        <v>6524.11</v>
      </c>
      <c r="J917" t="s">
        <v>686</v>
      </c>
      <c r="K917" s="7">
        <v>45901</v>
      </c>
    </row>
    <row r="918" spans="1:11" hidden="1">
      <c r="A918" t="s">
        <v>99</v>
      </c>
      <c r="B918" t="s">
        <v>63</v>
      </c>
      <c r="C918" t="s">
        <v>14</v>
      </c>
      <c r="E918" t="s">
        <v>9</v>
      </c>
      <c r="F918" s="1" t="s">
        <v>6</v>
      </c>
      <c r="G918" s="1">
        <v>45930</v>
      </c>
      <c r="H918" t="s">
        <v>41</v>
      </c>
      <c r="I918" s="2">
        <v>6514.83</v>
      </c>
      <c r="J918" s="47" t="s">
        <v>687</v>
      </c>
      <c r="K918" s="7">
        <v>45901</v>
      </c>
    </row>
    <row r="919" spans="1:11" hidden="1">
      <c r="A919" t="s">
        <v>39</v>
      </c>
      <c r="B919" t="s">
        <v>40</v>
      </c>
      <c r="C919" t="s">
        <v>14</v>
      </c>
      <c r="D919">
        <v>10027899</v>
      </c>
      <c r="E919" t="s">
        <v>9</v>
      </c>
      <c r="F919" s="1" t="s">
        <v>2</v>
      </c>
      <c r="G919" s="1">
        <v>45966</v>
      </c>
      <c r="H919" t="s">
        <v>41</v>
      </c>
      <c r="I919" s="2">
        <v>6504</v>
      </c>
      <c r="J919" t="s">
        <v>688</v>
      </c>
      <c r="K919" s="7">
        <v>45962</v>
      </c>
    </row>
    <row r="920" spans="1:11" hidden="1">
      <c r="A920" t="s">
        <v>39</v>
      </c>
      <c r="B920" t="s">
        <v>40</v>
      </c>
      <c r="C920" t="s">
        <v>14</v>
      </c>
      <c r="E920" t="s">
        <v>9</v>
      </c>
      <c r="F920" s="1" t="s">
        <v>3</v>
      </c>
      <c r="G920" s="1">
        <v>45974</v>
      </c>
      <c r="H920" t="s">
        <v>41</v>
      </c>
      <c r="I920" s="2">
        <v>6500</v>
      </c>
      <c r="J920" t="s">
        <v>550</v>
      </c>
      <c r="K920" s="7">
        <v>45962</v>
      </c>
    </row>
    <row r="921" spans="1:11" hidden="1">
      <c r="A921" t="s">
        <v>39</v>
      </c>
      <c r="B921" t="s">
        <v>63</v>
      </c>
      <c r="C921" t="s">
        <v>13</v>
      </c>
      <c r="E921" t="s">
        <v>9</v>
      </c>
      <c r="F921" s="1" t="s">
        <v>2</v>
      </c>
      <c r="G921" s="1">
        <v>45967</v>
      </c>
      <c r="H921" t="s">
        <v>41</v>
      </c>
      <c r="I921" s="2">
        <v>6428.18</v>
      </c>
      <c r="J921" t="s">
        <v>689</v>
      </c>
      <c r="K921" s="7">
        <v>45962</v>
      </c>
    </row>
    <row r="922" spans="1:11" hidden="1">
      <c r="A922" t="s">
        <v>39</v>
      </c>
      <c r="B922" t="s">
        <v>47</v>
      </c>
      <c r="C922" t="s">
        <v>14</v>
      </c>
      <c r="E922" t="s">
        <v>9</v>
      </c>
      <c r="F922" s="1" t="s">
        <v>5</v>
      </c>
      <c r="G922" s="1">
        <v>45989</v>
      </c>
      <c r="H922" t="s">
        <v>41</v>
      </c>
      <c r="I922" s="2">
        <v>6409.89</v>
      </c>
      <c r="J922" s="47" t="s">
        <v>690</v>
      </c>
      <c r="K922" s="7">
        <v>45962</v>
      </c>
    </row>
    <row r="923" spans="1:11" hidden="1">
      <c r="A923" t="s">
        <v>39</v>
      </c>
      <c r="B923" t="s">
        <v>40</v>
      </c>
      <c r="C923" t="s">
        <v>14</v>
      </c>
      <c r="D923">
        <v>10028369</v>
      </c>
      <c r="E923" t="s">
        <v>9</v>
      </c>
      <c r="F923" s="1" t="s">
        <v>5</v>
      </c>
      <c r="G923" s="1">
        <v>46049</v>
      </c>
      <c r="H923" t="s">
        <v>41</v>
      </c>
      <c r="I923" s="2">
        <v>6400</v>
      </c>
      <c r="J923" t="s">
        <v>691</v>
      </c>
      <c r="K923" s="7">
        <v>46023</v>
      </c>
    </row>
    <row r="924" spans="1:11" hidden="1">
      <c r="A924" t="s">
        <v>39</v>
      </c>
      <c r="B924" t="s">
        <v>63</v>
      </c>
      <c r="C924" t="s">
        <v>14</v>
      </c>
      <c r="E924" t="s">
        <v>9</v>
      </c>
      <c r="F924" s="1" t="s">
        <v>4</v>
      </c>
      <c r="G924" s="1">
        <v>45856</v>
      </c>
      <c r="H924" t="s">
        <v>41</v>
      </c>
      <c r="I924" s="2">
        <v>15258.73</v>
      </c>
      <c r="J924" t="s">
        <v>538</v>
      </c>
      <c r="K924" s="7">
        <v>45839</v>
      </c>
    </row>
    <row r="925" spans="1:11" hidden="1">
      <c r="A925" t="s">
        <v>99</v>
      </c>
      <c r="B925" t="s">
        <v>63</v>
      </c>
      <c r="C925" t="s">
        <v>14</v>
      </c>
      <c r="E925" t="s">
        <v>9</v>
      </c>
      <c r="F925" s="1" t="s">
        <v>2</v>
      </c>
      <c r="G925" s="1">
        <v>46032</v>
      </c>
      <c r="H925" t="s">
        <v>41</v>
      </c>
      <c r="I925" s="2">
        <v>6329.01</v>
      </c>
      <c r="J925" t="s">
        <v>637</v>
      </c>
      <c r="K925" s="7">
        <v>46023</v>
      </c>
    </row>
    <row r="926" spans="1:11" hidden="1">
      <c r="A926" t="s">
        <v>39</v>
      </c>
      <c r="B926" t="s">
        <v>40</v>
      </c>
      <c r="C926" t="s">
        <v>14</v>
      </c>
      <c r="E926" t="s">
        <v>9</v>
      </c>
      <c r="F926" s="1" t="s">
        <v>2</v>
      </c>
      <c r="G926" s="1">
        <v>45877</v>
      </c>
      <c r="H926" t="s">
        <v>41</v>
      </c>
      <c r="I926" s="2">
        <v>6300</v>
      </c>
      <c r="J926" t="s">
        <v>692</v>
      </c>
      <c r="K926" s="7">
        <v>45870</v>
      </c>
    </row>
    <row r="927" spans="1:11" hidden="1">
      <c r="A927" t="s">
        <v>39</v>
      </c>
      <c r="B927" t="s">
        <v>40</v>
      </c>
      <c r="C927" t="s">
        <v>14</v>
      </c>
      <c r="D927">
        <v>10028171</v>
      </c>
      <c r="E927" t="s">
        <v>9</v>
      </c>
      <c r="F927" s="1" t="s">
        <v>5</v>
      </c>
      <c r="G927" s="1">
        <v>46013</v>
      </c>
      <c r="H927" t="s">
        <v>41</v>
      </c>
      <c r="I927" s="2">
        <v>6300</v>
      </c>
      <c r="J927" t="s">
        <v>693</v>
      </c>
      <c r="K927" s="7">
        <v>45992</v>
      </c>
    </row>
    <row r="928" spans="1:11" hidden="1">
      <c r="A928" t="s">
        <v>39</v>
      </c>
      <c r="B928" t="s">
        <v>40</v>
      </c>
      <c r="C928" t="s">
        <v>14</v>
      </c>
      <c r="D928">
        <v>10028172</v>
      </c>
      <c r="E928" t="s">
        <v>9</v>
      </c>
      <c r="F928" s="1" t="s">
        <v>5</v>
      </c>
      <c r="G928" s="1">
        <v>46013</v>
      </c>
      <c r="H928" t="s">
        <v>41</v>
      </c>
      <c r="I928" s="2">
        <v>6300</v>
      </c>
      <c r="J928" t="s">
        <v>693</v>
      </c>
      <c r="K928" s="7">
        <v>45992</v>
      </c>
    </row>
    <row r="929" spans="1:11" hidden="1">
      <c r="A929" t="s">
        <v>39</v>
      </c>
      <c r="B929" t="s">
        <v>47</v>
      </c>
      <c r="C929" t="s">
        <v>14</v>
      </c>
      <c r="E929" t="s">
        <v>9</v>
      </c>
      <c r="F929" s="1" t="s">
        <v>4</v>
      </c>
      <c r="G929" s="1">
        <v>45856</v>
      </c>
      <c r="H929" t="s">
        <v>41</v>
      </c>
      <c r="I929" s="2">
        <v>14997</v>
      </c>
      <c r="J929" t="s">
        <v>694</v>
      </c>
      <c r="K929" s="7">
        <v>45839</v>
      </c>
    </row>
    <row r="930" spans="1:11" hidden="1">
      <c r="A930" t="s">
        <v>39</v>
      </c>
      <c r="B930" t="s">
        <v>40</v>
      </c>
      <c r="C930" t="s">
        <v>14</v>
      </c>
      <c r="D930">
        <v>10026526</v>
      </c>
      <c r="E930" t="s">
        <v>9</v>
      </c>
      <c r="F930" t="s">
        <v>2</v>
      </c>
      <c r="G930" s="1">
        <v>45778</v>
      </c>
      <c r="H930" t="s">
        <v>41</v>
      </c>
      <c r="I930" s="2">
        <v>6290</v>
      </c>
      <c r="J930" t="s">
        <v>695</v>
      </c>
      <c r="K930" s="7">
        <v>45778</v>
      </c>
    </row>
    <row r="931" spans="1:11" hidden="1">
      <c r="A931" t="s">
        <v>39</v>
      </c>
      <c r="B931" t="s">
        <v>63</v>
      </c>
      <c r="C931" t="s">
        <v>14</v>
      </c>
      <c r="E931" t="s">
        <v>9</v>
      </c>
      <c r="F931" s="1" t="s">
        <v>2</v>
      </c>
      <c r="G931" s="1">
        <v>45877</v>
      </c>
      <c r="H931" t="s">
        <v>41</v>
      </c>
      <c r="I931" s="2">
        <v>6264.34</v>
      </c>
      <c r="J931" t="s">
        <v>387</v>
      </c>
      <c r="K931" s="7">
        <v>45870</v>
      </c>
    </row>
    <row r="932" spans="1:11" hidden="1">
      <c r="A932" t="s">
        <v>39</v>
      </c>
      <c r="B932" t="s">
        <v>45</v>
      </c>
      <c r="C932" t="s">
        <v>14</v>
      </c>
      <c r="E932" t="s">
        <v>9</v>
      </c>
      <c r="F932" s="1" t="s">
        <v>2</v>
      </c>
      <c r="G932" s="1">
        <v>45814</v>
      </c>
      <c r="H932" t="s">
        <v>41</v>
      </c>
      <c r="I932" s="2">
        <v>6257.37</v>
      </c>
      <c r="J932" t="s">
        <v>632</v>
      </c>
      <c r="K932" s="7">
        <v>45809</v>
      </c>
    </row>
    <row r="933" spans="1:11" hidden="1">
      <c r="A933" t="s">
        <v>39</v>
      </c>
      <c r="B933" t="s">
        <v>63</v>
      </c>
      <c r="C933" t="s">
        <v>13</v>
      </c>
      <c r="D933">
        <v>10026937</v>
      </c>
      <c r="E933" t="s">
        <v>9</v>
      </c>
      <c r="F933" s="1" t="s">
        <v>5</v>
      </c>
      <c r="G933" s="1">
        <v>45835</v>
      </c>
      <c r="H933" t="s">
        <v>41</v>
      </c>
      <c r="I933" s="2">
        <v>6256.97</v>
      </c>
      <c r="J933" t="s">
        <v>307</v>
      </c>
      <c r="K933" s="7">
        <v>45809</v>
      </c>
    </row>
    <row r="934" spans="1:11" hidden="1">
      <c r="A934" t="s">
        <v>39</v>
      </c>
      <c r="B934" t="s">
        <v>63</v>
      </c>
      <c r="C934" t="s">
        <v>12</v>
      </c>
      <c r="E934" t="s">
        <v>9</v>
      </c>
      <c r="F934" s="1" t="s">
        <v>2</v>
      </c>
      <c r="G934" s="1">
        <v>45932</v>
      </c>
      <c r="H934" t="s">
        <v>41</v>
      </c>
      <c r="I934" s="2">
        <v>6243.91</v>
      </c>
      <c r="J934" t="s">
        <v>696</v>
      </c>
      <c r="K934" s="7">
        <v>45931</v>
      </c>
    </row>
    <row r="935" spans="1:11" hidden="1">
      <c r="A935" t="s">
        <v>39</v>
      </c>
      <c r="B935" t="s">
        <v>63</v>
      </c>
      <c r="C935" t="s">
        <v>124</v>
      </c>
      <c r="D935">
        <v>10027108</v>
      </c>
      <c r="E935" t="s">
        <v>9</v>
      </c>
      <c r="F935" s="1" t="s">
        <v>4</v>
      </c>
      <c r="G935" s="1">
        <v>45856</v>
      </c>
      <c r="H935" t="s">
        <v>41</v>
      </c>
      <c r="I935" s="2">
        <v>13411.8</v>
      </c>
      <c r="J935" t="s">
        <v>288</v>
      </c>
      <c r="K935" s="7">
        <v>45839</v>
      </c>
    </row>
    <row r="936" spans="1:11" hidden="1">
      <c r="A936" t="s">
        <v>39</v>
      </c>
      <c r="B936" t="s">
        <v>47</v>
      </c>
      <c r="C936" t="s">
        <v>12</v>
      </c>
      <c r="D936">
        <v>10027109</v>
      </c>
      <c r="E936" t="s">
        <v>9</v>
      </c>
      <c r="F936" s="1" t="s">
        <v>4</v>
      </c>
      <c r="G936" s="1">
        <v>45856</v>
      </c>
      <c r="H936" t="s">
        <v>41</v>
      </c>
      <c r="I936" s="2">
        <v>8910.1200000000008</v>
      </c>
      <c r="J936" t="s">
        <v>697</v>
      </c>
      <c r="K936" s="7">
        <v>45839</v>
      </c>
    </row>
    <row r="937" spans="1:11" hidden="1">
      <c r="A937" t="s">
        <v>39</v>
      </c>
      <c r="B937" t="s">
        <v>40</v>
      </c>
      <c r="C937" t="s">
        <v>14</v>
      </c>
      <c r="D937">
        <v>10027186</v>
      </c>
      <c r="E937" t="s">
        <v>9</v>
      </c>
      <c r="F937" s="1" t="s">
        <v>5</v>
      </c>
      <c r="G937" s="1">
        <v>45862</v>
      </c>
      <c r="H937" t="s">
        <v>41</v>
      </c>
      <c r="I937" s="2">
        <v>6200</v>
      </c>
      <c r="J937" t="s">
        <v>698</v>
      </c>
      <c r="K937" s="7">
        <v>45839</v>
      </c>
    </row>
    <row r="938" spans="1:11" hidden="1">
      <c r="A938" t="s">
        <v>39</v>
      </c>
      <c r="B938" t="s">
        <v>63</v>
      </c>
      <c r="C938" t="s">
        <v>13</v>
      </c>
      <c r="E938" t="s">
        <v>9</v>
      </c>
      <c r="F938" s="1" t="s">
        <v>3</v>
      </c>
      <c r="G938" s="1">
        <v>46000</v>
      </c>
      <c r="H938" t="s">
        <v>41</v>
      </c>
      <c r="I938" s="2">
        <v>6182.34</v>
      </c>
      <c r="J938" t="s">
        <v>699</v>
      </c>
      <c r="K938" s="7">
        <v>45992</v>
      </c>
    </row>
    <row r="939" spans="1:11" hidden="1">
      <c r="A939" t="s">
        <v>39</v>
      </c>
      <c r="B939" t="s">
        <v>63</v>
      </c>
      <c r="C939" t="s">
        <v>14</v>
      </c>
      <c r="E939" t="s">
        <v>9</v>
      </c>
      <c r="F939" s="1" t="s">
        <v>5</v>
      </c>
      <c r="G939" s="1">
        <v>45985</v>
      </c>
      <c r="H939" t="s">
        <v>41</v>
      </c>
      <c r="I939" s="2">
        <v>6179.42</v>
      </c>
      <c r="J939" s="47" t="s">
        <v>700</v>
      </c>
      <c r="K939" s="7">
        <v>45962</v>
      </c>
    </row>
    <row r="940" spans="1:11" hidden="1">
      <c r="A940" t="s">
        <v>39</v>
      </c>
      <c r="B940" t="s">
        <v>45</v>
      </c>
      <c r="C940" t="s">
        <v>14</v>
      </c>
      <c r="E940" t="s">
        <v>9</v>
      </c>
      <c r="F940" s="1" t="s">
        <v>4</v>
      </c>
      <c r="G940" s="1">
        <v>45856</v>
      </c>
      <c r="H940" t="s">
        <v>41</v>
      </c>
      <c r="I940" s="2">
        <v>6291.94</v>
      </c>
      <c r="J940" t="s">
        <v>701</v>
      </c>
      <c r="K940" s="7">
        <v>45839</v>
      </c>
    </row>
    <row r="941" spans="1:11" hidden="1">
      <c r="A941" t="s">
        <v>39</v>
      </c>
      <c r="B941" t="s">
        <v>40</v>
      </c>
      <c r="C941" t="s">
        <v>14</v>
      </c>
      <c r="D941">
        <v>10028278</v>
      </c>
      <c r="E941" t="s">
        <v>9</v>
      </c>
      <c r="F941" s="1" t="s">
        <v>3</v>
      </c>
      <c r="G941" s="1">
        <v>46036</v>
      </c>
      <c r="H941" t="s">
        <v>64</v>
      </c>
      <c r="I941" s="2">
        <f>3058000/496</f>
        <v>6165.322580645161</v>
      </c>
      <c r="J941" t="s">
        <v>702</v>
      </c>
      <c r="K941" s="7">
        <v>46023</v>
      </c>
    </row>
    <row r="942" spans="1:11" hidden="1">
      <c r="A942" t="s">
        <v>39</v>
      </c>
      <c r="B942" t="s">
        <v>47</v>
      </c>
      <c r="C942" t="s">
        <v>14</v>
      </c>
      <c r="D942">
        <v>10027104</v>
      </c>
      <c r="E942" t="s">
        <v>9</v>
      </c>
      <c r="F942" s="1" t="s">
        <v>4</v>
      </c>
      <c r="G942" s="1">
        <v>45856</v>
      </c>
      <c r="H942" t="s">
        <v>41</v>
      </c>
      <c r="I942" s="2">
        <v>5479.55</v>
      </c>
      <c r="J942" t="s">
        <v>371</v>
      </c>
      <c r="K942" s="7">
        <v>45839</v>
      </c>
    </row>
    <row r="943" spans="1:11" hidden="1">
      <c r="A943" t="s">
        <v>39</v>
      </c>
      <c r="B943" t="s">
        <v>63</v>
      </c>
      <c r="C943" t="s">
        <v>13</v>
      </c>
      <c r="D943">
        <v>10027665</v>
      </c>
      <c r="E943" t="s">
        <v>9</v>
      </c>
      <c r="F943" s="1" t="s">
        <v>3</v>
      </c>
      <c r="G943" s="1">
        <v>45912</v>
      </c>
      <c r="H943" t="s">
        <v>41</v>
      </c>
      <c r="I943" s="2">
        <v>6123.67</v>
      </c>
      <c r="J943" t="s">
        <v>537</v>
      </c>
      <c r="K943" s="7">
        <v>45901</v>
      </c>
    </row>
    <row r="944" spans="1:11" hidden="1">
      <c r="A944" t="s">
        <v>99</v>
      </c>
      <c r="B944" t="s">
        <v>63</v>
      </c>
      <c r="C944" t="s">
        <v>14</v>
      </c>
      <c r="E944" t="s">
        <v>9</v>
      </c>
      <c r="F944" s="1" t="s">
        <v>3</v>
      </c>
      <c r="G944" s="1">
        <v>46039</v>
      </c>
      <c r="H944" t="s">
        <v>41</v>
      </c>
      <c r="I944" s="2">
        <v>6114.96</v>
      </c>
      <c r="J944" t="s">
        <v>499</v>
      </c>
      <c r="K944" s="7">
        <v>46023</v>
      </c>
    </row>
    <row r="945" spans="1:11" hidden="1">
      <c r="A945" t="s">
        <v>39</v>
      </c>
      <c r="B945" t="s">
        <v>47</v>
      </c>
      <c r="C945" t="s">
        <v>13</v>
      </c>
      <c r="D945">
        <v>10026519</v>
      </c>
      <c r="E945" t="s">
        <v>9</v>
      </c>
      <c r="F945" s="1" t="s">
        <v>3</v>
      </c>
      <c r="G945" s="1">
        <v>45785</v>
      </c>
      <c r="H945" t="s">
        <v>41</v>
      </c>
      <c r="I945" s="2">
        <v>6102.97</v>
      </c>
      <c r="J945" t="s">
        <v>172</v>
      </c>
      <c r="K945" s="7">
        <v>45778</v>
      </c>
    </row>
    <row r="946" spans="1:11" hidden="1">
      <c r="A946" t="s">
        <v>56</v>
      </c>
      <c r="B946" t="s">
        <v>40</v>
      </c>
      <c r="C946" t="s">
        <v>14</v>
      </c>
      <c r="D946">
        <v>10790</v>
      </c>
      <c r="E946" t="s">
        <v>9</v>
      </c>
      <c r="F946" s="1" t="s">
        <v>5</v>
      </c>
      <c r="G946" s="1">
        <v>45922</v>
      </c>
      <c r="H946" t="s">
        <v>41</v>
      </c>
      <c r="I946" s="2">
        <v>6100</v>
      </c>
      <c r="J946" t="s">
        <v>703</v>
      </c>
      <c r="K946" s="7">
        <v>45901</v>
      </c>
    </row>
    <row r="947" spans="1:11" hidden="1">
      <c r="A947" t="s">
        <v>39</v>
      </c>
      <c r="B947" t="s">
        <v>40</v>
      </c>
      <c r="C947" t="s">
        <v>14</v>
      </c>
      <c r="E947" t="s">
        <v>9</v>
      </c>
      <c r="F947" s="1" t="s">
        <v>5</v>
      </c>
      <c r="G947" s="1">
        <v>45797</v>
      </c>
      <c r="H947" t="s">
        <v>41</v>
      </c>
      <c r="I947" s="2">
        <v>6088</v>
      </c>
      <c r="J947" t="s">
        <v>98</v>
      </c>
      <c r="K947" s="7">
        <v>45778</v>
      </c>
    </row>
    <row r="948" spans="1:11" hidden="1">
      <c r="A948" t="s">
        <v>39</v>
      </c>
      <c r="B948" t="s">
        <v>40</v>
      </c>
      <c r="C948" t="s">
        <v>14</v>
      </c>
      <c r="D948">
        <v>10027260</v>
      </c>
      <c r="E948" t="s">
        <v>9</v>
      </c>
      <c r="F948" s="1" t="s">
        <v>2</v>
      </c>
      <c r="G948" s="1">
        <v>45876</v>
      </c>
      <c r="H948" t="s">
        <v>41</v>
      </c>
      <c r="I948" s="2">
        <v>6077</v>
      </c>
      <c r="J948" t="s">
        <v>704</v>
      </c>
      <c r="K948" s="7">
        <v>45870</v>
      </c>
    </row>
    <row r="949" spans="1:11" hidden="1">
      <c r="A949" t="s">
        <v>39</v>
      </c>
      <c r="B949" t="s">
        <v>63</v>
      </c>
      <c r="C949" t="s">
        <v>14</v>
      </c>
      <c r="E949" t="s">
        <v>9</v>
      </c>
      <c r="F949" s="1" t="s">
        <v>5</v>
      </c>
      <c r="G949" s="1">
        <v>45988</v>
      </c>
      <c r="H949" t="s">
        <v>64</v>
      </c>
      <c r="I949" s="2">
        <f>3099086.11/510</f>
        <v>6076.6394313725486</v>
      </c>
      <c r="J949" s="47" t="s">
        <v>705</v>
      </c>
      <c r="K949" s="7">
        <v>45962</v>
      </c>
    </row>
    <row r="950" spans="1:11" hidden="1">
      <c r="A950" t="s">
        <v>39</v>
      </c>
      <c r="B950" t="s">
        <v>63</v>
      </c>
      <c r="C950" t="s">
        <v>124</v>
      </c>
      <c r="D950">
        <v>10027108</v>
      </c>
      <c r="E950" t="s">
        <v>9</v>
      </c>
      <c r="F950" s="1" t="s">
        <v>4</v>
      </c>
      <c r="G950" s="1">
        <v>45856</v>
      </c>
      <c r="H950" t="s">
        <v>41</v>
      </c>
      <c r="I950" s="2">
        <v>4721.08</v>
      </c>
      <c r="J950" t="s">
        <v>288</v>
      </c>
      <c r="K950" s="7">
        <v>45839</v>
      </c>
    </row>
    <row r="951" spans="1:11" hidden="1">
      <c r="A951" t="s">
        <v>39</v>
      </c>
      <c r="B951" t="s">
        <v>47</v>
      </c>
      <c r="C951" t="s">
        <v>14</v>
      </c>
      <c r="E951" t="s">
        <v>9</v>
      </c>
      <c r="F951" s="1" t="s">
        <v>3</v>
      </c>
      <c r="G951" s="1">
        <v>46002</v>
      </c>
      <c r="H951" t="s">
        <v>41</v>
      </c>
      <c r="I951" s="2">
        <v>6031.59</v>
      </c>
      <c r="J951" t="s">
        <v>706</v>
      </c>
      <c r="K951" s="7">
        <v>45992</v>
      </c>
    </row>
    <row r="952" spans="1:11" hidden="1">
      <c r="A952" t="s">
        <v>114</v>
      </c>
      <c r="B952" t="s">
        <v>63</v>
      </c>
      <c r="C952" t="s">
        <v>13</v>
      </c>
      <c r="E952" t="s">
        <v>9</v>
      </c>
      <c r="F952" s="1" t="s">
        <v>2</v>
      </c>
      <c r="G952" s="1">
        <v>46030</v>
      </c>
      <c r="H952" t="s">
        <v>41</v>
      </c>
      <c r="I952" s="2">
        <v>6012.5</v>
      </c>
      <c r="J952" t="s">
        <v>534</v>
      </c>
      <c r="K952" s="7">
        <v>46023</v>
      </c>
    </row>
    <row r="953" spans="1:11" hidden="1">
      <c r="A953" t="s">
        <v>56</v>
      </c>
      <c r="B953" t="s">
        <v>40</v>
      </c>
      <c r="C953" t="s">
        <v>14</v>
      </c>
      <c r="D953">
        <v>10762</v>
      </c>
      <c r="E953" t="s">
        <v>9</v>
      </c>
      <c r="F953" s="1" t="s">
        <v>2</v>
      </c>
      <c r="G953" s="1">
        <v>45875</v>
      </c>
      <c r="H953" t="s">
        <v>41</v>
      </c>
      <c r="I953" s="2">
        <v>6000</v>
      </c>
      <c r="J953" t="s">
        <v>707</v>
      </c>
      <c r="K953" s="7">
        <v>45870</v>
      </c>
    </row>
    <row r="954" spans="1:11" hidden="1">
      <c r="A954" t="s">
        <v>39</v>
      </c>
      <c r="B954" t="s">
        <v>45</v>
      </c>
      <c r="C954" t="s">
        <v>12</v>
      </c>
      <c r="E954" t="s">
        <v>8</v>
      </c>
      <c r="F954" s="1" t="s">
        <v>2</v>
      </c>
      <c r="G954" s="1">
        <v>45875</v>
      </c>
      <c r="H954" t="s">
        <v>41</v>
      </c>
      <c r="I954" s="2">
        <v>46109.22</v>
      </c>
      <c r="J954" t="s">
        <v>708</v>
      </c>
      <c r="K954" s="7">
        <v>45870</v>
      </c>
    </row>
    <row r="955" spans="1:11" hidden="1">
      <c r="A955" t="s">
        <v>39</v>
      </c>
      <c r="B955" t="s">
        <v>40</v>
      </c>
      <c r="C955" t="s">
        <v>14</v>
      </c>
      <c r="E955" t="s">
        <v>9</v>
      </c>
      <c r="F955" s="1" t="s">
        <v>2</v>
      </c>
      <c r="G955" s="1">
        <v>45905</v>
      </c>
      <c r="H955" t="s">
        <v>41</v>
      </c>
      <c r="I955" s="2">
        <v>6000</v>
      </c>
      <c r="J955" t="s">
        <v>709</v>
      </c>
      <c r="K955" s="7">
        <v>45901</v>
      </c>
    </row>
    <row r="956" spans="1:11" hidden="1">
      <c r="A956" t="s">
        <v>39</v>
      </c>
      <c r="B956" t="s">
        <v>47</v>
      </c>
      <c r="C956" t="s">
        <v>14</v>
      </c>
      <c r="E956" t="s">
        <v>9</v>
      </c>
      <c r="F956" s="1" t="s">
        <v>4</v>
      </c>
      <c r="G956" s="1">
        <v>45856</v>
      </c>
      <c r="H956" t="s">
        <v>41</v>
      </c>
      <c r="I956" s="2">
        <v>3635.78</v>
      </c>
      <c r="J956" s="47" t="s">
        <v>165</v>
      </c>
      <c r="K956" s="7">
        <v>45839</v>
      </c>
    </row>
    <row r="957" spans="1:11" hidden="1">
      <c r="A957" t="s">
        <v>39</v>
      </c>
      <c r="B957" t="s">
        <v>40</v>
      </c>
      <c r="C957" t="s">
        <v>14</v>
      </c>
      <c r="E957" t="s">
        <v>9</v>
      </c>
      <c r="F957" s="1" t="s">
        <v>2</v>
      </c>
      <c r="G957" s="1">
        <v>45996</v>
      </c>
      <c r="H957" t="s">
        <v>41</v>
      </c>
      <c r="I957" s="2">
        <v>6000</v>
      </c>
      <c r="J957" t="s">
        <v>710</v>
      </c>
      <c r="K957" s="7">
        <v>45992</v>
      </c>
    </row>
    <row r="958" spans="1:11" hidden="1">
      <c r="A958" t="s">
        <v>39</v>
      </c>
      <c r="B958" t="s">
        <v>47</v>
      </c>
      <c r="C958" t="s">
        <v>14</v>
      </c>
      <c r="E958" t="s">
        <v>9</v>
      </c>
      <c r="F958" s="1" t="s">
        <v>2</v>
      </c>
      <c r="G958" s="1">
        <v>45841</v>
      </c>
      <c r="H958" t="s">
        <v>41</v>
      </c>
      <c r="I958" s="2">
        <v>5985.14</v>
      </c>
      <c r="J958" t="s">
        <v>411</v>
      </c>
      <c r="K958" s="7">
        <v>45839</v>
      </c>
    </row>
    <row r="959" spans="1:11" hidden="1">
      <c r="A959" t="s">
        <v>39</v>
      </c>
      <c r="B959" t="s">
        <v>63</v>
      </c>
      <c r="C959" t="s">
        <v>124</v>
      </c>
      <c r="D959">
        <v>10027107</v>
      </c>
      <c r="E959" t="s">
        <v>9</v>
      </c>
      <c r="F959" s="1" t="s">
        <v>4</v>
      </c>
      <c r="G959" s="1">
        <v>45856</v>
      </c>
      <c r="H959" t="s">
        <v>41</v>
      </c>
      <c r="I959" s="2">
        <v>3635.78</v>
      </c>
      <c r="J959" t="s">
        <v>356</v>
      </c>
      <c r="K959" s="7">
        <v>45839</v>
      </c>
    </row>
    <row r="960" spans="1:11" hidden="1">
      <c r="A960" t="s">
        <v>39</v>
      </c>
      <c r="B960" t="s">
        <v>47</v>
      </c>
      <c r="C960" t="s">
        <v>14</v>
      </c>
      <c r="E960" t="s">
        <v>9</v>
      </c>
      <c r="F960" s="1" t="s">
        <v>4</v>
      </c>
      <c r="G960" s="1">
        <v>45856</v>
      </c>
      <c r="H960" t="s">
        <v>41</v>
      </c>
      <c r="I960" s="2">
        <v>3100</v>
      </c>
      <c r="J960" t="s">
        <v>711</v>
      </c>
      <c r="K960" s="7">
        <v>45839</v>
      </c>
    </row>
    <row r="961" spans="1:11">
      <c r="A961" t="s">
        <v>39</v>
      </c>
      <c r="B961" t="s">
        <v>47</v>
      </c>
      <c r="C961" t="s">
        <v>14</v>
      </c>
      <c r="E961" t="s">
        <v>9</v>
      </c>
      <c r="F961" s="1" t="s">
        <v>2</v>
      </c>
      <c r="G961" s="1">
        <v>46059</v>
      </c>
      <c r="H961" t="s">
        <v>41</v>
      </c>
      <c r="I961" s="2">
        <v>14588.83</v>
      </c>
      <c r="J961" t="s">
        <v>712</v>
      </c>
      <c r="K961" s="7">
        <v>46054</v>
      </c>
    </row>
    <row r="962" spans="1:11" hidden="1">
      <c r="A962" t="s">
        <v>39</v>
      </c>
      <c r="B962" t="s">
        <v>63</v>
      </c>
      <c r="C962" t="s">
        <v>12</v>
      </c>
      <c r="E962" t="s">
        <v>9</v>
      </c>
      <c r="F962" s="1" t="s">
        <v>2</v>
      </c>
      <c r="G962" s="1">
        <v>46059</v>
      </c>
      <c r="H962" t="s">
        <v>41</v>
      </c>
      <c r="I962" s="2">
        <v>12302.15</v>
      </c>
      <c r="J962" s="47" t="s">
        <v>672</v>
      </c>
      <c r="K962" s="7">
        <v>46054</v>
      </c>
    </row>
    <row r="963" spans="1:11" hidden="1">
      <c r="A963" t="s">
        <v>39</v>
      </c>
      <c r="B963" t="s">
        <v>63</v>
      </c>
      <c r="C963" t="s">
        <v>124</v>
      </c>
      <c r="D963">
        <v>10027108</v>
      </c>
      <c r="E963" t="s">
        <v>9</v>
      </c>
      <c r="F963" s="1" t="s">
        <v>4</v>
      </c>
      <c r="G963" s="1">
        <v>45856</v>
      </c>
      <c r="H963" t="s">
        <v>41</v>
      </c>
      <c r="I963" s="2">
        <v>1603.06</v>
      </c>
      <c r="J963" t="s">
        <v>288</v>
      </c>
      <c r="K963" s="7">
        <v>45839</v>
      </c>
    </row>
    <row r="964" spans="1:11" hidden="1">
      <c r="A964" t="s">
        <v>39</v>
      </c>
      <c r="B964" t="s">
        <v>40</v>
      </c>
      <c r="C964" t="s">
        <v>14</v>
      </c>
      <c r="D964">
        <v>10027106</v>
      </c>
      <c r="E964" t="s">
        <v>9</v>
      </c>
      <c r="F964" s="1" t="s">
        <v>4</v>
      </c>
      <c r="G964" s="1">
        <v>45856</v>
      </c>
      <c r="H964" t="s">
        <v>41</v>
      </c>
      <c r="I964" s="2">
        <v>1199</v>
      </c>
      <c r="J964" t="s">
        <v>713</v>
      </c>
      <c r="K964" s="7">
        <v>45839</v>
      </c>
    </row>
    <row r="965" spans="1:11" hidden="1">
      <c r="A965" t="s">
        <v>39</v>
      </c>
      <c r="B965" t="s">
        <v>47</v>
      </c>
      <c r="C965" t="s">
        <v>14</v>
      </c>
      <c r="E965" t="s">
        <v>9</v>
      </c>
      <c r="F965" s="1" t="s">
        <v>4</v>
      </c>
      <c r="G965" s="1">
        <v>45856</v>
      </c>
      <c r="H965" t="s">
        <v>41</v>
      </c>
      <c r="I965" s="2">
        <v>865.13</v>
      </c>
      <c r="J965" t="s">
        <v>714</v>
      </c>
      <c r="K965" s="7">
        <v>45839</v>
      </c>
    </row>
    <row r="966" spans="1:11" hidden="1">
      <c r="A966" t="s">
        <v>39</v>
      </c>
      <c r="B966" t="s">
        <v>45</v>
      </c>
      <c r="C966" t="s">
        <v>13</v>
      </c>
      <c r="E966" t="s">
        <v>9</v>
      </c>
      <c r="F966" s="1" t="s">
        <v>5</v>
      </c>
      <c r="G966" s="1">
        <v>46015</v>
      </c>
      <c r="H966" t="s">
        <v>41</v>
      </c>
      <c r="I966" s="2">
        <v>5917.4</v>
      </c>
      <c r="J966" t="s">
        <v>715</v>
      </c>
      <c r="K966" s="7">
        <v>45992</v>
      </c>
    </row>
    <row r="967" spans="1:11" hidden="1">
      <c r="A967" t="s">
        <v>39</v>
      </c>
      <c r="B967" t="s">
        <v>47</v>
      </c>
      <c r="C967" t="s">
        <v>14</v>
      </c>
      <c r="E967" t="s">
        <v>9</v>
      </c>
      <c r="F967" s="1" t="s">
        <v>3</v>
      </c>
      <c r="G967" s="1">
        <v>45883</v>
      </c>
      <c r="H967" t="s">
        <v>41</v>
      </c>
      <c r="I967" s="2">
        <v>5863.68</v>
      </c>
      <c r="J967" t="s">
        <v>162</v>
      </c>
      <c r="K967" s="7">
        <v>45870</v>
      </c>
    </row>
    <row r="968" spans="1:11" hidden="1">
      <c r="A968" t="s">
        <v>39</v>
      </c>
      <c r="B968" t="s">
        <v>47</v>
      </c>
      <c r="C968" t="s">
        <v>14</v>
      </c>
      <c r="E968" t="s">
        <v>9</v>
      </c>
      <c r="F968" s="1" t="s">
        <v>5</v>
      </c>
      <c r="G968" s="1">
        <v>45952</v>
      </c>
      <c r="H968" t="s">
        <v>41</v>
      </c>
      <c r="I968" s="2">
        <v>5820.79</v>
      </c>
      <c r="J968" t="s">
        <v>716</v>
      </c>
      <c r="K968" s="7">
        <v>45931</v>
      </c>
    </row>
    <row r="969" spans="1:11" hidden="1">
      <c r="A969" t="s">
        <v>39</v>
      </c>
      <c r="B969" t="s">
        <v>40</v>
      </c>
      <c r="C969" t="s">
        <v>14</v>
      </c>
      <c r="E969" t="s">
        <v>9</v>
      </c>
      <c r="F969" s="1" t="s">
        <v>6</v>
      </c>
      <c r="G969" s="1">
        <v>45868</v>
      </c>
      <c r="H969" t="s">
        <v>41</v>
      </c>
      <c r="I969" s="2">
        <v>5800</v>
      </c>
      <c r="J969" t="s">
        <v>717</v>
      </c>
      <c r="K969" s="7">
        <v>45839</v>
      </c>
    </row>
    <row r="970" spans="1:11" hidden="1">
      <c r="A970" t="s">
        <v>39</v>
      </c>
      <c r="B970" t="s">
        <v>45</v>
      </c>
      <c r="C970" t="s">
        <v>12</v>
      </c>
      <c r="E970" t="s">
        <v>8</v>
      </c>
      <c r="F970" s="1" t="s">
        <v>2</v>
      </c>
      <c r="G970" s="1">
        <v>45877</v>
      </c>
      <c r="H970" t="s">
        <v>41</v>
      </c>
      <c r="I970" s="2">
        <v>200000</v>
      </c>
      <c r="J970" t="s">
        <v>122</v>
      </c>
      <c r="K970" s="7">
        <v>45870</v>
      </c>
    </row>
    <row r="971" spans="1:11" hidden="1">
      <c r="A971" t="s">
        <v>39</v>
      </c>
      <c r="B971" t="s">
        <v>45</v>
      </c>
      <c r="C971" t="s">
        <v>14</v>
      </c>
      <c r="E971" t="s">
        <v>8</v>
      </c>
      <c r="F971" s="1" t="s">
        <v>2</v>
      </c>
      <c r="G971" s="1">
        <v>45877</v>
      </c>
      <c r="H971" t="s">
        <v>41</v>
      </c>
      <c r="I971" s="2">
        <v>84872.36</v>
      </c>
      <c r="J971" t="s">
        <v>72</v>
      </c>
      <c r="K971" s="7">
        <v>45870</v>
      </c>
    </row>
    <row r="972" spans="1:11" hidden="1">
      <c r="A972" t="s">
        <v>39</v>
      </c>
      <c r="B972" t="s">
        <v>45</v>
      </c>
      <c r="C972" t="s">
        <v>14</v>
      </c>
      <c r="E972" t="s">
        <v>8</v>
      </c>
      <c r="F972" s="1" t="s">
        <v>2</v>
      </c>
      <c r="G972" s="1">
        <v>45877</v>
      </c>
      <c r="H972" t="s">
        <v>41</v>
      </c>
      <c r="I972" s="2">
        <v>18750</v>
      </c>
      <c r="J972" t="s">
        <v>516</v>
      </c>
      <c r="K972" s="7">
        <v>45870</v>
      </c>
    </row>
    <row r="973" spans="1:11" hidden="1">
      <c r="A973" t="s">
        <v>39</v>
      </c>
      <c r="B973" t="s">
        <v>45</v>
      </c>
      <c r="C973" t="s">
        <v>14</v>
      </c>
      <c r="E973" t="s">
        <v>8</v>
      </c>
      <c r="F973" s="1" t="s">
        <v>2</v>
      </c>
      <c r="G973" s="1">
        <v>45877</v>
      </c>
      <c r="H973" t="s">
        <v>41</v>
      </c>
      <c r="I973" s="2">
        <v>9173.27</v>
      </c>
      <c r="J973" t="s">
        <v>217</v>
      </c>
      <c r="K973" s="7">
        <v>45870</v>
      </c>
    </row>
    <row r="974" spans="1:11" hidden="1">
      <c r="A974" t="s">
        <v>39</v>
      </c>
      <c r="B974" t="s">
        <v>40</v>
      </c>
      <c r="C974" t="s">
        <v>14</v>
      </c>
      <c r="D974">
        <v>10026495</v>
      </c>
      <c r="E974" t="s">
        <v>9</v>
      </c>
      <c r="F974" t="s">
        <v>2</v>
      </c>
      <c r="G974" s="1">
        <v>45778</v>
      </c>
      <c r="H974" t="s">
        <v>41</v>
      </c>
      <c r="I974" s="2">
        <v>5755</v>
      </c>
      <c r="J974" t="s">
        <v>49</v>
      </c>
      <c r="K974" s="7">
        <v>45778</v>
      </c>
    </row>
    <row r="975" spans="1:11" hidden="1">
      <c r="A975" t="s">
        <v>39</v>
      </c>
      <c r="B975" t="s">
        <v>45</v>
      </c>
      <c r="C975" t="s">
        <v>14</v>
      </c>
      <c r="E975" t="s">
        <v>9</v>
      </c>
      <c r="F975" s="1" t="s">
        <v>2</v>
      </c>
      <c r="G975" s="1">
        <v>46059</v>
      </c>
      <c r="H975" t="s">
        <v>41</v>
      </c>
      <c r="I975" s="2">
        <v>11327.62</v>
      </c>
      <c r="J975" t="s">
        <v>718</v>
      </c>
      <c r="K975" s="7">
        <v>46054</v>
      </c>
    </row>
    <row r="976" spans="1:11" hidden="1">
      <c r="A976" t="s">
        <v>39</v>
      </c>
      <c r="B976" t="s">
        <v>40</v>
      </c>
      <c r="C976" t="s">
        <v>14</v>
      </c>
      <c r="D976">
        <v>10027110</v>
      </c>
      <c r="E976" t="s">
        <v>9</v>
      </c>
      <c r="F976" s="1" t="s">
        <v>4</v>
      </c>
      <c r="G976" s="1">
        <v>45856</v>
      </c>
      <c r="H976" t="s">
        <v>64</v>
      </c>
      <c r="I976" s="2">
        <f>217653.11/508</f>
        <v>428.45100393700784</v>
      </c>
      <c r="J976" t="s">
        <v>719</v>
      </c>
      <c r="K976" s="7">
        <v>45839</v>
      </c>
    </row>
    <row r="977" spans="1:11" hidden="1">
      <c r="A977" t="s">
        <v>114</v>
      </c>
      <c r="B977" t="s">
        <v>63</v>
      </c>
      <c r="C977" t="s">
        <v>14</v>
      </c>
      <c r="E977" t="s">
        <v>9</v>
      </c>
      <c r="F977" s="1" t="s">
        <v>5</v>
      </c>
      <c r="G977" s="1">
        <v>45987</v>
      </c>
      <c r="H977" t="s">
        <v>41</v>
      </c>
      <c r="I977" s="2">
        <v>5716.82</v>
      </c>
      <c r="J977" s="47" t="s">
        <v>720</v>
      </c>
      <c r="K977" s="7">
        <v>45962</v>
      </c>
    </row>
    <row r="978" spans="1:11" hidden="1">
      <c r="A978" t="s">
        <v>39</v>
      </c>
      <c r="B978" t="s">
        <v>63</v>
      </c>
      <c r="C978" t="s">
        <v>13</v>
      </c>
      <c r="D978">
        <v>10026937</v>
      </c>
      <c r="E978" t="s">
        <v>9</v>
      </c>
      <c r="F978" s="1" t="s">
        <v>5</v>
      </c>
      <c r="G978" s="1">
        <v>45835</v>
      </c>
      <c r="H978" t="s">
        <v>41</v>
      </c>
      <c r="I978" s="2">
        <v>5678.07</v>
      </c>
      <c r="J978" t="s">
        <v>307</v>
      </c>
      <c r="K978" s="7">
        <v>45809</v>
      </c>
    </row>
    <row r="979" spans="1:11" hidden="1">
      <c r="A979" t="s">
        <v>39</v>
      </c>
      <c r="B979" t="s">
        <v>45</v>
      </c>
      <c r="C979" t="s">
        <v>14</v>
      </c>
      <c r="E979" t="s">
        <v>9</v>
      </c>
      <c r="F979" s="1" t="s">
        <v>2</v>
      </c>
      <c r="G979" s="1">
        <v>46031</v>
      </c>
      <c r="H979" t="s">
        <v>41</v>
      </c>
      <c r="I979" s="2">
        <v>5675.21</v>
      </c>
      <c r="J979" t="s">
        <v>353</v>
      </c>
      <c r="K979" s="7">
        <v>46023</v>
      </c>
    </row>
    <row r="980" spans="1:11" hidden="1">
      <c r="A980" t="s">
        <v>39</v>
      </c>
      <c r="B980" t="s">
        <v>47</v>
      </c>
      <c r="C980" t="s">
        <v>14</v>
      </c>
      <c r="E980" t="s">
        <v>9</v>
      </c>
      <c r="F980" s="1" t="s">
        <v>3</v>
      </c>
      <c r="G980" s="1">
        <v>46038</v>
      </c>
      <c r="H980" t="s">
        <v>41</v>
      </c>
      <c r="I980" s="2">
        <v>5666.87</v>
      </c>
      <c r="J980" t="s">
        <v>371</v>
      </c>
      <c r="K980" s="7">
        <v>46023</v>
      </c>
    </row>
    <row r="981" spans="1:11" hidden="1">
      <c r="A981" t="s">
        <v>39</v>
      </c>
      <c r="B981" t="s">
        <v>45</v>
      </c>
      <c r="C981" t="s">
        <v>14</v>
      </c>
      <c r="D981">
        <v>10027094</v>
      </c>
      <c r="E981" t="s">
        <v>9</v>
      </c>
      <c r="F981" s="1" t="s">
        <v>4</v>
      </c>
      <c r="G981" s="1">
        <v>45856</v>
      </c>
      <c r="H981" t="s">
        <v>41</v>
      </c>
      <c r="I981" s="2">
        <v>136.22</v>
      </c>
      <c r="J981" t="s">
        <v>721</v>
      </c>
      <c r="K981" s="7">
        <v>45839</v>
      </c>
    </row>
    <row r="982" spans="1:11" hidden="1">
      <c r="A982" t="s">
        <v>39</v>
      </c>
      <c r="B982" t="s">
        <v>63</v>
      </c>
      <c r="C982" t="s">
        <v>13</v>
      </c>
      <c r="D982">
        <v>10026652</v>
      </c>
      <c r="E982" t="s">
        <v>9</v>
      </c>
      <c r="F982" s="1" t="s">
        <v>6</v>
      </c>
      <c r="G982" s="1">
        <v>45868</v>
      </c>
      <c r="H982" t="s">
        <v>41</v>
      </c>
      <c r="I982" s="2">
        <v>5643.02</v>
      </c>
      <c r="J982" t="s">
        <v>481</v>
      </c>
      <c r="K982" s="7">
        <v>45839</v>
      </c>
    </row>
    <row r="983" spans="1:11" hidden="1">
      <c r="A983" t="s">
        <v>39</v>
      </c>
      <c r="B983" t="s">
        <v>40</v>
      </c>
      <c r="C983" t="s">
        <v>14</v>
      </c>
      <c r="E983" t="s">
        <v>9</v>
      </c>
      <c r="F983" s="1" t="s">
        <v>3</v>
      </c>
      <c r="G983" s="1">
        <v>45821</v>
      </c>
      <c r="H983" t="s">
        <v>41</v>
      </c>
      <c r="I983" s="2">
        <v>5600</v>
      </c>
      <c r="J983" t="s">
        <v>722</v>
      </c>
      <c r="K983" s="7">
        <v>45809</v>
      </c>
    </row>
    <row r="984" spans="1:11" hidden="1">
      <c r="A984" t="s">
        <v>39</v>
      </c>
      <c r="B984" t="s">
        <v>40</v>
      </c>
      <c r="C984" t="s">
        <v>14</v>
      </c>
      <c r="E984" t="s">
        <v>9</v>
      </c>
      <c r="F984" s="1" t="s">
        <v>5</v>
      </c>
      <c r="G984" s="1">
        <v>45892</v>
      </c>
      <c r="H984" t="s">
        <v>64</v>
      </c>
      <c r="I984" s="2">
        <v>5600</v>
      </c>
      <c r="J984" t="s">
        <v>723</v>
      </c>
      <c r="K984" s="7">
        <v>45870</v>
      </c>
    </row>
    <row r="985" spans="1:11" hidden="1">
      <c r="A985" t="s">
        <v>39</v>
      </c>
      <c r="B985" t="s">
        <v>40</v>
      </c>
      <c r="C985" t="s">
        <v>14</v>
      </c>
      <c r="D985">
        <v>10027393</v>
      </c>
      <c r="E985" t="s">
        <v>9</v>
      </c>
      <c r="F985" s="1" t="s">
        <v>5</v>
      </c>
      <c r="G985" s="1">
        <v>45895</v>
      </c>
      <c r="H985" t="s">
        <v>41</v>
      </c>
      <c r="I985" s="2">
        <v>5600</v>
      </c>
      <c r="J985" t="s">
        <v>724</v>
      </c>
      <c r="K985" s="7">
        <v>45870</v>
      </c>
    </row>
    <row r="986" spans="1:11">
      <c r="A986" t="s">
        <v>39</v>
      </c>
      <c r="B986" t="s">
        <v>47</v>
      </c>
      <c r="C986" t="s">
        <v>14</v>
      </c>
      <c r="E986" t="s">
        <v>9</v>
      </c>
      <c r="F986" s="1" t="s">
        <v>2</v>
      </c>
      <c r="G986" s="1">
        <v>46059</v>
      </c>
      <c r="H986" t="s">
        <v>41</v>
      </c>
      <c r="I986" s="2">
        <v>8451.7199999999993</v>
      </c>
      <c r="J986" s="47" t="s">
        <v>199</v>
      </c>
      <c r="K986" s="7">
        <v>46054</v>
      </c>
    </row>
    <row r="987" spans="1:11" hidden="1">
      <c r="A987" t="s">
        <v>39</v>
      </c>
      <c r="B987" t="s">
        <v>47</v>
      </c>
      <c r="C987" t="s">
        <v>14</v>
      </c>
      <c r="E987" t="s">
        <v>9</v>
      </c>
      <c r="F987" s="1" t="s">
        <v>2</v>
      </c>
      <c r="G987" s="1">
        <v>45903</v>
      </c>
      <c r="H987" t="s">
        <v>41</v>
      </c>
      <c r="I987" s="2">
        <v>5548.23</v>
      </c>
      <c r="J987" t="s">
        <v>725</v>
      </c>
      <c r="K987" s="7">
        <v>45901</v>
      </c>
    </row>
    <row r="988" spans="1:11" hidden="1">
      <c r="A988" t="s">
        <v>39</v>
      </c>
      <c r="B988" t="s">
        <v>63</v>
      </c>
      <c r="C988" t="s">
        <v>14</v>
      </c>
      <c r="E988" t="s">
        <v>9</v>
      </c>
      <c r="F988" s="1" t="s">
        <v>3</v>
      </c>
      <c r="G988" s="1">
        <v>46038</v>
      </c>
      <c r="H988" t="s">
        <v>41</v>
      </c>
      <c r="I988" s="2">
        <v>5509.48</v>
      </c>
      <c r="J988" t="s">
        <v>679</v>
      </c>
      <c r="K988" s="7">
        <v>46023</v>
      </c>
    </row>
    <row r="989" spans="1:11" hidden="1">
      <c r="A989" t="s">
        <v>39</v>
      </c>
      <c r="B989" t="s">
        <v>40</v>
      </c>
      <c r="C989" t="s">
        <v>14</v>
      </c>
      <c r="E989" t="s">
        <v>9</v>
      </c>
      <c r="F989" s="1" t="s">
        <v>5</v>
      </c>
      <c r="G989" s="1">
        <v>45838</v>
      </c>
      <c r="H989" t="s">
        <v>41</v>
      </c>
      <c r="I989" s="2">
        <v>5500</v>
      </c>
      <c r="J989" t="s">
        <v>463</v>
      </c>
      <c r="K989" s="7">
        <v>45809</v>
      </c>
    </row>
    <row r="990" spans="1:11" hidden="1">
      <c r="A990" t="s">
        <v>39</v>
      </c>
      <c r="B990" t="s">
        <v>47</v>
      </c>
      <c r="C990" t="s">
        <v>14</v>
      </c>
      <c r="D990">
        <v>10026717</v>
      </c>
      <c r="E990" t="s">
        <v>9</v>
      </c>
      <c r="F990" s="1" t="s">
        <v>6</v>
      </c>
      <c r="G990" s="1">
        <v>45806</v>
      </c>
      <c r="H990" t="s">
        <v>41</v>
      </c>
      <c r="I990" s="2">
        <v>5479.55</v>
      </c>
      <c r="J990" t="s">
        <v>371</v>
      </c>
      <c r="K990" s="7">
        <v>45778</v>
      </c>
    </row>
    <row r="991" spans="1:11" hidden="1">
      <c r="A991" t="s">
        <v>99</v>
      </c>
      <c r="B991" t="s">
        <v>63</v>
      </c>
      <c r="C991" t="s">
        <v>14</v>
      </c>
      <c r="E991" t="s">
        <v>9</v>
      </c>
      <c r="F991" s="1" t="s">
        <v>4</v>
      </c>
      <c r="G991" s="1">
        <v>45857</v>
      </c>
      <c r="H991" t="s">
        <v>41</v>
      </c>
      <c r="I991" s="2">
        <v>25096.5</v>
      </c>
      <c r="J991" t="s">
        <v>726</v>
      </c>
      <c r="K991" s="7">
        <v>45839</v>
      </c>
    </row>
    <row r="992" spans="1:11" hidden="1">
      <c r="A992" t="s">
        <v>39</v>
      </c>
      <c r="B992" t="s">
        <v>40</v>
      </c>
      <c r="C992" t="s">
        <v>14</v>
      </c>
      <c r="E992" t="s">
        <v>9</v>
      </c>
      <c r="F992" s="1" t="s">
        <v>2</v>
      </c>
      <c r="G992" s="1">
        <v>45902</v>
      </c>
      <c r="H992" t="s">
        <v>41</v>
      </c>
      <c r="I992" s="2">
        <v>5475</v>
      </c>
      <c r="J992" t="s">
        <v>727</v>
      </c>
      <c r="K992" s="7">
        <v>45901</v>
      </c>
    </row>
    <row r="993" spans="1:11" hidden="1">
      <c r="A993" t="s">
        <v>39</v>
      </c>
      <c r="B993" t="s">
        <v>40</v>
      </c>
      <c r="C993" t="s">
        <v>14</v>
      </c>
      <c r="E993" t="s">
        <v>9</v>
      </c>
      <c r="F993" s="1" t="s">
        <v>5</v>
      </c>
      <c r="G993" s="1">
        <v>45799</v>
      </c>
      <c r="H993" t="s">
        <v>41</v>
      </c>
      <c r="I993" s="2">
        <v>5460.72</v>
      </c>
      <c r="J993" t="s">
        <v>728</v>
      </c>
      <c r="K993" s="7">
        <v>45778</v>
      </c>
    </row>
    <row r="994" spans="1:11" hidden="1">
      <c r="A994" t="s">
        <v>39</v>
      </c>
      <c r="B994" t="s">
        <v>45</v>
      </c>
      <c r="C994" t="s">
        <v>14</v>
      </c>
      <c r="E994" t="s">
        <v>9</v>
      </c>
      <c r="F994" s="1" t="s">
        <v>2</v>
      </c>
      <c r="G994" s="1">
        <v>46059</v>
      </c>
      <c r="H994" t="s">
        <v>41</v>
      </c>
      <c r="I994" s="2">
        <v>7631.34</v>
      </c>
      <c r="J994" t="s">
        <v>729</v>
      </c>
      <c r="K994" s="7">
        <v>46054</v>
      </c>
    </row>
    <row r="995" spans="1:11" hidden="1">
      <c r="A995" t="s">
        <v>39</v>
      </c>
      <c r="B995" t="s">
        <v>63</v>
      </c>
      <c r="C995" t="s">
        <v>12</v>
      </c>
      <c r="E995" t="s">
        <v>9</v>
      </c>
      <c r="F995" s="1" t="s">
        <v>5</v>
      </c>
      <c r="G995" s="1">
        <v>45861</v>
      </c>
      <c r="H995" t="s">
        <v>41</v>
      </c>
      <c r="I995" s="2">
        <v>5434.18</v>
      </c>
      <c r="J995" t="s">
        <v>730</v>
      </c>
      <c r="K995" s="7">
        <v>45839</v>
      </c>
    </row>
    <row r="996" spans="1:11" hidden="1">
      <c r="A996" t="s">
        <v>39</v>
      </c>
      <c r="B996" t="s">
        <v>47</v>
      </c>
      <c r="C996" t="s">
        <v>13</v>
      </c>
      <c r="E996" t="s">
        <v>8</v>
      </c>
      <c r="F996" s="1" t="s">
        <v>2</v>
      </c>
      <c r="G996" s="1">
        <v>45878</v>
      </c>
      <c r="H996" t="s">
        <v>41</v>
      </c>
      <c r="I996" s="2">
        <v>109032.52</v>
      </c>
      <c r="J996" t="s">
        <v>731</v>
      </c>
      <c r="K996" s="7">
        <v>45870</v>
      </c>
    </row>
    <row r="997" spans="1:11" hidden="1">
      <c r="A997" t="s">
        <v>39</v>
      </c>
      <c r="B997" t="s">
        <v>47</v>
      </c>
      <c r="C997" t="s">
        <v>12</v>
      </c>
      <c r="E997" t="s">
        <v>8</v>
      </c>
      <c r="F997" s="1" t="s">
        <v>2</v>
      </c>
      <c r="G997" s="1">
        <v>45878</v>
      </c>
      <c r="H997" t="s">
        <v>41</v>
      </c>
      <c r="I997" s="2">
        <v>68970</v>
      </c>
      <c r="J997" t="s">
        <v>732</v>
      </c>
      <c r="K997" s="7">
        <v>45870</v>
      </c>
    </row>
    <row r="998" spans="1:11" hidden="1">
      <c r="A998" t="s">
        <v>39</v>
      </c>
      <c r="B998" t="s">
        <v>47</v>
      </c>
      <c r="C998" t="s">
        <v>12</v>
      </c>
      <c r="E998" t="s">
        <v>8</v>
      </c>
      <c r="F998" s="1" t="s">
        <v>2</v>
      </c>
      <c r="G998" s="1">
        <v>45878</v>
      </c>
      <c r="H998" t="s">
        <v>41</v>
      </c>
      <c r="I998" s="49">
        <v>50000</v>
      </c>
      <c r="J998" t="s">
        <v>199</v>
      </c>
      <c r="K998" s="7">
        <v>45870</v>
      </c>
    </row>
    <row r="999" spans="1:11" hidden="1">
      <c r="A999" t="s">
        <v>39</v>
      </c>
      <c r="B999" t="s">
        <v>40</v>
      </c>
      <c r="C999" t="s">
        <v>14</v>
      </c>
      <c r="E999" t="s">
        <v>8</v>
      </c>
      <c r="F999" s="1" t="s">
        <v>2</v>
      </c>
      <c r="G999" s="1">
        <v>45878</v>
      </c>
      <c r="H999" t="s">
        <v>41</v>
      </c>
      <c r="I999" s="2">
        <v>60000</v>
      </c>
      <c r="J999" t="s">
        <v>98</v>
      </c>
      <c r="K999" s="7">
        <v>45870</v>
      </c>
    </row>
    <row r="1000" spans="1:11" hidden="1">
      <c r="A1000" t="s">
        <v>39</v>
      </c>
      <c r="B1000" t="s">
        <v>63</v>
      </c>
      <c r="C1000" t="s">
        <v>14</v>
      </c>
      <c r="E1000" t="s">
        <v>8</v>
      </c>
      <c r="F1000" s="1" t="s">
        <v>2</v>
      </c>
      <c r="G1000" s="1">
        <v>45878</v>
      </c>
      <c r="H1000" t="s">
        <v>41</v>
      </c>
      <c r="I1000" s="2">
        <v>100000</v>
      </c>
      <c r="J1000" t="s">
        <v>201</v>
      </c>
      <c r="K1000" s="7">
        <v>45870</v>
      </c>
    </row>
    <row r="1001" spans="1:11" hidden="1">
      <c r="A1001" t="s">
        <v>39</v>
      </c>
      <c r="B1001" t="s">
        <v>63</v>
      </c>
      <c r="C1001" t="s">
        <v>14</v>
      </c>
      <c r="E1001" t="s">
        <v>8</v>
      </c>
      <c r="F1001" s="1" t="s">
        <v>2</v>
      </c>
      <c r="G1001" s="1">
        <v>45878</v>
      </c>
      <c r="H1001" t="s">
        <v>41</v>
      </c>
      <c r="I1001" s="49">
        <v>75848</v>
      </c>
      <c r="J1001" t="s">
        <v>679</v>
      </c>
      <c r="K1001" s="7">
        <v>45870</v>
      </c>
    </row>
    <row r="1002" spans="1:11" hidden="1">
      <c r="A1002" t="s">
        <v>39</v>
      </c>
      <c r="B1002" t="s">
        <v>63</v>
      </c>
      <c r="C1002" t="s">
        <v>13</v>
      </c>
      <c r="E1002" t="s">
        <v>8</v>
      </c>
      <c r="F1002" s="1" t="s">
        <v>2</v>
      </c>
      <c r="G1002" s="1">
        <v>45878</v>
      </c>
      <c r="H1002" t="s">
        <v>41</v>
      </c>
      <c r="I1002" s="2">
        <v>70000</v>
      </c>
      <c r="J1002" t="s">
        <v>131</v>
      </c>
      <c r="K1002" s="7">
        <v>45870</v>
      </c>
    </row>
    <row r="1003" spans="1:11" hidden="1">
      <c r="A1003" t="s">
        <v>114</v>
      </c>
      <c r="B1003" t="s">
        <v>63</v>
      </c>
      <c r="C1003" t="s">
        <v>13</v>
      </c>
      <c r="E1003" t="s">
        <v>8</v>
      </c>
      <c r="F1003" s="1" t="s">
        <v>2</v>
      </c>
      <c r="G1003" s="1">
        <v>45878</v>
      </c>
      <c r="H1003" t="s">
        <v>41</v>
      </c>
      <c r="I1003" s="2">
        <v>29035</v>
      </c>
      <c r="J1003" t="s">
        <v>156</v>
      </c>
      <c r="K1003" s="7">
        <v>45870</v>
      </c>
    </row>
    <row r="1004" spans="1:11" hidden="1">
      <c r="A1004" t="s">
        <v>99</v>
      </c>
      <c r="B1004" t="s">
        <v>63</v>
      </c>
      <c r="C1004" t="s">
        <v>14</v>
      </c>
      <c r="E1004" t="s">
        <v>8</v>
      </c>
      <c r="F1004" s="1" t="s">
        <v>2</v>
      </c>
      <c r="G1004" s="1">
        <v>45878</v>
      </c>
      <c r="H1004" t="s">
        <v>41</v>
      </c>
      <c r="I1004" s="2">
        <v>20000</v>
      </c>
      <c r="J1004" t="s">
        <v>733</v>
      </c>
      <c r="K1004" s="7">
        <v>45870</v>
      </c>
    </row>
    <row r="1005" spans="1:11" hidden="1">
      <c r="A1005" t="s">
        <v>39</v>
      </c>
      <c r="B1005" t="s">
        <v>63</v>
      </c>
      <c r="C1005" t="s">
        <v>13</v>
      </c>
      <c r="E1005" t="s">
        <v>8</v>
      </c>
      <c r="F1005" s="1" t="s">
        <v>2</v>
      </c>
      <c r="G1005" s="1">
        <v>45878</v>
      </c>
      <c r="H1005" t="s">
        <v>41</v>
      </c>
      <c r="I1005" s="2">
        <v>13577.82</v>
      </c>
      <c r="J1005" t="s">
        <v>469</v>
      </c>
      <c r="K1005" s="7">
        <v>45870</v>
      </c>
    </row>
    <row r="1006" spans="1:11" hidden="1">
      <c r="A1006" t="s">
        <v>39</v>
      </c>
      <c r="B1006" t="s">
        <v>63</v>
      </c>
      <c r="C1006" t="s">
        <v>12</v>
      </c>
      <c r="E1006" t="s">
        <v>8</v>
      </c>
      <c r="F1006" s="1" t="s">
        <v>2</v>
      </c>
      <c r="G1006" s="1">
        <v>45878</v>
      </c>
      <c r="H1006" t="s">
        <v>41</v>
      </c>
      <c r="I1006" s="2">
        <v>9362</v>
      </c>
      <c r="J1006" t="s">
        <v>734</v>
      </c>
      <c r="K1006" s="7">
        <v>45870</v>
      </c>
    </row>
    <row r="1007" spans="1:11" hidden="1">
      <c r="A1007" t="s">
        <v>39</v>
      </c>
      <c r="B1007" t="s">
        <v>63</v>
      </c>
      <c r="C1007" t="s">
        <v>14</v>
      </c>
      <c r="E1007" t="s">
        <v>8</v>
      </c>
      <c r="F1007" s="1" t="s">
        <v>2</v>
      </c>
      <c r="G1007" s="1">
        <v>45878</v>
      </c>
      <c r="H1007" t="s">
        <v>41</v>
      </c>
      <c r="I1007" s="2">
        <v>7457.99</v>
      </c>
      <c r="J1007" t="s">
        <v>149</v>
      </c>
      <c r="K1007" s="7">
        <v>45870</v>
      </c>
    </row>
    <row r="1008" spans="1:11" hidden="1">
      <c r="A1008" t="s">
        <v>39</v>
      </c>
      <c r="B1008" t="s">
        <v>63</v>
      </c>
      <c r="C1008" t="s">
        <v>14</v>
      </c>
      <c r="E1008" t="s">
        <v>8</v>
      </c>
      <c r="F1008" s="1" t="s">
        <v>2</v>
      </c>
      <c r="G1008" s="1">
        <v>45878</v>
      </c>
      <c r="H1008" t="s">
        <v>41</v>
      </c>
      <c r="I1008" s="2">
        <v>5273.04</v>
      </c>
      <c r="J1008" t="s">
        <v>149</v>
      </c>
      <c r="K1008" s="7">
        <v>45870</v>
      </c>
    </row>
    <row r="1009" spans="1:11" hidden="1">
      <c r="A1009" t="s">
        <v>39</v>
      </c>
      <c r="B1009" t="s">
        <v>63</v>
      </c>
      <c r="C1009" t="s">
        <v>14</v>
      </c>
      <c r="E1009" t="s">
        <v>8</v>
      </c>
      <c r="F1009" s="1" t="s">
        <v>2</v>
      </c>
      <c r="G1009" s="1">
        <v>45878</v>
      </c>
      <c r="H1009" t="s">
        <v>41</v>
      </c>
      <c r="I1009" s="2">
        <v>1682.46</v>
      </c>
      <c r="J1009" t="s">
        <v>149</v>
      </c>
      <c r="K1009" s="7">
        <v>45870</v>
      </c>
    </row>
    <row r="1010" spans="1:11" hidden="1">
      <c r="A1010" t="s">
        <v>56</v>
      </c>
      <c r="B1010" t="s">
        <v>40</v>
      </c>
      <c r="C1010" t="s">
        <v>14</v>
      </c>
      <c r="E1010" t="s">
        <v>9</v>
      </c>
      <c r="F1010" s="1" t="s">
        <v>2</v>
      </c>
      <c r="G1010" s="1">
        <v>45996</v>
      </c>
      <c r="H1010" t="s">
        <v>41</v>
      </c>
      <c r="I1010" s="2">
        <v>5430</v>
      </c>
      <c r="J1010" t="s">
        <v>735</v>
      </c>
      <c r="K1010" s="7">
        <v>45992</v>
      </c>
    </row>
    <row r="1011" spans="1:11" hidden="1">
      <c r="A1011" t="s">
        <v>39</v>
      </c>
      <c r="B1011" t="s">
        <v>40</v>
      </c>
      <c r="C1011" t="s">
        <v>14</v>
      </c>
      <c r="E1011" t="s">
        <v>9</v>
      </c>
      <c r="F1011" s="1" t="s">
        <v>3</v>
      </c>
      <c r="G1011" s="1">
        <v>46035</v>
      </c>
      <c r="H1011" t="s">
        <v>41</v>
      </c>
      <c r="I1011" s="2">
        <v>5411.74</v>
      </c>
      <c r="J1011" t="s">
        <v>736</v>
      </c>
      <c r="K1011" s="7">
        <v>46023</v>
      </c>
    </row>
    <row r="1012" spans="1:11" hidden="1">
      <c r="A1012" t="s">
        <v>39</v>
      </c>
      <c r="B1012" t="s">
        <v>40</v>
      </c>
      <c r="C1012" t="s">
        <v>14</v>
      </c>
      <c r="D1012">
        <v>10027116</v>
      </c>
      <c r="E1012" t="s">
        <v>9</v>
      </c>
      <c r="F1012" s="1" t="s">
        <v>4</v>
      </c>
      <c r="G1012" s="1">
        <v>45857</v>
      </c>
      <c r="H1012" t="s">
        <v>41</v>
      </c>
      <c r="I1012" s="2">
        <v>2263.13</v>
      </c>
      <c r="J1012" t="s">
        <v>97</v>
      </c>
      <c r="K1012" s="7">
        <v>45839</v>
      </c>
    </row>
    <row r="1013" spans="1:11" hidden="1">
      <c r="A1013" t="s">
        <v>39</v>
      </c>
      <c r="B1013" t="s">
        <v>40</v>
      </c>
      <c r="C1013" t="s">
        <v>14</v>
      </c>
      <c r="E1013" t="s">
        <v>9</v>
      </c>
      <c r="F1013" s="1" t="s">
        <v>2</v>
      </c>
      <c r="G1013" s="1">
        <v>45841</v>
      </c>
      <c r="H1013" t="s">
        <v>41</v>
      </c>
      <c r="I1013" s="2">
        <v>5404</v>
      </c>
      <c r="J1013" t="s">
        <v>737</v>
      </c>
      <c r="K1013" s="7">
        <v>45839</v>
      </c>
    </row>
    <row r="1014" spans="1:11" hidden="1">
      <c r="A1014" t="s">
        <v>56</v>
      </c>
      <c r="B1014" t="s">
        <v>40</v>
      </c>
      <c r="C1014" t="s">
        <v>12</v>
      </c>
      <c r="E1014" t="s">
        <v>9</v>
      </c>
      <c r="F1014" s="1" t="s">
        <v>2</v>
      </c>
      <c r="G1014" s="1">
        <v>45968</v>
      </c>
      <c r="H1014" t="s">
        <v>41</v>
      </c>
      <c r="I1014" s="2">
        <v>5400</v>
      </c>
      <c r="J1014" t="s">
        <v>703</v>
      </c>
      <c r="K1014" s="7">
        <v>45962</v>
      </c>
    </row>
    <row r="1015" spans="1:11" hidden="1">
      <c r="A1015" t="s">
        <v>39</v>
      </c>
      <c r="B1015" t="s">
        <v>63</v>
      </c>
      <c r="C1015" t="s">
        <v>14</v>
      </c>
      <c r="D1015" t="s">
        <v>738</v>
      </c>
      <c r="E1015" t="s">
        <v>9</v>
      </c>
      <c r="F1015" s="1" t="s">
        <v>3</v>
      </c>
      <c r="G1015" s="1">
        <v>45912</v>
      </c>
      <c r="H1015" t="s">
        <v>41</v>
      </c>
      <c r="I1015" s="2">
        <v>5389.78</v>
      </c>
      <c r="J1015" t="s">
        <v>383</v>
      </c>
      <c r="K1015" s="7">
        <v>45901</v>
      </c>
    </row>
    <row r="1016" spans="1:11" hidden="1">
      <c r="A1016" t="s">
        <v>39</v>
      </c>
      <c r="B1016" t="s">
        <v>40</v>
      </c>
      <c r="C1016" t="s">
        <v>14</v>
      </c>
      <c r="D1016">
        <v>10027126</v>
      </c>
      <c r="E1016" t="s">
        <v>9</v>
      </c>
      <c r="F1016" s="1" t="s">
        <v>4</v>
      </c>
      <c r="G1016" s="1">
        <v>45857</v>
      </c>
      <c r="H1016" t="s">
        <v>41</v>
      </c>
      <c r="I1016" s="2">
        <v>630</v>
      </c>
      <c r="J1016" t="s">
        <v>739</v>
      </c>
      <c r="K1016" s="7">
        <v>45839</v>
      </c>
    </row>
    <row r="1017" spans="1:11" hidden="1">
      <c r="A1017" t="s">
        <v>114</v>
      </c>
      <c r="B1017" t="s">
        <v>63</v>
      </c>
      <c r="C1017" t="s">
        <v>12</v>
      </c>
      <c r="D1017">
        <v>15233</v>
      </c>
      <c r="E1017" t="s">
        <v>9</v>
      </c>
      <c r="F1017" s="1" t="s">
        <v>6</v>
      </c>
      <c r="G1017" s="1">
        <v>45929</v>
      </c>
      <c r="H1017" t="s">
        <v>41</v>
      </c>
      <c r="I1017" s="2">
        <v>5360.48</v>
      </c>
      <c r="J1017" t="s">
        <v>269</v>
      </c>
      <c r="K1017" s="7">
        <v>45901</v>
      </c>
    </row>
    <row r="1018" spans="1:11" hidden="1">
      <c r="A1018" t="s">
        <v>56</v>
      </c>
      <c r="B1018" t="s">
        <v>40</v>
      </c>
      <c r="C1018" t="s">
        <v>14</v>
      </c>
      <c r="D1018">
        <v>10832</v>
      </c>
      <c r="E1018" t="s">
        <v>9</v>
      </c>
      <c r="F1018" s="1" t="s">
        <v>2</v>
      </c>
      <c r="G1018" s="1">
        <v>45967</v>
      </c>
      <c r="H1018" t="s">
        <v>41</v>
      </c>
      <c r="I1018" s="2">
        <v>5355</v>
      </c>
      <c r="J1018" t="s">
        <v>740</v>
      </c>
      <c r="K1018" s="7">
        <v>45962</v>
      </c>
    </row>
    <row r="1019" spans="1:11" hidden="1">
      <c r="A1019" t="s">
        <v>39</v>
      </c>
      <c r="B1019" t="s">
        <v>40</v>
      </c>
      <c r="C1019" t="s">
        <v>14</v>
      </c>
      <c r="D1019">
        <v>10027117</v>
      </c>
      <c r="E1019" t="s">
        <v>9</v>
      </c>
      <c r="F1019" s="1" t="s">
        <v>4</v>
      </c>
      <c r="G1019" s="1">
        <v>45857</v>
      </c>
      <c r="H1019" t="s">
        <v>41</v>
      </c>
      <c r="I1019" s="2">
        <v>199</v>
      </c>
      <c r="J1019" t="s">
        <v>741</v>
      </c>
      <c r="K1019" s="7">
        <v>45839</v>
      </c>
    </row>
    <row r="1020" spans="1:11" hidden="1">
      <c r="A1020" t="s">
        <v>39</v>
      </c>
      <c r="B1020" t="s">
        <v>40</v>
      </c>
      <c r="C1020" t="s">
        <v>14</v>
      </c>
      <c r="E1020" t="s">
        <v>9</v>
      </c>
      <c r="F1020" s="1" t="s">
        <v>4</v>
      </c>
      <c r="G1020" s="1">
        <v>45886</v>
      </c>
      <c r="H1020" t="s">
        <v>64</v>
      </c>
      <c r="I1020" s="2">
        <v>199.46</v>
      </c>
      <c r="J1020" t="s">
        <v>742</v>
      </c>
      <c r="K1020" s="7">
        <v>45870</v>
      </c>
    </row>
    <row r="1021" spans="1:11" hidden="1">
      <c r="A1021" t="s">
        <v>39</v>
      </c>
      <c r="B1021" t="s">
        <v>40</v>
      </c>
      <c r="C1021" t="s">
        <v>14</v>
      </c>
      <c r="E1021" t="s">
        <v>9</v>
      </c>
      <c r="F1021" s="1" t="s">
        <v>3</v>
      </c>
      <c r="G1021" s="1">
        <v>45912</v>
      </c>
      <c r="H1021" t="s">
        <v>41</v>
      </c>
      <c r="I1021" s="2">
        <v>5270</v>
      </c>
      <c r="J1021" t="s">
        <v>743</v>
      </c>
      <c r="K1021" s="7">
        <v>45901</v>
      </c>
    </row>
    <row r="1022" spans="1:11" hidden="1">
      <c r="A1022" t="s">
        <v>39</v>
      </c>
      <c r="B1022" t="s">
        <v>40</v>
      </c>
      <c r="C1022" t="s">
        <v>14</v>
      </c>
      <c r="E1022" t="s">
        <v>9</v>
      </c>
      <c r="F1022" s="1" t="s">
        <v>2</v>
      </c>
      <c r="G1022" s="1">
        <v>45842</v>
      </c>
      <c r="H1022" t="s">
        <v>41</v>
      </c>
      <c r="I1022" s="2">
        <v>5269</v>
      </c>
      <c r="J1022" t="s">
        <v>744</v>
      </c>
      <c r="K1022" s="7">
        <v>45839</v>
      </c>
    </row>
    <row r="1023" spans="1:11" hidden="1">
      <c r="A1023" t="s">
        <v>99</v>
      </c>
      <c r="B1023" t="s">
        <v>63</v>
      </c>
      <c r="C1023" t="s">
        <v>14</v>
      </c>
      <c r="E1023" t="s">
        <v>9</v>
      </c>
      <c r="F1023" s="1" t="s">
        <v>2</v>
      </c>
      <c r="G1023" s="1">
        <v>45935</v>
      </c>
      <c r="H1023" t="s">
        <v>41</v>
      </c>
      <c r="I1023" s="2">
        <v>5223.75</v>
      </c>
      <c r="J1023" t="s">
        <v>745</v>
      </c>
      <c r="K1023" s="7">
        <v>45931</v>
      </c>
    </row>
    <row r="1024" spans="1:11" hidden="1">
      <c r="A1024" t="s">
        <v>39</v>
      </c>
      <c r="B1024" t="s">
        <v>40</v>
      </c>
      <c r="C1024" t="s">
        <v>14</v>
      </c>
      <c r="E1024" t="s">
        <v>9</v>
      </c>
      <c r="F1024" s="1" t="s">
        <v>5</v>
      </c>
      <c r="G1024" s="1">
        <v>45898</v>
      </c>
      <c r="H1024" t="s">
        <v>41</v>
      </c>
      <c r="I1024" s="2">
        <v>5200</v>
      </c>
      <c r="J1024" t="s">
        <v>746</v>
      </c>
      <c r="K1024" s="7">
        <v>45870</v>
      </c>
    </row>
    <row r="1025" spans="1:11" hidden="1">
      <c r="A1025" t="s">
        <v>39</v>
      </c>
      <c r="B1025" t="s">
        <v>40</v>
      </c>
      <c r="C1025" t="s">
        <v>14</v>
      </c>
      <c r="D1025">
        <v>10027614</v>
      </c>
      <c r="E1025" t="s">
        <v>9</v>
      </c>
      <c r="F1025" s="1" t="s">
        <v>5</v>
      </c>
      <c r="G1025" s="1">
        <v>45924</v>
      </c>
      <c r="H1025" t="s">
        <v>41</v>
      </c>
      <c r="I1025" s="2">
        <v>5200</v>
      </c>
      <c r="J1025" t="s">
        <v>747</v>
      </c>
      <c r="K1025" s="7">
        <v>45901</v>
      </c>
    </row>
    <row r="1026" spans="1:11" hidden="1">
      <c r="A1026" t="s">
        <v>39</v>
      </c>
      <c r="B1026" t="s">
        <v>40</v>
      </c>
      <c r="C1026" t="s">
        <v>14</v>
      </c>
      <c r="D1026">
        <v>10027678</v>
      </c>
      <c r="E1026" t="s">
        <v>9</v>
      </c>
      <c r="F1026" s="1" t="s">
        <v>2</v>
      </c>
      <c r="G1026" s="1">
        <v>45931</v>
      </c>
      <c r="H1026" t="s">
        <v>41</v>
      </c>
      <c r="I1026" s="2">
        <v>5200</v>
      </c>
      <c r="J1026" t="s">
        <v>748</v>
      </c>
      <c r="K1026" s="7">
        <v>45931</v>
      </c>
    </row>
    <row r="1027" spans="1:11" hidden="1">
      <c r="A1027" t="s">
        <v>39</v>
      </c>
      <c r="B1027" t="s">
        <v>40</v>
      </c>
      <c r="C1027" t="s">
        <v>14</v>
      </c>
      <c r="D1027">
        <v>10027879</v>
      </c>
      <c r="E1027" t="s">
        <v>9</v>
      </c>
      <c r="F1027" s="1" t="s">
        <v>2</v>
      </c>
      <c r="G1027" s="1">
        <v>45963</v>
      </c>
      <c r="H1027" t="s">
        <v>41</v>
      </c>
      <c r="I1027" s="2">
        <v>5200</v>
      </c>
      <c r="J1027" t="s">
        <v>748</v>
      </c>
      <c r="K1027" s="7">
        <v>45962</v>
      </c>
    </row>
    <row r="1028" spans="1:11" hidden="1">
      <c r="A1028" t="s">
        <v>39</v>
      </c>
      <c r="B1028" t="s">
        <v>63</v>
      </c>
      <c r="C1028" t="s">
        <v>14</v>
      </c>
      <c r="E1028" t="s">
        <v>9</v>
      </c>
      <c r="F1028" s="1" t="s">
        <v>3</v>
      </c>
      <c r="G1028" s="1">
        <v>46002</v>
      </c>
      <c r="H1028" t="s">
        <v>41</v>
      </c>
      <c r="I1028" s="2">
        <v>5159.1099999999997</v>
      </c>
      <c r="J1028" s="47" t="s">
        <v>749</v>
      </c>
      <c r="K1028" s="7">
        <v>45992</v>
      </c>
    </row>
    <row r="1029" spans="1:11" hidden="1">
      <c r="A1029" t="s">
        <v>39</v>
      </c>
      <c r="B1029" t="s">
        <v>47</v>
      </c>
      <c r="C1029" t="s">
        <v>14</v>
      </c>
      <c r="E1029" t="s">
        <v>9</v>
      </c>
      <c r="F1029" s="1" t="s">
        <v>6</v>
      </c>
      <c r="G1029" s="1">
        <v>45961</v>
      </c>
      <c r="H1029" t="s">
        <v>41</v>
      </c>
      <c r="I1029" s="2">
        <v>5150</v>
      </c>
      <c r="J1029" t="s">
        <v>750</v>
      </c>
      <c r="K1029" s="7">
        <v>45931</v>
      </c>
    </row>
    <row r="1030" spans="1:11" hidden="1">
      <c r="A1030" t="s">
        <v>39</v>
      </c>
      <c r="B1030" t="s">
        <v>47</v>
      </c>
      <c r="C1030" t="s">
        <v>14</v>
      </c>
      <c r="E1030" t="s">
        <v>9</v>
      </c>
      <c r="F1030" s="1" t="s">
        <v>5</v>
      </c>
      <c r="G1030" s="1">
        <v>45951</v>
      </c>
      <c r="H1030" t="s">
        <v>41</v>
      </c>
      <c r="I1030" s="2">
        <v>5147.3500000000004</v>
      </c>
      <c r="J1030" t="s">
        <v>751</v>
      </c>
      <c r="K1030" s="7">
        <v>45931</v>
      </c>
    </row>
    <row r="1031" spans="1:11" hidden="1">
      <c r="A1031" t="s">
        <v>39</v>
      </c>
      <c r="B1031" t="s">
        <v>47</v>
      </c>
      <c r="C1031" t="s">
        <v>14</v>
      </c>
      <c r="E1031" t="s">
        <v>9</v>
      </c>
      <c r="F1031" s="1" t="s">
        <v>4</v>
      </c>
      <c r="G1031" s="1">
        <v>45887</v>
      </c>
      <c r="H1031" t="s">
        <v>64</v>
      </c>
      <c r="I1031" s="2">
        <f>52657619/510</f>
        <v>103250.23333333334</v>
      </c>
      <c r="J1031" t="s">
        <v>752</v>
      </c>
      <c r="K1031" s="7">
        <v>45870</v>
      </c>
    </row>
    <row r="1032" spans="1:11" hidden="1">
      <c r="A1032" t="s">
        <v>39</v>
      </c>
      <c r="B1032" t="s">
        <v>40</v>
      </c>
      <c r="C1032" t="s">
        <v>14</v>
      </c>
      <c r="E1032" t="s">
        <v>9</v>
      </c>
      <c r="F1032" s="1" t="s">
        <v>3</v>
      </c>
      <c r="G1032" s="1">
        <v>46001</v>
      </c>
      <c r="H1032" t="s">
        <v>41</v>
      </c>
      <c r="I1032" s="2">
        <v>5120</v>
      </c>
      <c r="J1032" s="47" t="s">
        <v>753</v>
      </c>
      <c r="K1032" s="7">
        <v>45992</v>
      </c>
    </row>
    <row r="1033" spans="1:11" hidden="1">
      <c r="A1033" t="s">
        <v>56</v>
      </c>
      <c r="B1033" t="s">
        <v>40</v>
      </c>
      <c r="C1033" t="s">
        <v>14</v>
      </c>
      <c r="D1033">
        <v>10819</v>
      </c>
      <c r="E1033" t="s">
        <v>9</v>
      </c>
      <c r="F1033" s="1" t="s">
        <v>2</v>
      </c>
      <c r="G1033" s="1">
        <v>45967</v>
      </c>
      <c r="H1033" t="s">
        <v>41</v>
      </c>
      <c r="I1033" s="2">
        <v>5102.8999999999996</v>
      </c>
      <c r="J1033" t="s">
        <v>754</v>
      </c>
      <c r="K1033" s="7">
        <v>45962</v>
      </c>
    </row>
    <row r="1034" spans="1:11" hidden="1">
      <c r="A1034" t="s">
        <v>39</v>
      </c>
      <c r="B1034" t="s">
        <v>45</v>
      </c>
      <c r="C1034" t="s">
        <v>14</v>
      </c>
      <c r="E1034" t="s">
        <v>9</v>
      </c>
      <c r="F1034" s="1" t="s">
        <v>2</v>
      </c>
      <c r="G1034" s="1">
        <v>46059</v>
      </c>
      <c r="H1034" t="s">
        <v>41</v>
      </c>
      <c r="I1034" s="2">
        <v>4200.33</v>
      </c>
      <c r="J1034" t="s">
        <v>353</v>
      </c>
      <c r="K1034" s="7">
        <v>46054</v>
      </c>
    </row>
    <row r="1035" spans="1:11" hidden="1">
      <c r="A1035" t="s">
        <v>39</v>
      </c>
      <c r="B1035" t="s">
        <v>45</v>
      </c>
      <c r="C1035" t="s">
        <v>14</v>
      </c>
      <c r="E1035" t="s">
        <v>8</v>
      </c>
      <c r="F1035" s="1" t="s">
        <v>3</v>
      </c>
      <c r="G1035" s="1">
        <v>45883</v>
      </c>
      <c r="H1035" t="s">
        <v>41</v>
      </c>
      <c r="I1035" s="2">
        <v>21839.46</v>
      </c>
      <c r="J1035" t="s">
        <v>163</v>
      </c>
      <c r="K1035" s="7">
        <v>45870</v>
      </c>
    </row>
    <row r="1036" spans="1:11" hidden="1">
      <c r="A1036" t="s">
        <v>39</v>
      </c>
      <c r="B1036" t="s">
        <v>47</v>
      </c>
      <c r="C1036" t="s">
        <v>13</v>
      </c>
      <c r="E1036" t="s">
        <v>9</v>
      </c>
      <c r="F1036" s="1" t="s">
        <v>4</v>
      </c>
      <c r="G1036" s="1">
        <v>45887</v>
      </c>
      <c r="H1036" t="s">
        <v>41</v>
      </c>
      <c r="I1036" s="2">
        <v>30000</v>
      </c>
      <c r="J1036" t="s">
        <v>180</v>
      </c>
      <c r="K1036" s="7">
        <v>45870</v>
      </c>
    </row>
    <row r="1037" spans="1:11" hidden="1">
      <c r="A1037" t="s">
        <v>39</v>
      </c>
      <c r="B1037" t="s">
        <v>63</v>
      </c>
      <c r="C1037" t="s">
        <v>12</v>
      </c>
      <c r="D1037">
        <v>10027179</v>
      </c>
      <c r="E1037" t="s">
        <v>9</v>
      </c>
      <c r="F1037" s="1" t="s">
        <v>6</v>
      </c>
      <c r="G1037" s="1">
        <v>45867</v>
      </c>
      <c r="H1037" t="s">
        <v>41</v>
      </c>
      <c r="I1037" s="2">
        <v>5056.58</v>
      </c>
      <c r="J1037" t="s">
        <v>755</v>
      </c>
      <c r="K1037" s="7">
        <v>45839</v>
      </c>
    </row>
    <row r="1038" spans="1:11" hidden="1">
      <c r="A1038" t="s">
        <v>39</v>
      </c>
      <c r="B1038" t="s">
        <v>47</v>
      </c>
      <c r="C1038" t="s">
        <v>12</v>
      </c>
      <c r="D1038">
        <v>10026928</v>
      </c>
      <c r="E1038" t="s">
        <v>9</v>
      </c>
      <c r="F1038" s="1" t="s">
        <v>5</v>
      </c>
      <c r="G1038" s="1">
        <v>45834</v>
      </c>
      <c r="H1038" t="s">
        <v>41</v>
      </c>
      <c r="I1038" s="2">
        <v>5025.72</v>
      </c>
      <c r="J1038" t="s">
        <v>756</v>
      </c>
      <c r="K1038" s="7">
        <v>45809</v>
      </c>
    </row>
    <row r="1039" spans="1:11" hidden="1">
      <c r="A1039" t="s">
        <v>39</v>
      </c>
      <c r="B1039" t="s">
        <v>63</v>
      </c>
      <c r="C1039" t="s">
        <v>14</v>
      </c>
      <c r="D1039">
        <v>10026653</v>
      </c>
      <c r="E1039" t="s">
        <v>9</v>
      </c>
      <c r="F1039" s="1" t="s">
        <v>5</v>
      </c>
      <c r="G1039" s="1">
        <v>45799</v>
      </c>
      <c r="H1039" t="s">
        <v>41</v>
      </c>
      <c r="I1039" s="2">
        <v>5024.2</v>
      </c>
      <c r="J1039" t="s">
        <v>481</v>
      </c>
      <c r="K1039" s="7">
        <v>45778</v>
      </c>
    </row>
    <row r="1040" spans="1:11" hidden="1">
      <c r="A1040" t="s">
        <v>39</v>
      </c>
      <c r="B1040" t="s">
        <v>47</v>
      </c>
      <c r="C1040" t="s">
        <v>12</v>
      </c>
      <c r="E1040" t="s">
        <v>9</v>
      </c>
      <c r="F1040" s="1" t="s">
        <v>2</v>
      </c>
      <c r="G1040" s="1">
        <v>45841</v>
      </c>
      <c r="H1040" t="s">
        <v>41</v>
      </c>
      <c r="I1040" s="2">
        <v>5017.6899999999996</v>
      </c>
      <c r="J1040" t="s">
        <v>757</v>
      </c>
      <c r="K1040" s="7">
        <v>45839</v>
      </c>
    </row>
    <row r="1041" spans="1:11" hidden="1">
      <c r="A1041" t="s">
        <v>56</v>
      </c>
      <c r="B1041" t="s">
        <v>40</v>
      </c>
      <c r="C1041" t="s">
        <v>12</v>
      </c>
      <c r="E1041" t="s">
        <v>9</v>
      </c>
      <c r="F1041" s="1" t="s">
        <v>4</v>
      </c>
      <c r="G1041" s="1">
        <v>45887</v>
      </c>
      <c r="H1041" t="s">
        <v>41</v>
      </c>
      <c r="I1041" s="2">
        <v>10000</v>
      </c>
      <c r="J1041" t="s">
        <v>758</v>
      </c>
      <c r="K1041" s="7">
        <v>45870</v>
      </c>
    </row>
    <row r="1042" spans="1:11" hidden="1">
      <c r="A1042" t="s">
        <v>56</v>
      </c>
      <c r="B1042" t="s">
        <v>40</v>
      </c>
      <c r="C1042" t="s">
        <v>14</v>
      </c>
      <c r="D1042">
        <v>10765</v>
      </c>
      <c r="E1042" t="s">
        <v>9</v>
      </c>
      <c r="F1042" s="1" t="s">
        <v>4</v>
      </c>
      <c r="G1042" s="1">
        <v>45887</v>
      </c>
      <c r="H1042" t="s">
        <v>41</v>
      </c>
      <c r="I1042" s="2">
        <v>10000</v>
      </c>
      <c r="J1042" t="s">
        <v>759</v>
      </c>
      <c r="K1042" s="7">
        <v>45870</v>
      </c>
    </row>
    <row r="1043" spans="1:11" hidden="1">
      <c r="A1043" t="s">
        <v>39</v>
      </c>
      <c r="B1043" t="s">
        <v>40</v>
      </c>
      <c r="C1043" t="s">
        <v>14</v>
      </c>
      <c r="D1043">
        <v>10027381</v>
      </c>
      <c r="E1043" t="s">
        <v>9</v>
      </c>
      <c r="F1043" s="1" t="s">
        <v>4</v>
      </c>
      <c r="G1043" s="1">
        <v>45887</v>
      </c>
      <c r="H1043" t="s">
        <v>41</v>
      </c>
      <c r="I1043" s="2">
        <v>5380</v>
      </c>
      <c r="J1043" t="s">
        <v>760</v>
      </c>
      <c r="K1043" s="7">
        <v>45870</v>
      </c>
    </row>
    <row r="1044" spans="1:11" hidden="1">
      <c r="A1044" t="s">
        <v>114</v>
      </c>
      <c r="B1044" t="s">
        <v>63</v>
      </c>
      <c r="C1044" t="s">
        <v>13</v>
      </c>
      <c r="E1044" t="s">
        <v>9</v>
      </c>
      <c r="F1044" s="1" t="s">
        <v>5</v>
      </c>
      <c r="G1044" s="1">
        <v>45802</v>
      </c>
      <c r="H1044" t="s">
        <v>41</v>
      </c>
      <c r="I1044" s="2">
        <v>5000</v>
      </c>
      <c r="J1044" t="s">
        <v>761</v>
      </c>
      <c r="K1044" s="7">
        <v>45778</v>
      </c>
    </row>
    <row r="1045" spans="1:11" hidden="1">
      <c r="A1045" t="s">
        <v>39</v>
      </c>
      <c r="B1045" t="s">
        <v>40</v>
      </c>
      <c r="C1045" t="s">
        <v>14</v>
      </c>
      <c r="E1045" t="s">
        <v>9</v>
      </c>
      <c r="F1045" s="1" t="s">
        <v>5</v>
      </c>
      <c r="G1045" s="1">
        <v>45802</v>
      </c>
      <c r="H1045" t="s">
        <v>41</v>
      </c>
      <c r="I1045" s="2">
        <v>5000</v>
      </c>
      <c r="J1045" t="s">
        <v>762</v>
      </c>
      <c r="K1045" s="7">
        <v>45778</v>
      </c>
    </row>
    <row r="1046" spans="1:11" hidden="1">
      <c r="A1046" t="s">
        <v>39</v>
      </c>
      <c r="B1046" t="s">
        <v>40</v>
      </c>
      <c r="C1046" t="s">
        <v>12</v>
      </c>
      <c r="E1046" t="s">
        <v>9</v>
      </c>
      <c r="F1046" s="1" t="s">
        <v>6</v>
      </c>
      <c r="G1046" s="1">
        <v>45803</v>
      </c>
      <c r="H1046" t="s">
        <v>41</v>
      </c>
      <c r="I1046" s="2">
        <v>5000</v>
      </c>
      <c r="J1046" t="s">
        <v>762</v>
      </c>
      <c r="K1046" s="7">
        <v>45778</v>
      </c>
    </row>
    <row r="1047" spans="1:11" hidden="1">
      <c r="A1047" t="s">
        <v>39</v>
      </c>
      <c r="B1047" t="s">
        <v>40</v>
      </c>
      <c r="C1047" t="s">
        <v>14</v>
      </c>
      <c r="E1047" t="s">
        <v>9</v>
      </c>
      <c r="F1047" s="1" t="s">
        <v>6</v>
      </c>
      <c r="G1047" s="1">
        <v>45804</v>
      </c>
      <c r="H1047" t="s">
        <v>41</v>
      </c>
      <c r="I1047" s="2">
        <v>5000</v>
      </c>
      <c r="J1047" t="s">
        <v>762</v>
      </c>
      <c r="K1047" s="7">
        <v>45778</v>
      </c>
    </row>
    <row r="1048" spans="1:11" hidden="1">
      <c r="A1048" t="s">
        <v>39</v>
      </c>
      <c r="B1048" t="s">
        <v>40</v>
      </c>
      <c r="C1048" t="s">
        <v>12</v>
      </c>
      <c r="E1048" t="s">
        <v>9</v>
      </c>
      <c r="F1048" s="1" t="s">
        <v>3</v>
      </c>
      <c r="G1048" s="1">
        <v>45819</v>
      </c>
      <c r="H1048" t="s">
        <v>41</v>
      </c>
      <c r="I1048" s="2">
        <v>5000</v>
      </c>
      <c r="J1048" t="s">
        <v>511</v>
      </c>
      <c r="K1048" s="7">
        <v>45809</v>
      </c>
    </row>
    <row r="1049" spans="1:11" hidden="1">
      <c r="A1049" t="s">
        <v>39</v>
      </c>
      <c r="B1049" t="s">
        <v>40</v>
      </c>
      <c r="C1049" t="s">
        <v>12</v>
      </c>
      <c r="E1049" t="s">
        <v>9</v>
      </c>
      <c r="F1049" s="1" t="s">
        <v>3</v>
      </c>
      <c r="G1049" s="1">
        <v>45821</v>
      </c>
      <c r="H1049" t="s">
        <v>41</v>
      </c>
      <c r="I1049" s="2">
        <v>5000</v>
      </c>
      <c r="J1049" t="s">
        <v>367</v>
      </c>
      <c r="K1049" s="7">
        <v>45809</v>
      </c>
    </row>
    <row r="1050" spans="1:11" hidden="1">
      <c r="A1050" t="s">
        <v>39</v>
      </c>
      <c r="B1050" t="s">
        <v>40</v>
      </c>
      <c r="C1050" t="s">
        <v>14</v>
      </c>
      <c r="E1050" t="s">
        <v>9</v>
      </c>
      <c r="F1050" s="1" t="s">
        <v>3</v>
      </c>
      <c r="G1050" s="1">
        <v>45821</v>
      </c>
      <c r="H1050" t="s">
        <v>41</v>
      </c>
      <c r="I1050" s="2">
        <v>5000</v>
      </c>
      <c r="J1050" t="s">
        <v>373</v>
      </c>
      <c r="K1050" s="7">
        <v>45809</v>
      </c>
    </row>
    <row r="1051" spans="1:11" hidden="1">
      <c r="A1051" t="s">
        <v>39</v>
      </c>
      <c r="B1051" t="s">
        <v>40</v>
      </c>
      <c r="C1051" t="s">
        <v>14</v>
      </c>
      <c r="E1051" t="s">
        <v>9</v>
      </c>
      <c r="F1051" s="1" t="s">
        <v>3</v>
      </c>
      <c r="G1051" s="1">
        <v>45822</v>
      </c>
      <c r="H1051" t="s">
        <v>41</v>
      </c>
      <c r="I1051" s="2">
        <v>5000</v>
      </c>
      <c r="J1051" t="s">
        <v>370</v>
      </c>
      <c r="K1051" s="7">
        <v>45809</v>
      </c>
    </row>
    <row r="1052" spans="1:11" hidden="1">
      <c r="A1052" t="s">
        <v>39</v>
      </c>
      <c r="B1052" t="s">
        <v>40</v>
      </c>
      <c r="C1052" t="s">
        <v>14</v>
      </c>
      <c r="E1052" t="s">
        <v>9</v>
      </c>
      <c r="F1052" s="1" t="s">
        <v>3</v>
      </c>
      <c r="G1052" s="1">
        <v>45823</v>
      </c>
      <c r="H1052" t="s">
        <v>41</v>
      </c>
      <c r="I1052" s="2">
        <v>5000</v>
      </c>
      <c r="J1052" t="s">
        <v>370</v>
      </c>
      <c r="K1052" s="7">
        <v>45809</v>
      </c>
    </row>
    <row r="1053" spans="1:11" hidden="1">
      <c r="A1053" t="s">
        <v>39</v>
      </c>
      <c r="B1053" t="s">
        <v>47</v>
      </c>
      <c r="C1053" t="s">
        <v>12</v>
      </c>
      <c r="E1053" t="s">
        <v>8</v>
      </c>
      <c r="F1053" s="1" t="s">
        <v>3</v>
      </c>
      <c r="G1053" s="1">
        <v>45885</v>
      </c>
      <c r="H1053" t="s">
        <v>41</v>
      </c>
      <c r="I1053" s="2">
        <v>474858</v>
      </c>
      <c r="J1053" t="s">
        <v>763</v>
      </c>
      <c r="K1053" s="7">
        <v>45870</v>
      </c>
    </row>
    <row r="1054" spans="1:11" hidden="1">
      <c r="A1054" t="s">
        <v>39</v>
      </c>
      <c r="B1054" t="s">
        <v>40</v>
      </c>
      <c r="C1054" t="s">
        <v>14</v>
      </c>
      <c r="E1054" t="s">
        <v>8</v>
      </c>
      <c r="F1054" s="1" t="s">
        <v>3</v>
      </c>
      <c r="G1054" s="1">
        <v>45885</v>
      </c>
      <c r="H1054" t="s">
        <v>41</v>
      </c>
      <c r="I1054" s="2">
        <v>60000</v>
      </c>
      <c r="J1054" t="s">
        <v>98</v>
      </c>
      <c r="K1054" s="7">
        <v>45870</v>
      </c>
    </row>
    <row r="1055" spans="1:11" hidden="1">
      <c r="A1055" t="s">
        <v>39</v>
      </c>
      <c r="B1055" t="s">
        <v>47</v>
      </c>
      <c r="C1055" t="s">
        <v>14</v>
      </c>
      <c r="E1055" t="s">
        <v>8</v>
      </c>
      <c r="F1055" s="1" t="s">
        <v>3</v>
      </c>
      <c r="G1055" s="1">
        <v>45885</v>
      </c>
      <c r="H1055" t="s">
        <v>41</v>
      </c>
      <c r="I1055" s="2">
        <v>88267</v>
      </c>
      <c r="J1055" t="s">
        <v>180</v>
      </c>
      <c r="K1055" s="7">
        <v>45870</v>
      </c>
    </row>
    <row r="1056" spans="1:11" hidden="1">
      <c r="A1056" t="s">
        <v>39</v>
      </c>
      <c r="B1056" t="s">
        <v>47</v>
      </c>
      <c r="C1056" t="s">
        <v>14</v>
      </c>
      <c r="E1056" t="s">
        <v>8</v>
      </c>
      <c r="F1056" s="1" t="s">
        <v>3</v>
      </c>
      <c r="G1056" s="1">
        <v>45885</v>
      </c>
      <c r="H1056" t="s">
        <v>41</v>
      </c>
      <c r="I1056" s="2">
        <v>51078.28</v>
      </c>
      <c r="J1056" t="s">
        <v>194</v>
      </c>
      <c r="K1056" s="7">
        <v>45870</v>
      </c>
    </row>
    <row r="1057" spans="1:11" hidden="1">
      <c r="A1057" t="s">
        <v>39</v>
      </c>
      <c r="B1057" t="s">
        <v>47</v>
      </c>
      <c r="C1057" t="s">
        <v>12</v>
      </c>
      <c r="E1057" t="s">
        <v>8</v>
      </c>
      <c r="F1057" s="1" t="s">
        <v>3</v>
      </c>
      <c r="G1057" s="1">
        <v>45885</v>
      </c>
      <c r="H1057" t="s">
        <v>41</v>
      </c>
      <c r="I1057" s="2">
        <v>47250</v>
      </c>
      <c r="J1057" t="s">
        <v>764</v>
      </c>
      <c r="K1057" s="7">
        <v>45870</v>
      </c>
    </row>
    <row r="1058" spans="1:11" hidden="1">
      <c r="A1058" t="s">
        <v>39</v>
      </c>
      <c r="B1058" t="s">
        <v>47</v>
      </c>
      <c r="C1058" t="s">
        <v>14</v>
      </c>
      <c r="E1058" t="s">
        <v>8</v>
      </c>
      <c r="F1058" s="1" t="s">
        <v>3</v>
      </c>
      <c r="G1058" s="1">
        <v>45885</v>
      </c>
      <c r="H1058" t="s">
        <v>41</v>
      </c>
      <c r="I1058" s="2">
        <v>34334.339999999997</v>
      </c>
      <c r="J1058" t="s">
        <v>541</v>
      </c>
      <c r="K1058" s="7">
        <v>45870</v>
      </c>
    </row>
    <row r="1059" spans="1:11" hidden="1">
      <c r="A1059" t="s">
        <v>39</v>
      </c>
      <c r="B1059" t="s">
        <v>47</v>
      </c>
      <c r="C1059" t="s">
        <v>14</v>
      </c>
      <c r="E1059" t="s">
        <v>8</v>
      </c>
      <c r="F1059" s="1" t="s">
        <v>3</v>
      </c>
      <c r="G1059" s="1">
        <v>45885</v>
      </c>
      <c r="H1059" t="s">
        <v>41</v>
      </c>
      <c r="I1059" s="2">
        <v>32848.32</v>
      </c>
      <c r="J1059" t="s">
        <v>765</v>
      </c>
      <c r="K1059" s="7">
        <v>45870</v>
      </c>
    </row>
    <row r="1060" spans="1:11" hidden="1">
      <c r="A1060" t="s">
        <v>56</v>
      </c>
      <c r="B1060" t="s">
        <v>40</v>
      </c>
      <c r="C1060" t="s">
        <v>14</v>
      </c>
      <c r="E1060" t="s">
        <v>8</v>
      </c>
      <c r="F1060" s="1" t="s">
        <v>3</v>
      </c>
      <c r="G1060" s="1">
        <v>45885</v>
      </c>
      <c r="H1060" t="s">
        <v>41</v>
      </c>
      <c r="I1060" s="2">
        <v>40000</v>
      </c>
      <c r="J1060" t="s">
        <v>98</v>
      </c>
      <c r="K1060" s="7">
        <v>45870</v>
      </c>
    </row>
    <row r="1061" spans="1:11" hidden="1">
      <c r="A1061" t="s">
        <v>39</v>
      </c>
      <c r="B1061" t="s">
        <v>47</v>
      </c>
      <c r="C1061" t="s">
        <v>13</v>
      </c>
      <c r="E1061" t="s">
        <v>8</v>
      </c>
      <c r="F1061" s="1" t="s">
        <v>3</v>
      </c>
      <c r="G1061" s="1">
        <v>45885</v>
      </c>
      <c r="H1061" t="s">
        <v>41</v>
      </c>
      <c r="I1061" s="2">
        <v>20212</v>
      </c>
      <c r="J1061" t="s">
        <v>411</v>
      </c>
      <c r="K1061" s="7">
        <v>45870</v>
      </c>
    </row>
    <row r="1062" spans="1:11" hidden="1">
      <c r="A1062" t="s">
        <v>39</v>
      </c>
      <c r="B1062" t="s">
        <v>47</v>
      </c>
      <c r="C1062" t="s">
        <v>14</v>
      </c>
      <c r="E1062" t="s">
        <v>8</v>
      </c>
      <c r="F1062" s="1" t="s">
        <v>3</v>
      </c>
      <c r="G1062" s="1">
        <v>45885</v>
      </c>
      <c r="H1062" t="s">
        <v>41</v>
      </c>
      <c r="I1062" s="2">
        <v>10336</v>
      </c>
      <c r="J1062" t="s">
        <v>766</v>
      </c>
      <c r="K1062" s="7">
        <v>45870</v>
      </c>
    </row>
    <row r="1063" spans="1:11" hidden="1">
      <c r="A1063" t="s">
        <v>39</v>
      </c>
      <c r="B1063" t="s">
        <v>47</v>
      </c>
      <c r="C1063" t="s">
        <v>14</v>
      </c>
      <c r="E1063" t="s">
        <v>8</v>
      </c>
      <c r="F1063" s="1" t="s">
        <v>3</v>
      </c>
      <c r="G1063" s="1">
        <v>45885</v>
      </c>
      <c r="H1063" t="s">
        <v>41</v>
      </c>
      <c r="I1063" s="2">
        <v>5024.7</v>
      </c>
      <c r="J1063" t="s">
        <v>767</v>
      </c>
      <c r="K1063" s="7">
        <v>45870</v>
      </c>
    </row>
    <row r="1064" spans="1:11" hidden="1">
      <c r="A1064" t="s">
        <v>39</v>
      </c>
      <c r="B1064" t="s">
        <v>47</v>
      </c>
      <c r="C1064" t="s">
        <v>14</v>
      </c>
      <c r="E1064" t="s">
        <v>8</v>
      </c>
      <c r="F1064" s="1" t="s">
        <v>3</v>
      </c>
      <c r="G1064" s="1">
        <v>45885</v>
      </c>
      <c r="H1064" t="s">
        <v>41</v>
      </c>
      <c r="I1064" s="2">
        <v>1851</v>
      </c>
      <c r="J1064" t="s">
        <v>324</v>
      </c>
      <c r="K1064" s="7">
        <v>45870</v>
      </c>
    </row>
    <row r="1065" spans="1:11" hidden="1">
      <c r="A1065" t="s">
        <v>114</v>
      </c>
      <c r="B1065" t="s">
        <v>63</v>
      </c>
      <c r="C1065" t="s">
        <v>13</v>
      </c>
      <c r="E1065" t="s">
        <v>8</v>
      </c>
      <c r="F1065" s="1" t="s">
        <v>3</v>
      </c>
      <c r="G1065" s="1">
        <v>45885</v>
      </c>
      <c r="H1065" t="s">
        <v>41</v>
      </c>
      <c r="I1065" s="2">
        <v>62962.07</v>
      </c>
      <c r="J1065" t="s">
        <v>425</v>
      </c>
      <c r="K1065" s="7">
        <v>45870</v>
      </c>
    </row>
    <row r="1066" spans="1:11" hidden="1">
      <c r="A1066" t="s">
        <v>114</v>
      </c>
      <c r="B1066" t="s">
        <v>63</v>
      </c>
      <c r="C1066" t="s">
        <v>14</v>
      </c>
      <c r="E1066" t="s">
        <v>8</v>
      </c>
      <c r="F1066" s="1" t="s">
        <v>3</v>
      </c>
      <c r="G1066" s="1">
        <v>45885</v>
      </c>
      <c r="H1066" t="s">
        <v>41</v>
      </c>
      <c r="I1066" s="2">
        <v>22442.14</v>
      </c>
      <c r="J1066" t="s">
        <v>254</v>
      </c>
      <c r="K1066" s="7">
        <v>45870</v>
      </c>
    </row>
    <row r="1067" spans="1:11" hidden="1">
      <c r="A1067" t="s">
        <v>114</v>
      </c>
      <c r="B1067" t="s">
        <v>63</v>
      </c>
      <c r="C1067" t="s">
        <v>14</v>
      </c>
      <c r="E1067" t="s">
        <v>8</v>
      </c>
      <c r="F1067" s="1" t="s">
        <v>3</v>
      </c>
      <c r="G1067" s="1">
        <v>45885</v>
      </c>
      <c r="H1067" t="s">
        <v>41</v>
      </c>
      <c r="I1067" s="2">
        <v>21002.31</v>
      </c>
      <c r="J1067" t="s">
        <v>254</v>
      </c>
      <c r="K1067" s="7">
        <v>45870</v>
      </c>
    </row>
    <row r="1068" spans="1:11" hidden="1">
      <c r="A1068" t="s">
        <v>99</v>
      </c>
      <c r="B1068" t="s">
        <v>63</v>
      </c>
      <c r="C1068" t="s">
        <v>14</v>
      </c>
      <c r="E1068" t="s">
        <v>8</v>
      </c>
      <c r="F1068" s="1" t="s">
        <v>3</v>
      </c>
      <c r="G1068" s="1">
        <v>45885</v>
      </c>
      <c r="H1068" t="s">
        <v>41</v>
      </c>
      <c r="I1068" s="2">
        <v>20000</v>
      </c>
      <c r="J1068" t="s">
        <v>768</v>
      </c>
      <c r="K1068" s="7">
        <v>45870</v>
      </c>
    </row>
    <row r="1069" spans="1:11" hidden="1">
      <c r="A1069" t="s">
        <v>39</v>
      </c>
      <c r="B1069" t="s">
        <v>63</v>
      </c>
      <c r="C1069" t="s">
        <v>12</v>
      </c>
      <c r="E1069" t="s">
        <v>8</v>
      </c>
      <c r="F1069" s="1" t="s">
        <v>3</v>
      </c>
      <c r="G1069" s="1">
        <v>45885</v>
      </c>
      <c r="H1069" t="s">
        <v>41</v>
      </c>
      <c r="I1069" s="2">
        <v>17155</v>
      </c>
      <c r="J1069" t="s">
        <v>672</v>
      </c>
      <c r="K1069" s="7">
        <v>45870</v>
      </c>
    </row>
    <row r="1070" spans="1:11" hidden="1">
      <c r="A1070" t="s">
        <v>39</v>
      </c>
      <c r="B1070" t="s">
        <v>63</v>
      </c>
      <c r="C1070" t="s">
        <v>14</v>
      </c>
      <c r="E1070" t="s">
        <v>8</v>
      </c>
      <c r="F1070" s="1" t="s">
        <v>3</v>
      </c>
      <c r="G1070" s="1">
        <v>45885</v>
      </c>
      <c r="H1070" t="s">
        <v>41</v>
      </c>
      <c r="I1070" s="2">
        <v>16221.52</v>
      </c>
      <c r="J1070" t="s">
        <v>329</v>
      </c>
      <c r="K1070" s="7">
        <v>45870</v>
      </c>
    </row>
    <row r="1071" spans="1:11" hidden="1">
      <c r="A1071" t="s">
        <v>39</v>
      </c>
      <c r="B1071" t="s">
        <v>63</v>
      </c>
      <c r="C1071" t="s">
        <v>14</v>
      </c>
      <c r="E1071" t="s">
        <v>8</v>
      </c>
      <c r="F1071" s="1" t="s">
        <v>3</v>
      </c>
      <c r="G1071" s="1">
        <v>45885</v>
      </c>
      <c r="H1071" t="s">
        <v>41</v>
      </c>
      <c r="I1071" s="2">
        <v>11550</v>
      </c>
      <c r="J1071" t="s">
        <v>162</v>
      </c>
      <c r="K1071" s="7">
        <v>45870</v>
      </c>
    </row>
    <row r="1072" spans="1:11" hidden="1">
      <c r="A1072" t="s">
        <v>39</v>
      </c>
      <c r="B1072" t="s">
        <v>63</v>
      </c>
      <c r="C1072" t="s">
        <v>14</v>
      </c>
      <c r="E1072" t="s">
        <v>8</v>
      </c>
      <c r="F1072" s="1" t="s">
        <v>3</v>
      </c>
      <c r="G1072" s="1">
        <v>45885</v>
      </c>
      <c r="H1072" t="s">
        <v>41</v>
      </c>
      <c r="I1072" s="2">
        <v>10206.16</v>
      </c>
      <c r="J1072" t="s">
        <v>537</v>
      </c>
      <c r="K1072" s="7">
        <v>45870</v>
      </c>
    </row>
    <row r="1073" spans="1:11" hidden="1">
      <c r="A1073" t="s">
        <v>114</v>
      </c>
      <c r="B1073" t="s">
        <v>63</v>
      </c>
      <c r="C1073" t="s">
        <v>14</v>
      </c>
      <c r="E1073" t="s">
        <v>8</v>
      </c>
      <c r="F1073" s="1" t="s">
        <v>3</v>
      </c>
      <c r="G1073" s="1">
        <v>45885</v>
      </c>
      <c r="H1073" t="s">
        <v>41</v>
      </c>
      <c r="I1073" s="2">
        <v>1699.1</v>
      </c>
      <c r="J1073" t="s">
        <v>254</v>
      </c>
      <c r="K1073" s="7">
        <v>45870</v>
      </c>
    </row>
    <row r="1074" spans="1:11" hidden="1">
      <c r="A1074" t="s">
        <v>56</v>
      </c>
      <c r="B1074" t="s">
        <v>40</v>
      </c>
      <c r="C1074" t="s">
        <v>12</v>
      </c>
      <c r="E1074" t="s">
        <v>9</v>
      </c>
      <c r="F1074" s="1" t="s">
        <v>4</v>
      </c>
      <c r="G1074" s="1">
        <v>45887</v>
      </c>
      <c r="H1074" t="s">
        <v>41</v>
      </c>
      <c r="I1074" s="2">
        <v>4500</v>
      </c>
      <c r="J1074" t="s">
        <v>769</v>
      </c>
      <c r="K1074" s="7">
        <v>45870</v>
      </c>
    </row>
    <row r="1075" spans="1:11" hidden="1">
      <c r="A1075" t="s">
        <v>39</v>
      </c>
      <c r="B1075" t="s">
        <v>47</v>
      </c>
      <c r="C1075" t="s">
        <v>14</v>
      </c>
      <c r="D1075">
        <v>10027422</v>
      </c>
      <c r="E1075" t="s">
        <v>9</v>
      </c>
      <c r="F1075" s="1" t="s">
        <v>4</v>
      </c>
      <c r="G1075" s="1">
        <v>45887</v>
      </c>
      <c r="H1075" t="s">
        <v>41</v>
      </c>
      <c r="I1075" s="2">
        <v>2112.5</v>
      </c>
      <c r="J1075" t="s">
        <v>770</v>
      </c>
      <c r="K1075" s="7">
        <v>45870</v>
      </c>
    </row>
    <row r="1076" spans="1:11" hidden="1">
      <c r="A1076" t="s">
        <v>39</v>
      </c>
      <c r="B1076" t="s">
        <v>40</v>
      </c>
      <c r="C1076" t="s">
        <v>14</v>
      </c>
      <c r="E1076" t="s">
        <v>9</v>
      </c>
      <c r="F1076" s="1" t="s">
        <v>4</v>
      </c>
      <c r="G1076" s="1">
        <v>45887</v>
      </c>
      <c r="H1076" t="s">
        <v>41</v>
      </c>
      <c r="I1076" s="2">
        <v>2000</v>
      </c>
      <c r="J1076" t="s">
        <v>771</v>
      </c>
      <c r="K1076" s="7">
        <v>45870</v>
      </c>
    </row>
    <row r="1077" spans="1:11" hidden="1">
      <c r="A1077" t="s">
        <v>39</v>
      </c>
      <c r="B1077" t="s">
        <v>40</v>
      </c>
      <c r="C1077" t="s">
        <v>12</v>
      </c>
      <c r="E1077" t="s">
        <v>9</v>
      </c>
      <c r="F1077" s="1" t="s">
        <v>5</v>
      </c>
      <c r="G1077" s="1">
        <v>45859</v>
      </c>
      <c r="H1077" t="s">
        <v>64</v>
      </c>
      <c r="I1077" s="2">
        <v>5000</v>
      </c>
      <c r="J1077" t="s">
        <v>550</v>
      </c>
      <c r="K1077" s="7">
        <v>45839</v>
      </c>
    </row>
    <row r="1078" spans="1:11" hidden="1">
      <c r="A1078" t="s">
        <v>39</v>
      </c>
      <c r="B1078" t="s">
        <v>47</v>
      </c>
      <c r="C1078" t="s">
        <v>13</v>
      </c>
      <c r="E1078" t="s">
        <v>8</v>
      </c>
      <c r="F1078" s="1" t="s">
        <v>4</v>
      </c>
      <c r="G1078" s="1">
        <v>45885</v>
      </c>
      <c r="H1078" t="s">
        <v>41</v>
      </c>
      <c r="I1078" s="2">
        <v>164036.76999999999</v>
      </c>
      <c r="J1078" t="s">
        <v>772</v>
      </c>
      <c r="K1078" s="7">
        <v>45870</v>
      </c>
    </row>
    <row r="1079" spans="1:11" hidden="1">
      <c r="A1079" t="s">
        <v>39</v>
      </c>
      <c r="B1079" t="s">
        <v>40</v>
      </c>
      <c r="C1079" t="s">
        <v>14</v>
      </c>
      <c r="D1079">
        <v>10027149</v>
      </c>
      <c r="E1079" t="s">
        <v>9</v>
      </c>
      <c r="F1079" s="1" t="s">
        <v>5</v>
      </c>
      <c r="G1079" s="1">
        <v>45862</v>
      </c>
      <c r="H1079" t="s">
        <v>41</v>
      </c>
      <c r="I1079" s="2">
        <v>5000</v>
      </c>
      <c r="J1079" t="s">
        <v>633</v>
      </c>
      <c r="K1079" s="7">
        <v>45839</v>
      </c>
    </row>
    <row r="1080" spans="1:11" hidden="1">
      <c r="A1080" t="s">
        <v>39</v>
      </c>
      <c r="B1080" t="s">
        <v>63</v>
      </c>
      <c r="C1080" t="s">
        <v>13</v>
      </c>
      <c r="D1080">
        <v>10027192</v>
      </c>
      <c r="E1080" t="s">
        <v>9</v>
      </c>
      <c r="F1080" s="1" t="s">
        <v>6</v>
      </c>
      <c r="G1080" s="1">
        <v>45869</v>
      </c>
      <c r="H1080" t="s">
        <v>41</v>
      </c>
      <c r="I1080" s="2">
        <v>5000</v>
      </c>
      <c r="J1080" t="s">
        <v>306</v>
      </c>
      <c r="K1080" s="7">
        <v>45839</v>
      </c>
    </row>
    <row r="1081" spans="1:11" hidden="1">
      <c r="A1081" t="s">
        <v>39</v>
      </c>
      <c r="B1081" t="s">
        <v>40</v>
      </c>
      <c r="C1081" t="s">
        <v>14</v>
      </c>
      <c r="D1081">
        <v>10027214</v>
      </c>
      <c r="E1081" t="s">
        <v>9</v>
      </c>
      <c r="F1081" s="1" t="s">
        <v>2</v>
      </c>
      <c r="G1081" s="1">
        <v>45870</v>
      </c>
      <c r="H1081" t="s">
        <v>41</v>
      </c>
      <c r="I1081" s="2">
        <v>5000</v>
      </c>
      <c r="J1081" t="s">
        <v>666</v>
      </c>
      <c r="K1081" s="7">
        <v>45870</v>
      </c>
    </row>
    <row r="1082" spans="1:11" hidden="1">
      <c r="A1082" t="s">
        <v>39</v>
      </c>
      <c r="B1082" t="s">
        <v>40</v>
      </c>
      <c r="C1082" t="s">
        <v>14</v>
      </c>
      <c r="D1082">
        <v>10027272</v>
      </c>
      <c r="E1082" t="s">
        <v>9</v>
      </c>
      <c r="F1082" s="1" t="s">
        <v>2</v>
      </c>
      <c r="G1082" s="1">
        <v>45877</v>
      </c>
      <c r="H1082" t="s">
        <v>41</v>
      </c>
      <c r="I1082" s="2">
        <v>5000</v>
      </c>
      <c r="J1082" t="s">
        <v>477</v>
      </c>
      <c r="K1082" s="7">
        <v>45870</v>
      </c>
    </row>
    <row r="1083" spans="1:11" hidden="1">
      <c r="A1083" t="s">
        <v>39</v>
      </c>
      <c r="B1083" t="s">
        <v>40</v>
      </c>
      <c r="C1083" t="s">
        <v>14</v>
      </c>
      <c r="D1083">
        <v>10027288</v>
      </c>
      <c r="E1083" t="s">
        <v>9</v>
      </c>
      <c r="F1083" s="1" t="s">
        <v>3</v>
      </c>
      <c r="G1083" s="1">
        <v>45878</v>
      </c>
      <c r="H1083" t="s">
        <v>41</v>
      </c>
      <c r="I1083" s="2">
        <v>5000</v>
      </c>
      <c r="J1083" t="s">
        <v>773</v>
      </c>
      <c r="K1083" s="7">
        <v>45870</v>
      </c>
    </row>
    <row r="1084" spans="1:11" hidden="1">
      <c r="A1084" t="s">
        <v>39</v>
      </c>
      <c r="B1084" t="s">
        <v>40</v>
      </c>
      <c r="C1084" t="s">
        <v>14</v>
      </c>
      <c r="D1084">
        <v>10027327</v>
      </c>
      <c r="E1084" t="s">
        <v>9</v>
      </c>
      <c r="F1084" s="1" t="s">
        <v>4</v>
      </c>
      <c r="G1084" s="1">
        <v>45887</v>
      </c>
      <c r="H1084" t="s">
        <v>41</v>
      </c>
      <c r="I1084" s="2">
        <v>2000</v>
      </c>
      <c r="J1084" t="s">
        <v>774</v>
      </c>
      <c r="K1084" s="7">
        <v>45870</v>
      </c>
    </row>
    <row r="1085" spans="1:11" hidden="1">
      <c r="A1085" t="s">
        <v>56</v>
      </c>
      <c r="B1085" t="s">
        <v>40</v>
      </c>
      <c r="C1085" t="s">
        <v>14</v>
      </c>
      <c r="E1085" t="s">
        <v>9</v>
      </c>
      <c r="F1085" s="1" t="s">
        <v>3</v>
      </c>
      <c r="G1085" s="1">
        <v>45912</v>
      </c>
      <c r="H1085" t="s">
        <v>41</v>
      </c>
      <c r="I1085" s="2">
        <v>5000</v>
      </c>
      <c r="J1085" t="s">
        <v>775</v>
      </c>
      <c r="K1085" s="7">
        <v>45901</v>
      </c>
    </row>
    <row r="1086" spans="1:11" hidden="1">
      <c r="A1086" t="s">
        <v>56</v>
      </c>
      <c r="B1086" t="s">
        <v>40</v>
      </c>
      <c r="C1086" t="s">
        <v>14</v>
      </c>
      <c r="E1086" t="s">
        <v>9</v>
      </c>
      <c r="F1086" s="1" t="s">
        <v>3</v>
      </c>
      <c r="G1086" s="1">
        <v>45913</v>
      </c>
      <c r="H1086" t="s">
        <v>41</v>
      </c>
      <c r="I1086" s="2">
        <v>5000</v>
      </c>
      <c r="J1086" t="s">
        <v>775</v>
      </c>
      <c r="K1086" s="7">
        <v>45901</v>
      </c>
    </row>
    <row r="1087" spans="1:11" hidden="1">
      <c r="A1087" t="s">
        <v>114</v>
      </c>
      <c r="B1087" t="s">
        <v>63</v>
      </c>
      <c r="C1087" t="s">
        <v>13</v>
      </c>
      <c r="D1087">
        <v>15213</v>
      </c>
      <c r="E1087" t="s">
        <v>9</v>
      </c>
      <c r="F1087" s="1" t="s">
        <v>4</v>
      </c>
      <c r="G1087" s="1">
        <v>45887</v>
      </c>
      <c r="H1087" t="s">
        <v>41</v>
      </c>
      <c r="I1087" s="2">
        <v>1770.35</v>
      </c>
      <c r="J1087" t="s">
        <v>486</v>
      </c>
      <c r="K1087" s="7">
        <v>45870</v>
      </c>
    </row>
    <row r="1088" spans="1:11" hidden="1">
      <c r="A1088" t="s">
        <v>39</v>
      </c>
      <c r="B1088" t="s">
        <v>40</v>
      </c>
      <c r="C1088" t="s">
        <v>14</v>
      </c>
      <c r="E1088" t="s">
        <v>9</v>
      </c>
      <c r="F1088" s="1" t="s">
        <v>4</v>
      </c>
      <c r="G1088" s="1">
        <v>45887</v>
      </c>
      <c r="H1088" t="s">
        <v>64</v>
      </c>
      <c r="I1088" s="2">
        <v>1740</v>
      </c>
      <c r="J1088" t="s">
        <v>776</v>
      </c>
      <c r="K1088" s="7">
        <v>45870</v>
      </c>
    </row>
    <row r="1089" spans="1:11" hidden="1">
      <c r="A1089" t="s">
        <v>39</v>
      </c>
      <c r="B1089" t="s">
        <v>40</v>
      </c>
      <c r="C1089" t="s">
        <v>14</v>
      </c>
      <c r="E1089" t="s">
        <v>9</v>
      </c>
      <c r="F1089" s="1" t="s">
        <v>4</v>
      </c>
      <c r="G1089" s="1">
        <v>45887</v>
      </c>
      <c r="H1089" t="s">
        <v>64</v>
      </c>
      <c r="I1089" s="2">
        <v>1028.48</v>
      </c>
      <c r="J1089" t="s">
        <v>776</v>
      </c>
      <c r="K1089" s="7">
        <v>45870</v>
      </c>
    </row>
    <row r="1090" spans="1:11" hidden="1">
      <c r="A1090" t="s">
        <v>39</v>
      </c>
      <c r="B1090" t="s">
        <v>40</v>
      </c>
      <c r="C1090" t="s">
        <v>12</v>
      </c>
      <c r="E1090" t="s">
        <v>9</v>
      </c>
      <c r="F1090" s="1" t="s">
        <v>6</v>
      </c>
      <c r="G1090" s="1">
        <v>45929</v>
      </c>
      <c r="H1090" t="s">
        <v>41</v>
      </c>
      <c r="I1090" s="2">
        <v>5000</v>
      </c>
      <c r="J1090" t="s">
        <v>777</v>
      </c>
      <c r="K1090" s="7">
        <v>45901</v>
      </c>
    </row>
    <row r="1091" spans="1:11" hidden="1">
      <c r="A1091" t="s">
        <v>39</v>
      </c>
      <c r="B1091" t="s">
        <v>40</v>
      </c>
      <c r="C1091" t="s">
        <v>12</v>
      </c>
      <c r="E1091" t="s">
        <v>9</v>
      </c>
      <c r="F1091" s="1" t="s">
        <v>6</v>
      </c>
      <c r="G1091" s="1">
        <v>45929</v>
      </c>
      <c r="H1091" t="s">
        <v>41</v>
      </c>
      <c r="I1091" s="2">
        <v>5000</v>
      </c>
      <c r="J1091" t="s">
        <v>777</v>
      </c>
      <c r="K1091" s="7">
        <v>45901</v>
      </c>
    </row>
    <row r="1092" spans="1:11" hidden="1">
      <c r="A1092" t="s">
        <v>39</v>
      </c>
      <c r="B1092" t="s">
        <v>40</v>
      </c>
      <c r="C1092" t="s">
        <v>14</v>
      </c>
      <c r="D1092">
        <v>10027691</v>
      </c>
      <c r="E1092" t="s">
        <v>9</v>
      </c>
      <c r="F1092" s="1" t="s">
        <v>2</v>
      </c>
      <c r="G1092" s="1">
        <v>45931</v>
      </c>
      <c r="H1092" t="s">
        <v>41</v>
      </c>
      <c r="I1092" s="2">
        <v>5000</v>
      </c>
      <c r="J1092" t="s">
        <v>473</v>
      </c>
      <c r="K1092" s="7">
        <v>45931</v>
      </c>
    </row>
    <row r="1093" spans="1:11" hidden="1">
      <c r="A1093" t="s">
        <v>39</v>
      </c>
      <c r="B1093" t="s">
        <v>40</v>
      </c>
      <c r="C1093" t="s">
        <v>14</v>
      </c>
      <c r="E1093" t="s">
        <v>9</v>
      </c>
      <c r="F1093" s="1" t="s">
        <v>3</v>
      </c>
      <c r="G1093" s="1">
        <v>45940</v>
      </c>
      <c r="H1093" t="s">
        <v>41</v>
      </c>
      <c r="I1093" s="2">
        <v>5000</v>
      </c>
      <c r="J1093" t="s">
        <v>94</v>
      </c>
      <c r="K1093" s="7">
        <v>45931</v>
      </c>
    </row>
    <row r="1094" spans="1:11" hidden="1">
      <c r="A1094" t="s">
        <v>56</v>
      </c>
      <c r="B1094" t="s">
        <v>40</v>
      </c>
      <c r="C1094" t="s">
        <v>12</v>
      </c>
      <c r="E1094" t="s">
        <v>9</v>
      </c>
      <c r="F1094" s="1" t="s">
        <v>6</v>
      </c>
      <c r="G1094" s="1">
        <v>45960</v>
      </c>
      <c r="H1094" t="s">
        <v>41</v>
      </c>
      <c r="I1094" s="2">
        <v>5000</v>
      </c>
      <c r="J1094" t="s">
        <v>778</v>
      </c>
      <c r="K1094" s="7">
        <v>45931</v>
      </c>
    </row>
    <row r="1095" spans="1:11" hidden="1">
      <c r="A1095" t="s">
        <v>56</v>
      </c>
      <c r="B1095" t="s">
        <v>40</v>
      </c>
      <c r="C1095" t="s">
        <v>12</v>
      </c>
      <c r="E1095" t="s">
        <v>9</v>
      </c>
      <c r="F1095" s="1" t="s">
        <v>6</v>
      </c>
      <c r="G1095" s="1">
        <v>45960</v>
      </c>
      <c r="H1095" t="s">
        <v>41</v>
      </c>
      <c r="I1095" s="2">
        <v>5000</v>
      </c>
      <c r="J1095" t="s">
        <v>778</v>
      </c>
      <c r="K1095" s="7">
        <v>45931</v>
      </c>
    </row>
    <row r="1096" spans="1:11" hidden="1">
      <c r="A1096" t="s">
        <v>39</v>
      </c>
      <c r="B1096" t="s">
        <v>40</v>
      </c>
      <c r="C1096" t="s">
        <v>14</v>
      </c>
      <c r="E1096" t="s">
        <v>9</v>
      </c>
      <c r="F1096" s="1" t="s">
        <v>2</v>
      </c>
      <c r="G1096" s="1">
        <v>46030</v>
      </c>
      <c r="H1096" t="s">
        <v>41</v>
      </c>
      <c r="I1096" s="2">
        <v>5000</v>
      </c>
      <c r="J1096" t="s">
        <v>779</v>
      </c>
      <c r="K1096" s="7">
        <v>46023</v>
      </c>
    </row>
    <row r="1097" spans="1:11" hidden="1">
      <c r="A1097" t="s">
        <v>39</v>
      </c>
      <c r="B1097" t="s">
        <v>45</v>
      </c>
      <c r="C1097" t="s">
        <v>14</v>
      </c>
      <c r="E1097" t="s">
        <v>9</v>
      </c>
      <c r="F1097" s="1" t="s">
        <v>3</v>
      </c>
      <c r="G1097" s="1">
        <v>46034</v>
      </c>
      <c r="H1097" t="s">
        <v>41</v>
      </c>
      <c r="I1097" s="2">
        <v>5000</v>
      </c>
      <c r="J1097" t="s">
        <v>623</v>
      </c>
      <c r="K1097" s="7">
        <v>46023</v>
      </c>
    </row>
    <row r="1098" spans="1:11" hidden="1">
      <c r="A1098" t="s">
        <v>39</v>
      </c>
      <c r="B1098" t="s">
        <v>40</v>
      </c>
      <c r="C1098" t="s">
        <v>14</v>
      </c>
      <c r="E1098" t="s">
        <v>9</v>
      </c>
      <c r="F1098" s="1" t="s">
        <v>3</v>
      </c>
      <c r="G1098" s="1">
        <v>46035</v>
      </c>
      <c r="H1098" t="s">
        <v>41</v>
      </c>
      <c r="I1098" s="2">
        <v>5000</v>
      </c>
      <c r="J1098" t="s">
        <v>736</v>
      </c>
      <c r="K1098" s="7">
        <v>46023</v>
      </c>
    </row>
    <row r="1099" spans="1:11" hidden="1">
      <c r="A1099" t="s">
        <v>39</v>
      </c>
      <c r="B1099" t="s">
        <v>40</v>
      </c>
      <c r="C1099" t="s">
        <v>14</v>
      </c>
      <c r="E1099" t="s">
        <v>9</v>
      </c>
      <c r="F1099" s="1" t="s">
        <v>3</v>
      </c>
      <c r="G1099" s="1">
        <v>46037</v>
      </c>
      <c r="H1099" t="s">
        <v>41</v>
      </c>
      <c r="I1099" s="2">
        <v>5000</v>
      </c>
      <c r="J1099" t="s">
        <v>780</v>
      </c>
      <c r="K1099" s="7">
        <v>46023</v>
      </c>
    </row>
    <row r="1100" spans="1:11" hidden="1">
      <c r="A1100" t="s">
        <v>56</v>
      </c>
      <c r="B1100" t="s">
        <v>40</v>
      </c>
      <c r="C1100" t="s">
        <v>14</v>
      </c>
      <c r="E1100" t="s">
        <v>9</v>
      </c>
      <c r="F1100" s="1" t="s">
        <v>3</v>
      </c>
      <c r="G1100" s="1">
        <v>46039</v>
      </c>
      <c r="H1100" t="s">
        <v>41</v>
      </c>
      <c r="I1100" s="2">
        <v>5000</v>
      </c>
      <c r="J1100" t="s">
        <v>781</v>
      </c>
      <c r="K1100" s="7">
        <v>46023</v>
      </c>
    </row>
    <row r="1101" spans="1:11" hidden="1">
      <c r="A1101" t="s">
        <v>39</v>
      </c>
      <c r="B1101" t="s">
        <v>40</v>
      </c>
      <c r="C1101" t="s">
        <v>14</v>
      </c>
      <c r="D1101">
        <v>10027345</v>
      </c>
      <c r="E1101" t="s">
        <v>9</v>
      </c>
      <c r="F1101" s="1" t="s">
        <v>4</v>
      </c>
      <c r="G1101" s="1">
        <v>45887</v>
      </c>
      <c r="H1101" t="s">
        <v>41</v>
      </c>
      <c r="I1101" s="2">
        <v>954.53</v>
      </c>
      <c r="J1101" t="s">
        <v>782</v>
      </c>
      <c r="K1101" s="7">
        <v>45870</v>
      </c>
    </row>
    <row r="1102" spans="1:11" hidden="1">
      <c r="A1102" t="s">
        <v>39</v>
      </c>
      <c r="B1102" t="s">
        <v>40</v>
      </c>
      <c r="C1102" t="s">
        <v>14</v>
      </c>
      <c r="D1102">
        <v>10027382</v>
      </c>
      <c r="E1102" t="s">
        <v>9</v>
      </c>
      <c r="F1102" s="1" t="s">
        <v>4</v>
      </c>
      <c r="G1102" s="1">
        <v>45887</v>
      </c>
      <c r="H1102" t="s">
        <v>41</v>
      </c>
      <c r="I1102" s="2">
        <v>620.42999999999995</v>
      </c>
      <c r="J1102" t="s">
        <v>783</v>
      </c>
      <c r="K1102" s="7">
        <v>45870</v>
      </c>
    </row>
    <row r="1103" spans="1:11" hidden="1">
      <c r="A1103" t="s">
        <v>39</v>
      </c>
      <c r="B1103" t="s">
        <v>40</v>
      </c>
      <c r="C1103" t="s">
        <v>14</v>
      </c>
      <c r="E1103" t="s">
        <v>9</v>
      </c>
      <c r="F1103" s="1" t="s">
        <v>4</v>
      </c>
      <c r="G1103" s="1">
        <v>45887</v>
      </c>
      <c r="H1103" t="s">
        <v>41</v>
      </c>
      <c r="I1103" s="2">
        <v>372.45</v>
      </c>
      <c r="J1103" t="s">
        <v>784</v>
      </c>
      <c r="K1103" s="7">
        <v>45870</v>
      </c>
    </row>
    <row r="1104" spans="1:11" hidden="1">
      <c r="A1104" t="s">
        <v>39</v>
      </c>
      <c r="B1104" t="s">
        <v>40</v>
      </c>
      <c r="C1104" t="s">
        <v>14</v>
      </c>
      <c r="E1104" t="s">
        <v>9</v>
      </c>
      <c r="F1104" s="1" t="s">
        <v>4</v>
      </c>
      <c r="G1104" s="1">
        <v>45887</v>
      </c>
      <c r="H1104" t="s">
        <v>41</v>
      </c>
      <c r="I1104" s="2">
        <v>253</v>
      </c>
      <c r="J1104" t="s">
        <v>785</v>
      </c>
      <c r="K1104" s="7">
        <v>45870</v>
      </c>
    </row>
    <row r="1105" spans="1:11" hidden="1">
      <c r="A1105" t="s">
        <v>39</v>
      </c>
      <c r="B1105" t="s">
        <v>40</v>
      </c>
      <c r="C1105" t="s">
        <v>14</v>
      </c>
      <c r="D1105">
        <v>10027328</v>
      </c>
      <c r="E1105" t="s">
        <v>9</v>
      </c>
      <c r="F1105" s="1" t="s">
        <v>4</v>
      </c>
      <c r="G1105" s="1">
        <v>45887</v>
      </c>
      <c r="H1105" t="s">
        <v>64</v>
      </c>
      <c r="I1105" s="2">
        <f>100000/510</f>
        <v>196.07843137254903</v>
      </c>
      <c r="J1105" t="s">
        <v>786</v>
      </c>
      <c r="K1105" s="7">
        <v>45870</v>
      </c>
    </row>
    <row r="1106" spans="1:11" hidden="1">
      <c r="A1106" t="s">
        <v>114</v>
      </c>
      <c r="B1106" t="s">
        <v>63</v>
      </c>
      <c r="C1106" t="s">
        <v>14</v>
      </c>
      <c r="E1106" t="s">
        <v>9</v>
      </c>
      <c r="F1106" s="1" t="s">
        <v>2</v>
      </c>
      <c r="G1106" s="1">
        <v>46059</v>
      </c>
      <c r="H1106" t="s">
        <v>41</v>
      </c>
      <c r="I1106" s="2">
        <v>3928.14</v>
      </c>
      <c r="J1106" s="47" t="s">
        <v>787</v>
      </c>
      <c r="K1106" s="7">
        <v>46054</v>
      </c>
    </row>
    <row r="1107" spans="1:11" hidden="1">
      <c r="A1107" t="s">
        <v>39</v>
      </c>
      <c r="B1107" t="s">
        <v>47</v>
      </c>
      <c r="C1107" t="s">
        <v>14</v>
      </c>
      <c r="D1107">
        <v>10027662</v>
      </c>
      <c r="E1107" t="s">
        <v>9</v>
      </c>
      <c r="F1107" s="1" t="s">
        <v>2</v>
      </c>
      <c r="G1107" s="1">
        <v>45876</v>
      </c>
      <c r="H1107" t="s">
        <v>41</v>
      </c>
      <c r="I1107" s="2">
        <v>4940.7</v>
      </c>
      <c r="J1107" t="s">
        <v>788</v>
      </c>
      <c r="K1107" s="7">
        <v>45870</v>
      </c>
    </row>
    <row r="1108" spans="1:11" hidden="1">
      <c r="A1108" t="s">
        <v>56</v>
      </c>
      <c r="B1108" t="s">
        <v>40</v>
      </c>
      <c r="C1108" t="s">
        <v>14</v>
      </c>
      <c r="E1108" t="s">
        <v>9</v>
      </c>
      <c r="F1108" s="1" t="s">
        <v>2</v>
      </c>
      <c r="G1108" s="1">
        <v>45967</v>
      </c>
      <c r="H1108" t="s">
        <v>41</v>
      </c>
      <c r="I1108" s="2">
        <v>4940</v>
      </c>
      <c r="J1108" t="s">
        <v>789</v>
      </c>
      <c r="K1108" s="7">
        <v>45962</v>
      </c>
    </row>
    <row r="1109" spans="1:11" hidden="1">
      <c r="A1109" t="s">
        <v>39</v>
      </c>
      <c r="B1109" t="s">
        <v>63</v>
      </c>
      <c r="C1109" t="s">
        <v>14</v>
      </c>
      <c r="D1109">
        <v>10027662</v>
      </c>
      <c r="E1109" t="s">
        <v>9</v>
      </c>
      <c r="F1109" s="1" t="s">
        <v>6</v>
      </c>
      <c r="G1109" s="1">
        <v>45929</v>
      </c>
      <c r="H1109" t="s">
        <v>41</v>
      </c>
      <c r="I1109" s="2">
        <v>4936.47</v>
      </c>
      <c r="J1109" t="s">
        <v>790</v>
      </c>
      <c r="K1109" s="7">
        <v>45901</v>
      </c>
    </row>
    <row r="1110" spans="1:11" hidden="1">
      <c r="A1110" t="s">
        <v>39</v>
      </c>
      <c r="B1110" t="s">
        <v>63</v>
      </c>
      <c r="C1110" t="s">
        <v>12</v>
      </c>
      <c r="E1110" t="s">
        <v>9</v>
      </c>
      <c r="F1110" s="1" t="s">
        <v>2</v>
      </c>
      <c r="G1110" s="1">
        <v>45964</v>
      </c>
      <c r="H1110" t="s">
        <v>41</v>
      </c>
      <c r="I1110" s="2">
        <v>4921.26</v>
      </c>
      <c r="J1110" t="s">
        <v>791</v>
      </c>
      <c r="K1110" s="7">
        <v>45962</v>
      </c>
    </row>
    <row r="1111" spans="1:11" hidden="1">
      <c r="A1111" t="s">
        <v>39</v>
      </c>
      <c r="B1111" t="s">
        <v>40</v>
      </c>
      <c r="C1111" t="s">
        <v>14</v>
      </c>
      <c r="D1111">
        <v>10027331</v>
      </c>
      <c r="E1111" t="s">
        <v>9</v>
      </c>
      <c r="F1111" s="1" t="s">
        <v>4</v>
      </c>
      <c r="G1111" s="1">
        <v>45887</v>
      </c>
      <c r="H1111" t="s">
        <v>41</v>
      </c>
      <c r="I1111" s="2">
        <v>125</v>
      </c>
      <c r="J1111" t="s">
        <v>792</v>
      </c>
      <c r="K1111" s="7">
        <v>45870</v>
      </c>
    </row>
    <row r="1112" spans="1:11" hidden="1">
      <c r="A1112" t="s">
        <v>39</v>
      </c>
      <c r="B1112" t="s">
        <v>40</v>
      </c>
      <c r="C1112" t="s">
        <v>14</v>
      </c>
      <c r="E1112" t="s">
        <v>9</v>
      </c>
      <c r="F1112" s="1" t="s">
        <v>2</v>
      </c>
      <c r="G1112" s="1">
        <v>45962</v>
      </c>
      <c r="H1112" t="s">
        <v>41</v>
      </c>
      <c r="I1112" s="2">
        <v>4902.8999999999996</v>
      </c>
      <c r="J1112" s="47" t="s">
        <v>793</v>
      </c>
      <c r="K1112" s="7">
        <v>45962</v>
      </c>
    </row>
    <row r="1113" spans="1:11" hidden="1">
      <c r="A1113" t="s">
        <v>56</v>
      </c>
      <c r="B1113" t="s">
        <v>40</v>
      </c>
      <c r="C1113" t="s">
        <v>12</v>
      </c>
      <c r="E1113" t="s">
        <v>9</v>
      </c>
      <c r="F1113" s="1" t="s">
        <v>6</v>
      </c>
      <c r="G1113" s="1">
        <v>45960</v>
      </c>
      <c r="H1113" t="s">
        <v>41</v>
      </c>
      <c r="I1113" s="2">
        <v>4900</v>
      </c>
      <c r="J1113" t="s">
        <v>778</v>
      </c>
      <c r="K1113" s="7">
        <v>45931</v>
      </c>
    </row>
    <row r="1114" spans="1:11" hidden="1">
      <c r="A1114" t="s">
        <v>114</v>
      </c>
      <c r="B1114" t="s">
        <v>63</v>
      </c>
      <c r="C1114" t="s">
        <v>12</v>
      </c>
      <c r="E1114" t="s">
        <v>9</v>
      </c>
      <c r="F1114" s="1" t="s">
        <v>2</v>
      </c>
      <c r="G1114" s="1">
        <v>45965</v>
      </c>
      <c r="H1114" t="s">
        <v>41</v>
      </c>
      <c r="I1114" s="2">
        <v>4899.83</v>
      </c>
      <c r="J1114" t="s">
        <v>794</v>
      </c>
      <c r="K1114" s="7">
        <v>45962</v>
      </c>
    </row>
    <row r="1115" spans="1:11" hidden="1">
      <c r="A1115" t="s">
        <v>114</v>
      </c>
      <c r="B1115" t="s">
        <v>63</v>
      </c>
      <c r="C1115" t="s">
        <v>12</v>
      </c>
      <c r="E1115" t="s">
        <v>9</v>
      </c>
      <c r="F1115" s="1" t="s">
        <v>2</v>
      </c>
      <c r="G1115" s="1">
        <v>45934</v>
      </c>
      <c r="H1115" t="s">
        <v>41</v>
      </c>
      <c r="I1115" s="2">
        <v>4897.43</v>
      </c>
      <c r="J1115" t="s">
        <v>795</v>
      </c>
      <c r="K1115" s="7">
        <v>45931</v>
      </c>
    </row>
    <row r="1116" spans="1:11" hidden="1">
      <c r="A1116" t="s">
        <v>114</v>
      </c>
      <c r="B1116" t="s">
        <v>63</v>
      </c>
      <c r="C1116" t="s">
        <v>12</v>
      </c>
      <c r="E1116" t="s">
        <v>9</v>
      </c>
      <c r="F1116" s="1" t="s">
        <v>2</v>
      </c>
      <c r="G1116" s="1">
        <v>45964</v>
      </c>
      <c r="H1116" t="s">
        <v>41</v>
      </c>
      <c r="I1116" s="2">
        <v>4897.43</v>
      </c>
      <c r="J1116" t="s">
        <v>796</v>
      </c>
      <c r="K1116" s="7">
        <v>45962</v>
      </c>
    </row>
    <row r="1117" spans="1:11" hidden="1">
      <c r="A1117" t="s">
        <v>114</v>
      </c>
      <c r="B1117" t="s">
        <v>63</v>
      </c>
      <c r="C1117" t="s">
        <v>12</v>
      </c>
      <c r="E1117" t="s">
        <v>9</v>
      </c>
      <c r="F1117" s="1" t="s">
        <v>3</v>
      </c>
      <c r="G1117" s="1">
        <v>45972</v>
      </c>
      <c r="H1117" t="s">
        <v>41</v>
      </c>
      <c r="I1117" s="2">
        <v>4814.87</v>
      </c>
      <c r="J1117" t="s">
        <v>797</v>
      </c>
      <c r="K1117" s="7">
        <v>45962</v>
      </c>
    </row>
    <row r="1118" spans="1:11" hidden="1">
      <c r="A1118" t="s">
        <v>39</v>
      </c>
      <c r="B1118" t="s">
        <v>63</v>
      </c>
      <c r="C1118" t="s">
        <v>14</v>
      </c>
      <c r="E1118" t="s">
        <v>9</v>
      </c>
      <c r="F1118" s="1" t="s">
        <v>3</v>
      </c>
      <c r="G1118" s="1">
        <v>46034</v>
      </c>
      <c r="H1118" t="s">
        <v>64</v>
      </c>
      <c r="I1118" s="2">
        <f>2381724.26/496</f>
        <v>4801.8634274193546</v>
      </c>
      <c r="J1118" t="s">
        <v>157</v>
      </c>
      <c r="K1118" s="7">
        <v>46023</v>
      </c>
    </row>
    <row r="1119" spans="1:11" hidden="1">
      <c r="A1119" t="s">
        <v>39</v>
      </c>
      <c r="B1119" t="s">
        <v>40</v>
      </c>
      <c r="C1119" t="s">
        <v>14</v>
      </c>
      <c r="E1119" t="s">
        <v>9</v>
      </c>
      <c r="F1119" s="1" t="s">
        <v>4</v>
      </c>
      <c r="G1119" s="1">
        <v>45887</v>
      </c>
      <c r="H1119" t="s">
        <v>41</v>
      </c>
      <c r="I1119" s="2">
        <v>30</v>
      </c>
      <c r="J1119" t="s">
        <v>784</v>
      </c>
      <c r="K1119" s="7">
        <v>45870</v>
      </c>
    </row>
    <row r="1120" spans="1:11" hidden="1">
      <c r="A1120" t="s">
        <v>39</v>
      </c>
      <c r="B1120" t="s">
        <v>40</v>
      </c>
      <c r="C1120" t="s">
        <v>14</v>
      </c>
      <c r="E1120" t="s">
        <v>9</v>
      </c>
      <c r="F1120" s="1" t="s">
        <v>5</v>
      </c>
      <c r="G1120" s="1">
        <v>45798</v>
      </c>
      <c r="H1120" t="s">
        <v>41</v>
      </c>
      <c r="I1120" s="2">
        <v>4800</v>
      </c>
      <c r="J1120" t="s">
        <v>798</v>
      </c>
      <c r="K1120" s="7">
        <v>45778</v>
      </c>
    </row>
    <row r="1121" spans="1:11" hidden="1">
      <c r="A1121" t="s">
        <v>39</v>
      </c>
      <c r="B1121" t="s">
        <v>40</v>
      </c>
      <c r="C1121" t="s">
        <v>12</v>
      </c>
      <c r="E1121" t="s">
        <v>9</v>
      </c>
      <c r="F1121" s="1" t="s">
        <v>6</v>
      </c>
      <c r="G1121" s="1">
        <v>45929</v>
      </c>
      <c r="H1121" t="s">
        <v>41</v>
      </c>
      <c r="I1121" s="2">
        <v>4800</v>
      </c>
      <c r="J1121" t="s">
        <v>777</v>
      </c>
      <c r="K1121" s="7">
        <v>45901</v>
      </c>
    </row>
    <row r="1122" spans="1:11" hidden="1">
      <c r="A1122" t="s">
        <v>39</v>
      </c>
      <c r="B1122" t="s">
        <v>40</v>
      </c>
      <c r="C1122" t="s">
        <v>14</v>
      </c>
      <c r="E1122" t="s">
        <v>9</v>
      </c>
      <c r="F1122" s="1" t="s">
        <v>6</v>
      </c>
      <c r="G1122" s="1">
        <v>45806</v>
      </c>
      <c r="H1122" t="s">
        <v>41</v>
      </c>
      <c r="I1122" s="2">
        <v>4788</v>
      </c>
      <c r="J1122" t="s">
        <v>799</v>
      </c>
      <c r="K1122" s="7">
        <v>45778</v>
      </c>
    </row>
    <row r="1123" spans="1:11" hidden="1">
      <c r="A1123" t="s">
        <v>39</v>
      </c>
      <c r="B1123" t="s">
        <v>40</v>
      </c>
      <c r="C1123" t="s">
        <v>14</v>
      </c>
      <c r="D1123">
        <v>10027333</v>
      </c>
      <c r="E1123" t="s">
        <v>9</v>
      </c>
      <c r="F1123" s="1" t="s">
        <v>4</v>
      </c>
      <c r="G1123" s="1">
        <v>45888</v>
      </c>
      <c r="H1123" t="s">
        <v>41</v>
      </c>
      <c r="I1123" s="2">
        <v>4000</v>
      </c>
      <c r="J1123" t="s">
        <v>800</v>
      </c>
      <c r="K1123" s="7">
        <v>45870</v>
      </c>
    </row>
    <row r="1124" spans="1:11" hidden="1">
      <c r="A1124" t="s">
        <v>39</v>
      </c>
      <c r="B1124" t="s">
        <v>40</v>
      </c>
      <c r="C1124" t="s">
        <v>14</v>
      </c>
      <c r="D1124">
        <v>10027334</v>
      </c>
      <c r="E1124" t="s">
        <v>9</v>
      </c>
      <c r="F1124" s="1" t="s">
        <v>4</v>
      </c>
      <c r="G1124" s="1">
        <v>45888</v>
      </c>
      <c r="H1124" t="s">
        <v>41</v>
      </c>
      <c r="I1124" s="2">
        <v>4000</v>
      </c>
      <c r="J1124" t="s">
        <v>800</v>
      </c>
      <c r="K1124" s="7">
        <v>45870</v>
      </c>
    </row>
    <row r="1125" spans="1:11" hidden="1">
      <c r="A1125" t="s">
        <v>39</v>
      </c>
      <c r="B1125" t="s">
        <v>40</v>
      </c>
      <c r="C1125" t="s">
        <v>14</v>
      </c>
      <c r="E1125" t="s">
        <v>9</v>
      </c>
      <c r="F1125" s="1" t="s">
        <v>5</v>
      </c>
      <c r="G1125" s="1">
        <v>45800</v>
      </c>
      <c r="H1125" t="s">
        <v>41</v>
      </c>
      <c r="I1125" s="2">
        <v>4755</v>
      </c>
      <c r="J1125" t="s">
        <v>801</v>
      </c>
      <c r="K1125" s="7">
        <v>45778</v>
      </c>
    </row>
    <row r="1126" spans="1:11" hidden="1">
      <c r="A1126" t="s">
        <v>39</v>
      </c>
      <c r="B1126" t="s">
        <v>47</v>
      </c>
      <c r="C1126" t="s">
        <v>14</v>
      </c>
      <c r="D1126">
        <v>10026826</v>
      </c>
      <c r="E1126" t="s">
        <v>9</v>
      </c>
      <c r="F1126" s="1" t="s">
        <v>3</v>
      </c>
      <c r="G1126" s="1">
        <v>45821</v>
      </c>
      <c r="H1126" t="s">
        <v>41</v>
      </c>
      <c r="I1126" s="2">
        <v>4728.8599999999997</v>
      </c>
      <c r="J1126" t="s">
        <v>802</v>
      </c>
      <c r="K1126" s="7">
        <v>45809</v>
      </c>
    </row>
    <row r="1127" spans="1:11">
      <c r="A1127" t="s">
        <v>39</v>
      </c>
      <c r="B1127" t="s">
        <v>47</v>
      </c>
      <c r="C1127" t="s">
        <v>14</v>
      </c>
      <c r="E1127" t="s">
        <v>9</v>
      </c>
      <c r="F1127" s="1" t="s">
        <v>2</v>
      </c>
      <c r="G1127" s="1">
        <v>46059</v>
      </c>
      <c r="H1127" t="s">
        <v>41</v>
      </c>
      <c r="I1127" s="2">
        <v>1104</v>
      </c>
      <c r="J1127" s="47" t="s">
        <v>803</v>
      </c>
      <c r="K1127" s="7">
        <v>46054</v>
      </c>
    </row>
    <row r="1128" spans="1:11" hidden="1">
      <c r="A1128" t="s">
        <v>114</v>
      </c>
      <c r="B1128" t="s">
        <v>63</v>
      </c>
      <c r="C1128" t="s">
        <v>12</v>
      </c>
      <c r="E1128" t="s">
        <v>9</v>
      </c>
      <c r="F1128" s="1" t="s">
        <v>2</v>
      </c>
      <c r="G1128" s="1">
        <v>46059</v>
      </c>
      <c r="H1128" t="s">
        <v>41</v>
      </c>
      <c r="I1128" s="2">
        <v>959.47</v>
      </c>
      <c r="J1128" s="47" t="s">
        <v>804</v>
      </c>
      <c r="K1128" s="7">
        <v>46054</v>
      </c>
    </row>
    <row r="1129" spans="1:11" hidden="1">
      <c r="A1129" t="s">
        <v>39</v>
      </c>
      <c r="B1129" t="s">
        <v>63</v>
      </c>
      <c r="C1129" t="s">
        <v>124</v>
      </c>
      <c r="E1129" t="s">
        <v>9</v>
      </c>
      <c r="F1129" s="1" t="s">
        <v>3</v>
      </c>
      <c r="G1129" s="1">
        <v>45849</v>
      </c>
      <c r="H1129" t="s">
        <v>41</v>
      </c>
      <c r="I1129" s="2">
        <v>4721.08</v>
      </c>
      <c r="J1129" t="s">
        <v>225</v>
      </c>
      <c r="K1129" s="7">
        <v>45839</v>
      </c>
    </row>
    <row r="1130" spans="1:11" hidden="1">
      <c r="A1130" t="s">
        <v>39</v>
      </c>
      <c r="B1130" t="s">
        <v>45</v>
      </c>
      <c r="C1130" t="s">
        <v>14</v>
      </c>
      <c r="E1130" t="s">
        <v>8</v>
      </c>
      <c r="F1130" s="1" t="s">
        <v>4</v>
      </c>
      <c r="G1130" s="1">
        <v>45891</v>
      </c>
      <c r="H1130" t="s">
        <v>41</v>
      </c>
      <c r="I1130" s="2">
        <v>14309.19</v>
      </c>
      <c r="J1130" t="s">
        <v>805</v>
      </c>
      <c r="K1130" s="7">
        <v>45870</v>
      </c>
    </row>
    <row r="1131" spans="1:11" hidden="1">
      <c r="A1131" t="s">
        <v>39</v>
      </c>
      <c r="B1131" t="s">
        <v>40</v>
      </c>
      <c r="C1131" t="s">
        <v>14</v>
      </c>
      <c r="D1131">
        <v>10027335</v>
      </c>
      <c r="E1131" t="s">
        <v>9</v>
      </c>
      <c r="F1131" s="1" t="s">
        <v>4</v>
      </c>
      <c r="G1131" s="1">
        <v>45888</v>
      </c>
      <c r="H1131" t="s">
        <v>41</v>
      </c>
      <c r="I1131" s="2">
        <v>4000</v>
      </c>
      <c r="J1131" t="s">
        <v>800</v>
      </c>
      <c r="K1131" s="7">
        <v>45870</v>
      </c>
    </row>
    <row r="1132" spans="1:11" hidden="1">
      <c r="A1132" t="s">
        <v>56</v>
      </c>
      <c r="B1132" t="s">
        <v>40</v>
      </c>
      <c r="C1132" t="s">
        <v>14</v>
      </c>
      <c r="E1132" t="s">
        <v>9</v>
      </c>
      <c r="F1132" s="1" t="s">
        <v>5</v>
      </c>
      <c r="G1132" s="1">
        <v>45925</v>
      </c>
      <c r="H1132" t="s">
        <v>41</v>
      </c>
      <c r="I1132" s="2">
        <v>4720</v>
      </c>
      <c r="J1132" t="s">
        <v>806</v>
      </c>
      <c r="K1132" s="7">
        <v>45901</v>
      </c>
    </row>
    <row r="1133" spans="1:11" hidden="1">
      <c r="A1133" t="s">
        <v>39</v>
      </c>
      <c r="B1133" t="s">
        <v>40</v>
      </c>
      <c r="C1133" t="s">
        <v>12</v>
      </c>
      <c r="E1133" t="s">
        <v>9</v>
      </c>
      <c r="F1133" s="1" t="s">
        <v>3</v>
      </c>
      <c r="G1133" s="1">
        <v>45819</v>
      </c>
      <c r="H1133" t="s">
        <v>41</v>
      </c>
      <c r="I1133" s="2">
        <v>4712.76</v>
      </c>
      <c r="J1133" t="s">
        <v>366</v>
      </c>
      <c r="K1133" s="7">
        <v>45809</v>
      </c>
    </row>
    <row r="1134" spans="1:11" hidden="1">
      <c r="A1134" t="s">
        <v>39</v>
      </c>
      <c r="B1134" t="s">
        <v>63</v>
      </c>
      <c r="C1134" t="s">
        <v>14</v>
      </c>
      <c r="E1134" t="s">
        <v>9</v>
      </c>
      <c r="F1134" s="1" t="s">
        <v>3</v>
      </c>
      <c r="G1134" s="1">
        <v>46000</v>
      </c>
      <c r="H1134" t="s">
        <v>41</v>
      </c>
      <c r="I1134" s="2">
        <v>4709.12</v>
      </c>
      <c r="J1134" s="47" t="s">
        <v>249</v>
      </c>
      <c r="K1134" s="7">
        <v>45992</v>
      </c>
    </row>
    <row r="1135" spans="1:11" hidden="1">
      <c r="A1135" t="s">
        <v>39</v>
      </c>
      <c r="B1135" t="s">
        <v>47</v>
      </c>
      <c r="C1135" t="s">
        <v>14</v>
      </c>
      <c r="D1135">
        <v>10027342</v>
      </c>
      <c r="E1135" t="s">
        <v>9</v>
      </c>
      <c r="F1135" s="1" t="s">
        <v>4</v>
      </c>
      <c r="G1135" s="1">
        <v>45888</v>
      </c>
      <c r="H1135" t="s">
        <v>41</v>
      </c>
      <c r="I1135" s="2">
        <v>4000</v>
      </c>
      <c r="J1135" t="s">
        <v>807</v>
      </c>
      <c r="K1135" s="7">
        <v>45870</v>
      </c>
    </row>
    <row r="1136" spans="1:11" hidden="1">
      <c r="A1136" t="s">
        <v>39</v>
      </c>
      <c r="B1136" t="s">
        <v>40</v>
      </c>
      <c r="C1136" t="s">
        <v>14</v>
      </c>
      <c r="E1136" t="s">
        <v>9</v>
      </c>
      <c r="F1136" s="1" t="s">
        <v>5</v>
      </c>
      <c r="G1136" s="1">
        <v>45798</v>
      </c>
      <c r="H1136" t="s">
        <v>41</v>
      </c>
      <c r="I1136" s="2">
        <v>4680</v>
      </c>
      <c r="J1136" t="s">
        <v>808</v>
      </c>
      <c r="K1136" s="7">
        <v>45778</v>
      </c>
    </row>
    <row r="1137" spans="1:11" hidden="1">
      <c r="A1137" t="s">
        <v>39</v>
      </c>
      <c r="B1137" t="s">
        <v>40</v>
      </c>
      <c r="C1137" t="s">
        <v>14</v>
      </c>
      <c r="E1137" t="s">
        <v>9</v>
      </c>
      <c r="F1137" s="1" t="s">
        <v>4</v>
      </c>
      <c r="G1137" s="1">
        <v>45888</v>
      </c>
      <c r="H1137" t="s">
        <v>41</v>
      </c>
      <c r="I1137" s="2">
        <v>2111.84</v>
      </c>
      <c r="J1137" t="s">
        <v>809</v>
      </c>
      <c r="K1137" s="7">
        <v>45870</v>
      </c>
    </row>
    <row r="1138" spans="1:11" hidden="1">
      <c r="A1138" t="s">
        <v>114</v>
      </c>
      <c r="B1138" t="s">
        <v>63</v>
      </c>
      <c r="C1138" t="s">
        <v>14</v>
      </c>
      <c r="E1138" t="s">
        <v>9</v>
      </c>
      <c r="F1138" s="1" t="s">
        <v>5</v>
      </c>
      <c r="G1138" s="1">
        <v>45926</v>
      </c>
      <c r="H1138" t="s">
        <v>41</v>
      </c>
      <c r="I1138" s="2">
        <v>4651.93</v>
      </c>
      <c r="J1138" t="s">
        <v>598</v>
      </c>
      <c r="K1138" s="7">
        <v>45901</v>
      </c>
    </row>
    <row r="1139" spans="1:11" hidden="1">
      <c r="A1139" t="s">
        <v>39</v>
      </c>
      <c r="B1139" t="s">
        <v>45</v>
      </c>
      <c r="C1139" t="s">
        <v>14</v>
      </c>
      <c r="E1139" t="s">
        <v>9</v>
      </c>
      <c r="F1139" s="1" t="s">
        <v>3</v>
      </c>
      <c r="G1139" s="1">
        <v>45912</v>
      </c>
      <c r="H1139" t="s">
        <v>41</v>
      </c>
      <c r="I1139" s="2">
        <v>4640.4399999999996</v>
      </c>
      <c r="J1139" t="s">
        <v>810</v>
      </c>
      <c r="K1139" s="7">
        <v>45901</v>
      </c>
    </row>
    <row r="1140" spans="1:11" hidden="1">
      <c r="A1140" t="s">
        <v>39</v>
      </c>
      <c r="B1140" t="s">
        <v>40</v>
      </c>
      <c r="C1140" t="s">
        <v>14</v>
      </c>
      <c r="D1140">
        <v>10027336</v>
      </c>
      <c r="E1140" t="s">
        <v>9</v>
      </c>
      <c r="F1140" s="1" t="s">
        <v>4</v>
      </c>
      <c r="G1140" s="1">
        <v>45888</v>
      </c>
      <c r="H1140" t="s">
        <v>41</v>
      </c>
      <c r="I1140" s="2">
        <v>1475</v>
      </c>
      <c r="J1140" t="s">
        <v>800</v>
      </c>
      <c r="K1140" s="7">
        <v>45870</v>
      </c>
    </row>
    <row r="1141" spans="1:11" hidden="1">
      <c r="A1141" t="s">
        <v>39</v>
      </c>
      <c r="B1141" t="s">
        <v>40</v>
      </c>
      <c r="C1141" t="s">
        <v>12</v>
      </c>
      <c r="E1141" t="s">
        <v>9</v>
      </c>
      <c r="F1141" s="1" t="s">
        <v>2</v>
      </c>
      <c r="G1141" s="1">
        <v>45965</v>
      </c>
      <c r="H1141" t="s">
        <v>41</v>
      </c>
      <c r="I1141" s="2">
        <v>4620</v>
      </c>
      <c r="J1141" t="s">
        <v>811</v>
      </c>
      <c r="K1141" s="7">
        <v>45962</v>
      </c>
    </row>
    <row r="1142" spans="1:11" hidden="1">
      <c r="A1142" t="s">
        <v>39</v>
      </c>
      <c r="B1142" t="s">
        <v>47</v>
      </c>
      <c r="C1142" t="s">
        <v>13</v>
      </c>
      <c r="E1142" t="s">
        <v>9</v>
      </c>
      <c r="F1142" s="1" t="s">
        <v>3</v>
      </c>
      <c r="G1142" s="1">
        <v>45911</v>
      </c>
      <c r="H1142" t="s">
        <v>41</v>
      </c>
      <c r="I1142" s="2">
        <v>4607.96</v>
      </c>
      <c r="J1142" t="s">
        <v>411</v>
      </c>
      <c r="K1142" s="7">
        <v>45901</v>
      </c>
    </row>
    <row r="1143" spans="1:11" hidden="1">
      <c r="A1143" t="s">
        <v>39</v>
      </c>
      <c r="B1143" t="s">
        <v>40</v>
      </c>
      <c r="C1143" t="s">
        <v>14</v>
      </c>
      <c r="D1143">
        <v>10026511</v>
      </c>
      <c r="E1143" t="s">
        <v>9</v>
      </c>
      <c r="F1143" s="1" t="s">
        <v>3</v>
      </c>
      <c r="G1143" s="1">
        <v>45784</v>
      </c>
      <c r="H1143" t="s">
        <v>41</v>
      </c>
      <c r="I1143" s="2">
        <v>4600</v>
      </c>
      <c r="J1143" t="s">
        <v>812</v>
      </c>
      <c r="K1143" s="7">
        <v>45778</v>
      </c>
    </row>
    <row r="1144" spans="1:11" hidden="1">
      <c r="A1144" t="s">
        <v>39</v>
      </c>
      <c r="B1144" t="s">
        <v>40</v>
      </c>
      <c r="C1144" t="s">
        <v>14</v>
      </c>
      <c r="D1144">
        <v>10027035</v>
      </c>
      <c r="E1144" t="s">
        <v>9</v>
      </c>
      <c r="F1144" s="1" t="s">
        <v>3</v>
      </c>
      <c r="G1144" s="1">
        <v>45847</v>
      </c>
      <c r="H1144" t="s">
        <v>41</v>
      </c>
      <c r="I1144" s="2">
        <v>4600</v>
      </c>
      <c r="J1144" t="s">
        <v>374</v>
      </c>
      <c r="K1144" s="7">
        <v>45839</v>
      </c>
    </row>
    <row r="1145" spans="1:11" hidden="1">
      <c r="A1145" t="s">
        <v>39</v>
      </c>
      <c r="B1145" t="s">
        <v>40</v>
      </c>
      <c r="C1145" t="s">
        <v>14</v>
      </c>
      <c r="E1145" t="s">
        <v>9</v>
      </c>
      <c r="F1145" s="1" t="s">
        <v>2</v>
      </c>
      <c r="G1145" s="1">
        <v>45901</v>
      </c>
      <c r="H1145" t="s">
        <v>41</v>
      </c>
      <c r="I1145" s="2">
        <v>4600</v>
      </c>
      <c r="J1145" t="s">
        <v>813</v>
      </c>
      <c r="K1145" s="7">
        <v>45901</v>
      </c>
    </row>
    <row r="1146" spans="1:11" hidden="1">
      <c r="A1146" t="s">
        <v>39</v>
      </c>
      <c r="B1146" t="s">
        <v>40</v>
      </c>
      <c r="C1146" t="s">
        <v>14</v>
      </c>
      <c r="D1146">
        <v>10027854</v>
      </c>
      <c r="E1146" t="s">
        <v>9</v>
      </c>
      <c r="F1146" s="1" t="s">
        <v>6</v>
      </c>
      <c r="G1146" s="1">
        <v>45958</v>
      </c>
      <c r="H1146" t="s">
        <v>41</v>
      </c>
      <c r="I1146" s="2">
        <v>4600</v>
      </c>
      <c r="J1146" t="s">
        <v>666</v>
      </c>
      <c r="K1146" s="7">
        <v>45931</v>
      </c>
    </row>
    <row r="1147" spans="1:11" hidden="1">
      <c r="A1147" t="s">
        <v>39</v>
      </c>
      <c r="B1147" t="s">
        <v>40</v>
      </c>
      <c r="C1147" t="s">
        <v>14</v>
      </c>
      <c r="E1147" t="s">
        <v>9</v>
      </c>
      <c r="F1147" s="1" t="s">
        <v>2</v>
      </c>
      <c r="G1147" s="1">
        <v>46029</v>
      </c>
      <c r="H1147" t="s">
        <v>41</v>
      </c>
      <c r="I1147" s="2">
        <v>4600</v>
      </c>
      <c r="J1147" t="s">
        <v>814</v>
      </c>
      <c r="K1147" s="7">
        <v>46023</v>
      </c>
    </row>
    <row r="1148" spans="1:11" hidden="1">
      <c r="A1148" t="s">
        <v>39</v>
      </c>
      <c r="B1148" t="s">
        <v>47</v>
      </c>
      <c r="C1148" t="s">
        <v>14</v>
      </c>
      <c r="E1148" t="s">
        <v>9</v>
      </c>
      <c r="F1148" s="1" t="s">
        <v>6</v>
      </c>
      <c r="G1148" s="1">
        <v>45959</v>
      </c>
      <c r="H1148" t="s">
        <v>41</v>
      </c>
      <c r="I1148" s="2">
        <v>4598.21</v>
      </c>
      <c r="J1148" t="s">
        <v>815</v>
      </c>
      <c r="K1148" s="7">
        <v>45931</v>
      </c>
    </row>
    <row r="1149" spans="1:11" hidden="1">
      <c r="A1149" t="s">
        <v>39</v>
      </c>
      <c r="B1149" t="s">
        <v>40</v>
      </c>
      <c r="C1149" t="s">
        <v>14</v>
      </c>
      <c r="E1149" t="s">
        <v>8</v>
      </c>
      <c r="F1149" s="1" t="s">
        <v>4</v>
      </c>
      <c r="G1149" s="1">
        <v>45892</v>
      </c>
      <c r="H1149" t="s">
        <v>41</v>
      </c>
      <c r="I1149" s="2">
        <v>60000</v>
      </c>
      <c r="J1149" t="s">
        <v>98</v>
      </c>
      <c r="K1149" s="7">
        <v>45870</v>
      </c>
    </row>
    <row r="1150" spans="1:11" hidden="1">
      <c r="A1150" t="s">
        <v>39</v>
      </c>
      <c r="B1150" t="s">
        <v>47</v>
      </c>
      <c r="C1150" t="s">
        <v>14</v>
      </c>
      <c r="E1150" t="s">
        <v>8</v>
      </c>
      <c r="F1150" s="1" t="s">
        <v>4</v>
      </c>
      <c r="G1150" s="1">
        <v>45892</v>
      </c>
      <c r="H1150" t="s">
        <v>41</v>
      </c>
      <c r="I1150" s="2">
        <v>48831.45</v>
      </c>
      <c r="J1150" t="s">
        <v>61</v>
      </c>
      <c r="K1150" s="7">
        <v>45870</v>
      </c>
    </row>
    <row r="1151" spans="1:11" hidden="1">
      <c r="A1151" t="s">
        <v>39</v>
      </c>
      <c r="B1151" t="s">
        <v>47</v>
      </c>
      <c r="C1151" t="s">
        <v>14</v>
      </c>
      <c r="E1151" t="s">
        <v>8</v>
      </c>
      <c r="F1151" s="1" t="s">
        <v>4</v>
      </c>
      <c r="G1151" s="1">
        <v>45892</v>
      </c>
      <c r="H1151" t="s">
        <v>41</v>
      </c>
      <c r="I1151" s="2">
        <v>15777.5</v>
      </c>
      <c r="J1151" t="s">
        <v>816</v>
      </c>
      <c r="K1151" s="7">
        <v>45870</v>
      </c>
    </row>
    <row r="1152" spans="1:11" hidden="1">
      <c r="A1152" t="s">
        <v>39</v>
      </c>
      <c r="B1152" t="s">
        <v>45</v>
      </c>
      <c r="C1152" t="s">
        <v>13</v>
      </c>
      <c r="E1152" t="s">
        <v>8</v>
      </c>
      <c r="F1152" s="1" t="s">
        <v>4</v>
      </c>
      <c r="G1152" s="1">
        <v>45892</v>
      </c>
      <c r="H1152" t="s">
        <v>41</v>
      </c>
      <c r="I1152" s="2">
        <v>10575</v>
      </c>
      <c r="J1152" t="s">
        <v>531</v>
      </c>
      <c r="K1152" s="7">
        <v>45870</v>
      </c>
    </row>
    <row r="1153" spans="1:11" hidden="1">
      <c r="A1153" t="s">
        <v>39</v>
      </c>
      <c r="B1153" t="s">
        <v>47</v>
      </c>
      <c r="C1153" t="s">
        <v>14</v>
      </c>
      <c r="E1153" t="s">
        <v>8</v>
      </c>
      <c r="F1153" s="1" t="s">
        <v>4</v>
      </c>
      <c r="G1153" s="1">
        <v>45892</v>
      </c>
      <c r="H1153" t="s">
        <v>41</v>
      </c>
      <c r="I1153" s="2">
        <v>6321</v>
      </c>
      <c r="J1153" t="s">
        <v>817</v>
      </c>
      <c r="K1153" s="7">
        <v>45870</v>
      </c>
    </row>
    <row r="1154" spans="1:11" hidden="1">
      <c r="A1154" t="s">
        <v>39</v>
      </c>
      <c r="B1154" t="s">
        <v>63</v>
      </c>
      <c r="C1154" t="s">
        <v>14</v>
      </c>
      <c r="E1154" t="s">
        <v>8</v>
      </c>
      <c r="F1154" s="1" t="s">
        <v>4</v>
      </c>
      <c r="G1154" s="1">
        <v>45892</v>
      </c>
      <c r="H1154" t="s">
        <v>41</v>
      </c>
      <c r="I1154" s="2">
        <v>38608.980000000003</v>
      </c>
      <c r="J1154" t="s">
        <v>482</v>
      </c>
      <c r="K1154" s="7">
        <v>45870</v>
      </c>
    </row>
    <row r="1155" spans="1:11" hidden="1">
      <c r="A1155" t="s">
        <v>39</v>
      </c>
      <c r="B1155" t="s">
        <v>47</v>
      </c>
      <c r="C1155" t="s">
        <v>13</v>
      </c>
      <c r="E1155" t="s">
        <v>8</v>
      </c>
      <c r="F1155" s="1" t="s">
        <v>4</v>
      </c>
      <c r="G1155" s="1">
        <v>45892</v>
      </c>
      <c r="H1155" t="s">
        <v>41</v>
      </c>
      <c r="I1155" s="2">
        <v>5955.72</v>
      </c>
      <c r="J1155" t="s">
        <v>818</v>
      </c>
      <c r="K1155" s="7">
        <v>45870</v>
      </c>
    </row>
    <row r="1156" spans="1:11" hidden="1">
      <c r="A1156" t="s">
        <v>114</v>
      </c>
      <c r="B1156" t="s">
        <v>63</v>
      </c>
      <c r="C1156" t="s">
        <v>14</v>
      </c>
      <c r="E1156" t="s">
        <v>8</v>
      </c>
      <c r="F1156" s="1" t="s">
        <v>4</v>
      </c>
      <c r="G1156" s="1">
        <v>45892</v>
      </c>
      <c r="H1156" t="s">
        <v>41</v>
      </c>
      <c r="I1156" s="2">
        <v>22882.5</v>
      </c>
      <c r="J1156" t="s">
        <v>133</v>
      </c>
      <c r="K1156" s="7">
        <v>45870</v>
      </c>
    </row>
    <row r="1157" spans="1:11" hidden="1">
      <c r="A1157" t="s">
        <v>99</v>
      </c>
      <c r="B1157" t="s">
        <v>63</v>
      </c>
      <c r="C1157" t="s">
        <v>14</v>
      </c>
      <c r="E1157" t="s">
        <v>8</v>
      </c>
      <c r="F1157" s="1" t="s">
        <v>4</v>
      </c>
      <c r="G1157" s="1">
        <v>45892</v>
      </c>
      <c r="H1157" t="s">
        <v>41</v>
      </c>
      <c r="I1157" s="2">
        <v>20000</v>
      </c>
      <c r="J1157" t="s">
        <v>819</v>
      </c>
      <c r="K1157" s="7">
        <v>45870</v>
      </c>
    </row>
    <row r="1158" spans="1:11" hidden="1">
      <c r="A1158" t="s">
        <v>114</v>
      </c>
      <c r="B1158" t="s">
        <v>63</v>
      </c>
      <c r="C1158" t="s">
        <v>12</v>
      </c>
      <c r="E1158" t="s">
        <v>8</v>
      </c>
      <c r="F1158" s="1" t="s">
        <v>4</v>
      </c>
      <c r="G1158" s="1">
        <v>45892</v>
      </c>
      <c r="H1158" t="s">
        <v>41</v>
      </c>
      <c r="I1158" s="2">
        <v>13078</v>
      </c>
      <c r="J1158" t="s">
        <v>820</v>
      </c>
      <c r="K1158" s="7">
        <v>45870</v>
      </c>
    </row>
    <row r="1159" spans="1:11" hidden="1">
      <c r="A1159" t="s">
        <v>39</v>
      </c>
      <c r="B1159" t="s">
        <v>63</v>
      </c>
      <c r="C1159" t="s">
        <v>13</v>
      </c>
      <c r="E1159" t="s">
        <v>8</v>
      </c>
      <c r="F1159" s="1" t="s">
        <v>4</v>
      </c>
      <c r="G1159" s="1">
        <v>45892</v>
      </c>
      <c r="H1159" t="s">
        <v>41</v>
      </c>
      <c r="I1159" s="2">
        <v>9695.56</v>
      </c>
      <c r="J1159" t="s">
        <v>821</v>
      </c>
      <c r="K1159" s="7">
        <v>45870</v>
      </c>
    </row>
    <row r="1160" spans="1:11" hidden="1">
      <c r="A1160" t="s">
        <v>39</v>
      </c>
      <c r="B1160" t="s">
        <v>63</v>
      </c>
      <c r="C1160" t="s">
        <v>13</v>
      </c>
      <c r="E1160" t="s">
        <v>8</v>
      </c>
      <c r="F1160" s="1" t="s">
        <v>4</v>
      </c>
      <c r="G1160" s="1">
        <v>45892</v>
      </c>
      <c r="H1160" t="s">
        <v>41</v>
      </c>
      <c r="I1160" s="2">
        <v>6719.07</v>
      </c>
      <c r="J1160" t="s">
        <v>215</v>
      </c>
      <c r="K1160" s="7">
        <v>45870</v>
      </c>
    </row>
    <row r="1161" spans="1:11" hidden="1">
      <c r="A1161" t="s">
        <v>114</v>
      </c>
      <c r="B1161" t="s">
        <v>63</v>
      </c>
      <c r="C1161" t="s">
        <v>13</v>
      </c>
      <c r="E1161" t="s">
        <v>8</v>
      </c>
      <c r="F1161" s="1" t="s">
        <v>4</v>
      </c>
      <c r="G1161" s="1">
        <v>45892</v>
      </c>
      <c r="H1161" t="s">
        <v>41</v>
      </c>
      <c r="I1161" s="2">
        <v>6000</v>
      </c>
      <c r="J1161" t="s">
        <v>822</v>
      </c>
      <c r="K1161" s="7">
        <v>45870</v>
      </c>
    </row>
    <row r="1162" spans="1:11" hidden="1">
      <c r="A1162" t="s">
        <v>114</v>
      </c>
      <c r="B1162" t="s">
        <v>63</v>
      </c>
      <c r="C1162" t="s">
        <v>14</v>
      </c>
      <c r="E1162" t="s">
        <v>8</v>
      </c>
      <c r="F1162" s="1" t="s">
        <v>4</v>
      </c>
      <c r="G1162" s="1">
        <v>45892</v>
      </c>
      <c r="H1162" t="s">
        <v>41</v>
      </c>
      <c r="I1162" s="2">
        <v>5347.16</v>
      </c>
      <c r="J1162" t="s">
        <v>133</v>
      </c>
      <c r="K1162" s="7">
        <v>45870</v>
      </c>
    </row>
    <row r="1163" spans="1:11" hidden="1">
      <c r="A1163" t="s">
        <v>39</v>
      </c>
      <c r="B1163" t="s">
        <v>63</v>
      </c>
      <c r="C1163" t="s">
        <v>12</v>
      </c>
      <c r="E1163" t="s">
        <v>8</v>
      </c>
      <c r="F1163" s="1" t="s">
        <v>4</v>
      </c>
      <c r="G1163" s="1">
        <v>45892</v>
      </c>
      <c r="H1163" t="s">
        <v>41</v>
      </c>
      <c r="I1163" s="2">
        <v>3620</v>
      </c>
      <c r="J1163" t="s">
        <v>823</v>
      </c>
      <c r="K1163" s="7">
        <v>45870</v>
      </c>
    </row>
    <row r="1164" spans="1:11" hidden="1">
      <c r="A1164" t="s">
        <v>114</v>
      </c>
      <c r="B1164" t="s">
        <v>63</v>
      </c>
      <c r="C1164" t="s">
        <v>12</v>
      </c>
      <c r="E1164" t="s">
        <v>8</v>
      </c>
      <c r="F1164" s="1" t="s">
        <v>4</v>
      </c>
      <c r="G1164" s="1">
        <v>45892</v>
      </c>
      <c r="H1164" t="s">
        <v>41</v>
      </c>
      <c r="I1164" s="2">
        <v>3269</v>
      </c>
      <c r="J1164" t="s">
        <v>820</v>
      </c>
      <c r="K1164" s="7">
        <v>45870</v>
      </c>
    </row>
    <row r="1165" spans="1:11" hidden="1">
      <c r="A1165" t="s">
        <v>114</v>
      </c>
      <c r="B1165" t="s">
        <v>63</v>
      </c>
      <c r="C1165" t="s">
        <v>12</v>
      </c>
      <c r="E1165" t="s">
        <v>8</v>
      </c>
      <c r="F1165" s="1" t="s">
        <v>4</v>
      </c>
      <c r="G1165" s="1">
        <v>45892</v>
      </c>
      <c r="H1165" t="s">
        <v>41</v>
      </c>
      <c r="I1165" s="2">
        <v>3174</v>
      </c>
      <c r="J1165" t="s">
        <v>820</v>
      </c>
      <c r="K1165" s="7">
        <v>45870</v>
      </c>
    </row>
    <row r="1166" spans="1:11" hidden="1">
      <c r="A1166" t="s">
        <v>39</v>
      </c>
      <c r="B1166" t="s">
        <v>45</v>
      </c>
      <c r="C1166" t="s">
        <v>14</v>
      </c>
      <c r="D1166">
        <v>10026733</v>
      </c>
      <c r="E1166" t="s">
        <v>9</v>
      </c>
      <c r="F1166" s="1" t="s">
        <v>2</v>
      </c>
      <c r="G1166" s="1">
        <v>45810</v>
      </c>
      <c r="H1166" t="s">
        <v>41</v>
      </c>
      <c r="I1166" s="2">
        <v>4586.7299999999996</v>
      </c>
      <c r="J1166" t="s">
        <v>701</v>
      </c>
      <c r="K1166" s="7">
        <v>45809</v>
      </c>
    </row>
    <row r="1167" spans="1:11" hidden="1">
      <c r="A1167" t="s">
        <v>114</v>
      </c>
      <c r="B1167" t="s">
        <v>63</v>
      </c>
      <c r="C1167" t="s">
        <v>13</v>
      </c>
      <c r="E1167" t="s">
        <v>9</v>
      </c>
      <c r="F1167" s="1" t="s">
        <v>6</v>
      </c>
      <c r="G1167" s="1">
        <v>46021</v>
      </c>
      <c r="H1167" t="s">
        <v>41</v>
      </c>
      <c r="I1167" s="2">
        <v>4574.8599999999997</v>
      </c>
      <c r="J1167" s="47" t="s">
        <v>824</v>
      </c>
      <c r="K1167" s="7">
        <v>45992</v>
      </c>
    </row>
    <row r="1168" spans="1:11" hidden="1">
      <c r="A1168" t="s">
        <v>39</v>
      </c>
      <c r="B1168" t="s">
        <v>45</v>
      </c>
      <c r="C1168" t="s">
        <v>14</v>
      </c>
      <c r="D1168">
        <v>10026806</v>
      </c>
      <c r="E1168" t="s">
        <v>9</v>
      </c>
      <c r="F1168" s="1" t="s">
        <v>3</v>
      </c>
      <c r="G1168" s="1">
        <v>45820</v>
      </c>
      <c r="H1168" t="s">
        <v>41</v>
      </c>
      <c r="I1168" s="2">
        <v>4573.71</v>
      </c>
      <c r="J1168" t="s">
        <v>825</v>
      </c>
      <c r="K1168" s="7">
        <v>45809</v>
      </c>
    </row>
    <row r="1169" spans="1:11" hidden="1">
      <c r="A1169" t="s">
        <v>114</v>
      </c>
      <c r="B1169" t="s">
        <v>63</v>
      </c>
      <c r="C1169" t="s">
        <v>14</v>
      </c>
      <c r="E1169" t="s">
        <v>9</v>
      </c>
      <c r="F1169" s="1" t="s">
        <v>5</v>
      </c>
      <c r="G1169" s="1">
        <v>46048</v>
      </c>
      <c r="H1169" t="s">
        <v>41</v>
      </c>
      <c r="I1169" s="2">
        <v>4562.1000000000004</v>
      </c>
      <c r="J1169" t="s">
        <v>826</v>
      </c>
      <c r="K1169" s="7">
        <v>46023</v>
      </c>
    </row>
    <row r="1170" spans="1:11" hidden="1">
      <c r="A1170" t="s">
        <v>114</v>
      </c>
      <c r="B1170" t="s">
        <v>63</v>
      </c>
      <c r="C1170" t="s">
        <v>13</v>
      </c>
      <c r="D1170">
        <v>70156</v>
      </c>
      <c r="E1170" t="s">
        <v>9</v>
      </c>
      <c r="F1170" s="1" t="s">
        <v>2</v>
      </c>
      <c r="G1170" s="1">
        <v>45809</v>
      </c>
      <c r="H1170" t="s">
        <v>41</v>
      </c>
      <c r="I1170" s="2">
        <v>4550</v>
      </c>
      <c r="J1170" t="s">
        <v>761</v>
      </c>
      <c r="K1170" s="7">
        <v>45809</v>
      </c>
    </row>
    <row r="1171" spans="1:11" hidden="1">
      <c r="A1171" t="s">
        <v>39</v>
      </c>
      <c r="B1171" t="s">
        <v>40</v>
      </c>
      <c r="C1171" t="s">
        <v>14</v>
      </c>
      <c r="E1171" t="s">
        <v>9</v>
      </c>
      <c r="F1171" s="1" t="s">
        <v>5</v>
      </c>
      <c r="G1171" s="1">
        <v>45800</v>
      </c>
      <c r="H1171" t="s">
        <v>41</v>
      </c>
      <c r="I1171" s="2">
        <v>4500</v>
      </c>
      <c r="J1171" t="s">
        <v>370</v>
      </c>
      <c r="K1171" s="7">
        <v>45778</v>
      </c>
    </row>
    <row r="1172" spans="1:11" hidden="1">
      <c r="A1172" t="s">
        <v>39</v>
      </c>
      <c r="B1172" t="s">
        <v>40</v>
      </c>
      <c r="C1172" t="s">
        <v>14</v>
      </c>
      <c r="E1172" t="s">
        <v>9</v>
      </c>
      <c r="F1172" s="1" t="s">
        <v>4</v>
      </c>
      <c r="G1172" s="1">
        <v>45888</v>
      </c>
      <c r="H1172" t="s">
        <v>64</v>
      </c>
      <c r="I1172" s="2">
        <v>900</v>
      </c>
      <c r="J1172" t="s">
        <v>827</v>
      </c>
      <c r="K1172" s="7">
        <v>45870</v>
      </c>
    </row>
    <row r="1173" spans="1:11" hidden="1">
      <c r="A1173" t="s">
        <v>39</v>
      </c>
      <c r="B1173" t="s">
        <v>63</v>
      </c>
      <c r="C1173" t="s">
        <v>12</v>
      </c>
      <c r="D1173">
        <v>10026900</v>
      </c>
      <c r="E1173" t="s">
        <v>9</v>
      </c>
      <c r="F1173" s="1" t="s">
        <v>5</v>
      </c>
      <c r="G1173" s="1">
        <v>45831</v>
      </c>
      <c r="H1173" t="s">
        <v>41</v>
      </c>
      <c r="I1173" s="2">
        <v>4500</v>
      </c>
      <c r="J1173" t="s">
        <v>828</v>
      </c>
      <c r="K1173" s="7">
        <v>45809</v>
      </c>
    </row>
    <row r="1174" spans="1:11" hidden="1">
      <c r="A1174" t="s">
        <v>39</v>
      </c>
      <c r="B1174" t="s">
        <v>40</v>
      </c>
      <c r="C1174" t="s">
        <v>14</v>
      </c>
      <c r="E1174" t="s">
        <v>9</v>
      </c>
      <c r="F1174" s="1" t="s">
        <v>4</v>
      </c>
      <c r="G1174" s="1">
        <v>45888</v>
      </c>
      <c r="H1174" t="s">
        <v>41</v>
      </c>
      <c r="I1174" s="2">
        <v>100</v>
      </c>
      <c r="J1174" t="s">
        <v>829</v>
      </c>
      <c r="K1174" s="7">
        <v>45870</v>
      </c>
    </row>
    <row r="1175" spans="1:11" hidden="1">
      <c r="A1175" t="s">
        <v>56</v>
      </c>
      <c r="B1175" t="s">
        <v>40</v>
      </c>
      <c r="C1175" t="s">
        <v>14</v>
      </c>
      <c r="D1175">
        <v>10816</v>
      </c>
      <c r="E1175" t="s">
        <v>9</v>
      </c>
      <c r="F1175" s="1" t="s">
        <v>5</v>
      </c>
      <c r="G1175" s="1">
        <v>45952</v>
      </c>
      <c r="H1175" t="s">
        <v>41</v>
      </c>
      <c r="I1175" s="2">
        <v>4500</v>
      </c>
      <c r="J1175" t="s">
        <v>830</v>
      </c>
      <c r="K1175" s="7">
        <v>45931</v>
      </c>
    </row>
    <row r="1176" spans="1:11" hidden="1">
      <c r="A1176" t="s">
        <v>56</v>
      </c>
      <c r="B1176" t="s">
        <v>40</v>
      </c>
      <c r="C1176" t="s">
        <v>14</v>
      </c>
      <c r="D1176">
        <v>10859</v>
      </c>
      <c r="E1176" t="s">
        <v>9</v>
      </c>
      <c r="F1176" s="1" t="s">
        <v>5</v>
      </c>
      <c r="G1176" s="1">
        <v>46017</v>
      </c>
      <c r="H1176" t="s">
        <v>41</v>
      </c>
      <c r="I1176" s="2">
        <v>4500</v>
      </c>
      <c r="J1176" t="s">
        <v>831</v>
      </c>
      <c r="K1176" s="7">
        <v>45992</v>
      </c>
    </row>
    <row r="1177" spans="1:11" hidden="1">
      <c r="A1177" t="s">
        <v>39</v>
      </c>
      <c r="B1177" t="s">
        <v>47</v>
      </c>
      <c r="C1177" t="s">
        <v>13</v>
      </c>
      <c r="E1177" t="s">
        <v>9</v>
      </c>
      <c r="F1177" s="1" t="s">
        <v>2</v>
      </c>
      <c r="G1177" s="1">
        <v>45967</v>
      </c>
      <c r="H1177" t="s">
        <v>41</v>
      </c>
      <c r="I1177" s="2">
        <v>4496.04</v>
      </c>
      <c r="J1177" t="s">
        <v>766</v>
      </c>
      <c r="K1177" s="7">
        <v>45962</v>
      </c>
    </row>
    <row r="1178" spans="1:11" hidden="1">
      <c r="A1178" t="s">
        <v>39</v>
      </c>
      <c r="B1178" t="s">
        <v>63</v>
      </c>
      <c r="C1178" t="s">
        <v>13</v>
      </c>
      <c r="E1178" t="s">
        <v>9</v>
      </c>
      <c r="F1178" s="1" t="s">
        <v>4</v>
      </c>
      <c r="G1178" s="1">
        <v>45889</v>
      </c>
      <c r="H1178" t="s">
        <v>41</v>
      </c>
      <c r="I1178" s="2">
        <v>75000</v>
      </c>
      <c r="J1178" t="s">
        <v>131</v>
      </c>
      <c r="K1178" s="7">
        <v>45870</v>
      </c>
    </row>
    <row r="1179" spans="1:11" hidden="1">
      <c r="A1179" t="s">
        <v>39</v>
      </c>
      <c r="B1179" t="s">
        <v>63</v>
      </c>
      <c r="C1179" t="s">
        <v>14</v>
      </c>
      <c r="E1179" t="s">
        <v>9</v>
      </c>
      <c r="F1179" s="1" t="s">
        <v>2</v>
      </c>
      <c r="G1179" s="1">
        <v>45965</v>
      </c>
      <c r="H1179" t="s">
        <v>64</v>
      </c>
      <c r="I1179" s="2">
        <f>2283930.06/510</f>
        <v>4478.2942352941182</v>
      </c>
      <c r="J1179" t="s">
        <v>832</v>
      </c>
      <c r="K1179" s="7">
        <v>45962</v>
      </c>
    </row>
    <row r="1180" spans="1:11" hidden="1">
      <c r="A1180" t="s">
        <v>39</v>
      </c>
      <c r="B1180" t="s">
        <v>40</v>
      </c>
      <c r="C1180" t="s">
        <v>14</v>
      </c>
      <c r="E1180" t="s">
        <v>9</v>
      </c>
      <c r="F1180" s="1" t="s">
        <v>2</v>
      </c>
      <c r="G1180" s="1">
        <v>45905</v>
      </c>
      <c r="H1180" t="s">
        <v>41</v>
      </c>
      <c r="I1180" s="2">
        <v>4466</v>
      </c>
      <c r="J1180" t="s">
        <v>833</v>
      </c>
      <c r="K1180" s="7">
        <v>45901</v>
      </c>
    </row>
    <row r="1181" spans="1:11" hidden="1">
      <c r="A1181" t="s">
        <v>39</v>
      </c>
      <c r="B1181" t="s">
        <v>47</v>
      </c>
      <c r="C1181" t="s">
        <v>14</v>
      </c>
      <c r="E1181" t="s">
        <v>9</v>
      </c>
      <c r="F1181" s="1" t="s">
        <v>2</v>
      </c>
      <c r="G1181" s="1">
        <v>45877</v>
      </c>
      <c r="H1181" t="s">
        <v>41</v>
      </c>
      <c r="I1181" s="2">
        <v>4455</v>
      </c>
      <c r="J1181" s="47" t="s">
        <v>834</v>
      </c>
      <c r="K1181" s="7">
        <v>45870</v>
      </c>
    </row>
    <row r="1182" spans="1:11" hidden="1">
      <c r="A1182" t="s">
        <v>114</v>
      </c>
      <c r="B1182" t="s">
        <v>63</v>
      </c>
      <c r="C1182" t="s">
        <v>14</v>
      </c>
      <c r="D1182">
        <v>15159</v>
      </c>
      <c r="E1182" t="s">
        <v>9</v>
      </c>
      <c r="F1182" s="1" t="s">
        <v>2</v>
      </c>
      <c r="G1182" s="1">
        <v>45811</v>
      </c>
      <c r="H1182" t="s">
        <v>41</v>
      </c>
      <c r="I1182" s="2">
        <v>4453.04</v>
      </c>
      <c r="J1182" t="s">
        <v>835</v>
      </c>
      <c r="K1182" s="7">
        <v>45809</v>
      </c>
    </row>
    <row r="1183" spans="1:11" hidden="1">
      <c r="A1183" t="s">
        <v>39</v>
      </c>
      <c r="B1183" t="s">
        <v>63</v>
      </c>
      <c r="C1183" t="s">
        <v>14</v>
      </c>
      <c r="E1183" t="s">
        <v>9</v>
      </c>
      <c r="F1183" s="1" t="s">
        <v>5</v>
      </c>
      <c r="G1183" s="1">
        <v>45925</v>
      </c>
      <c r="H1183" t="s">
        <v>41</v>
      </c>
      <c r="I1183" s="2">
        <v>4447.6000000000004</v>
      </c>
      <c r="J1183" t="s">
        <v>836</v>
      </c>
      <c r="K1183" s="7">
        <v>45901</v>
      </c>
    </row>
    <row r="1184" spans="1:11" hidden="1">
      <c r="A1184" t="s">
        <v>39</v>
      </c>
      <c r="B1184" t="s">
        <v>40</v>
      </c>
      <c r="C1184" t="s">
        <v>14</v>
      </c>
      <c r="E1184" t="s">
        <v>9</v>
      </c>
      <c r="F1184" s="1" t="s">
        <v>5</v>
      </c>
      <c r="G1184" s="1">
        <v>45896</v>
      </c>
      <c r="H1184" t="s">
        <v>64</v>
      </c>
      <c r="I1184" s="2">
        <v>4445</v>
      </c>
      <c r="J1184" t="s">
        <v>837</v>
      </c>
      <c r="K1184" s="7">
        <v>45870</v>
      </c>
    </row>
    <row r="1185" spans="1:11" hidden="1">
      <c r="A1185" t="s">
        <v>114</v>
      </c>
      <c r="B1185" t="s">
        <v>63</v>
      </c>
      <c r="C1185" t="s">
        <v>14</v>
      </c>
      <c r="E1185" t="s">
        <v>9</v>
      </c>
      <c r="F1185" s="1" t="s">
        <v>3</v>
      </c>
      <c r="G1185" s="1">
        <v>46000</v>
      </c>
      <c r="H1185" t="s">
        <v>41</v>
      </c>
      <c r="I1185" s="2">
        <v>4435.9799999999996</v>
      </c>
      <c r="J1185" t="s">
        <v>796</v>
      </c>
      <c r="K1185" s="7">
        <v>45992</v>
      </c>
    </row>
    <row r="1186" spans="1:11" hidden="1">
      <c r="A1186" t="s">
        <v>39</v>
      </c>
      <c r="B1186" t="s">
        <v>45</v>
      </c>
      <c r="C1186" t="s">
        <v>13</v>
      </c>
      <c r="E1186" t="s">
        <v>9</v>
      </c>
      <c r="F1186" s="1" t="s">
        <v>4</v>
      </c>
      <c r="G1186" s="1">
        <v>45889</v>
      </c>
      <c r="H1186" t="s">
        <v>41</v>
      </c>
      <c r="I1186" s="2">
        <v>59500.44</v>
      </c>
      <c r="J1186" t="s">
        <v>838</v>
      </c>
      <c r="K1186" s="7">
        <v>45870</v>
      </c>
    </row>
    <row r="1187" spans="1:11" hidden="1">
      <c r="A1187" t="s">
        <v>39</v>
      </c>
      <c r="B1187" t="s">
        <v>45</v>
      </c>
      <c r="C1187" t="s">
        <v>13</v>
      </c>
      <c r="E1187" t="s">
        <v>9</v>
      </c>
      <c r="F1187" s="1" t="s">
        <v>4</v>
      </c>
      <c r="G1187" s="1">
        <v>45889</v>
      </c>
      <c r="H1187" t="s">
        <v>41</v>
      </c>
      <c r="I1187" s="2">
        <v>32759.22</v>
      </c>
      <c r="J1187" t="s">
        <v>163</v>
      </c>
      <c r="K1187" s="7">
        <v>45870</v>
      </c>
    </row>
    <row r="1188" spans="1:11" hidden="1">
      <c r="A1188" t="s">
        <v>39</v>
      </c>
      <c r="B1188" t="s">
        <v>40</v>
      </c>
      <c r="C1188" t="s">
        <v>14</v>
      </c>
      <c r="E1188" t="s">
        <v>9</v>
      </c>
      <c r="F1188" s="1" t="s">
        <v>3</v>
      </c>
      <c r="G1188" s="1">
        <v>46034</v>
      </c>
      <c r="H1188" t="s">
        <v>41</v>
      </c>
      <c r="I1188" s="2">
        <v>4400</v>
      </c>
      <c r="J1188" t="s">
        <v>839</v>
      </c>
      <c r="K1188" s="7">
        <v>46023</v>
      </c>
    </row>
    <row r="1189" spans="1:11" hidden="1">
      <c r="A1189" t="s">
        <v>39</v>
      </c>
      <c r="B1189" t="s">
        <v>47</v>
      </c>
      <c r="C1189" t="s">
        <v>12</v>
      </c>
      <c r="D1189">
        <v>10026909</v>
      </c>
      <c r="E1189" t="s">
        <v>9</v>
      </c>
      <c r="F1189" s="1" t="s">
        <v>3</v>
      </c>
      <c r="G1189" s="1">
        <v>45818</v>
      </c>
      <c r="H1189" t="s">
        <v>41</v>
      </c>
      <c r="I1189" s="2">
        <v>4383.99</v>
      </c>
      <c r="J1189" t="s">
        <v>840</v>
      </c>
      <c r="K1189" s="7">
        <v>45809</v>
      </c>
    </row>
    <row r="1190" spans="1:11" hidden="1">
      <c r="A1190" t="s">
        <v>114</v>
      </c>
      <c r="B1190" t="s">
        <v>63</v>
      </c>
      <c r="C1190" t="s">
        <v>14</v>
      </c>
      <c r="D1190">
        <v>15160</v>
      </c>
      <c r="E1190" t="s">
        <v>9</v>
      </c>
      <c r="F1190" s="1" t="s">
        <v>2</v>
      </c>
      <c r="G1190" s="1">
        <v>45813</v>
      </c>
      <c r="H1190" t="s">
        <v>41</v>
      </c>
      <c r="I1190" s="2">
        <v>4382.63</v>
      </c>
      <c r="J1190" t="s">
        <v>254</v>
      </c>
      <c r="K1190" s="7">
        <v>45809</v>
      </c>
    </row>
    <row r="1191" spans="1:11" hidden="1">
      <c r="A1191" t="s">
        <v>39</v>
      </c>
      <c r="B1191" t="s">
        <v>40</v>
      </c>
      <c r="C1191" t="s">
        <v>14</v>
      </c>
      <c r="E1191" t="s">
        <v>9</v>
      </c>
      <c r="F1191" s="1" t="s">
        <v>4</v>
      </c>
      <c r="G1191" s="1">
        <v>45889</v>
      </c>
      <c r="H1191" t="s">
        <v>64</v>
      </c>
      <c r="I1191" s="2">
        <v>1830</v>
      </c>
      <c r="J1191" t="s">
        <v>841</v>
      </c>
      <c r="K1191" s="7">
        <v>45870</v>
      </c>
    </row>
    <row r="1192" spans="1:11" hidden="1">
      <c r="A1192" t="s">
        <v>114</v>
      </c>
      <c r="B1192" t="s">
        <v>63</v>
      </c>
      <c r="C1192" t="s">
        <v>14</v>
      </c>
      <c r="E1192" t="s">
        <v>9</v>
      </c>
      <c r="F1192" s="1" t="s">
        <v>4</v>
      </c>
      <c r="G1192" s="1">
        <v>45889</v>
      </c>
      <c r="H1192" t="s">
        <v>41</v>
      </c>
      <c r="I1192" s="2">
        <v>1699.1</v>
      </c>
      <c r="J1192" t="s">
        <v>517</v>
      </c>
      <c r="K1192" s="7">
        <v>45870</v>
      </c>
    </row>
    <row r="1193" spans="1:11" hidden="1">
      <c r="A1193" t="s">
        <v>39</v>
      </c>
      <c r="B1193" t="s">
        <v>47</v>
      </c>
      <c r="C1193" t="s">
        <v>14</v>
      </c>
      <c r="E1193" t="s">
        <v>9</v>
      </c>
      <c r="F1193" s="1" t="s">
        <v>2</v>
      </c>
      <c r="G1193" s="1">
        <v>45996</v>
      </c>
      <c r="H1193" t="s">
        <v>41</v>
      </c>
      <c r="I1193" s="2">
        <v>4353.53</v>
      </c>
      <c r="J1193" t="s">
        <v>842</v>
      </c>
      <c r="K1193" s="7">
        <v>45992</v>
      </c>
    </row>
    <row r="1194" spans="1:11" hidden="1">
      <c r="A1194" t="s">
        <v>114</v>
      </c>
      <c r="B1194" t="s">
        <v>63</v>
      </c>
      <c r="C1194" t="s">
        <v>14</v>
      </c>
      <c r="D1194">
        <v>15200</v>
      </c>
      <c r="E1194" t="s">
        <v>9</v>
      </c>
      <c r="F1194" s="1" t="s">
        <v>6</v>
      </c>
      <c r="G1194" s="1">
        <v>45868</v>
      </c>
      <c r="H1194" t="s">
        <v>41</v>
      </c>
      <c r="I1194" s="2">
        <v>4348.8100000000004</v>
      </c>
      <c r="J1194" t="s">
        <v>254</v>
      </c>
      <c r="K1194" s="7">
        <v>45839</v>
      </c>
    </row>
    <row r="1195" spans="1:11" hidden="1">
      <c r="A1195" t="s">
        <v>39</v>
      </c>
      <c r="B1195" t="s">
        <v>47</v>
      </c>
      <c r="C1195" t="s">
        <v>14</v>
      </c>
      <c r="E1195" t="s">
        <v>9</v>
      </c>
      <c r="F1195" s="1" t="s">
        <v>4</v>
      </c>
      <c r="G1195" s="1">
        <v>45889</v>
      </c>
      <c r="H1195" t="s">
        <v>41</v>
      </c>
      <c r="I1195" s="2">
        <v>1186.27</v>
      </c>
      <c r="J1195" t="s">
        <v>843</v>
      </c>
      <c r="K1195" s="7">
        <v>45870</v>
      </c>
    </row>
    <row r="1196" spans="1:11" hidden="1">
      <c r="A1196" t="s">
        <v>39</v>
      </c>
      <c r="B1196" t="s">
        <v>47</v>
      </c>
      <c r="C1196" t="s">
        <v>14</v>
      </c>
      <c r="E1196" t="s">
        <v>9</v>
      </c>
      <c r="F1196" s="1" t="s">
        <v>5</v>
      </c>
      <c r="G1196" s="1">
        <v>45989</v>
      </c>
      <c r="H1196" t="s">
        <v>41</v>
      </c>
      <c r="I1196" s="2">
        <v>4301.91</v>
      </c>
      <c r="J1196" s="47" t="s">
        <v>844</v>
      </c>
      <c r="K1196" s="7">
        <v>45962</v>
      </c>
    </row>
    <row r="1197" spans="1:11" hidden="1">
      <c r="A1197" t="s">
        <v>39</v>
      </c>
      <c r="B1197" t="s">
        <v>40</v>
      </c>
      <c r="C1197" t="s">
        <v>14</v>
      </c>
      <c r="E1197" t="s">
        <v>9</v>
      </c>
      <c r="F1197" s="1" t="s">
        <v>4</v>
      </c>
      <c r="G1197" s="1">
        <v>45889</v>
      </c>
      <c r="H1197" t="s">
        <v>64</v>
      </c>
      <c r="I1197" s="2">
        <v>975</v>
      </c>
      <c r="J1197" t="s">
        <v>845</v>
      </c>
      <c r="K1197" s="7">
        <v>45870</v>
      </c>
    </row>
    <row r="1198" spans="1:11" hidden="1">
      <c r="A1198" t="s">
        <v>39</v>
      </c>
      <c r="B1198" t="s">
        <v>40</v>
      </c>
      <c r="C1198" t="s">
        <v>14</v>
      </c>
      <c r="D1198">
        <v>10027697</v>
      </c>
      <c r="E1198" t="s">
        <v>9</v>
      </c>
      <c r="F1198" s="1" t="s">
        <v>2</v>
      </c>
      <c r="G1198" s="1">
        <v>45932</v>
      </c>
      <c r="H1198" t="s">
        <v>41</v>
      </c>
      <c r="I1198" s="2">
        <v>4280</v>
      </c>
      <c r="J1198" t="s">
        <v>846</v>
      </c>
      <c r="K1198" s="7">
        <v>45931</v>
      </c>
    </row>
    <row r="1199" spans="1:11" hidden="1">
      <c r="A1199" t="s">
        <v>39</v>
      </c>
      <c r="B1199" t="s">
        <v>47</v>
      </c>
      <c r="C1199" t="s">
        <v>14</v>
      </c>
      <c r="E1199" t="s">
        <v>9</v>
      </c>
      <c r="F1199" s="1" t="s">
        <v>3</v>
      </c>
      <c r="G1199" s="1">
        <v>45821</v>
      </c>
      <c r="H1199" t="s">
        <v>41</v>
      </c>
      <c r="I1199" s="2">
        <v>4279.5200000000004</v>
      </c>
      <c r="J1199" t="s">
        <v>847</v>
      </c>
      <c r="K1199" s="7">
        <v>45809</v>
      </c>
    </row>
    <row r="1200" spans="1:11" hidden="1">
      <c r="A1200" t="s">
        <v>39</v>
      </c>
      <c r="B1200" t="s">
        <v>45</v>
      </c>
      <c r="C1200" t="s">
        <v>13</v>
      </c>
      <c r="E1200" t="s">
        <v>9</v>
      </c>
      <c r="F1200" s="1" t="s">
        <v>5</v>
      </c>
      <c r="G1200" s="1">
        <v>45896</v>
      </c>
      <c r="H1200" t="s">
        <v>41</v>
      </c>
      <c r="I1200" s="2">
        <v>4253.2</v>
      </c>
      <c r="J1200" t="s">
        <v>848</v>
      </c>
      <c r="K1200" s="7">
        <v>45870</v>
      </c>
    </row>
    <row r="1201" spans="1:11" hidden="1">
      <c r="A1201" t="s">
        <v>39</v>
      </c>
      <c r="B1201" t="s">
        <v>40</v>
      </c>
      <c r="C1201" t="s">
        <v>14</v>
      </c>
      <c r="D1201">
        <v>10027172</v>
      </c>
      <c r="E1201" t="s">
        <v>9</v>
      </c>
      <c r="F1201" s="1" t="s">
        <v>5</v>
      </c>
      <c r="G1201" s="1">
        <v>45864</v>
      </c>
      <c r="H1201" t="s">
        <v>41</v>
      </c>
      <c r="I1201" s="2">
        <v>4250</v>
      </c>
      <c r="J1201" t="s">
        <v>429</v>
      </c>
      <c r="K1201" s="7">
        <v>45839</v>
      </c>
    </row>
    <row r="1202" spans="1:11" hidden="1">
      <c r="A1202" t="s">
        <v>99</v>
      </c>
      <c r="B1202" t="s">
        <v>63</v>
      </c>
      <c r="C1202" t="s">
        <v>14</v>
      </c>
      <c r="E1202" t="s">
        <v>9</v>
      </c>
      <c r="F1202" s="1" t="s">
        <v>5</v>
      </c>
      <c r="G1202" s="1">
        <v>46018</v>
      </c>
      <c r="H1202" t="s">
        <v>41</v>
      </c>
      <c r="I1202" s="2">
        <v>4234.83</v>
      </c>
      <c r="J1202" t="s">
        <v>495</v>
      </c>
      <c r="K1202" s="7">
        <v>45992</v>
      </c>
    </row>
    <row r="1203" spans="1:11" hidden="1">
      <c r="A1203" t="s">
        <v>39</v>
      </c>
      <c r="B1203" t="s">
        <v>40</v>
      </c>
      <c r="C1203" t="s">
        <v>14</v>
      </c>
      <c r="E1203" t="s">
        <v>9</v>
      </c>
      <c r="F1203" s="1" t="s">
        <v>4</v>
      </c>
      <c r="G1203" s="1">
        <v>45889</v>
      </c>
      <c r="H1203" t="s">
        <v>64</v>
      </c>
      <c r="I1203" s="2">
        <v>946.54</v>
      </c>
      <c r="J1203" t="s">
        <v>849</v>
      </c>
      <c r="K1203" s="7">
        <v>45870</v>
      </c>
    </row>
    <row r="1204" spans="1:11" hidden="1">
      <c r="A1204" t="s">
        <v>39</v>
      </c>
      <c r="B1204" t="s">
        <v>45</v>
      </c>
      <c r="C1204" t="s">
        <v>14</v>
      </c>
      <c r="E1204" t="s">
        <v>8</v>
      </c>
      <c r="F1204" s="1" t="s">
        <v>5</v>
      </c>
      <c r="G1204" s="1">
        <v>45898</v>
      </c>
      <c r="H1204" t="s">
        <v>41</v>
      </c>
      <c r="I1204" s="2">
        <v>333000</v>
      </c>
      <c r="J1204" t="s">
        <v>128</v>
      </c>
      <c r="K1204" s="7">
        <v>45870</v>
      </c>
    </row>
    <row r="1205" spans="1:11" hidden="1">
      <c r="A1205" t="s">
        <v>39</v>
      </c>
      <c r="B1205" t="s">
        <v>45</v>
      </c>
      <c r="C1205" t="s">
        <v>13</v>
      </c>
      <c r="E1205" t="s">
        <v>8</v>
      </c>
      <c r="F1205" s="1" t="s">
        <v>5</v>
      </c>
      <c r="G1205" s="1">
        <v>45898</v>
      </c>
      <c r="H1205" t="s">
        <v>41</v>
      </c>
      <c r="I1205" s="2">
        <v>65703.81</v>
      </c>
      <c r="J1205" t="s">
        <v>378</v>
      </c>
      <c r="K1205" s="7">
        <v>45870</v>
      </c>
    </row>
    <row r="1206" spans="1:11" hidden="1">
      <c r="A1206" t="s">
        <v>39</v>
      </c>
      <c r="B1206" t="s">
        <v>45</v>
      </c>
      <c r="C1206" t="s">
        <v>13</v>
      </c>
      <c r="E1206" t="s">
        <v>8</v>
      </c>
      <c r="F1206" s="1" t="s">
        <v>5</v>
      </c>
      <c r="G1206" s="1">
        <v>45898</v>
      </c>
      <c r="H1206" t="s">
        <v>41</v>
      </c>
      <c r="I1206" s="2">
        <v>19513.990000000002</v>
      </c>
      <c r="J1206" t="s">
        <v>378</v>
      </c>
      <c r="K1206" s="7">
        <v>45870</v>
      </c>
    </row>
    <row r="1207" spans="1:11" hidden="1">
      <c r="A1207" t="s">
        <v>39</v>
      </c>
      <c r="B1207" t="s">
        <v>45</v>
      </c>
      <c r="C1207" t="s">
        <v>14</v>
      </c>
      <c r="E1207" t="s">
        <v>8</v>
      </c>
      <c r="F1207" s="1" t="s">
        <v>5</v>
      </c>
      <c r="G1207" s="1">
        <v>45898</v>
      </c>
      <c r="H1207" t="s">
        <v>41</v>
      </c>
      <c r="I1207" s="2">
        <v>12152.58</v>
      </c>
      <c r="J1207" t="s">
        <v>378</v>
      </c>
      <c r="K1207" s="7">
        <v>45870</v>
      </c>
    </row>
    <row r="1208" spans="1:11" hidden="1">
      <c r="A1208" t="s">
        <v>39</v>
      </c>
      <c r="B1208" t="s">
        <v>45</v>
      </c>
      <c r="C1208" t="s">
        <v>13</v>
      </c>
      <c r="E1208" t="s">
        <v>8</v>
      </c>
      <c r="F1208" s="1" t="s">
        <v>5</v>
      </c>
      <c r="G1208" s="1">
        <v>45898</v>
      </c>
      <c r="H1208" t="s">
        <v>41</v>
      </c>
      <c r="I1208" s="2">
        <v>11787.33</v>
      </c>
      <c r="J1208" t="s">
        <v>217</v>
      </c>
      <c r="K1208" s="7">
        <v>45870</v>
      </c>
    </row>
    <row r="1209" spans="1:11" hidden="1">
      <c r="A1209" t="s">
        <v>39</v>
      </c>
      <c r="B1209" t="s">
        <v>45</v>
      </c>
      <c r="C1209" t="s">
        <v>13</v>
      </c>
      <c r="E1209" t="s">
        <v>8</v>
      </c>
      <c r="F1209" s="1" t="s">
        <v>5</v>
      </c>
      <c r="G1209" s="1">
        <v>45898</v>
      </c>
      <c r="H1209" t="s">
        <v>41</v>
      </c>
      <c r="I1209" s="2">
        <v>10000</v>
      </c>
      <c r="J1209" t="s">
        <v>88</v>
      </c>
      <c r="K1209" s="7">
        <v>45870</v>
      </c>
    </row>
    <row r="1210" spans="1:11" hidden="1">
      <c r="A1210" t="s">
        <v>56</v>
      </c>
      <c r="B1210" t="s">
        <v>40</v>
      </c>
      <c r="C1210" t="s">
        <v>14</v>
      </c>
      <c r="D1210">
        <v>10767</v>
      </c>
      <c r="E1210" t="s">
        <v>9</v>
      </c>
      <c r="F1210" s="1" t="s">
        <v>4</v>
      </c>
      <c r="G1210" s="1">
        <v>45889</v>
      </c>
      <c r="H1210" t="s">
        <v>41</v>
      </c>
      <c r="I1210" s="2">
        <v>375</v>
      </c>
      <c r="J1210" t="s">
        <v>850</v>
      </c>
      <c r="K1210" s="7">
        <v>45870</v>
      </c>
    </row>
    <row r="1211" spans="1:11" hidden="1">
      <c r="A1211" t="s">
        <v>114</v>
      </c>
      <c r="B1211" t="s">
        <v>63</v>
      </c>
      <c r="C1211" t="s">
        <v>14</v>
      </c>
      <c r="D1211">
        <v>15161</v>
      </c>
      <c r="E1211" t="s">
        <v>9</v>
      </c>
      <c r="F1211" s="1" t="s">
        <v>2</v>
      </c>
      <c r="G1211" s="1">
        <v>45813</v>
      </c>
      <c r="H1211" t="s">
        <v>41</v>
      </c>
      <c r="I1211" s="2">
        <v>4200.46</v>
      </c>
      <c r="J1211" t="s">
        <v>254</v>
      </c>
      <c r="K1211" s="7">
        <v>45809</v>
      </c>
    </row>
    <row r="1212" spans="1:11" hidden="1">
      <c r="A1212" t="s">
        <v>39</v>
      </c>
      <c r="B1212" t="s">
        <v>40</v>
      </c>
      <c r="C1212" t="s">
        <v>14</v>
      </c>
      <c r="D1212">
        <v>10028468</v>
      </c>
      <c r="E1212" t="s">
        <v>9</v>
      </c>
      <c r="F1212" s="1" t="s">
        <v>2</v>
      </c>
      <c r="G1212" s="1">
        <v>46059</v>
      </c>
      <c r="H1212" t="s">
        <v>64</v>
      </c>
      <c r="I1212" s="2">
        <f>432778.5/496</f>
        <v>872.53729838709683</v>
      </c>
      <c r="J1212" t="s">
        <v>851</v>
      </c>
      <c r="K1212" s="7">
        <v>46054</v>
      </c>
    </row>
    <row r="1213" spans="1:11" hidden="1">
      <c r="A1213" t="s">
        <v>39</v>
      </c>
      <c r="B1213" t="s">
        <v>40</v>
      </c>
      <c r="C1213" t="s">
        <v>14</v>
      </c>
      <c r="D1213">
        <v>10027033</v>
      </c>
      <c r="E1213" t="s">
        <v>9</v>
      </c>
      <c r="F1213" s="1" t="s">
        <v>3</v>
      </c>
      <c r="G1213" s="1">
        <v>45847</v>
      </c>
      <c r="H1213" t="s">
        <v>41</v>
      </c>
      <c r="I1213" s="2">
        <v>4200</v>
      </c>
      <c r="J1213" t="s">
        <v>852</v>
      </c>
      <c r="K1213" s="7">
        <v>45839</v>
      </c>
    </row>
    <row r="1214" spans="1:11" hidden="1">
      <c r="A1214" t="s">
        <v>39</v>
      </c>
      <c r="B1214" t="s">
        <v>40</v>
      </c>
      <c r="C1214" t="s">
        <v>14</v>
      </c>
      <c r="E1214" t="s">
        <v>9</v>
      </c>
      <c r="F1214" s="1" t="s">
        <v>3</v>
      </c>
      <c r="G1214" s="1">
        <v>45937</v>
      </c>
      <c r="H1214" t="s">
        <v>41</v>
      </c>
      <c r="I1214" s="2">
        <v>4200</v>
      </c>
      <c r="J1214" s="47" t="s">
        <v>853</v>
      </c>
      <c r="K1214" s="7">
        <v>45931</v>
      </c>
    </row>
    <row r="1215" spans="1:11" hidden="1">
      <c r="A1215" t="s">
        <v>39</v>
      </c>
      <c r="B1215" t="s">
        <v>40</v>
      </c>
      <c r="C1215" t="s">
        <v>14</v>
      </c>
      <c r="E1215" t="s">
        <v>9</v>
      </c>
      <c r="F1215" s="1" t="s">
        <v>4</v>
      </c>
      <c r="G1215" s="1">
        <v>45889</v>
      </c>
      <c r="H1215" t="s">
        <v>64</v>
      </c>
      <c r="I1215" s="2">
        <f>177000/510</f>
        <v>347.05882352941177</v>
      </c>
      <c r="J1215" t="s">
        <v>283</v>
      </c>
      <c r="K1215" s="7">
        <v>45870</v>
      </c>
    </row>
    <row r="1216" spans="1:11" hidden="1">
      <c r="A1216" t="s">
        <v>39</v>
      </c>
      <c r="B1216" t="s">
        <v>47</v>
      </c>
      <c r="C1216" t="s">
        <v>14</v>
      </c>
      <c r="D1216">
        <v>10027572</v>
      </c>
      <c r="E1216" t="s">
        <v>9</v>
      </c>
      <c r="F1216" s="1" t="s">
        <v>5</v>
      </c>
      <c r="G1216" s="1">
        <v>45918</v>
      </c>
      <c r="H1216" t="s">
        <v>41</v>
      </c>
      <c r="I1216" s="2">
        <v>4172.5600000000004</v>
      </c>
      <c r="J1216" t="s">
        <v>854</v>
      </c>
      <c r="K1216" s="7">
        <v>45901</v>
      </c>
    </row>
    <row r="1217" spans="1:11" hidden="1">
      <c r="A1217" t="s">
        <v>39</v>
      </c>
      <c r="B1217" t="s">
        <v>47</v>
      </c>
      <c r="C1217" t="s">
        <v>14</v>
      </c>
      <c r="D1217">
        <v>10026696</v>
      </c>
      <c r="E1217" t="s">
        <v>9</v>
      </c>
      <c r="F1217" s="1" t="s">
        <v>6</v>
      </c>
      <c r="G1217" s="1">
        <v>45804</v>
      </c>
      <c r="H1217" t="s">
        <v>41</v>
      </c>
      <c r="I1217" s="2">
        <v>4159.71</v>
      </c>
      <c r="J1217" t="s">
        <v>133</v>
      </c>
      <c r="K1217" s="7">
        <v>45778</v>
      </c>
    </row>
    <row r="1218" spans="1:11" hidden="1">
      <c r="A1218" t="s">
        <v>39</v>
      </c>
      <c r="B1218" t="s">
        <v>63</v>
      </c>
      <c r="C1218" t="s">
        <v>14</v>
      </c>
      <c r="E1218" t="s">
        <v>9</v>
      </c>
      <c r="F1218" s="1" t="s">
        <v>3</v>
      </c>
      <c r="G1218" s="1">
        <v>45940</v>
      </c>
      <c r="H1218" t="s">
        <v>41</v>
      </c>
      <c r="I1218" s="2">
        <v>4154.76</v>
      </c>
      <c r="J1218" t="s">
        <v>855</v>
      </c>
      <c r="K1218" s="7">
        <v>45931</v>
      </c>
    </row>
    <row r="1219" spans="1:11" hidden="1">
      <c r="A1219" t="s">
        <v>39</v>
      </c>
      <c r="B1219" t="s">
        <v>40</v>
      </c>
      <c r="C1219" t="s">
        <v>14</v>
      </c>
      <c r="E1219" t="s">
        <v>9</v>
      </c>
      <c r="F1219" s="1" t="s">
        <v>4</v>
      </c>
      <c r="G1219" s="1">
        <v>45889</v>
      </c>
      <c r="H1219" t="s">
        <v>64</v>
      </c>
      <c r="I1219" s="2">
        <f>53000/510</f>
        <v>103.92156862745098</v>
      </c>
      <c r="J1219" t="s">
        <v>856</v>
      </c>
      <c r="K1219" s="7">
        <v>45870</v>
      </c>
    </row>
    <row r="1220" spans="1:11" hidden="1">
      <c r="A1220" t="s">
        <v>39</v>
      </c>
      <c r="B1220" t="s">
        <v>40</v>
      </c>
      <c r="C1220" t="s">
        <v>14</v>
      </c>
      <c r="E1220" t="s">
        <v>9</v>
      </c>
      <c r="F1220" s="1" t="s">
        <v>4</v>
      </c>
      <c r="G1220" s="1">
        <v>45889</v>
      </c>
      <c r="H1220" t="s">
        <v>64</v>
      </c>
      <c r="I1220" s="2">
        <v>79.099999999999994</v>
      </c>
      <c r="J1220" t="s">
        <v>857</v>
      </c>
      <c r="K1220" s="7">
        <v>45870</v>
      </c>
    </row>
    <row r="1221" spans="1:11" hidden="1">
      <c r="A1221" t="s">
        <v>39</v>
      </c>
      <c r="B1221" t="s">
        <v>40</v>
      </c>
      <c r="C1221" t="s">
        <v>14</v>
      </c>
      <c r="E1221" t="s">
        <v>9</v>
      </c>
      <c r="F1221" s="1" t="s">
        <v>2</v>
      </c>
      <c r="G1221" s="1">
        <v>45903</v>
      </c>
      <c r="H1221" t="s">
        <v>41</v>
      </c>
      <c r="I1221" s="2">
        <v>4100</v>
      </c>
      <c r="J1221" t="s">
        <v>858</v>
      </c>
      <c r="K1221" s="7">
        <v>45901</v>
      </c>
    </row>
    <row r="1222" spans="1:11" hidden="1">
      <c r="A1222" t="s">
        <v>39</v>
      </c>
      <c r="B1222" t="s">
        <v>40</v>
      </c>
      <c r="C1222" t="s">
        <v>14</v>
      </c>
      <c r="D1222">
        <v>10028266</v>
      </c>
      <c r="E1222" t="s">
        <v>9</v>
      </c>
      <c r="F1222" s="1" t="s">
        <v>3</v>
      </c>
      <c r="G1222" s="1">
        <v>46034</v>
      </c>
      <c r="H1222" t="s">
        <v>41</v>
      </c>
      <c r="I1222" s="2">
        <v>4091</v>
      </c>
      <c r="J1222" t="s">
        <v>859</v>
      </c>
      <c r="K1222" s="7">
        <v>46023</v>
      </c>
    </row>
    <row r="1223" spans="1:11" hidden="1">
      <c r="A1223" t="s">
        <v>39</v>
      </c>
      <c r="B1223" t="s">
        <v>40</v>
      </c>
      <c r="C1223" t="s">
        <v>14</v>
      </c>
      <c r="D1223">
        <v>10027147</v>
      </c>
      <c r="E1223" t="s">
        <v>9</v>
      </c>
      <c r="F1223" s="1" t="s">
        <v>5</v>
      </c>
      <c r="G1223" s="1">
        <v>45861</v>
      </c>
      <c r="H1223" t="s">
        <v>64</v>
      </c>
      <c r="I1223" s="2">
        <f>2065099.2/508</f>
        <v>4065.1559055118109</v>
      </c>
      <c r="J1223" t="s">
        <v>860</v>
      </c>
      <c r="K1223" s="7">
        <v>45839</v>
      </c>
    </row>
    <row r="1224" spans="1:11" hidden="1">
      <c r="A1224" t="s">
        <v>39</v>
      </c>
      <c r="B1224" t="s">
        <v>47</v>
      </c>
      <c r="C1224" t="s">
        <v>14</v>
      </c>
      <c r="E1224" t="s">
        <v>9</v>
      </c>
      <c r="F1224" s="1" t="s">
        <v>2</v>
      </c>
      <c r="G1224" s="1">
        <v>45902</v>
      </c>
      <c r="H1224" t="s">
        <v>41</v>
      </c>
      <c r="I1224" s="2">
        <v>4057.56</v>
      </c>
      <c r="J1224" t="s">
        <v>328</v>
      </c>
      <c r="K1224" s="7">
        <v>45901</v>
      </c>
    </row>
    <row r="1225" spans="1:11" hidden="1">
      <c r="A1225" t="s">
        <v>39</v>
      </c>
      <c r="B1225" t="s">
        <v>47</v>
      </c>
      <c r="C1225" t="s">
        <v>14</v>
      </c>
      <c r="E1225" t="s">
        <v>9</v>
      </c>
      <c r="F1225" s="1" t="s">
        <v>5</v>
      </c>
      <c r="G1225" s="1">
        <v>45897</v>
      </c>
      <c r="H1225" t="s">
        <v>41</v>
      </c>
      <c r="I1225" s="2">
        <v>4048.46</v>
      </c>
      <c r="J1225" t="s">
        <v>487</v>
      </c>
      <c r="K1225" s="7">
        <v>45870</v>
      </c>
    </row>
    <row r="1226" spans="1:11" hidden="1">
      <c r="A1226" t="s">
        <v>39</v>
      </c>
      <c r="B1226" t="s">
        <v>63</v>
      </c>
      <c r="C1226" t="s">
        <v>14</v>
      </c>
      <c r="E1226" t="s">
        <v>9</v>
      </c>
      <c r="F1226" s="1" t="s">
        <v>3</v>
      </c>
      <c r="G1226" s="1">
        <v>45908</v>
      </c>
      <c r="H1226" t="s">
        <v>41</v>
      </c>
      <c r="I1226" s="2">
        <v>4045.27</v>
      </c>
      <c r="J1226" t="s">
        <v>861</v>
      </c>
      <c r="K1226" s="7">
        <v>45901</v>
      </c>
    </row>
    <row r="1227" spans="1:11" hidden="1">
      <c r="A1227" t="s">
        <v>39</v>
      </c>
      <c r="B1227" t="s">
        <v>40</v>
      </c>
      <c r="C1227" t="s">
        <v>14</v>
      </c>
      <c r="E1227" t="s">
        <v>8</v>
      </c>
      <c r="F1227" s="1" t="s">
        <v>5</v>
      </c>
      <c r="G1227" s="1">
        <v>45899</v>
      </c>
      <c r="H1227" t="s">
        <v>41</v>
      </c>
      <c r="I1227" s="2">
        <v>60000</v>
      </c>
      <c r="J1227" t="s">
        <v>98</v>
      </c>
      <c r="K1227" s="7">
        <v>45870</v>
      </c>
    </row>
    <row r="1228" spans="1:11" hidden="1">
      <c r="A1228" t="s">
        <v>56</v>
      </c>
      <c r="B1228" t="s">
        <v>40</v>
      </c>
      <c r="C1228" t="s">
        <v>14</v>
      </c>
      <c r="E1228" t="s">
        <v>8</v>
      </c>
      <c r="F1228" s="1" t="s">
        <v>5</v>
      </c>
      <c r="G1228" s="1">
        <v>45899</v>
      </c>
      <c r="H1228" t="s">
        <v>41</v>
      </c>
      <c r="I1228" s="2">
        <v>40000</v>
      </c>
      <c r="J1228" t="s">
        <v>98</v>
      </c>
      <c r="K1228" s="7">
        <v>45870</v>
      </c>
    </row>
    <row r="1229" spans="1:11" hidden="1">
      <c r="A1229" t="s">
        <v>39</v>
      </c>
      <c r="B1229" t="s">
        <v>47</v>
      </c>
      <c r="C1229" t="s">
        <v>14</v>
      </c>
      <c r="E1229" t="s">
        <v>8</v>
      </c>
      <c r="F1229" s="1" t="s">
        <v>5</v>
      </c>
      <c r="G1229" s="1">
        <v>45899</v>
      </c>
      <c r="H1229" t="s">
        <v>41</v>
      </c>
      <c r="I1229" s="2">
        <v>39546.9</v>
      </c>
      <c r="J1229" t="s">
        <v>862</v>
      </c>
      <c r="K1229" s="7">
        <v>45870</v>
      </c>
    </row>
    <row r="1230" spans="1:11" hidden="1">
      <c r="A1230" t="s">
        <v>39</v>
      </c>
      <c r="B1230" t="s">
        <v>47</v>
      </c>
      <c r="C1230" t="s">
        <v>14</v>
      </c>
      <c r="E1230" t="s">
        <v>8</v>
      </c>
      <c r="F1230" s="1" t="s">
        <v>5</v>
      </c>
      <c r="G1230" s="1">
        <v>45899</v>
      </c>
      <c r="H1230" t="s">
        <v>41</v>
      </c>
      <c r="I1230" s="2">
        <v>15891</v>
      </c>
      <c r="J1230" t="s">
        <v>329</v>
      </c>
      <c r="K1230" s="7">
        <v>45870</v>
      </c>
    </row>
    <row r="1231" spans="1:11" hidden="1">
      <c r="A1231" t="s">
        <v>39</v>
      </c>
      <c r="B1231" t="s">
        <v>47</v>
      </c>
      <c r="C1231" t="s">
        <v>14</v>
      </c>
      <c r="E1231" t="s">
        <v>8</v>
      </c>
      <c r="F1231" s="1" t="s">
        <v>5</v>
      </c>
      <c r="G1231" s="1">
        <v>45899</v>
      </c>
      <c r="H1231" t="s">
        <v>41</v>
      </c>
      <c r="I1231" s="2">
        <v>15891</v>
      </c>
      <c r="J1231" t="s">
        <v>576</v>
      </c>
      <c r="K1231" s="7">
        <v>45870</v>
      </c>
    </row>
    <row r="1232" spans="1:11" hidden="1">
      <c r="A1232" t="s">
        <v>39</v>
      </c>
      <c r="B1232" t="s">
        <v>63</v>
      </c>
      <c r="C1232" t="s">
        <v>14</v>
      </c>
      <c r="E1232" t="s">
        <v>8</v>
      </c>
      <c r="F1232" s="1" t="s">
        <v>5</v>
      </c>
      <c r="G1232" s="1">
        <v>45899</v>
      </c>
      <c r="H1232" t="s">
        <v>41</v>
      </c>
      <c r="I1232" s="2">
        <v>94400</v>
      </c>
      <c r="J1232" t="s">
        <v>201</v>
      </c>
      <c r="K1232" s="7">
        <v>45870</v>
      </c>
    </row>
    <row r="1233" spans="1:11" hidden="1">
      <c r="A1233" t="s">
        <v>39</v>
      </c>
      <c r="B1233" t="s">
        <v>63</v>
      </c>
      <c r="C1233" t="s">
        <v>13</v>
      </c>
      <c r="E1233" t="s">
        <v>8</v>
      </c>
      <c r="F1233" s="1" t="s">
        <v>5</v>
      </c>
      <c r="G1233" s="1">
        <v>45899</v>
      </c>
      <c r="H1233" t="s">
        <v>41</v>
      </c>
      <c r="I1233" s="2">
        <v>50887</v>
      </c>
      <c r="J1233" t="s">
        <v>304</v>
      </c>
      <c r="K1233" s="7">
        <v>45870</v>
      </c>
    </row>
    <row r="1234" spans="1:11" hidden="1">
      <c r="A1234" t="s">
        <v>114</v>
      </c>
      <c r="B1234" t="s">
        <v>63</v>
      </c>
      <c r="C1234" t="s">
        <v>14</v>
      </c>
      <c r="E1234" t="s">
        <v>8</v>
      </c>
      <c r="F1234" s="1" t="s">
        <v>5</v>
      </c>
      <c r="G1234" s="1">
        <v>45899</v>
      </c>
      <c r="H1234" t="s">
        <v>41</v>
      </c>
      <c r="I1234" s="2">
        <v>42500</v>
      </c>
      <c r="J1234" t="s">
        <v>290</v>
      </c>
      <c r="K1234" s="7">
        <v>45870</v>
      </c>
    </row>
    <row r="1235" spans="1:11" hidden="1">
      <c r="A1235" t="s">
        <v>39</v>
      </c>
      <c r="B1235" t="s">
        <v>63</v>
      </c>
      <c r="C1235" t="s">
        <v>13</v>
      </c>
      <c r="E1235" t="s">
        <v>8</v>
      </c>
      <c r="F1235" s="1" t="s">
        <v>5</v>
      </c>
      <c r="G1235" s="1">
        <v>45899</v>
      </c>
      <c r="H1235" t="s">
        <v>41</v>
      </c>
      <c r="I1235" s="2">
        <v>24520.39</v>
      </c>
      <c r="J1235" t="s">
        <v>342</v>
      </c>
      <c r="K1235" s="7">
        <v>45870</v>
      </c>
    </row>
    <row r="1236" spans="1:11" hidden="1">
      <c r="A1236" t="s">
        <v>99</v>
      </c>
      <c r="B1236" t="s">
        <v>63</v>
      </c>
      <c r="C1236" t="s">
        <v>14</v>
      </c>
      <c r="E1236" t="s">
        <v>8</v>
      </c>
      <c r="F1236" s="1" t="s">
        <v>5</v>
      </c>
      <c r="G1236" s="1">
        <v>45899</v>
      </c>
      <c r="H1236" t="s">
        <v>41</v>
      </c>
      <c r="I1236" s="2">
        <v>20000</v>
      </c>
      <c r="J1236" t="s">
        <v>863</v>
      </c>
      <c r="K1236" s="7">
        <v>45870</v>
      </c>
    </row>
    <row r="1237" spans="1:11" hidden="1">
      <c r="A1237" t="s">
        <v>39</v>
      </c>
      <c r="B1237" t="s">
        <v>63</v>
      </c>
      <c r="C1237" t="s">
        <v>13</v>
      </c>
      <c r="E1237" t="s">
        <v>8</v>
      </c>
      <c r="F1237" s="1" t="s">
        <v>5</v>
      </c>
      <c r="G1237" s="1">
        <v>45899</v>
      </c>
      <c r="H1237" t="s">
        <v>41</v>
      </c>
      <c r="I1237" s="2">
        <v>8000</v>
      </c>
      <c r="J1237" t="s">
        <v>306</v>
      </c>
      <c r="K1237" s="7">
        <v>45870</v>
      </c>
    </row>
    <row r="1238" spans="1:11" hidden="1">
      <c r="A1238" t="s">
        <v>39</v>
      </c>
      <c r="B1238" t="s">
        <v>40</v>
      </c>
      <c r="C1238" t="s">
        <v>14</v>
      </c>
      <c r="E1238" t="s">
        <v>9</v>
      </c>
      <c r="F1238" s="1" t="s">
        <v>4</v>
      </c>
      <c r="G1238" s="1">
        <v>45889</v>
      </c>
      <c r="H1238" t="s">
        <v>64</v>
      </c>
      <c r="I1238" s="2">
        <v>79.099999999999994</v>
      </c>
      <c r="J1238" t="s">
        <v>864</v>
      </c>
      <c r="K1238" s="7">
        <v>45870</v>
      </c>
    </row>
    <row r="1239" spans="1:11" hidden="1">
      <c r="A1239" t="s">
        <v>39</v>
      </c>
      <c r="B1239" t="s">
        <v>47</v>
      </c>
      <c r="C1239" t="s">
        <v>14</v>
      </c>
      <c r="E1239" t="s">
        <v>9</v>
      </c>
      <c r="F1239" s="1" t="s">
        <v>6</v>
      </c>
      <c r="G1239" s="1">
        <v>45957</v>
      </c>
      <c r="H1239" t="s">
        <v>64</v>
      </c>
      <c r="I1239" s="2">
        <f>2057467.1/510</f>
        <v>4034.2492156862745</v>
      </c>
      <c r="J1239" t="s">
        <v>865</v>
      </c>
      <c r="K1239" s="7">
        <v>45931</v>
      </c>
    </row>
    <row r="1240" spans="1:11" hidden="1">
      <c r="A1240" t="s">
        <v>39</v>
      </c>
      <c r="B1240" t="s">
        <v>40</v>
      </c>
      <c r="C1240" t="s">
        <v>14</v>
      </c>
      <c r="D1240">
        <v>10026493</v>
      </c>
      <c r="E1240" t="s">
        <v>9</v>
      </c>
      <c r="F1240" t="s">
        <v>2</v>
      </c>
      <c r="G1240" s="1">
        <v>45779</v>
      </c>
      <c r="H1240" t="s">
        <v>41</v>
      </c>
      <c r="I1240" s="2">
        <v>4000</v>
      </c>
      <c r="J1240" t="s">
        <v>77</v>
      </c>
      <c r="K1240" s="7">
        <v>45778</v>
      </c>
    </row>
    <row r="1241" spans="1:11" hidden="1">
      <c r="A1241" t="s">
        <v>39</v>
      </c>
      <c r="B1241" t="s">
        <v>40</v>
      </c>
      <c r="C1241" t="s">
        <v>14</v>
      </c>
      <c r="D1241">
        <v>10026491</v>
      </c>
      <c r="E1241" t="s">
        <v>9</v>
      </c>
      <c r="F1241" s="1" t="s">
        <v>3</v>
      </c>
      <c r="G1241" s="1">
        <v>45782</v>
      </c>
      <c r="H1241" t="s">
        <v>41</v>
      </c>
      <c r="I1241" s="2">
        <v>4000</v>
      </c>
      <c r="J1241" t="s">
        <v>108</v>
      </c>
      <c r="K1241" s="7">
        <v>45778</v>
      </c>
    </row>
    <row r="1242" spans="1:11" hidden="1">
      <c r="A1242" t="s">
        <v>39</v>
      </c>
      <c r="B1242" t="s">
        <v>40</v>
      </c>
      <c r="C1242" t="s">
        <v>14</v>
      </c>
      <c r="E1242" t="s">
        <v>9</v>
      </c>
      <c r="F1242" s="1" t="s">
        <v>5</v>
      </c>
      <c r="G1242" s="1">
        <v>45800</v>
      </c>
      <c r="H1242" t="s">
        <v>41</v>
      </c>
      <c r="I1242" s="2">
        <v>4000</v>
      </c>
      <c r="J1242" t="s">
        <v>866</v>
      </c>
      <c r="K1242" s="7">
        <v>45778</v>
      </c>
    </row>
    <row r="1243" spans="1:11" hidden="1">
      <c r="A1243" t="s">
        <v>39</v>
      </c>
      <c r="B1243" t="s">
        <v>47</v>
      </c>
      <c r="C1243" t="s">
        <v>12</v>
      </c>
      <c r="E1243" t="s">
        <v>9</v>
      </c>
      <c r="F1243" s="1" t="s">
        <v>2</v>
      </c>
      <c r="G1243" s="1">
        <v>45814</v>
      </c>
      <c r="H1243" t="s">
        <v>41</v>
      </c>
      <c r="I1243" s="2">
        <v>4000</v>
      </c>
      <c r="J1243" t="s">
        <v>867</v>
      </c>
      <c r="K1243" s="7">
        <v>45809</v>
      </c>
    </row>
    <row r="1244" spans="1:11" hidden="1">
      <c r="A1244" t="s">
        <v>39</v>
      </c>
      <c r="B1244" t="s">
        <v>47</v>
      </c>
      <c r="C1244" t="s">
        <v>12</v>
      </c>
      <c r="E1244" t="s">
        <v>9</v>
      </c>
      <c r="F1244" s="1" t="s">
        <v>2</v>
      </c>
      <c r="G1244" s="1">
        <v>45814</v>
      </c>
      <c r="H1244" t="s">
        <v>41</v>
      </c>
      <c r="I1244" s="2">
        <v>4000</v>
      </c>
      <c r="J1244" t="s">
        <v>867</v>
      </c>
      <c r="K1244" s="7">
        <v>45809</v>
      </c>
    </row>
    <row r="1245" spans="1:11" hidden="1">
      <c r="A1245" t="s">
        <v>114</v>
      </c>
      <c r="B1245" t="s">
        <v>63</v>
      </c>
      <c r="C1245" t="s">
        <v>13</v>
      </c>
      <c r="E1245" t="s">
        <v>9</v>
      </c>
      <c r="F1245" s="1" t="s">
        <v>2</v>
      </c>
      <c r="G1245" s="1">
        <v>45816</v>
      </c>
      <c r="H1245" t="s">
        <v>41</v>
      </c>
      <c r="I1245" s="2">
        <v>4000</v>
      </c>
      <c r="J1245" t="s">
        <v>156</v>
      </c>
      <c r="K1245" s="7">
        <v>45809</v>
      </c>
    </row>
    <row r="1246" spans="1:11" hidden="1">
      <c r="A1246" t="s">
        <v>39</v>
      </c>
      <c r="B1246" t="s">
        <v>47</v>
      </c>
      <c r="C1246" t="s">
        <v>14</v>
      </c>
      <c r="E1246" t="s">
        <v>9</v>
      </c>
      <c r="F1246" s="1" t="s">
        <v>4</v>
      </c>
      <c r="G1246" s="1">
        <v>45890</v>
      </c>
      <c r="H1246" t="s">
        <v>41</v>
      </c>
      <c r="I1246" s="2">
        <v>109032.52</v>
      </c>
      <c r="J1246" t="s">
        <v>731</v>
      </c>
      <c r="K1246" s="7">
        <v>45870</v>
      </c>
    </row>
    <row r="1247" spans="1:11" hidden="1">
      <c r="A1247" t="s">
        <v>39</v>
      </c>
      <c r="B1247" t="s">
        <v>40</v>
      </c>
      <c r="C1247" t="s">
        <v>14</v>
      </c>
      <c r="D1247">
        <v>10027129</v>
      </c>
      <c r="E1247" t="s">
        <v>9</v>
      </c>
      <c r="F1247" s="1" t="s">
        <v>5</v>
      </c>
      <c r="G1247" s="1">
        <v>45859</v>
      </c>
      <c r="H1247" t="s">
        <v>41</v>
      </c>
      <c r="I1247" s="2">
        <v>4000</v>
      </c>
      <c r="J1247" t="s">
        <v>868</v>
      </c>
      <c r="K1247" s="7">
        <v>45839</v>
      </c>
    </row>
    <row r="1248" spans="1:11" hidden="1">
      <c r="A1248" t="s">
        <v>39</v>
      </c>
      <c r="B1248" t="s">
        <v>40</v>
      </c>
      <c r="C1248" t="s">
        <v>12</v>
      </c>
      <c r="E1248" t="s">
        <v>9</v>
      </c>
      <c r="F1248" s="1" t="s">
        <v>5</v>
      </c>
      <c r="G1248" s="1">
        <v>45862</v>
      </c>
      <c r="H1248" t="s">
        <v>41</v>
      </c>
      <c r="I1248" s="2">
        <v>4000</v>
      </c>
      <c r="J1248" s="47" t="s">
        <v>869</v>
      </c>
      <c r="K1248" s="7">
        <v>45839</v>
      </c>
    </row>
    <row r="1249" spans="1:11" hidden="1">
      <c r="A1249" t="s">
        <v>39</v>
      </c>
      <c r="B1249" t="s">
        <v>40</v>
      </c>
      <c r="C1249" t="s">
        <v>14</v>
      </c>
      <c r="D1249">
        <v>10024204</v>
      </c>
      <c r="E1249" t="s">
        <v>9</v>
      </c>
      <c r="F1249" s="1" t="s">
        <v>5</v>
      </c>
      <c r="G1249" s="1">
        <v>45862</v>
      </c>
      <c r="H1249" t="s">
        <v>41</v>
      </c>
      <c r="I1249" s="2">
        <v>4000</v>
      </c>
      <c r="J1249" t="s">
        <v>870</v>
      </c>
      <c r="K1249" s="7">
        <v>45839</v>
      </c>
    </row>
    <row r="1250" spans="1:11" hidden="1">
      <c r="A1250" t="s">
        <v>39</v>
      </c>
      <c r="B1250" t="s">
        <v>40</v>
      </c>
      <c r="C1250" t="s">
        <v>14</v>
      </c>
      <c r="D1250">
        <v>10027205</v>
      </c>
      <c r="E1250" t="s">
        <v>9</v>
      </c>
      <c r="F1250" s="1" t="s">
        <v>6</v>
      </c>
      <c r="G1250" s="1">
        <v>45866</v>
      </c>
      <c r="H1250" t="s">
        <v>41</v>
      </c>
      <c r="I1250" s="2">
        <v>4000</v>
      </c>
      <c r="J1250" t="s">
        <v>871</v>
      </c>
      <c r="K1250" s="7">
        <v>45839</v>
      </c>
    </row>
    <row r="1251" spans="1:11" hidden="1">
      <c r="A1251" t="s">
        <v>39</v>
      </c>
      <c r="B1251" t="s">
        <v>40</v>
      </c>
      <c r="C1251" t="s">
        <v>14</v>
      </c>
      <c r="D1251">
        <v>10027226</v>
      </c>
      <c r="E1251" t="s">
        <v>9</v>
      </c>
      <c r="F1251" s="1" t="s">
        <v>2</v>
      </c>
      <c r="G1251" s="1">
        <v>45870</v>
      </c>
      <c r="H1251" t="s">
        <v>41</v>
      </c>
      <c r="I1251" s="2">
        <v>4000</v>
      </c>
      <c r="J1251" t="s">
        <v>872</v>
      </c>
      <c r="K1251" s="7">
        <v>45870</v>
      </c>
    </row>
    <row r="1252" spans="1:11" hidden="1">
      <c r="A1252" t="s">
        <v>39</v>
      </c>
      <c r="B1252" t="s">
        <v>40</v>
      </c>
      <c r="C1252" t="s">
        <v>14</v>
      </c>
      <c r="D1252">
        <v>10027236</v>
      </c>
      <c r="E1252" t="s">
        <v>9</v>
      </c>
      <c r="F1252" s="1" t="s">
        <v>2</v>
      </c>
      <c r="G1252" s="1">
        <v>45873</v>
      </c>
      <c r="H1252" t="s">
        <v>41</v>
      </c>
      <c r="I1252" s="2">
        <v>4000</v>
      </c>
      <c r="J1252" t="s">
        <v>873</v>
      </c>
      <c r="K1252" s="7">
        <v>45870</v>
      </c>
    </row>
    <row r="1253" spans="1:11" hidden="1">
      <c r="A1253" t="s">
        <v>39</v>
      </c>
      <c r="B1253" t="s">
        <v>47</v>
      </c>
      <c r="C1253" t="s">
        <v>14</v>
      </c>
      <c r="E1253" t="s">
        <v>9</v>
      </c>
      <c r="F1253" s="1" t="s">
        <v>4</v>
      </c>
      <c r="G1253" s="1">
        <v>45890</v>
      </c>
      <c r="H1253" t="s">
        <v>41</v>
      </c>
      <c r="I1253" s="2">
        <v>15777.5</v>
      </c>
      <c r="J1253" t="s">
        <v>816</v>
      </c>
      <c r="K1253" s="7">
        <v>45870</v>
      </c>
    </row>
    <row r="1254" spans="1:11" hidden="1">
      <c r="A1254" t="s">
        <v>39</v>
      </c>
      <c r="B1254" t="s">
        <v>63</v>
      </c>
      <c r="C1254" t="s">
        <v>14</v>
      </c>
      <c r="E1254" t="s">
        <v>9</v>
      </c>
      <c r="F1254" s="1" t="s">
        <v>4</v>
      </c>
      <c r="G1254" s="1">
        <v>45890</v>
      </c>
      <c r="H1254" t="s">
        <v>41</v>
      </c>
      <c r="I1254" s="2">
        <v>12197.51</v>
      </c>
      <c r="J1254" t="s">
        <v>874</v>
      </c>
      <c r="K1254" s="7">
        <v>45870</v>
      </c>
    </row>
    <row r="1255" spans="1:11" hidden="1">
      <c r="A1255" t="s">
        <v>114</v>
      </c>
      <c r="B1255" t="s">
        <v>63</v>
      </c>
      <c r="C1255" t="s">
        <v>14</v>
      </c>
      <c r="E1255" t="s">
        <v>9</v>
      </c>
      <c r="F1255" s="1" t="s">
        <v>4</v>
      </c>
      <c r="G1255" s="1">
        <v>45890</v>
      </c>
      <c r="H1255" t="s">
        <v>64</v>
      </c>
      <c r="I1255" s="2">
        <f>2708176.96/510</f>
        <v>5310.1509019607838</v>
      </c>
      <c r="J1255" t="s">
        <v>216</v>
      </c>
      <c r="K1255" s="7">
        <v>45870</v>
      </c>
    </row>
    <row r="1256" spans="1:11" hidden="1">
      <c r="A1256" t="s">
        <v>39</v>
      </c>
      <c r="B1256" t="s">
        <v>63</v>
      </c>
      <c r="C1256" t="s">
        <v>13</v>
      </c>
      <c r="E1256" t="s">
        <v>9</v>
      </c>
      <c r="F1256" s="1" t="s">
        <v>4</v>
      </c>
      <c r="G1256" s="1">
        <v>45890</v>
      </c>
      <c r="H1256" t="s">
        <v>41</v>
      </c>
      <c r="I1256" s="2">
        <v>3000</v>
      </c>
      <c r="J1256" t="s">
        <v>306</v>
      </c>
      <c r="K1256" s="7">
        <v>45870</v>
      </c>
    </row>
    <row r="1257" spans="1:11" hidden="1">
      <c r="A1257" t="s">
        <v>39</v>
      </c>
      <c r="B1257" t="s">
        <v>40</v>
      </c>
      <c r="C1257" t="s">
        <v>14</v>
      </c>
      <c r="E1257" t="s">
        <v>9</v>
      </c>
      <c r="F1257" s="1" t="s">
        <v>2</v>
      </c>
      <c r="G1257" s="1">
        <v>45903</v>
      </c>
      <c r="H1257" t="s">
        <v>41</v>
      </c>
      <c r="I1257" s="2">
        <v>4000</v>
      </c>
      <c r="J1257" t="s">
        <v>875</v>
      </c>
      <c r="K1257" s="7">
        <v>45901</v>
      </c>
    </row>
    <row r="1258" spans="1:11" hidden="1">
      <c r="A1258" t="s">
        <v>39</v>
      </c>
      <c r="B1258" t="s">
        <v>40</v>
      </c>
      <c r="C1258" t="s">
        <v>14</v>
      </c>
      <c r="D1258">
        <v>10027855</v>
      </c>
      <c r="E1258" t="s">
        <v>9</v>
      </c>
      <c r="F1258" s="1" t="s">
        <v>6</v>
      </c>
      <c r="G1258" s="1">
        <v>45958</v>
      </c>
      <c r="H1258" t="s">
        <v>41</v>
      </c>
      <c r="I1258" s="2">
        <v>4000</v>
      </c>
      <c r="J1258" t="s">
        <v>666</v>
      </c>
      <c r="K1258" s="7">
        <v>45931</v>
      </c>
    </row>
    <row r="1259" spans="1:11" hidden="1">
      <c r="A1259" t="s">
        <v>56</v>
      </c>
      <c r="B1259" t="s">
        <v>40</v>
      </c>
      <c r="C1259" t="s">
        <v>14</v>
      </c>
      <c r="E1259" t="s">
        <v>9</v>
      </c>
      <c r="F1259" s="1" t="s">
        <v>3</v>
      </c>
      <c r="G1259" s="1">
        <v>46003</v>
      </c>
      <c r="H1259" t="s">
        <v>41</v>
      </c>
      <c r="I1259" s="2">
        <v>4000</v>
      </c>
      <c r="J1259" t="s">
        <v>437</v>
      </c>
      <c r="K1259" s="7">
        <v>45992</v>
      </c>
    </row>
    <row r="1260" spans="1:11" hidden="1">
      <c r="A1260" t="s">
        <v>39</v>
      </c>
      <c r="B1260" t="s">
        <v>40</v>
      </c>
      <c r="C1260" t="s">
        <v>14</v>
      </c>
      <c r="E1260" t="s">
        <v>9</v>
      </c>
      <c r="F1260" s="1" t="s">
        <v>4</v>
      </c>
      <c r="G1260" s="1">
        <v>45890</v>
      </c>
      <c r="H1260" t="s">
        <v>41</v>
      </c>
      <c r="I1260" s="2">
        <v>565.41999999999996</v>
      </c>
      <c r="J1260" t="s">
        <v>876</v>
      </c>
      <c r="K1260" s="7">
        <v>45870</v>
      </c>
    </row>
    <row r="1261" spans="1:11" hidden="1">
      <c r="A1261" t="s">
        <v>39</v>
      </c>
      <c r="B1261" t="s">
        <v>40</v>
      </c>
      <c r="C1261" t="s">
        <v>14</v>
      </c>
      <c r="E1261" t="s">
        <v>9</v>
      </c>
      <c r="F1261" s="1" t="s">
        <v>5</v>
      </c>
      <c r="G1261" s="1">
        <v>46015</v>
      </c>
      <c r="H1261" t="s">
        <v>41</v>
      </c>
      <c r="I1261" s="2">
        <v>4000</v>
      </c>
      <c r="J1261" t="s">
        <v>577</v>
      </c>
      <c r="K1261" s="7">
        <v>45992</v>
      </c>
    </row>
    <row r="1262" spans="1:11" hidden="1">
      <c r="A1262" t="s">
        <v>39</v>
      </c>
      <c r="B1262" t="s">
        <v>47</v>
      </c>
      <c r="C1262" t="s">
        <v>14</v>
      </c>
      <c r="E1262" t="s">
        <v>9</v>
      </c>
      <c r="F1262" s="1" t="s">
        <v>2</v>
      </c>
      <c r="G1262" s="1">
        <v>45968</v>
      </c>
      <c r="H1262" t="s">
        <v>41</v>
      </c>
      <c r="I1262" s="2">
        <v>3996.95</v>
      </c>
      <c r="J1262" t="s">
        <v>877</v>
      </c>
      <c r="K1262" s="7">
        <v>45962</v>
      </c>
    </row>
    <row r="1263" spans="1:11" hidden="1">
      <c r="A1263" t="s">
        <v>39</v>
      </c>
      <c r="B1263" t="s">
        <v>40</v>
      </c>
      <c r="C1263" t="s">
        <v>14</v>
      </c>
      <c r="E1263" t="s">
        <v>9</v>
      </c>
      <c r="F1263" s="1" t="s">
        <v>5</v>
      </c>
      <c r="G1263" s="1">
        <v>45796</v>
      </c>
      <c r="H1263" t="s">
        <v>41</v>
      </c>
      <c r="I1263" s="2">
        <f>2026000/508</f>
        <v>3988.1889763779527</v>
      </c>
      <c r="J1263" t="s">
        <v>376</v>
      </c>
      <c r="K1263" s="7">
        <v>45778</v>
      </c>
    </row>
    <row r="1264" spans="1:11" hidden="1">
      <c r="A1264" t="s">
        <v>39</v>
      </c>
      <c r="B1264" t="s">
        <v>40</v>
      </c>
      <c r="C1264" t="s">
        <v>14</v>
      </c>
      <c r="D1264">
        <v>10026505</v>
      </c>
      <c r="E1264" t="s">
        <v>9</v>
      </c>
      <c r="F1264" s="1" t="s">
        <v>3</v>
      </c>
      <c r="G1264" s="1">
        <v>45783</v>
      </c>
      <c r="H1264" t="s">
        <v>41</v>
      </c>
      <c r="I1264" s="2">
        <v>3975</v>
      </c>
      <c r="J1264" t="s">
        <v>878</v>
      </c>
      <c r="K1264" s="7">
        <v>45778</v>
      </c>
    </row>
    <row r="1265" spans="1:11" hidden="1">
      <c r="A1265" t="s">
        <v>39</v>
      </c>
      <c r="B1265" t="s">
        <v>40</v>
      </c>
      <c r="C1265" t="s">
        <v>14</v>
      </c>
      <c r="D1265">
        <v>10027675</v>
      </c>
      <c r="E1265" t="s">
        <v>9</v>
      </c>
      <c r="F1265" s="1" t="s">
        <v>6</v>
      </c>
      <c r="G1265" s="1">
        <v>45930</v>
      </c>
      <c r="H1265" t="s">
        <v>41</v>
      </c>
      <c r="I1265" s="2">
        <v>3975</v>
      </c>
      <c r="J1265" t="s">
        <v>683</v>
      </c>
      <c r="K1265" s="7">
        <v>45901</v>
      </c>
    </row>
    <row r="1266" spans="1:11" hidden="1">
      <c r="A1266" t="s">
        <v>56</v>
      </c>
      <c r="B1266" t="s">
        <v>40</v>
      </c>
      <c r="C1266" t="s">
        <v>14</v>
      </c>
      <c r="E1266" t="s">
        <v>9</v>
      </c>
      <c r="F1266" s="1" t="s">
        <v>5</v>
      </c>
      <c r="G1266" s="1">
        <v>46049</v>
      </c>
      <c r="H1266" t="s">
        <v>41</v>
      </c>
      <c r="I1266" s="2">
        <v>3960</v>
      </c>
      <c r="J1266" t="s">
        <v>879</v>
      </c>
      <c r="K1266" s="7">
        <v>46023</v>
      </c>
    </row>
    <row r="1267" spans="1:11" hidden="1">
      <c r="A1267" t="s">
        <v>39</v>
      </c>
      <c r="B1267" t="s">
        <v>63</v>
      </c>
      <c r="C1267" t="s">
        <v>14</v>
      </c>
      <c r="E1267" t="s">
        <v>9</v>
      </c>
      <c r="F1267" s="1" t="s">
        <v>5</v>
      </c>
      <c r="G1267" s="1">
        <v>45799</v>
      </c>
      <c r="H1267" t="s">
        <v>41</v>
      </c>
      <c r="I1267" s="2">
        <v>3957.79</v>
      </c>
      <c r="J1267" t="s">
        <v>430</v>
      </c>
      <c r="K1267" s="7">
        <v>45778</v>
      </c>
    </row>
    <row r="1268" spans="1:11" hidden="1">
      <c r="A1268" t="s">
        <v>39</v>
      </c>
      <c r="B1268" t="s">
        <v>47</v>
      </c>
      <c r="C1268" t="s">
        <v>14</v>
      </c>
      <c r="D1268">
        <v>10026793</v>
      </c>
      <c r="E1268" t="s">
        <v>9</v>
      </c>
      <c r="F1268" s="1" t="s">
        <v>3</v>
      </c>
      <c r="G1268" s="1">
        <v>45819</v>
      </c>
      <c r="H1268" t="s">
        <v>41</v>
      </c>
      <c r="I1268" s="2">
        <v>3956.91</v>
      </c>
      <c r="J1268" t="s">
        <v>880</v>
      </c>
      <c r="K1268" s="7">
        <v>45809</v>
      </c>
    </row>
    <row r="1269" spans="1:11" hidden="1">
      <c r="A1269" t="s">
        <v>39</v>
      </c>
      <c r="B1269" t="s">
        <v>40</v>
      </c>
      <c r="C1269" t="s">
        <v>14</v>
      </c>
      <c r="E1269" t="s">
        <v>9</v>
      </c>
      <c r="F1269" s="1" t="s">
        <v>4</v>
      </c>
      <c r="G1269" s="1">
        <v>45890</v>
      </c>
      <c r="H1269" t="s">
        <v>41</v>
      </c>
      <c r="I1269" s="2">
        <v>452</v>
      </c>
      <c r="J1269" t="s">
        <v>881</v>
      </c>
      <c r="K1269" s="7">
        <v>45870</v>
      </c>
    </row>
    <row r="1270" spans="1:11" hidden="1">
      <c r="A1270" t="s">
        <v>39</v>
      </c>
      <c r="B1270" t="s">
        <v>40</v>
      </c>
      <c r="C1270" t="s">
        <v>14</v>
      </c>
      <c r="E1270" t="s">
        <v>9</v>
      </c>
      <c r="F1270" s="1" t="s">
        <v>5</v>
      </c>
      <c r="G1270" s="1">
        <v>45838</v>
      </c>
      <c r="H1270" t="s">
        <v>64</v>
      </c>
      <c r="I1270" s="2">
        <f>2000000/508</f>
        <v>3937.0078740157483</v>
      </c>
      <c r="J1270" t="s">
        <v>275</v>
      </c>
      <c r="K1270" s="7">
        <v>45809</v>
      </c>
    </row>
    <row r="1271" spans="1:11" hidden="1">
      <c r="A1271" t="s">
        <v>39</v>
      </c>
      <c r="B1271" t="s">
        <v>40</v>
      </c>
      <c r="C1271" t="s">
        <v>14</v>
      </c>
      <c r="E1271" t="s">
        <v>9</v>
      </c>
      <c r="F1271" s="1" t="s">
        <v>5</v>
      </c>
      <c r="G1271" s="1">
        <v>45838</v>
      </c>
      <c r="H1271" t="s">
        <v>64</v>
      </c>
      <c r="I1271" s="2">
        <f>2000000/508</f>
        <v>3937.0078740157483</v>
      </c>
      <c r="J1271" t="s">
        <v>275</v>
      </c>
      <c r="K1271" s="7">
        <v>45809</v>
      </c>
    </row>
    <row r="1272" spans="1:11">
      <c r="A1272" t="s">
        <v>39</v>
      </c>
      <c r="B1272" t="s">
        <v>47</v>
      </c>
      <c r="C1272" t="s">
        <v>13</v>
      </c>
      <c r="E1272" t="s">
        <v>9</v>
      </c>
      <c r="F1272" s="1" t="s">
        <v>2</v>
      </c>
      <c r="G1272" s="1">
        <v>46059</v>
      </c>
      <c r="H1272" t="s">
        <v>41</v>
      </c>
      <c r="I1272" s="2">
        <v>801.66</v>
      </c>
      <c r="J1272" t="s">
        <v>136</v>
      </c>
      <c r="K1272" s="7">
        <v>46054</v>
      </c>
    </row>
    <row r="1273" spans="1:11" hidden="1">
      <c r="A1273" t="s">
        <v>39</v>
      </c>
      <c r="B1273" t="s">
        <v>47</v>
      </c>
      <c r="C1273" t="s">
        <v>14</v>
      </c>
      <c r="E1273" t="s">
        <v>9</v>
      </c>
      <c r="F1273" s="1" t="s">
        <v>6</v>
      </c>
      <c r="G1273" s="1">
        <v>45930</v>
      </c>
      <c r="H1273" t="s">
        <v>41</v>
      </c>
      <c r="I1273" s="2">
        <v>3926.56</v>
      </c>
      <c r="J1273" t="s">
        <v>882</v>
      </c>
      <c r="K1273" s="7">
        <v>45901</v>
      </c>
    </row>
    <row r="1274" spans="1:11" hidden="1">
      <c r="A1274" t="s">
        <v>39</v>
      </c>
      <c r="B1274" t="s">
        <v>47</v>
      </c>
      <c r="C1274" t="s">
        <v>14</v>
      </c>
      <c r="D1274">
        <v>10027706</v>
      </c>
      <c r="E1274" t="s">
        <v>9</v>
      </c>
      <c r="F1274" s="1" t="s">
        <v>2</v>
      </c>
      <c r="G1274" s="1">
        <v>45933</v>
      </c>
      <c r="H1274" t="s">
        <v>41</v>
      </c>
      <c r="I1274" s="2">
        <v>3926.56</v>
      </c>
      <c r="J1274" t="s">
        <v>883</v>
      </c>
      <c r="K1274" s="7">
        <v>45931</v>
      </c>
    </row>
    <row r="1275" spans="1:11" hidden="1">
      <c r="A1275" t="s">
        <v>39</v>
      </c>
      <c r="B1275" t="s">
        <v>63</v>
      </c>
      <c r="C1275" t="s">
        <v>14</v>
      </c>
      <c r="E1275" t="s">
        <v>9</v>
      </c>
      <c r="F1275" s="1" t="s">
        <v>2</v>
      </c>
      <c r="G1275" s="1">
        <v>46059</v>
      </c>
      <c r="H1275" t="s">
        <v>41</v>
      </c>
      <c r="I1275" s="2">
        <v>542.4</v>
      </c>
      <c r="J1275" s="47" t="s">
        <v>884</v>
      </c>
      <c r="K1275" s="7">
        <v>46054</v>
      </c>
    </row>
    <row r="1276" spans="1:11" hidden="1">
      <c r="A1276" t="s">
        <v>39</v>
      </c>
      <c r="B1276" t="s">
        <v>40</v>
      </c>
      <c r="C1276" t="s">
        <v>14</v>
      </c>
      <c r="D1276">
        <v>10027964</v>
      </c>
      <c r="E1276" t="s">
        <v>9</v>
      </c>
      <c r="F1276" s="1" t="s">
        <v>3</v>
      </c>
      <c r="G1276" s="1">
        <v>45971</v>
      </c>
      <c r="H1276" t="s">
        <v>41</v>
      </c>
      <c r="I1276" s="2">
        <v>3900</v>
      </c>
      <c r="J1276" t="s">
        <v>885</v>
      </c>
      <c r="K1276" s="7">
        <v>45962</v>
      </c>
    </row>
    <row r="1277" spans="1:11" hidden="1">
      <c r="A1277" t="s">
        <v>114</v>
      </c>
      <c r="B1277" t="s">
        <v>63</v>
      </c>
      <c r="C1277" t="s">
        <v>13</v>
      </c>
      <c r="E1277" t="s">
        <v>9</v>
      </c>
      <c r="F1277" s="1" t="s">
        <v>3</v>
      </c>
      <c r="G1277" s="1">
        <v>46004</v>
      </c>
      <c r="H1277" t="s">
        <v>41</v>
      </c>
      <c r="I1277" s="2">
        <v>3877.21</v>
      </c>
      <c r="J1277" t="s">
        <v>886</v>
      </c>
      <c r="K1277" s="7">
        <v>45992</v>
      </c>
    </row>
    <row r="1278" spans="1:11" hidden="1">
      <c r="A1278" t="s">
        <v>39</v>
      </c>
      <c r="B1278" t="s">
        <v>47</v>
      </c>
      <c r="C1278" t="s">
        <v>14</v>
      </c>
      <c r="E1278" t="s">
        <v>9</v>
      </c>
      <c r="F1278" s="1" t="s">
        <v>3</v>
      </c>
      <c r="G1278" s="1">
        <v>45847</v>
      </c>
      <c r="H1278" t="s">
        <v>41</v>
      </c>
      <c r="I1278" s="2">
        <v>3874.32</v>
      </c>
      <c r="J1278" t="s">
        <v>887</v>
      </c>
      <c r="K1278" s="7">
        <v>45839</v>
      </c>
    </row>
    <row r="1279" spans="1:11" hidden="1">
      <c r="A1279" t="s">
        <v>39</v>
      </c>
      <c r="B1279" t="s">
        <v>47</v>
      </c>
      <c r="C1279" t="s">
        <v>14</v>
      </c>
      <c r="E1279" t="s">
        <v>9</v>
      </c>
      <c r="F1279" s="1" t="s">
        <v>4</v>
      </c>
      <c r="G1279" s="1">
        <v>45890</v>
      </c>
      <c r="H1279" t="s">
        <v>41</v>
      </c>
      <c r="I1279" s="2">
        <v>343.86</v>
      </c>
      <c r="J1279" t="s">
        <v>807</v>
      </c>
      <c r="K1279" s="7">
        <v>45870</v>
      </c>
    </row>
    <row r="1280" spans="1:11" hidden="1">
      <c r="A1280" t="s">
        <v>39</v>
      </c>
      <c r="B1280" t="s">
        <v>40</v>
      </c>
      <c r="C1280" t="s">
        <v>14</v>
      </c>
      <c r="D1280">
        <v>10028467</v>
      </c>
      <c r="E1280" t="s">
        <v>9</v>
      </c>
      <c r="F1280" s="1" t="s">
        <v>2</v>
      </c>
      <c r="G1280" s="1">
        <v>46059</v>
      </c>
      <c r="H1280" t="s">
        <v>41</v>
      </c>
      <c r="I1280" s="2">
        <v>523.02</v>
      </c>
      <c r="J1280" t="s">
        <v>888</v>
      </c>
      <c r="K1280" s="7">
        <v>46054</v>
      </c>
    </row>
    <row r="1281" spans="1:11" hidden="1">
      <c r="A1281" t="s">
        <v>56</v>
      </c>
      <c r="B1281" t="s">
        <v>40</v>
      </c>
      <c r="C1281" t="s">
        <v>14</v>
      </c>
      <c r="E1281" t="s">
        <v>9</v>
      </c>
      <c r="F1281" s="1" t="s">
        <v>3</v>
      </c>
      <c r="G1281" s="1">
        <v>45974</v>
      </c>
      <c r="H1281" t="s">
        <v>41</v>
      </c>
      <c r="I1281" s="2">
        <v>3835</v>
      </c>
      <c r="J1281" t="s">
        <v>889</v>
      </c>
      <c r="K1281" s="7">
        <v>45962</v>
      </c>
    </row>
    <row r="1282" spans="1:11" hidden="1">
      <c r="A1282" t="s">
        <v>56</v>
      </c>
      <c r="B1282" t="s">
        <v>40</v>
      </c>
      <c r="C1282" t="s">
        <v>14</v>
      </c>
      <c r="D1282">
        <v>10828</v>
      </c>
      <c r="E1282" t="s">
        <v>9</v>
      </c>
      <c r="F1282" s="1" t="s">
        <v>3</v>
      </c>
      <c r="G1282" s="1">
        <v>45974</v>
      </c>
      <c r="H1282" t="s">
        <v>41</v>
      </c>
      <c r="I1282" s="2">
        <v>3835</v>
      </c>
      <c r="J1282" t="s">
        <v>889</v>
      </c>
      <c r="K1282" s="7">
        <v>45962</v>
      </c>
    </row>
    <row r="1283" spans="1:11" hidden="1">
      <c r="A1283" t="s">
        <v>39</v>
      </c>
      <c r="B1283" t="s">
        <v>47</v>
      </c>
      <c r="C1283" t="s">
        <v>14</v>
      </c>
      <c r="E1283" t="s">
        <v>9</v>
      </c>
      <c r="F1283" s="1" t="s">
        <v>2</v>
      </c>
      <c r="G1283" s="1">
        <v>45905</v>
      </c>
      <c r="H1283" t="s">
        <v>41</v>
      </c>
      <c r="I1283" s="2">
        <v>3816.51</v>
      </c>
      <c r="J1283" t="s">
        <v>890</v>
      </c>
      <c r="K1283" s="7">
        <v>45901</v>
      </c>
    </row>
    <row r="1284" spans="1:11" hidden="1">
      <c r="A1284" t="s">
        <v>39</v>
      </c>
      <c r="B1284" t="s">
        <v>40</v>
      </c>
      <c r="C1284" t="s">
        <v>14</v>
      </c>
      <c r="E1284" t="s">
        <v>9</v>
      </c>
      <c r="F1284" s="1" t="s">
        <v>4</v>
      </c>
      <c r="G1284" s="1">
        <v>45890</v>
      </c>
      <c r="H1284" t="s">
        <v>64</v>
      </c>
      <c r="I1284" s="2">
        <v>101.7</v>
      </c>
      <c r="J1284" t="s">
        <v>891</v>
      </c>
      <c r="K1284" s="7">
        <v>45870</v>
      </c>
    </row>
    <row r="1285" spans="1:11" hidden="1">
      <c r="A1285" t="s">
        <v>360</v>
      </c>
      <c r="B1285" t="s">
        <v>45</v>
      </c>
      <c r="C1285" t="s">
        <v>13</v>
      </c>
      <c r="E1285" t="s">
        <v>9</v>
      </c>
      <c r="F1285" s="1" t="s">
        <v>4</v>
      </c>
      <c r="G1285" s="1">
        <v>45891</v>
      </c>
      <c r="H1285" t="s">
        <v>41</v>
      </c>
      <c r="I1285" s="2">
        <v>86942.91</v>
      </c>
      <c r="J1285" t="s">
        <v>149</v>
      </c>
      <c r="K1285" s="7">
        <v>45870</v>
      </c>
    </row>
    <row r="1286" spans="1:11" hidden="1">
      <c r="A1286" t="s">
        <v>39</v>
      </c>
      <c r="B1286" t="s">
        <v>40</v>
      </c>
      <c r="C1286" t="s">
        <v>14</v>
      </c>
      <c r="E1286" t="s">
        <v>9</v>
      </c>
      <c r="F1286" s="1" t="s">
        <v>2</v>
      </c>
      <c r="G1286" s="1">
        <v>45902</v>
      </c>
      <c r="H1286" t="s">
        <v>41</v>
      </c>
      <c r="I1286" s="2">
        <v>3793</v>
      </c>
      <c r="J1286" t="s">
        <v>892</v>
      </c>
      <c r="K1286" s="7">
        <v>45901</v>
      </c>
    </row>
    <row r="1287" spans="1:11" hidden="1">
      <c r="A1287" t="s">
        <v>39</v>
      </c>
      <c r="B1287" t="s">
        <v>40</v>
      </c>
      <c r="C1287" t="s">
        <v>14</v>
      </c>
      <c r="E1287" t="s">
        <v>9</v>
      </c>
      <c r="F1287" s="1" t="s">
        <v>3</v>
      </c>
      <c r="G1287" s="1">
        <v>45939</v>
      </c>
      <c r="H1287" t="s">
        <v>41</v>
      </c>
      <c r="I1287" s="2">
        <v>3785.82</v>
      </c>
      <c r="J1287" t="s">
        <v>893</v>
      </c>
      <c r="K1287" s="7">
        <v>45931</v>
      </c>
    </row>
    <row r="1288" spans="1:11" hidden="1">
      <c r="A1288" t="s">
        <v>39</v>
      </c>
      <c r="B1288" t="s">
        <v>45</v>
      </c>
      <c r="C1288" t="s">
        <v>13</v>
      </c>
      <c r="E1288" t="s">
        <v>9</v>
      </c>
      <c r="F1288" s="1" t="s">
        <v>4</v>
      </c>
      <c r="G1288" s="1">
        <v>45891</v>
      </c>
      <c r="H1288" t="s">
        <v>41</v>
      </c>
      <c r="I1288" s="2">
        <v>50750</v>
      </c>
      <c r="J1288" t="s">
        <v>149</v>
      </c>
      <c r="K1288" s="7">
        <v>45870</v>
      </c>
    </row>
    <row r="1289" spans="1:11" hidden="1">
      <c r="A1289" t="s">
        <v>114</v>
      </c>
      <c r="B1289" t="s">
        <v>63</v>
      </c>
      <c r="C1289" t="s">
        <v>14</v>
      </c>
      <c r="E1289" t="s">
        <v>9</v>
      </c>
      <c r="F1289" s="1" t="s">
        <v>4</v>
      </c>
      <c r="G1289" s="1">
        <v>45891</v>
      </c>
      <c r="H1289" t="s">
        <v>41</v>
      </c>
      <c r="I1289" s="2">
        <v>21002.32</v>
      </c>
      <c r="J1289" t="s">
        <v>517</v>
      </c>
      <c r="K1289" s="7">
        <v>45870</v>
      </c>
    </row>
    <row r="1290" spans="1:11" hidden="1">
      <c r="A1290" t="s">
        <v>39</v>
      </c>
      <c r="B1290" t="s">
        <v>63</v>
      </c>
      <c r="C1290" t="s">
        <v>14</v>
      </c>
      <c r="E1290" t="s">
        <v>9</v>
      </c>
      <c r="F1290" s="1" t="s">
        <v>2</v>
      </c>
      <c r="G1290" s="1">
        <v>46059</v>
      </c>
      <c r="H1290" t="s">
        <v>41</v>
      </c>
      <c r="I1290" s="2">
        <v>339</v>
      </c>
      <c r="J1290" s="47" t="s">
        <v>884</v>
      </c>
      <c r="K1290" s="7">
        <v>46054</v>
      </c>
    </row>
    <row r="1291" spans="1:11" hidden="1">
      <c r="A1291" t="s">
        <v>39</v>
      </c>
      <c r="B1291" t="s">
        <v>40</v>
      </c>
      <c r="C1291" t="s">
        <v>14</v>
      </c>
      <c r="E1291" t="s">
        <v>9</v>
      </c>
      <c r="F1291" s="1" t="s">
        <v>5</v>
      </c>
      <c r="G1291" s="1">
        <v>45794</v>
      </c>
      <c r="H1291" t="s">
        <v>41</v>
      </c>
      <c r="I1291" s="2">
        <v>3700</v>
      </c>
      <c r="J1291" t="s">
        <v>762</v>
      </c>
      <c r="K1291" s="7">
        <v>45778</v>
      </c>
    </row>
    <row r="1292" spans="1:11" hidden="1">
      <c r="A1292" t="s">
        <v>39</v>
      </c>
      <c r="B1292" t="s">
        <v>47</v>
      </c>
      <c r="C1292" t="s">
        <v>14</v>
      </c>
      <c r="E1292" t="s">
        <v>9</v>
      </c>
      <c r="F1292" s="1" t="s">
        <v>4</v>
      </c>
      <c r="G1292" s="1">
        <v>45891</v>
      </c>
      <c r="H1292" t="s">
        <v>41</v>
      </c>
      <c r="I1292" s="2">
        <v>17535.98</v>
      </c>
      <c r="J1292" t="s">
        <v>129</v>
      </c>
      <c r="K1292" s="7">
        <v>45870</v>
      </c>
    </row>
    <row r="1293" spans="1:11" hidden="1">
      <c r="A1293" t="s">
        <v>39</v>
      </c>
      <c r="B1293" t="s">
        <v>40</v>
      </c>
      <c r="C1293" t="s">
        <v>14</v>
      </c>
      <c r="E1293" t="s">
        <v>9</v>
      </c>
      <c r="F1293" s="1" t="s">
        <v>5</v>
      </c>
      <c r="G1293" s="1">
        <v>45951</v>
      </c>
      <c r="H1293" t="s">
        <v>41</v>
      </c>
      <c r="I1293" s="2">
        <v>3692.9</v>
      </c>
      <c r="J1293" t="s">
        <v>894</v>
      </c>
      <c r="K1293" s="7">
        <v>45931</v>
      </c>
    </row>
    <row r="1294" spans="1:11" hidden="1">
      <c r="A1294" t="s">
        <v>39</v>
      </c>
      <c r="B1294" t="s">
        <v>40</v>
      </c>
      <c r="C1294" t="s">
        <v>14</v>
      </c>
      <c r="E1294" t="s">
        <v>9</v>
      </c>
      <c r="F1294" s="1" t="s">
        <v>2</v>
      </c>
      <c r="G1294" s="1">
        <v>45931</v>
      </c>
      <c r="H1294" t="s">
        <v>41</v>
      </c>
      <c r="I1294" s="2">
        <v>3669</v>
      </c>
      <c r="J1294" s="47" t="s">
        <v>895</v>
      </c>
      <c r="K1294" s="7">
        <v>45931</v>
      </c>
    </row>
    <row r="1295" spans="1:11" hidden="1">
      <c r="A1295" t="s">
        <v>39</v>
      </c>
      <c r="B1295" t="s">
        <v>63</v>
      </c>
      <c r="C1295" t="s">
        <v>14</v>
      </c>
      <c r="E1295" t="s">
        <v>9</v>
      </c>
      <c r="F1295" s="1" t="s">
        <v>3</v>
      </c>
      <c r="G1295" s="1">
        <v>46034</v>
      </c>
      <c r="H1295" t="s">
        <v>41</v>
      </c>
      <c r="I1295" s="2">
        <v>3668.21</v>
      </c>
      <c r="J1295" t="s">
        <v>344</v>
      </c>
      <c r="K1295" s="7">
        <v>46023</v>
      </c>
    </row>
    <row r="1296" spans="1:11" hidden="1">
      <c r="A1296" t="s">
        <v>56</v>
      </c>
      <c r="B1296" t="s">
        <v>40</v>
      </c>
      <c r="C1296" t="s">
        <v>14</v>
      </c>
      <c r="E1296" t="s">
        <v>9</v>
      </c>
      <c r="F1296" s="1" t="s">
        <v>5</v>
      </c>
      <c r="G1296" s="1">
        <v>45896</v>
      </c>
      <c r="H1296" t="s">
        <v>41</v>
      </c>
      <c r="I1296" s="2">
        <v>3659</v>
      </c>
      <c r="J1296" t="s">
        <v>338</v>
      </c>
      <c r="K1296" s="7">
        <v>45870</v>
      </c>
    </row>
    <row r="1297" spans="1:11" hidden="1">
      <c r="A1297" t="s">
        <v>39</v>
      </c>
      <c r="B1297" t="s">
        <v>47</v>
      </c>
      <c r="C1297" t="s">
        <v>14</v>
      </c>
      <c r="D1297">
        <v>10026719</v>
      </c>
      <c r="E1297" t="s">
        <v>9</v>
      </c>
      <c r="F1297" s="1" t="s">
        <v>6</v>
      </c>
      <c r="G1297" s="1">
        <v>45807</v>
      </c>
      <c r="H1297" t="s">
        <v>41</v>
      </c>
      <c r="I1297" s="2">
        <v>3647.92</v>
      </c>
      <c r="J1297" t="s">
        <v>896</v>
      </c>
      <c r="K1297" s="7">
        <v>45778</v>
      </c>
    </row>
    <row r="1298" spans="1:11" hidden="1">
      <c r="A1298" t="s">
        <v>39</v>
      </c>
      <c r="B1298" t="s">
        <v>63</v>
      </c>
      <c r="C1298" t="s">
        <v>14</v>
      </c>
      <c r="E1298" t="s">
        <v>9</v>
      </c>
      <c r="F1298" s="1" t="s">
        <v>5</v>
      </c>
      <c r="G1298" s="1">
        <v>45985</v>
      </c>
      <c r="H1298" t="s">
        <v>41</v>
      </c>
      <c r="I1298" s="2">
        <v>3643</v>
      </c>
      <c r="J1298" s="47" t="s">
        <v>696</v>
      </c>
      <c r="K1298" s="7">
        <v>45962</v>
      </c>
    </row>
    <row r="1299" spans="1:11" hidden="1">
      <c r="A1299" t="s">
        <v>39</v>
      </c>
      <c r="B1299" t="s">
        <v>63</v>
      </c>
      <c r="C1299" t="s">
        <v>14</v>
      </c>
      <c r="E1299" t="s">
        <v>9</v>
      </c>
      <c r="F1299" s="1" t="s">
        <v>4</v>
      </c>
      <c r="G1299" s="1">
        <v>45891</v>
      </c>
      <c r="H1299" t="s">
        <v>41</v>
      </c>
      <c r="I1299" s="2">
        <v>14413.49</v>
      </c>
      <c r="J1299" t="s">
        <v>149</v>
      </c>
      <c r="K1299" s="7">
        <v>45870</v>
      </c>
    </row>
    <row r="1300" spans="1:11" hidden="1">
      <c r="A1300" t="s">
        <v>39</v>
      </c>
      <c r="B1300" t="s">
        <v>47</v>
      </c>
      <c r="C1300" t="s">
        <v>12</v>
      </c>
      <c r="D1300">
        <v>10027394</v>
      </c>
      <c r="E1300" t="s">
        <v>9</v>
      </c>
      <c r="F1300" s="1" t="s">
        <v>4</v>
      </c>
      <c r="G1300" s="1">
        <v>45891</v>
      </c>
      <c r="H1300" t="s">
        <v>41</v>
      </c>
      <c r="I1300" s="2">
        <v>7721.02</v>
      </c>
      <c r="J1300" t="s">
        <v>897</v>
      </c>
      <c r="K1300" s="7">
        <v>45870</v>
      </c>
    </row>
    <row r="1301" spans="1:11" hidden="1">
      <c r="A1301" t="s">
        <v>39</v>
      </c>
      <c r="B1301" t="s">
        <v>45</v>
      </c>
      <c r="C1301" t="s">
        <v>13</v>
      </c>
      <c r="E1301" t="s">
        <v>9</v>
      </c>
      <c r="F1301" s="1" t="s">
        <v>4</v>
      </c>
      <c r="G1301" s="1">
        <v>45891</v>
      </c>
      <c r="H1301" t="s">
        <v>41</v>
      </c>
      <c r="I1301" s="2">
        <v>5000</v>
      </c>
      <c r="J1301" t="s">
        <v>279</v>
      </c>
      <c r="K1301" s="7">
        <v>45870</v>
      </c>
    </row>
    <row r="1302" spans="1:11" hidden="1">
      <c r="A1302" t="s">
        <v>39</v>
      </c>
      <c r="B1302" t="s">
        <v>63</v>
      </c>
      <c r="C1302" t="s">
        <v>13</v>
      </c>
      <c r="D1302">
        <v>10026807</v>
      </c>
      <c r="E1302" t="s">
        <v>9</v>
      </c>
      <c r="F1302" s="1" t="s">
        <v>3</v>
      </c>
      <c r="G1302" s="1">
        <v>45820</v>
      </c>
      <c r="H1302" t="s">
        <v>41</v>
      </c>
      <c r="I1302" s="2">
        <v>3618.7</v>
      </c>
      <c r="J1302" t="s">
        <v>790</v>
      </c>
      <c r="K1302" s="7">
        <v>45809</v>
      </c>
    </row>
    <row r="1303" spans="1:11" hidden="1">
      <c r="A1303" t="s">
        <v>56</v>
      </c>
      <c r="B1303" t="s">
        <v>40</v>
      </c>
      <c r="C1303" t="s">
        <v>14</v>
      </c>
      <c r="E1303" t="s">
        <v>9</v>
      </c>
      <c r="F1303" s="1" t="s">
        <v>2</v>
      </c>
      <c r="G1303" s="1">
        <v>46023</v>
      </c>
      <c r="H1303" t="s">
        <v>41</v>
      </c>
      <c r="I1303" s="2">
        <v>3609.54</v>
      </c>
      <c r="J1303" s="47" t="s">
        <v>898</v>
      </c>
      <c r="K1303" s="7">
        <v>46023</v>
      </c>
    </row>
    <row r="1304" spans="1:11" hidden="1">
      <c r="A1304" t="s">
        <v>39</v>
      </c>
      <c r="B1304" t="s">
        <v>40</v>
      </c>
      <c r="C1304" t="s">
        <v>14</v>
      </c>
      <c r="E1304" t="s">
        <v>9</v>
      </c>
      <c r="F1304" s="1" t="s">
        <v>2</v>
      </c>
      <c r="G1304" s="1">
        <v>45813</v>
      </c>
      <c r="H1304" t="s">
        <v>41</v>
      </c>
      <c r="I1304" s="2">
        <v>3600</v>
      </c>
      <c r="J1304" t="s">
        <v>899</v>
      </c>
      <c r="K1304" s="7">
        <v>45809</v>
      </c>
    </row>
    <row r="1305" spans="1:11" hidden="1">
      <c r="A1305" t="s">
        <v>39</v>
      </c>
      <c r="B1305" t="s">
        <v>40</v>
      </c>
      <c r="C1305" t="s">
        <v>14</v>
      </c>
      <c r="D1305">
        <v>10027240</v>
      </c>
      <c r="E1305" t="s">
        <v>9</v>
      </c>
      <c r="F1305" s="1" t="s">
        <v>2</v>
      </c>
      <c r="G1305" s="1">
        <v>45873</v>
      </c>
      <c r="H1305" t="s">
        <v>41</v>
      </c>
      <c r="I1305" s="2">
        <v>3600</v>
      </c>
      <c r="J1305" t="s">
        <v>900</v>
      </c>
      <c r="K1305" s="7">
        <v>45870</v>
      </c>
    </row>
    <row r="1306" spans="1:11" hidden="1">
      <c r="A1306" t="s">
        <v>39</v>
      </c>
      <c r="B1306" t="s">
        <v>40</v>
      </c>
      <c r="C1306" t="s">
        <v>14</v>
      </c>
      <c r="E1306" t="s">
        <v>9</v>
      </c>
      <c r="F1306" s="1" t="s">
        <v>2</v>
      </c>
      <c r="G1306" s="1">
        <v>45996</v>
      </c>
      <c r="H1306" t="s">
        <v>41</v>
      </c>
      <c r="I1306" s="2">
        <v>3600</v>
      </c>
      <c r="J1306" t="s">
        <v>901</v>
      </c>
      <c r="K1306" s="7">
        <v>45992</v>
      </c>
    </row>
    <row r="1307" spans="1:11" hidden="1">
      <c r="A1307" t="s">
        <v>114</v>
      </c>
      <c r="B1307" t="s">
        <v>63</v>
      </c>
      <c r="C1307" t="s">
        <v>12</v>
      </c>
      <c r="E1307" t="s">
        <v>9</v>
      </c>
      <c r="F1307" s="1" t="s">
        <v>4</v>
      </c>
      <c r="G1307" s="1">
        <v>45891</v>
      </c>
      <c r="H1307" t="s">
        <v>41</v>
      </c>
      <c r="I1307" s="2">
        <v>4800.6000000000004</v>
      </c>
      <c r="J1307" t="s">
        <v>336</v>
      </c>
      <c r="K1307" s="7">
        <v>45870</v>
      </c>
    </row>
    <row r="1308" spans="1:11" hidden="1">
      <c r="A1308" t="s">
        <v>39</v>
      </c>
      <c r="B1308" t="s">
        <v>63</v>
      </c>
      <c r="C1308" t="s">
        <v>12</v>
      </c>
      <c r="E1308" t="s">
        <v>9</v>
      </c>
      <c r="F1308" s="1" t="s">
        <v>3</v>
      </c>
      <c r="G1308" s="1">
        <v>45883</v>
      </c>
      <c r="H1308" t="s">
        <v>41</v>
      </c>
      <c r="I1308" s="2">
        <v>3581.9</v>
      </c>
      <c r="J1308" t="s">
        <v>730</v>
      </c>
      <c r="K1308" s="7">
        <v>45870</v>
      </c>
    </row>
    <row r="1309" spans="1:11" hidden="1">
      <c r="A1309" t="s">
        <v>39</v>
      </c>
      <c r="B1309" t="s">
        <v>40</v>
      </c>
      <c r="C1309" t="s">
        <v>14</v>
      </c>
      <c r="E1309" t="s">
        <v>9</v>
      </c>
      <c r="F1309" s="1" t="s">
        <v>4</v>
      </c>
      <c r="G1309" s="1">
        <v>45891</v>
      </c>
      <c r="H1309" t="s">
        <v>41</v>
      </c>
      <c r="I1309" s="2">
        <v>2849</v>
      </c>
      <c r="J1309" t="s">
        <v>902</v>
      </c>
      <c r="K1309" s="7">
        <v>45870</v>
      </c>
    </row>
    <row r="1310" spans="1:11" hidden="1">
      <c r="A1310" t="s">
        <v>39</v>
      </c>
      <c r="B1310" t="s">
        <v>45</v>
      </c>
      <c r="C1310" t="s">
        <v>14</v>
      </c>
      <c r="D1310">
        <v>10027212</v>
      </c>
      <c r="E1310" t="s">
        <v>9</v>
      </c>
      <c r="F1310" s="1" t="s">
        <v>6</v>
      </c>
      <c r="G1310" s="1">
        <v>45869</v>
      </c>
      <c r="H1310" t="s">
        <v>41</v>
      </c>
      <c r="I1310" s="2">
        <v>3562.33</v>
      </c>
      <c r="J1310" t="s">
        <v>563</v>
      </c>
      <c r="K1310" s="7">
        <v>45839</v>
      </c>
    </row>
    <row r="1311" spans="1:11" hidden="1">
      <c r="A1311" t="s">
        <v>99</v>
      </c>
      <c r="B1311" t="s">
        <v>63</v>
      </c>
      <c r="C1311" t="s">
        <v>14</v>
      </c>
      <c r="E1311" t="s">
        <v>9</v>
      </c>
      <c r="F1311" s="1" t="s">
        <v>2</v>
      </c>
      <c r="G1311" s="1">
        <v>46060</v>
      </c>
      <c r="H1311" t="s">
        <v>41</v>
      </c>
      <c r="I1311" s="2">
        <v>5975.66</v>
      </c>
      <c r="J1311" t="s">
        <v>637</v>
      </c>
      <c r="K1311" s="7">
        <v>46054</v>
      </c>
    </row>
    <row r="1312" spans="1:11" hidden="1">
      <c r="A1312" t="s">
        <v>114</v>
      </c>
      <c r="B1312" t="s">
        <v>63</v>
      </c>
      <c r="C1312" t="s">
        <v>14</v>
      </c>
      <c r="E1312" t="s">
        <v>9</v>
      </c>
      <c r="F1312" s="1" t="s">
        <v>3</v>
      </c>
      <c r="G1312" s="1">
        <v>46062</v>
      </c>
      <c r="H1312" t="s">
        <v>41</v>
      </c>
      <c r="I1312" s="2">
        <v>15258.15</v>
      </c>
      <c r="J1312" s="47" t="s">
        <v>903</v>
      </c>
      <c r="K1312" s="7">
        <v>46054</v>
      </c>
    </row>
    <row r="1313" spans="1:11" hidden="1">
      <c r="A1313" t="s">
        <v>56</v>
      </c>
      <c r="B1313" t="s">
        <v>40</v>
      </c>
      <c r="C1313" t="s">
        <v>14</v>
      </c>
      <c r="D1313">
        <v>10792</v>
      </c>
      <c r="E1313" t="s">
        <v>9</v>
      </c>
      <c r="F1313" s="1" t="s">
        <v>5</v>
      </c>
      <c r="G1313" s="1">
        <v>45924</v>
      </c>
      <c r="H1313" t="s">
        <v>41</v>
      </c>
      <c r="I1313" s="2">
        <v>3556.26</v>
      </c>
      <c r="J1313" t="s">
        <v>904</v>
      </c>
      <c r="K1313" s="7">
        <v>45901</v>
      </c>
    </row>
    <row r="1314" spans="1:11" hidden="1">
      <c r="A1314" t="s">
        <v>39</v>
      </c>
      <c r="B1314" t="s">
        <v>40</v>
      </c>
      <c r="C1314" t="s">
        <v>14</v>
      </c>
      <c r="E1314" t="s">
        <v>9</v>
      </c>
      <c r="F1314" s="1" t="s">
        <v>4</v>
      </c>
      <c r="G1314" s="1">
        <v>45891</v>
      </c>
      <c r="H1314" t="s">
        <v>41</v>
      </c>
      <c r="I1314" s="2">
        <v>2790</v>
      </c>
      <c r="J1314" t="s">
        <v>905</v>
      </c>
      <c r="K1314" s="7">
        <v>45870</v>
      </c>
    </row>
    <row r="1315" spans="1:11" hidden="1">
      <c r="A1315" t="s">
        <v>39</v>
      </c>
      <c r="B1315" t="s">
        <v>45</v>
      </c>
      <c r="C1315" t="s">
        <v>14</v>
      </c>
      <c r="D1315">
        <v>10027599</v>
      </c>
      <c r="E1315" t="s">
        <v>9</v>
      </c>
      <c r="F1315" s="1" t="s">
        <v>5</v>
      </c>
      <c r="G1315" s="1">
        <v>45922</v>
      </c>
      <c r="H1315" t="s">
        <v>41</v>
      </c>
      <c r="I1315" s="2">
        <v>3533.14</v>
      </c>
      <c r="J1315" t="s">
        <v>906</v>
      </c>
      <c r="K1315" s="7">
        <v>45901</v>
      </c>
    </row>
    <row r="1316" spans="1:11" hidden="1">
      <c r="A1316" t="s">
        <v>39</v>
      </c>
      <c r="B1316" t="s">
        <v>47</v>
      </c>
      <c r="C1316" t="s">
        <v>14</v>
      </c>
      <c r="E1316" t="s">
        <v>9</v>
      </c>
      <c r="F1316" s="1" t="s">
        <v>4</v>
      </c>
      <c r="G1316" s="1">
        <v>45891</v>
      </c>
      <c r="H1316" t="s">
        <v>41</v>
      </c>
      <c r="I1316" s="2">
        <v>1343.73</v>
      </c>
      <c r="J1316" t="s">
        <v>907</v>
      </c>
      <c r="K1316" s="7">
        <v>45870</v>
      </c>
    </row>
    <row r="1317" spans="1:11" hidden="1">
      <c r="A1317" t="s">
        <v>39</v>
      </c>
      <c r="B1317" t="s">
        <v>63</v>
      </c>
      <c r="C1317" t="s">
        <v>14</v>
      </c>
      <c r="E1317" t="s">
        <v>9</v>
      </c>
      <c r="F1317" s="1" t="s">
        <v>3</v>
      </c>
      <c r="G1317" s="1">
        <v>45999</v>
      </c>
      <c r="H1317" t="s">
        <v>41</v>
      </c>
      <c r="I1317" s="2">
        <v>3513.06</v>
      </c>
      <c r="J1317" t="s">
        <v>908</v>
      </c>
      <c r="K1317" s="7">
        <v>45992</v>
      </c>
    </row>
    <row r="1318" spans="1:11" hidden="1">
      <c r="A1318" t="s">
        <v>39</v>
      </c>
      <c r="B1318" t="s">
        <v>40</v>
      </c>
      <c r="C1318" t="s">
        <v>14</v>
      </c>
      <c r="E1318" t="s">
        <v>9</v>
      </c>
      <c r="F1318" s="1" t="s">
        <v>6</v>
      </c>
      <c r="G1318" s="1">
        <v>45805</v>
      </c>
      <c r="H1318" t="s">
        <v>41</v>
      </c>
      <c r="I1318" s="2">
        <v>3500</v>
      </c>
      <c r="J1318" t="s">
        <v>762</v>
      </c>
      <c r="K1318" s="7">
        <v>45778</v>
      </c>
    </row>
    <row r="1319" spans="1:11" hidden="1">
      <c r="A1319" t="s">
        <v>39</v>
      </c>
      <c r="B1319" t="s">
        <v>40</v>
      </c>
      <c r="C1319" t="s">
        <v>14</v>
      </c>
      <c r="D1319">
        <v>10028087</v>
      </c>
      <c r="E1319" t="s">
        <v>9</v>
      </c>
      <c r="F1319" s="1" t="s">
        <v>3</v>
      </c>
      <c r="G1319" s="1">
        <v>45999</v>
      </c>
      <c r="H1319" t="s">
        <v>41</v>
      </c>
      <c r="I1319" s="2">
        <v>3500</v>
      </c>
      <c r="J1319" t="s">
        <v>909</v>
      </c>
      <c r="K1319" s="7">
        <v>45992</v>
      </c>
    </row>
    <row r="1320" spans="1:11" hidden="1">
      <c r="A1320" t="s">
        <v>39</v>
      </c>
      <c r="B1320" t="s">
        <v>40</v>
      </c>
      <c r="C1320" t="s">
        <v>14</v>
      </c>
      <c r="E1320" t="s">
        <v>9</v>
      </c>
      <c r="F1320" s="1" t="s">
        <v>3</v>
      </c>
      <c r="G1320" s="1">
        <v>46062</v>
      </c>
      <c r="H1320" t="s">
        <v>41</v>
      </c>
      <c r="I1320" s="2">
        <v>1269</v>
      </c>
      <c r="J1320" t="s">
        <v>910</v>
      </c>
      <c r="K1320" s="7">
        <v>46054</v>
      </c>
    </row>
    <row r="1321" spans="1:11" hidden="1">
      <c r="A1321" t="s">
        <v>39</v>
      </c>
      <c r="B1321" t="s">
        <v>47</v>
      </c>
      <c r="C1321" t="s">
        <v>12</v>
      </c>
      <c r="D1321">
        <v>10026844</v>
      </c>
      <c r="E1321" t="s">
        <v>9</v>
      </c>
      <c r="F1321" s="1" t="s">
        <v>3</v>
      </c>
      <c r="G1321" s="1">
        <v>45820</v>
      </c>
      <c r="H1321" t="s">
        <v>41</v>
      </c>
      <c r="I1321" s="2">
        <v>3472</v>
      </c>
      <c r="J1321" t="s">
        <v>568</v>
      </c>
      <c r="K1321" s="7">
        <v>45809</v>
      </c>
    </row>
    <row r="1322" spans="1:11" hidden="1">
      <c r="A1322" t="s">
        <v>39</v>
      </c>
      <c r="B1322" t="s">
        <v>40</v>
      </c>
      <c r="C1322" t="s">
        <v>14</v>
      </c>
      <c r="E1322" t="s">
        <v>9</v>
      </c>
      <c r="F1322" s="1" t="s">
        <v>2</v>
      </c>
      <c r="G1322" s="1">
        <v>46030</v>
      </c>
      <c r="H1322" t="s">
        <v>41</v>
      </c>
      <c r="I1322" s="2">
        <v>3454</v>
      </c>
      <c r="J1322" s="47" t="s">
        <v>911</v>
      </c>
      <c r="K1322" s="7">
        <v>46023</v>
      </c>
    </row>
    <row r="1323" spans="1:11" hidden="1">
      <c r="A1323" t="s">
        <v>114</v>
      </c>
      <c r="B1323" t="s">
        <v>63</v>
      </c>
      <c r="C1323" t="s">
        <v>14</v>
      </c>
      <c r="D1323">
        <v>15167</v>
      </c>
      <c r="E1323" t="s">
        <v>9</v>
      </c>
      <c r="F1323" s="1" t="s">
        <v>3</v>
      </c>
      <c r="G1323" s="1">
        <v>45820</v>
      </c>
      <c r="H1323" t="s">
        <v>41</v>
      </c>
      <c r="I1323" s="2">
        <v>3450.19</v>
      </c>
      <c r="J1323" t="s">
        <v>254</v>
      </c>
      <c r="K1323" s="7">
        <v>45809</v>
      </c>
    </row>
    <row r="1324" spans="1:11" hidden="1">
      <c r="A1324" t="s">
        <v>114</v>
      </c>
      <c r="B1324" t="s">
        <v>63</v>
      </c>
      <c r="C1324" t="s">
        <v>14</v>
      </c>
      <c r="D1324">
        <v>15200</v>
      </c>
      <c r="E1324" t="s">
        <v>9</v>
      </c>
      <c r="F1324" s="1" t="s">
        <v>6</v>
      </c>
      <c r="G1324" s="1">
        <v>45868</v>
      </c>
      <c r="H1324" t="s">
        <v>41</v>
      </c>
      <c r="I1324" s="2">
        <v>3450.19</v>
      </c>
      <c r="J1324" t="s">
        <v>254</v>
      </c>
      <c r="K1324" s="7">
        <v>45839</v>
      </c>
    </row>
    <row r="1325" spans="1:11" hidden="1">
      <c r="A1325" t="s">
        <v>39</v>
      </c>
      <c r="B1325" t="s">
        <v>47</v>
      </c>
      <c r="C1325" t="s">
        <v>14</v>
      </c>
      <c r="E1325" t="s">
        <v>9</v>
      </c>
      <c r="F1325" s="1" t="s">
        <v>3</v>
      </c>
      <c r="G1325" s="1">
        <v>45975</v>
      </c>
      <c r="H1325" t="s">
        <v>41</v>
      </c>
      <c r="I1325" s="2">
        <v>3442.47</v>
      </c>
      <c r="J1325" t="s">
        <v>690</v>
      </c>
      <c r="K1325" s="7">
        <v>45962</v>
      </c>
    </row>
    <row r="1326" spans="1:11" hidden="1">
      <c r="A1326" t="s">
        <v>39</v>
      </c>
      <c r="B1326" t="s">
        <v>63</v>
      </c>
      <c r="C1326" t="s">
        <v>12</v>
      </c>
      <c r="E1326" t="s">
        <v>9</v>
      </c>
      <c r="F1326" s="1" t="s">
        <v>2</v>
      </c>
      <c r="G1326" s="1">
        <v>45964</v>
      </c>
      <c r="H1326" t="s">
        <v>41</v>
      </c>
      <c r="I1326" s="2">
        <v>3439.09</v>
      </c>
      <c r="J1326" t="s">
        <v>912</v>
      </c>
      <c r="K1326" s="7">
        <v>45962</v>
      </c>
    </row>
    <row r="1327" spans="1:11" hidden="1">
      <c r="A1327" t="s">
        <v>114</v>
      </c>
      <c r="B1327" t="s">
        <v>63</v>
      </c>
      <c r="C1327" t="s">
        <v>14</v>
      </c>
      <c r="D1327">
        <v>15198</v>
      </c>
      <c r="E1327" t="s">
        <v>9</v>
      </c>
      <c r="F1327" s="1" t="s">
        <v>6</v>
      </c>
      <c r="G1327" s="1">
        <v>45866</v>
      </c>
      <c r="H1327" t="s">
        <v>41</v>
      </c>
      <c r="I1327" s="2">
        <v>3414.58</v>
      </c>
      <c r="J1327" t="s">
        <v>913</v>
      </c>
      <c r="K1327" s="7">
        <v>45839</v>
      </c>
    </row>
    <row r="1328" spans="1:11" hidden="1">
      <c r="A1328" t="s">
        <v>114</v>
      </c>
      <c r="B1328" t="s">
        <v>63</v>
      </c>
      <c r="C1328" t="s">
        <v>14</v>
      </c>
      <c r="E1328" t="s">
        <v>9</v>
      </c>
      <c r="F1328" s="1" t="s">
        <v>5</v>
      </c>
      <c r="G1328" s="1">
        <v>45861</v>
      </c>
      <c r="H1328" t="s">
        <v>41</v>
      </c>
      <c r="I1328" s="2">
        <v>3412.13</v>
      </c>
      <c r="J1328" t="s">
        <v>517</v>
      </c>
      <c r="K1328" s="7">
        <v>45839</v>
      </c>
    </row>
    <row r="1329" spans="1:11" hidden="1">
      <c r="A1329" t="s">
        <v>39</v>
      </c>
      <c r="B1329" t="s">
        <v>40</v>
      </c>
      <c r="C1329" t="s">
        <v>14</v>
      </c>
      <c r="E1329" t="s">
        <v>9</v>
      </c>
      <c r="F1329" s="1" t="s">
        <v>3</v>
      </c>
      <c r="G1329" s="1">
        <v>45940</v>
      </c>
      <c r="H1329" t="s">
        <v>41</v>
      </c>
      <c r="I1329" s="2">
        <v>3400</v>
      </c>
      <c r="J1329" t="s">
        <v>914</v>
      </c>
      <c r="K1329" s="7">
        <v>45931</v>
      </c>
    </row>
    <row r="1330" spans="1:11" hidden="1">
      <c r="A1330" t="s">
        <v>39</v>
      </c>
      <c r="B1330" t="s">
        <v>40</v>
      </c>
      <c r="C1330" t="s">
        <v>14</v>
      </c>
      <c r="E1330" t="s">
        <v>9</v>
      </c>
      <c r="F1330" s="1" t="s">
        <v>5</v>
      </c>
      <c r="G1330" s="1">
        <v>45988</v>
      </c>
      <c r="H1330" t="s">
        <v>41</v>
      </c>
      <c r="I1330" s="2">
        <v>3389.11</v>
      </c>
      <c r="J1330" t="s">
        <v>915</v>
      </c>
      <c r="K1330" s="7">
        <v>45962</v>
      </c>
    </row>
    <row r="1331" spans="1:11" hidden="1">
      <c r="A1331" t="s">
        <v>39</v>
      </c>
      <c r="B1331" t="s">
        <v>40</v>
      </c>
      <c r="C1331" t="s">
        <v>14</v>
      </c>
      <c r="E1331" t="s">
        <v>9</v>
      </c>
      <c r="F1331" s="1" t="s">
        <v>5</v>
      </c>
      <c r="G1331" s="1">
        <v>45862</v>
      </c>
      <c r="H1331" t="s">
        <v>41</v>
      </c>
      <c r="I1331" s="2">
        <f>1715445/508</f>
        <v>3376.8602362204724</v>
      </c>
      <c r="J1331" t="s">
        <v>868</v>
      </c>
      <c r="K1331" s="7">
        <v>45839</v>
      </c>
    </row>
    <row r="1332" spans="1:11" hidden="1">
      <c r="A1332" t="s">
        <v>39</v>
      </c>
      <c r="B1332" t="s">
        <v>47</v>
      </c>
      <c r="C1332" t="s">
        <v>14</v>
      </c>
      <c r="E1332" t="s">
        <v>9</v>
      </c>
      <c r="F1332" s="1" t="s">
        <v>3</v>
      </c>
      <c r="G1332" s="1">
        <v>45973</v>
      </c>
      <c r="H1332" t="s">
        <v>41</v>
      </c>
      <c r="I1332" s="2">
        <v>3368.11</v>
      </c>
      <c r="J1332" t="s">
        <v>916</v>
      </c>
      <c r="K1332" s="7">
        <v>45962</v>
      </c>
    </row>
    <row r="1333" spans="1:11" hidden="1">
      <c r="A1333" t="s">
        <v>39</v>
      </c>
      <c r="B1333" t="s">
        <v>63</v>
      </c>
      <c r="C1333" t="s">
        <v>14</v>
      </c>
      <c r="E1333" t="s">
        <v>9</v>
      </c>
      <c r="F1333" s="1" t="s">
        <v>4</v>
      </c>
      <c r="G1333" s="1">
        <v>45891</v>
      </c>
      <c r="H1333" t="s">
        <v>41</v>
      </c>
      <c r="I1333" s="2">
        <v>446.35</v>
      </c>
      <c r="J1333" s="47" t="s">
        <v>917</v>
      </c>
      <c r="K1333" s="7">
        <v>45870</v>
      </c>
    </row>
    <row r="1334" spans="1:11" hidden="1">
      <c r="A1334" t="s">
        <v>39</v>
      </c>
      <c r="B1334" t="s">
        <v>45</v>
      </c>
      <c r="C1334" t="s">
        <v>14</v>
      </c>
      <c r="E1334" t="s">
        <v>9</v>
      </c>
      <c r="F1334" s="1" t="s">
        <v>2</v>
      </c>
      <c r="G1334" s="1">
        <v>45993</v>
      </c>
      <c r="H1334" t="s">
        <v>41</v>
      </c>
      <c r="I1334" s="2">
        <v>3340.12</v>
      </c>
      <c r="J1334" t="s">
        <v>918</v>
      </c>
      <c r="K1334" s="7">
        <v>45992</v>
      </c>
    </row>
    <row r="1335" spans="1:11" hidden="1">
      <c r="A1335" t="s">
        <v>39</v>
      </c>
      <c r="B1335" t="s">
        <v>40</v>
      </c>
      <c r="C1335" t="s">
        <v>14</v>
      </c>
      <c r="E1335" t="s">
        <v>9</v>
      </c>
      <c r="F1335" s="1" t="s">
        <v>5</v>
      </c>
      <c r="G1335" s="1">
        <v>45796</v>
      </c>
      <c r="H1335" t="s">
        <v>41</v>
      </c>
      <c r="I1335" s="2">
        <v>3339</v>
      </c>
      <c r="J1335" t="s">
        <v>919</v>
      </c>
      <c r="K1335" s="7">
        <v>45778</v>
      </c>
    </row>
    <row r="1336" spans="1:11" hidden="1">
      <c r="A1336" t="s">
        <v>39</v>
      </c>
      <c r="B1336" t="s">
        <v>47</v>
      </c>
      <c r="C1336" t="s">
        <v>13</v>
      </c>
      <c r="D1336">
        <v>10026754</v>
      </c>
      <c r="E1336" t="s">
        <v>9</v>
      </c>
      <c r="F1336" s="1" t="s">
        <v>2</v>
      </c>
      <c r="G1336" s="1">
        <v>45811</v>
      </c>
      <c r="H1336" t="s">
        <v>41</v>
      </c>
      <c r="I1336" s="2">
        <v>3338.62</v>
      </c>
      <c r="J1336" t="s">
        <v>135</v>
      </c>
      <c r="K1336" s="7">
        <v>45809</v>
      </c>
    </row>
    <row r="1337" spans="1:11" hidden="1">
      <c r="A1337" t="s">
        <v>39</v>
      </c>
      <c r="B1337" t="s">
        <v>40</v>
      </c>
      <c r="C1337" t="s">
        <v>14</v>
      </c>
      <c r="E1337" t="s">
        <v>9</v>
      </c>
      <c r="F1337" s="1" t="s">
        <v>4</v>
      </c>
      <c r="G1337" s="1">
        <v>45891</v>
      </c>
      <c r="H1337" t="s">
        <v>41</v>
      </c>
      <c r="I1337" s="2">
        <v>150</v>
      </c>
      <c r="J1337" t="s">
        <v>920</v>
      </c>
      <c r="K1337" s="7">
        <v>45870</v>
      </c>
    </row>
    <row r="1338" spans="1:11" hidden="1">
      <c r="A1338" t="s">
        <v>39</v>
      </c>
      <c r="B1338" t="s">
        <v>63</v>
      </c>
      <c r="C1338" t="s">
        <v>12</v>
      </c>
      <c r="D1338">
        <v>10027909</v>
      </c>
      <c r="E1338" t="s">
        <v>9</v>
      </c>
      <c r="F1338" s="1" t="s">
        <v>2</v>
      </c>
      <c r="G1338" s="1">
        <v>45968</v>
      </c>
      <c r="H1338" t="s">
        <v>41</v>
      </c>
      <c r="I1338" s="2">
        <v>3305.25</v>
      </c>
      <c r="J1338" t="s">
        <v>921</v>
      </c>
      <c r="K1338" s="7">
        <v>45962</v>
      </c>
    </row>
    <row r="1339" spans="1:11" hidden="1">
      <c r="A1339" t="s">
        <v>39</v>
      </c>
      <c r="B1339" t="s">
        <v>40</v>
      </c>
      <c r="C1339" t="s">
        <v>14</v>
      </c>
      <c r="E1339" t="s">
        <v>9</v>
      </c>
      <c r="F1339" s="1" t="s">
        <v>3</v>
      </c>
      <c r="G1339" s="1">
        <v>46000</v>
      </c>
      <c r="H1339" t="s">
        <v>41</v>
      </c>
      <c r="I1339" s="2">
        <v>3305.19</v>
      </c>
      <c r="J1339" s="47" t="s">
        <v>922</v>
      </c>
      <c r="K1339" s="7">
        <v>45992</v>
      </c>
    </row>
    <row r="1340" spans="1:11" hidden="1">
      <c r="A1340" t="s">
        <v>56</v>
      </c>
      <c r="B1340" t="s">
        <v>40</v>
      </c>
      <c r="C1340" t="s">
        <v>14</v>
      </c>
      <c r="D1340">
        <v>10771</v>
      </c>
      <c r="E1340" t="s">
        <v>9</v>
      </c>
      <c r="F1340" s="1" t="s">
        <v>2</v>
      </c>
      <c r="G1340" s="1">
        <v>45901</v>
      </c>
      <c r="H1340" t="s">
        <v>41</v>
      </c>
      <c r="I1340" s="2">
        <v>3300</v>
      </c>
      <c r="J1340" t="s">
        <v>923</v>
      </c>
      <c r="K1340" s="7">
        <v>45901</v>
      </c>
    </row>
    <row r="1341" spans="1:11" hidden="1">
      <c r="A1341" t="s">
        <v>39</v>
      </c>
      <c r="B1341" t="s">
        <v>40</v>
      </c>
      <c r="C1341" t="s">
        <v>14</v>
      </c>
      <c r="E1341" t="s">
        <v>9</v>
      </c>
      <c r="F1341" s="1" t="s">
        <v>3</v>
      </c>
      <c r="G1341" s="1">
        <v>45937</v>
      </c>
      <c r="H1341" t="s">
        <v>41</v>
      </c>
      <c r="I1341" s="2">
        <v>3300</v>
      </c>
      <c r="J1341" s="47" t="s">
        <v>924</v>
      </c>
      <c r="K1341" s="7">
        <v>45931</v>
      </c>
    </row>
    <row r="1342" spans="1:11" hidden="1">
      <c r="A1342" t="s">
        <v>114</v>
      </c>
      <c r="B1342" t="s">
        <v>63</v>
      </c>
      <c r="C1342" t="s">
        <v>14</v>
      </c>
      <c r="E1342" t="s">
        <v>9</v>
      </c>
      <c r="F1342" s="1" t="s">
        <v>3</v>
      </c>
      <c r="G1342" s="1">
        <v>45981</v>
      </c>
      <c r="H1342" t="s">
        <v>64</v>
      </c>
      <c r="I1342" s="2">
        <f>1680154.67/510</f>
        <v>3294.4209215686274</v>
      </c>
      <c r="J1342" t="s">
        <v>216</v>
      </c>
      <c r="K1342" s="7">
        <v>45992</v>
      </c>
    </row>
    <row r="1343" spans="1:11" hidden="1">
      <c r="A1343" t="s">
        <v>114</v>
      </c>
      <c r="B1343" t="s">
        <v>63</v>
      </c>
      <c r="C1343" t="s">
        <v>124</v>
      </c>
      <c r="E1343" t="s">
        <v>9</v>
      </c>
      <c r="F1343" s="1" t="s">
        <v>5</v>
      </c>
      <c r="G1343" s="1">
        <v>46014</v>
      </c>
      <c r="H1343" t="s">
        <v>64</v>
      </c>
      <c r="I1343" s="2">
        <f>1677346.95/510</f>
        <v>3288.9155882352939</v>
      </c>
      <c r="J1343" t="s">
        <v>334</v>
      </c>
      <c r="K1343" s="7">
        <v>45992</v>
      </c>
    </row>
    <row r="1344" spans="1:11" hidden="1">
      <c r="A1344" t="s">
        <v>56</v>
      </c>
      <c r="B1344" t="s">
        <v>40</v>
      </c>
      <c r="C1344" t="s">
        <v>14</v>
      </c>
      <c r="D1344">
        <v>10817</v>
      </c>
      <c r="E1344" t="s">
        <v>9</v>
      </c>
      <c r="F1344" s="1" t="s">
        <v>3</v>
      </c>
      <c r="G1344" s="1">
        <v>45936</v>
      </c>
      <c r="H1344" t="s">
        <v>41</v>
      </c>
      <c r="I1344" s="2">
        <v>3281</v>
      </c>
      <c r="J1344" t="s">
        <v>521</v>
      </c>
      <c r="K1344" s="7">
        <v>45931</v>
      </c>
    </row>
    <row r="1345" spans="1:11" hidden="1">
      <c r="A1345" t="s">
        <v>39</v>
      </c>
      <c r="B1345" t="s">
        <v>63</v>
      </c>
      <c r="C1345" t="s">
        <v>14</v>
      </c>
      <c r="D1345" t="s">
        <v>738</v>
      </c>
      <c r="E1345" t="s">
        <v>9</v>
      </c>
      <c r="F1345" s="1" t="s">
        <v>3</v>
      </c>
      <c r="G1345" s="1">
        <v>45912</v>
      </c>
      <c r="H1345" t="s">
        <v>41</v>
      </c>
      <c r="I1345" s="2">
        <v>3279.58</v>
      </c>
      <c r="J1345" t="s">
        <v>383</v>
      </c>
      <c r="K1345" s="7">
        <v>45901</v>
      </c>
    </row>
    <row r="1346" spans="1:11" hidden="1">
      <c r="A1346" t="s">
        <v>39</v>
      </c>
      <c r="B1346" t="s">
        <v>40</v>
      </c>
      <c r="C1346" t="s">
        <v>14</v>
      </c>
      <c r="D1346">
        <v>10028463</v>
      </c>
      <c r="E1346" t="s">
        <v>9</v>
      </c>
      <c r="F1346" s="1" t="s">
        <v>3</v>
      </c>
      <c r="G1346" s="1">
        <v>46062</v>
      </c>
      <c r="H1346" t="s">
        <v>41</v>
      </c>
      <c r="I1346" s="2">
        <v>1160</v>
      </c>
      <c r="J1346" t="s">
        <v>925</v>
      </c>
      <c r="K1346" s="7">
        <v>46054</v>
      </c>
    </row>
    <row r="1347" spans="1:11" hidden="1">
      <c r="A1347" t="s">
        <v>39</v>
      </c>
      <c r="B1347" t="s">
        <v>45</v>
      </c>
      <c r="C1347" t="s">
        <v>14</v>
      </c>
      <c r="E1347" t="s">
        <v>9</v>
      </c>
      <c r="F1347" s="1" t="s">
        <v>2</v>
      </c>
      <c r="G1347" s="1">
        <v>45904</v>
      </c>
      <c r="H1347" t="s">
        <v>41</v>
      </c>
      <c r="I1347" s="2">
        <v>3260.3</v>
      </c>
      <c r="J1347" t="s">
        <v>217</v>
      </c>
      <c r="K1347" s="7">
        <v>45901</v>
      </c>
    </row>
    <row r="1348" spans="1:11" hidden="1">
      <c r="A1348" t="s">
        <v>39</v>
      </c>
      <c r="B1348" t="s">
        <v>40</v>
      </c>
      <c r="C1348" t="s">
        <v>14</v>
      </c>
      <c r="E1348" t="s">
        <v>9</v>
      </c>
      <c r="F1348" s="1" t="s">
        <v>4</v>
      </c>
      <c r="G1348" s="1">
        <v>45891</v>
      </c>
      <c r="H1348" t="s">
        <v>41</v>
      </c>
      <c r="I1348" s="2">
        <v>16.95</v>
      </c>
      <c r="J1348" t="s">
        <v>864</v>
      </c>
      <c r="K1348" s="7">
        <v>45870</v>
      </c>
    </row>
    <row r="1349" spans="1:11" hidden="1">
      <c r="A1349" t="s">
        <v>99</v>
      </c>
      <c r="B1349" t="s">
        <v>63</v>
      </c>
      <c r="C1349" t="s">
        <v>14</v>
      </c>
      <c r="E1349" t="s">
        <v>9</v>
      </c>
      <c r="F1349" s="1" t="s">
        <v>4</v>
      </c>
      <c r="G1349" s="1">
        <v>45892</v>
      </c>
      <c r="H1349" t="s">
        <v>41</v>
      </c>
      <c r="I1349" s="2">
        <v>14684.59</v>
      </c>
      <c r="J1349" t="s">
        <v>926</v>
      </c>
      <c r="K1349" s="7">
        <v>45870</v>
      </c>
    </row>
    <row r="1350" spans="1:11" hidden="1">
      <c r="A1350" t="s">
        <v>39</v>
      </c>
      <c r="B1350" t="s">
        <v>40</v>
      </c>
      <c r="C1350" t="s">
        <v>14</v>
      </c>
      <c r="E1350" t="s">
        <v>9</v>
      </c>
      <c r="F1350" s="1" t="s">
        <v>4</v>
      </c>
      <c r="G1350" s="1">
        <v>45893</v>
      </c>
      <c r="H1350" t="s">
        <v>41</v>
      </c>
      <c r="I1350" s="2">
        <v>491.96</v>
      </c>
      <c r="J1350" t="s">
        <v>927</v>
      </c>
      <c r="K1350" s="7">
        <v>45870</v>
      </c>
    </row>
    <row r="1351" spans="1:11" hidden="1">
      <c r="A1351" t="s">
        <v>114</v>
      </c>
      <c r="B1351" t="s">
        <v>63</v>
      </c>
      <c r="C1351" t="s">
        <v>12</v>
      </c>
      <c r="E1351" t="s">
        <v>9</v>
      </c>
      <c r="F1351" s="52" t="s">
        <v>4</v>
      </c>
      <c r="G1351" s="1">
        <v>45912</v>
      </c>
      <c r="H1351" t="s">
        <v>41</v>
      </c>
      <c r="I1351" s="2">
        <v>25952.91</v>
      </c>
      <c r="J1351" t="s">
        <v>928</v>
      </c>
      <c r="K1351" s="7">
        <v>45901</v>
      </c>
    </row>
    <row r="1352" spans="1:11">
      <c r="A1352" t="s">
        <v>39</v>
      </c>
      <c r="B1352" t="s">
        <v>47</v>
      </c>
      <c r="C1352" t="s">
        <v>14</v>
      </c>
      <c r="E1352" t="s">
        <v>9</v>
      </c>
      <c r="F1352" s="1" t="s">
        <v>3</v>
      </c>
      <c r="G1352" s="1">
        <v>46062</v>
      </c>
      <c r="H1352" t="s">
        <v>41</v>
      </c>
      <c r="I1352" s="2">
        <v>790</v>
      </c>
      <c r="J1352" t="s">
        <v>929</v>
      </c>
      <c r="K1352" s="7">
        <v>46054</v>
      </c>
    </row>
    <row r="1353" spans="1:11" hidden="1">
      <c r="A1353" t="s">
        <v>114</v>
      </c>
      <c r="B1353" t="s">
        <v>63</v>
      </c>
      <c r="C1353" t="s">
        <v>12</v>
      </c>
      <c r="E1353" t="s">
        <v>9</v>
      </c>
      <c r="F1353" s="52" t="s">
        <v>4</v>
      </c>
      <c r="G1353" s="1">
        <v>45912</v>
      </c>
      <c r="H1353" t="s">
        <v>64</v>
      </c>
      <c r="I1353" s="2">
        <v>3870.9509803921569</v>
      </c>
      <c r="J1353" s="47" t="s">
        <v>930</v>
      </c>
      <c r="K1353" s="7">
        <v>45901</v>
      </c>
    </row>
    <row r="1354" spans="1:11" hidden="1">
      <c r="A1354" t="s">
        <v>39</v>
      </c>
      <c r="B1354" t="s">
        <v>47</v>
      </c>
      <c r="C1354" t="s">
        <v>14</v>
      </c>
      <c r="E1354" t="s">
        <v>9</v>
      </c>
      <c r="F1354" s="1" t="s">
        <v>5</v>
      </c>
      <c r="G1354" s="1">
        <v>45861</v>
      </c>
      <c r="H1354" t="s">
        <v>41</v>
      </c>
      <c r="I1354" s="2">
        <v>3213.47</v>
      </c>
      <c r="J1354" t="s">
        <v>931</v>
      </c>
      <c r="K1354" s="7">
        <v>45839</v>
      </c>
    </row>
    <row r="1355" spans="1:11" hidden="1">
      <c r="A1355" t="s">
        <v>39</v>
      </c>
      <c r="B1355" t="s">
        <v>47</v>
      </c>
      <c r="C1355" t="s">
        <v>14</v>
      </c>
      <c r="E1355" t="s">
        <v>9</v>
      </c>
      <c r="F1355" s="1" t="s">
        <v>6</v>
      </c>
      <c r="G1355" s="1">
        <v>45866</v>
      </c>
      <c r="H1355" t="s">
        <v>41</v>
      </c>
      <c r="I1355" s="2">
        <v>3213.47</v>
      </c>
      <c r="J1355" t="s">
        <v>931</v>
      </c>
      <c r="K1355" s="7">
        <v>45839</v>
      </c>
    </row>
    <row r="1356" spans="1:11" hidden="1">
      <c r="A1356" t="s">
        <v>39</v>
      </c>
      <c r="B1356" t="s">
        <v>63</v>
      </c>
      <c r="C1356" t="s">
        <v>14</v>
      </c>
      <c r="D1356">
        <v>10026809</v>
      </c>
      <c r="E1356" t="s">
        <v>9</v>
      </c>
      <c r="F1356" s="1" t="s">
        <v>3</v>
      </c>
      <c r="G1356" s="1">
        <v>45820</v>
      </c>
      <c r="H1356" t="s">
        <v>41</v>
      </c>
      <c r="I1356" s="2">
        <v>3210</v>
      </c>
      <c r="J1356" t="s">
        <v>576</v>
      </c>
      <c r="K1356" s="7">
        <v>45809</v>
      </c>
    </row>
    <row r="1357" spans="1:11" hidden="1">
      <c r="A1357" t="s">
        <v>39</v>
      </c>
      <c r="B1357" t="s">
        <v>40</v>
      </c>
      <c r="C1357" t="s">
        <v>14</v>
      </c>
      <c r="E1357" t="s">
        <v>9</v>
      </c>
      <c r="F1357" s="1" t="s">
        <v>5</v>
      </c>
      <c r="G1357" s="1">
        <v>45835</v>
      </c>
      <c r="H1357" t="s">
        <v>41</v>
      </c>
      <c r="I1357" s="2">
        <v>3200</v>
      </c>
      <c r="J1357" t="s">
        <v>932</v>
      </c>
      <c r="K1357" s="7">
        <v>45809</v>
      </c>
    </row>
    <row r="1358" spans="1:11" hidden="1">
      <c r="A1358" t="s">
        <v>56</v>
      </c>
      <c r="B1358" t="s">
        <v>40</v>
      </c>
      <c r="C1358" t="s">
        <v>14</v>
      </c>
      <c r="D1358">
        <v>10826</v>
      </c>
      <c r="E1358" t="s">
        <v>9</v>
      </c>
      <c r="F1358" s="1" t="s">
        <v>3</v>
      </c>
      <c r="G1358" s="1">
        <v>45976</v>
      </c>
      <c r="H1358" t="s">
        <v>41</v>
      </c>
      <c r="I1358" s="2">
        <v>3200</v>
      </c>
      <c r="J1358" t="s">
        <v>437</v>
      </c>
      <c r="K1358" s="7">
        <v>45962</v>
      </c>
    </row>
    <row r="1359" spans="1:11">
      <c r="A1359" t="s">
        <v>39</v>
      </c>
      <c r="B1359" t="s">
        <v>47</v>
      </c>
      <c r="C1359" t="s">
        <v>14</v>
      </c>
      <c r="E1359" t="s">
        <v>9</v>
      </c>
      <c r="F1359" s="1" t="s">
        <v>3</v>
      </c>
      <c r="G1359" s="1">
        <v>46062</v>
      </c>
      <c r="H1359" t="s">
        <v>41</v>
      </c>
      <c r="I1359" s="2">
        <v>711.9</v>
      </c>
      <c r="J1359" s="47" t="s">
        <v>933</v>
      </c>
      <c r="K1359" s="7">
        <v>46054</v>
      </c>
    </row>
    <row r="1360" spans="1:11" hidden="1">
      <c r="A1360" t="s">
        <v>39</v>
      </c>
      <c r="B1360" t="s">
        <v>40</v>
      </c>
      <c r="C1360" t="s">
        <v>14</v>
      </c>
      <c r="D1360">
        <v>10027598</v>
      </c>
      <c r="E1360" t="s">
        <v>9</v>
      </c>
      <c r="F1360" s="1" t="s">
        <v>5</v>
      </c>
      <c r="G1360" s="1">
        <v>45922</v>
      </c>
      <c r="H1360" t="s">
        <v>41</v>
      </c>
      <c r="I1360" s="2">
        <v>3187</v>
      </c>
      <c r="J1360" t="s">
        <v>934</v>
      </c>
      <c r="K1360" s="7">
        <v>45901</v>
      </c>
    </row>
    <row r="1361" spans="1:11" hidden="1">
      <c r="A1361" t="s">
        <v>39</v>
      </c>
      <c r="B1361" t="s">
        <v>63</v>
      </c>
      <c r="C1361" t="s">
        <v>14</v>
      </c>
      <c r="E1361" t="s">
        <v>9</v>
      </c>
      <c r="F1361" s="1" t="s">
        <v>2</v>
      </c>
      <c r="G1361" s="1">
        <v>45995</v>
      </c>
      <c r="H1361" t="s">
        <v>41</v>
      </c>
      <c r="I1361" s="2">
        <v>3184.96</v>
      </c>
      <c r="J1361" t="s">
        <v>935</v>
      </c>
      <c r="K1361" s="7">
        <v>45992</v>
      </c>
    </row>
    <row r="1362" spans="1:11" hidden="1">
      <c r="A1362" t="s">
        <v>39</v>
      </c>
      <c r="B1362" t="s">
        <v>45</v>
      </c>
      <c r="C1362" t="s">
        <v>13</v>
      </c>
      <c r="E1362" t="s">
        <v>9</v>
      </c>
      <c r="F1362" s="1" t="s">
        <v>4</v>
      </c>
      <c r="G1362" s="1">
        <v>45915</v>
      </c>
      <c r="H1362" t="s">
        <v>41</v>
      </c>
      <c r="I1362" s="2">
        <v>14921.76</v>
      </c>
      <c r="J1362" s="53" t="s">
        <v>91</v>
      </c>
      <c r="K1362" s="7">
        <v>45901</v>
      </c>
    </row>
    <row r="1363" spans="1:11" hidden="1">
      <c r="A1363" t="s">
        <v>39</v>
      </c>
      <c r="B1363" t="s">
        <v>47</v>
      </c>
      <c r="C1363" t="s">
        <v>14</v>
      </c>
      <c r="E1363" t="s">
        <v>9</v>
      </c>
      <c r="F1363" s="1" t="s">
        <v>5</v>
      </c>
      <c r="G1363" s="1">
        <v>45856</v>
      </c>
      <c r="H1363" t="s">
        <v>41</v>
      </c>
      <c r="I1363" s="2">
        <v>3164</v>
      </c>
      <c r="J1363" s="47" t="s">
        <v>165</v>
      </c>
      <c r="K1363" s="7">
        <v>45839</v>
      </c>
    </row>
    <row r="1364" spans="1:11" hidden="1">
      <c r="A1364" t="s">
        <v>39</v>
      </c>
      <c r="B1364" t="s">
        <v>47</v>
      </c>
      <c r="C1364" t="s">
        <v>14</v>
      </c>
      <c r="D1364">
        <v>10027219</v>
      </c>
      <c r="E1364" t="s">
        <v>9</v>
      </c>
      <c r="F1364" s="1" t="s">
        <v>2</v>
      </c>
      <c r="G1364" s="1">
        <v>45870</v>
      </c>
      <c r="H1364" t="s">
        <v>41</v>
      </c>
      <c r="I1364" s="2">
        <v>3164</v>
      </c>
      <c r="J1364" t="s">
        <v>817</v>
      </c>
      <c r="K1364" s="7">
        <v>45870</v>
      </c>
    </row>
    <row r="1365" spans="1:11" hidden="1">
      <c r="A1365" t="s">
        <v>56</v>
      </c>
      <c r="B1365" t="s">
        <v>40</v>
      </c>
      <c r="C1365" t="s">
        <v>14</v>
      </c>
      <c r="E1365" t="s">
        <v>9</v>
      </c>
      <c r="F1365" s="1" t="s">
        <v>4</v>
      </c>
      <c r="G1365" s="1">
        <v>45915</v>
      </c>
      <c r="H1365" t="s">
        <v>41</v>
      </c>
      <c r="I1365" s="2">
        <v>5000</v>
      </c>
      <c r="J1365" s="53" t="s">
        <v>775</v>
      </c>
      <c r="K1365" s="7">
        <v>45901</v>
      </c>
    </row>
    <row r="1366" spans="1:11" hidden="1">
      <c r="A1366" t="s">
        <v>39</v>
      </c>
      <c r="B1366" t="s">
        <v>40</v>
      </c>
      <c r="C1366" t="s">
        <v>14</v>
      </c>
      <c r="E1366" t="s">
        <v>9</v>
      </c>
      <c r="F1366" s="1" t="s">
        <v>5</v>
      </c>
      <c r="G1366" s="1">
        <v>45950</v>
      </c>
      <c r="H1366" t="s">
        <v>41</v>
      </c>
      <c r="I1366" s="2">
        <v>3157.25</v>
      </c>
      <c r="J1366" t="s">
        <v>936</v>
      </c>
      <c r="K1366" s="7">
        <v>45931</v>
      </c>
    </row>
    <row r="1367" spans="1:11" hidden="1">
      <c r="A1367" t="s">
        <v>39</v>
      </c>
      <c r="B1367" t="s">
        <v>406</v>
      </c>
      <c r="C1367" t="s">
        <v>14</v>
      </c>
      <c r="E1367" t="s">
        <v>9</v>
      </c>
      <c r="F1367" s="1" t="s">
        <v>5</v>
      </c>
      <c r="G1367" s="1">
        <v>45985</v>
      </c>
      <c r="H1367" t="s">
        <v>41</v>
      </c>
      <c r="I1367" s="2">
        <v>3148</v>
      </c>
      <c r="J1367" s="47" t="s">
        <v>937</v>
      </c>
      <c r="K1367" s="7">
        <v>45962</v>
      </c>
    </row>
    <row r="1368" spans="1:11" hidden="1">
      <c r="A1368" t="s">
        <v>39</v>
      </c>
      <c r="B1368" t="s">
        <v>47</v>
      </c>
      <c r="C1368" t="s">
        <v>12</v>
      </c>
      <c r="D1368">
        <v>10026712</v>
      </c>
      <c r="E1368" t="s">
        <v>9</v>
      </c>
      <c r="F1368" s="1" t="s">
        <v>6</v>
      </c>
      <c r="G1368" s="1">
        <v>45803</v>
      </c>
      <c r="H1368" t="s">
        <v>41</v>
      </c>
      <c r="I1368" s="2">
        <v>3140</v>
      </c>
      <c r="J1368" t="s">
        <v>938</v>
      </c>
      <c r="K1368" s="7">
        <v>45778</v>
      </c>
    </row>
    <row r="1369" spans="1:11" hidden="1">
      <c r="A1369" t="s">
        <v>56</v>
      </c>
      <c r="B1369" t="s">
        <v>40</v>
      </c>
      <c r="C1369" t="s">
        <v>14</v>
      </c>
      <c r="E1369" t="s">
        <v>9</v>
      </c>
      <c r="F1369" s="52" t="s">
        <v>4</v>
      </c>
      <c r="G1369" s="1">
        <v>45915</v>
      </c>
      <c r="H1369" t="s">
        <v>41</v>
      </c>
      <c r="I1369" s="2">
        <v>4149</v>
      </c>
      <c r="J1369" s="53" t="s">
        <v>441</v>
      </c>
      <c r="K1369" s="7">
        <v>45901</v>
      </c>
    </row>
    <row r="1370" spans="1:11" hidden="1">
      <c r="A1370" t="s">
        <v>114</v>
      </c>
      <c r="B1370" t="s">
        <v>63</v>
      </c>
      <c r="C1370" t="s">
        <v>14</v>
      </c>
      <c r="E1370" t="s">
        <v>9</v>
      </c>
      <c r="F1370" s="1" t="s">
        <v>3</v>
      </c>
      <c r="G1370" s="1">
        <v>45971</v>
      </c>
      <c r="H1370" t="s">
        <v>64</v>
      </c>
      <c r="I1370" s="2">
        <f>1582592.85/510</f>
        <v>3103.1232352941179</v>
      </c>
      <c r="J1370" t="s">
        <v>65</v>
      </c>
      <c r="K1370" s="7">
        <v>45962</v>
      </c>
    </row>
    <row r="1371" spans="1:11" hidden="1">
      <c r="A1371" t="s">
        <v>39</v>
      </c>
      <c r="B1371" t="s">
        <v>45</v>
      </c>
      <c r="C1371" t="s">
        <v>14</v>
      </c>
      <c r="D1371">
        <v>10027197</v>
      </c>
      <c r="E1371" t="s">
        <v>9</v>
      </c>
      <c r="F1371" s="1" t="s">
        <v>6</v>
      </c>
      <c r="G1371" s="1">
        <v>45868</v>
      </c>
      <c r="H1371" t="s">
        <v>41</v>
      </c>
      <c r="I1371" s="2">
        <v>3101.22</v>
      </c>
      <c r="J1371" t="s">
        <v>939</v>
      </c>
      <c r="K1371" s="7">
        <v>45839</v>
      </c>
    </row>
    <row r="1372" spans="1:11" hidden="1">
      <c r="A1372" t="s">
        <v>39</v>
      </c>
      <c r="B1372" t="s">
        <v>40</v>
      </c>
      <c r="C1372" t="s">
        <v>14</v>
      </c>
      <c r="E1372" t="s">
        <v>9</v>
      </c>
      <c r="F1372" s="52" t="s">
        <v>4</v>
      </c>
      <c r="G1372" s="1">
        <v>45915</v>
      </c>
      <c r="H1372" t="s">
        <v>41</v>
      </c>
      <c r="I1372" s="2">
        <v>2313</v>
      </c>
      <c r="J1372" s="53" t="s">
        <v>940</v>
      </c>
      <c r="K1372" s="7">
        <v>45901</v>
      </c>
    </row>
    <row r="1373" spans="1:11" hidden="1">
      <c r="A1373" t="s">
        <v>39</v>
      </c>
      <c r="B1373" t="s">
        <v>45</v>
      </c>
      <c r="C1373" t="s">
        <v>14</v>
      </c>
      <c r="E1373" t="s">
        <v>9</v>
      </c>
      <c r="F1373" s="52" t="s">
        <v>4</v>
      </c>
      <c r="G1373" s="1">
        <v>45916</v>
      </c>
      <c r="H1373" t="s">
        <v>41</v>
      </c>
      <c r="I1373" s="2">
        <v>20000</v>
      </c>
      <c r="J1373" s="53" t="s">
        <v>715</v>
      </c>
      <c r="K1373" s="7">
        <v>45901</v>
      </c>
    </row>
    <row r="1374" spans="1:11" hidden="1">
      <c r="A1374" t="s">
        <v>39</v>
      </c>
      <c r="B1374" t="s">
        <v>47</v>
      </c>
      <c r="C1374" t="s">
        <v>14</v>
      </c>
      <c r="D1374">
        <v>10026994</v>
      </c>
      <c r="E1374" t="s">
        <v>9</v>
      </c>
      <c r="F1374" s="1" t="s">
        <v>2</v>
      </c>
      <c r="G1374" s="1">
        <v>45841</v>
      </c>
      <c r="H1374" t="s">
        <v>41</v>
      </c>
      <c r="I1374" s="2">
        <v>3096.87</v>
      </c>
      <c r="J1374" t="s">
        <v>941</v>
      </c>
      <c r="K1374" s="7">
        <v>45839</v>
      </c>
    </row>
    <row r="1375" spans="1:11" hidden="1">
      <c r="A1375" t="s">
        <v>39</v>
      </c>
      <c r="B1375" t="s">
        <v>63</v>
      </c>
      <c r="C1375" t="s">
        <v>14</v>
      </c>
      <c r="E1375" t="s">
        <v>9</v>
      </c>
      <c r="F1375" s="1" t="s">
        <v>3</v>
      </c>
      <c r="G1375" s="1">
        <v>46034</v>
      </c>
      <c r="H1375" t="s">
        <v>41</v>
      </c>
      <c r="I1375" s="2">
        <v>3085.04</v>
      </c>
      <c r="J1375" s="47" t="s">
        <v>283</v>
      </c>
      <c r="K1375" s="7">
        <v>46023</v>
      </c>
    </row>
    <row r="1376" spans="1:11" hidden="1">
      <c r="A1376" t="s">
        <v>114</v>
      </c>
      <c r="B1376" t="s">
        <v>63</v>
      </c>
      <c r="C1376" t="s">
        <v>124</v>
      </c>
      <c r="E1376" t="s">
        <v>9</v>
      </c>
      <c r="F1376" s="1" t="s">
        <v>5</v>
      </c>
      <c r="G1376" s="1">
        <v>46014</v>
      </c>
      <c r="H1376" t="s">
        <v>64</v>
      </c>
      <c r="I1376" s="2">
        <f>1551867.95/510</f>
        <v>3042.8783333333331</v>
      </c>
      <c r="J1376" t="s">
        <v>334</v>
      </c>
      <c r="K1376" s="7">
        <v>45992</v>
      </c>
    </row>
    <row r="1377" spans="1:11" hidden="1">
      <c r="A1377" t="s">
        <v>39</v>
      </c>
      <c r="B1377" t="s">
        <v>40</v>
      </c>
      <c r="C1377" t="s">
        <v>14</v>
      </c>
      <c r="E1377" t="s">
        <v>9</v>
      </c>
      <c r="F1377" s="1" t="s">
        <v>6</v>
      </c>
      <c r="G1377" s="1">
        <v>45930</v>
      </c>
      <c r="H1377" t="s">
        <v>64</v>
      </c>
      <c r="I1377" s="2">
        <v>3037</v>
      </c>
      <c r="J1377" t="s">
        <v>942</v>
      </c>
      <c r="K1377" s="7">
        <v>45901</v>
      </c>
    </row>
    <row r="1378" spans="1:11" hidden="1">
      <c r="A1378" t="s">
        <v>39</v>
      </c>
      <c r="B1378" t="s">
        <v>40</v>
      </c>
      <c r="C1378" t="s">
        <v>14</v>
      </c>
      <c r="D1378">
        <v>10027609</v>
      </c>
      <c r="E1378" t="s">
        <v>9</v>
      </c>
      <c r="F1378" s="1" t="s">
        <v>4</v>
      </c>
      <c r="G1378" s="1">
        <v>45916</v>
      </c>
      <c r="H1378" t="s">
        <v>41</v>
      </c>
      <c r="I1378" s="2">
        <v>17020</v>
      </c>
      <c r="J1378" t="s">
        <v>943</v>
      </c>
      <c r="K1378" s="7">
        <v>45901</v>
      </c>
    </row>
    <row r="1379" spans="1:11" hidden="1">
      <c r="A1379" t="s">
        <v>39</v>
      </c>
      <c r="B1379" t="s">
        <v>45</v>
      </c>
      <c r="C1379" t="s">
        <v>14</v>
      </c>
      <c r="D1379">
        <v>10027054</v>
      </c>
      <c r="E1379" t="s">
        <v>9</v>
      </c>
      <c r="F1379" s="1" t="s">
        <v>3</v>
      </c>
      <c r="G1379" s="1">
        <v>45849</v>
      </c>
      <c r="H1379" t="s">
        <v>41</v>
      </c>
      <c r="I1379" s="2">
        <v>3024.13</v>
      </c>
      <c r="J1379" t="s">
        <v>701</v>
      </c>
      <c r="K1379" s="7">
        <v>45839</v>
      </c>
    </row>
    <row r="1380" spans="1:11" hidden="1">
      <c r="A1380" t="s">
        <v>56</v>
      </c>
      <c r="B1380" t="s">
        <v>40</v>
      </c>
      <c r="C1380" t="s">
        <v>14</v>
      </c>
      <c r="D1380">
        <v>10734</v>
      </c>
      <c r="E1380" t="s">
        <v>9</v>
      </c>
      <c r="F1380" t="s">
        <v>2</v>
      </c>
      <c r="G1380" s="1">
        <v>45778</v>
      </c>
      <c r="H1380" t="s">
        <v>41</v>
      </c>
      <c r="I1380" s="2">
        <v>3020</v>
      </c>
      <c r="J1380" t="s">
        <v>944</v>
      </c>
      <c r="K1380" s="7">
        <v>45778</v>
      </c>
    </row>
    <row r="1381" spans="1:11" hidden="1">
      <c r="A1381" t="s">
        <v>39</v>
      </c>
      <c r="B1381" t="s">
        <v>63</v>
      </c>
      <c r="C1381" t="s">
        <v>14</v>
      </c>
      <c r="E1381" t="s">
        <v>9</v>
      </c>
      <c r="F1381" s="1" t="s">
        <v>5</v>
      </c>
      <c r="G1381" s="1">
        <v>46051</v>
      </c>
      <c r="H1381" t="s">
        <v>64</v>
      </c>
      <c r="I1381" s="2">
        <f>1494969.05/496</f>
        <v>3014.0505040322582</v>
      </c>
      <c r="J1381" t="s">
        <v>65</v>
      </c>
      <c r="K1381" s="7">
        <v>46023</v>
      </c>
    </row>
    <row r="1382" spans="1:11" hidden="1">
      <c r="A1382" t="s">
        <v>39</v>
      </c>
      <c r="B1382" t="s">
        <v>40</v>
      </c>
      <c r="C1382" t="s">
        <v>14</v>
      </c>
      <c r="E1382" t="s">
        <v>9</v>
      </c>
      <c r="F1382" s="1" t="s">
        <v>3</v>
      </c>
      <c r="G1382" s="1">
        <v>46036</v>
      </c>
      <c r="H1382" t="s">
        <v>41</v>
      </c>
      <c r="I1382" s="2">
        <v>3010</v>
      </c>
      <c r="J1382" t="s">
        <v>945</v>
      </c>
      <c r="K1382" s="7">
        <v>46023</v>
      </c>
    </row>
    <row r="1383" spans="1:11" hidden="1">
      <c r="A1383" t="s">
        <v>39</v>
      </c>
      <c r="B1383" t="s">
        <v>47</v>
      </c>
      <c r="C1383" t="s">
        <v>14</v>
      </c>
      <c r="E1383" t="s">
        <v>9</v>
      </c>
      <c r="F1383" s="1" t="s">
        <v>2</v>
      </c>
      <c r="G1383" s="1">
        <v>45870</v>
      </c>
      <c r="H1383" t="s">
        <v>41</v>
      </c>
      <c r="I1383" s="2">
        <v>3009.29</v>
      </c>
      <c r="J1383" t="s">
        <v>807</v>
      </c>
      <c r="K1383" s="7">
        <v>45870</v>
      </c>
    </row>
    <row r="1384" spans="1:11" hidden="1">
      <c r="A1384" t="s">
        <v>39</v>
      </c>
      <c r="B1384" t="s">
        <v>47</v>
      </c>
      <c r="C1384" t="s">
        <v>12</v>
      </c>
      <c r="D1384">
        <v>10027294</v>
      </c>
      <c r="E1384" t="s">
        <v>9</v>
      </c>
      <c r="F1384" s="1" t="s">
        <v>3</v>
      </c>
      <c r="G1384" s="1">
        <v>45880</v>
      </c>
      <c r="H1384" t="s">
        <v>41</v>
      </c>
      <c r="I1384" s="2">
        <v>3009.29</v>
      </c>
      <c r="J1384" t="s">
        <v>807</v>
      </c>
      <c r="K1384" s="7">
        <v>45870</v>
      </c>
    </row>
    <row r="1385" spans="1:11" hidden="1">
      <c r="A1385" t="s">
        <v>39</v>
      </c>
      <c r="B1385" t="s">
        <v>40</v>
      </c>
      <c r="C1385" t="s">
        <v>14</v>
      </c>
      <c r="E1385" t="s">
        <v>9</v>
      </c>
      <c r="F1385" s="1" t="s">
        <v>2</v>
      </c>
      <c r="G1385" s="1">
        <v>45811</v>
      </c>
      <c r="H1385" t="s">
        <v>41</v>
      </c>
      <c r="I1385" s="2">
        <v>3002.58</v>
      </c>
      <c r="J1385" t="s">
        <v>946</v>
      </c>
      <c r="K1385" s="7">
        <v>45809</v>
      </c>
    </row>
    <row r="1386" spans="1:11" hidden="1">
      <c r="A1386" t="s">
        <v>114</v>
      </c>
      <c r="B1386" t="s">
        <v>63</v>
      </c>
      <c r="C1386" t="s">
        <v>14</v>
      </c>
      <c r="E1386" t="s">
        <v>9</v>
      </c>
      <c r="F1386" s="1" t="s">
        <v>3</v>
      </c>
      <c r="G1386" s="1">
        <v>46062</v>
      </c>
      <c r="H1386" t="s">
        <v>41</v>
      </c>
      <c r="I1386" s="2">
        <v>660.5</v>
      </c>
      <c r="J1386" s="47" t="s">
        <v>283</v>
      </c>
      <c r="K1386" s="7">
        <v>46054</v>
      </c>
    </row>
    <row r="1387" spans="1:11" hidden="1">
      <c r="A1387" t="s">
        <v>39</v>
      </c>
      <c r="B1387" t="s">
        <v>40</v>
      </c>
      <c r="C1387" t="s">
        <v>14</v>
      </c>
      <c r="D1387">
        <v>10026535</v>
      </c>
      <c r="E1387" t="s">
        <v>9</v>
      </c>
      <c r="F1387" s="1" t="s">
        <v>3</v>
      </c>
      <c r="G1387" s="1">
        <v>45786</v>
      </c>
      <c r="H1387" t="s">
        <v>41</v>
      </c>
      <c r="I1387" s="2">
        <v>3000</v>
      </c>
      <c r="J1387" t="s">
        <v>899</v>
      </c>
      <c r="K1387" s="7">
        <v>45778</v>
      </c>
    </row>
    <row r="1388" spans="1:11" hidden="1">
      <c r="A1388" t="s">
        <v>39</v>
      </c>
      <c r="B1388" t="s">
        <v>45</v>
      </c>
      <c r="C1388" t="s">
        <v>14</v>
      </c>
      <c r="E1388" t="s">
        <v>9</v>
      </c>
      <c r="F1388" s="52" t="s">
        <v>4</v>
      </c>
      <c r="G1388" s="1">
        <v>45916</v>
      </c>
      <c r="H1388" t="s">
        <v>41</v>
      </c>
      <c r="I1388" s="2">
        <v>15000</v>
      </c>
      <c r="J1388" s="53" t="s">
        <v>492</v>
      </c>
      <c r="K1388" s="7">
        <v>45901</v>
      </c>
    </row>
    <row r="1389" spans="1:11" hidden="1">
      <c r="A1389" t="s">
        <v>56</v>
      </c>
      <c r="B1389" t="s">
        <v>40</v>
      </c>
      <c r="C1389" t="s">
        <v>14</v>
      </c>
      <c r="E1389" t="s">
        <v>9</v>
      </c>
      <c r="F1389" s="52" t="s">
        <v>4</v>
      </c>
      <c r="G1389" s="1">
        <v>45916</v>
      </c>
      <c r="H1389" t="s">
        <v>41</v>
      </c>
      <c r="I1389" s="2">
        <v>12362</v>
      </c>
      <c r="J1389" s="53" t="s">
        <v>947</v>
      </c>
      <c r="K1389" s="7">
        <v>45901</v>
      </c>
    </row>
    <row r="1390" spans="1:11" hidden="1">
      <c r="A1390" t="s">
        <v>39</v>
      </c>
      <c r="B1390" t="s">
        <v>40</v>
      </c>
      <c r="C1390" t="s">
        <v>14</v>
      </c>
      <c r="E1390" t="s">
        <v>9</v>
      </c>
      <c r="F1390" s="52" t="s">
        <v>4</v>
      </c>
      <c r="G1390" s="1">
        <v>45916</v>
      </c>
      <c r="H1390" t="s">
        <v>41</v>
      </c>
      <c r="I1390" s="2">
        <v>5000</v>
      </c>
      <c r="J1390" s="53" t="s">
        <v>676</v>
      </c>
      <c r="K1390" s="7">
        <v>45901</v>
      </c>
    </row>
    <row r="1391" spans="1:11" hidden="1">
      <c r="A1391" t="s">
        <v>39</v>
      </c>
      <c r="B1391" t="s">
        <v>40</v>
      </c>
      <c r="C1391" t="s">
        <v>14</v>
      </c>
      <c r="E1391" t="s">
        <v>9</v>
      </c>
      <c r="F1391" s="52" t="s">
        <v>4</v>
      </c>
      <c r="G1391" s="1">
        <v>45916</v>
      </c>
      <c r="H1391" t="s">
        <v>41</v>
      </c>
      <c r="I1391" s="2">
        <v>1000</v>
      </c>
      <c r="J1391" s="53" t="s">
        <v>948</v>
      </c>
      <c r="K1391" s="7">
        <v>45901</v>
      </c>
    </row>
    <row r="1392" spans="1:11" hidden="1">
      <c r="A1392" t="s">
        <v>39</v>
      </c>
      <c r="B1392" t="s">
        <v>40</v>
      </c>
      <c r="C1392" t="s">
        <v>14</v>
      </c>
      <c r="E1392" t="s">
        <v>9</v>
      </c>
      <c r="F1392" s="1" t="s">
        <v>5</v>
      </c>
      <c r="G1392" s="1">
        <v>45838</v>
      </c>
      <c r="H1392" t="s">
        <v>41</v>
      </c>
      <c r="I1392" s="2">
        <v>3000</v>
      </c>
      <c r="J1392" t="s">
        <v>123</v>
      </c>
      <c r="K1392" s="7">
        <v>45809</v>
      </c>
    </row>
    <row r="1393" spans="1:11" hidden="1">
      <c r="A1393" t="s">
        <v>39</v>
      </c>
      <c r="B1393" t="s">
        <v>40</v>
      </c>
      <c r="C1393" t="s">
        <v>14</v>
      </c>
      <c r="D1393">
        <v>10027153</v>
      </c>
      <c r="E1393" t="s">
        <v>9</v>
      </c>
      <c r="F1393" s="1" t="s">
        <v>5</v>
      </c>
      <c r="G1393" s="1">
        <v>45862</v>
      </c>
      <c r="H1393" t="s">
        <v>41</v>
      </c>
      <c r="I1393" s="2">
        <v>3000</v>
      </c>
      <c r="J1393" t="s">
        <v>899</v>
      </c>
      <c r="K1393" s="7">
        <v>45839</v>
      </c>
    </row>
    <row r="1394" spans="1:11" hidden="1">
      <c r="A1394" t="s">
        <v>39</v>
      </c>
      <c r="B1394" t="s">
        <v>40</v>
      </c>
      <c r="C1394" t="s">
        <v>12</v>
      </c>
      <c r="E1394" t="s">
        <v>9</v>
      </c>
      <c r="F1394" s="1" t="s">
        <v>2</v>
      </c>
      <c r="G1394" s="1">
        <v>45870</v>
      </c>
      <c r="H1394" t="s">
        <v>41</v>
      </c>
      <c r="I1394" s="2">
        <v>3000</v>
      </c>
      <c r="J1394" t="s">
        <v>949</v>
      </c>
      <c r="K1394" s="7">
        <v>45870</v>
      </c>
    </row>
    <row r="1395" spans="1:11" hidden="1">
      <c r="A1395" t="s">
        <v>56</v>
      </c>
      <c r="B1395" t="s">
        <v>40</v>
      </c>
      <c r="C1395" t="s">
        <v>14</v>
      </c>
      <c r="E1395" t="s">
        <v>9</v>
      </c>
      <c r="F1395" s="52" t="s">
        <v>4</v>
      </c>
      <c r="G1395" s="1">
        <v>45916</v>
      </c>
      <c r="H1395" t="s">
        <v>41</v>
      </c>
      <c r="I1395" s="2">
        <v>920</v>
      </c>
      <c r="J1395" s="53" t="s">
        <v>775</v>
      </c>
      <c r="K1395" s="7">
        <v>45901</v>
      </c>
    </row>
    <row r="1396" spans="1:11" hidden="1">
      <c r="A1396" t="s">
        <v>39</v>
      </c>
      <c r="B1396" t="s">
        <v>40</v>
      </c>
      <c r="C1396" t="s">
        <v>14</v>
      </c>
      <c r="E1396" t="s">
        <v>9</v>
      </c>
      <c r="F1396" s="1" t="s">
        <v>5</v>
      </c>
      <c r="G1396" s="1">
        <v>45896</v>
      </c>
      <c r="H1396" t="s">
        <v>41</v>
      </c>
      <c r="I1396" s="2">
        <v>3000</v>
      </c>
      <c r="J1396" t="s">
        <v>950</v>
      </c>
      <c r="K1396" s="7">
        <v>45870</v>
      </c>
    </row>
    <row r="1397" spans="1:11" hidden="1">
      <c r="A1397" t="s">
        <v>39</v>
      </c>
      <c r="B1397" t="s">
        <v>40</v>
      </c>
      <c r="C1397" t="s">
        <v>14</v>
      </c>
      <c r="E1397" t="s">
        <v>9</v>
      </c>
      <c r="F1397" s="1" t="s">
        <v>5</v>
      </c>
      <c r="G1397" s="1">
        <v>45897</v>
      </c>
      <c r="H1397" t="s">
        <v>41</v>
      </c>
      <c r="I1397" s="2">
        <v>3000</v>
      </c>
      <c r="J1397" t="s">
        <v>950</v>
      </c>
      <c r="K1397" s="7">
        <v>45870</v>
      </c>
    </row>
    <row r="1398" spans="1:11" hidden="1">
      <c r="A1398" t="s">
        <v>39</v>
      </c>
      <c r="B1398" t="s">
        <v>40</v>
      </c>
      <c r="C1398" t="s">
        <v>14</v>
      </c>
      <c r="E1398" t="s">
        <v>9</v>
      </c>
      <c r="F1398" s="1" t="s">
        <v>5</v>
      </c>
      <c r="G1398" s="1">
        <v>45898</v>
      </c>
      <c r="H1398" t="s">
        <v>41</v>
      </c>
      <c r="I1398" s="2">
        <v>3000</v>
      </c>
      <c r="J1398" t="s">
        <v>950</v>
      </c>
      <c r="K1398" s="7">
        <v>45870</v>
      </c>
    </row>
    <row r="1399" spans="1:11" hidden="1">
      <c r="A1399" t="s">
        <v>39</v>
      </c>
      <c r="B1399" t="s">
        <v>40</v>
      </c>
      <c r="C1399" t="s">
        <v>14</v>
      </c>
      <c r="E1399" t="s">
        <v>9</v>
      </c>
      <c r="F1399" s="1" t="s">
        <v>3</v>
      </c>
      <c r="G1399" s="1">
        <v>45910</v>
      </c>
      <c r="H1399" t="s">
        <v>41</v>
      </c>
      <c r="I1399" s="2">
        <v>3000</v>
      </c>
      <c r="J1399" t="s">
        <v>951</v>
      </c>
      <c r="K1399" s="7">
        <v>45901</v>
      </c>
    </row>
    <row r="1400" spans="1:11" hidden="1">
      <c r="A1400" t="s">
        <v>39</v>
      </c>
      <c r="B1400" t="s">
        <v>63</v>
      </c>
      <c r="C1400" t="s">
        <v>13</v>
      </c>
      <c r="E1400" t="s">
        <v>9</v>
      </c>
      <c r="F1400" s="1" t="s">
        <v>3</v>
      </c>
      <c r="G1400" s="1">
        <v>45910</v>
      </c>
      <c r="H1400" t="s">
        <v>41</v>
      </c>
      <c r="I1400" s="2">
        <v>3000</v>
      </c>
      <c r="J1400" t="s">
        <v>306</v>
      </c>
      <c r="K1400" s="7">
        <v>45901</v>
      </c>
    </row>
    <row r="1401" spans="1:11" hidden="1">
      <c r="A1401" t="s">
        <v>39</v>
      </c>
      <c r="B1401" t="s">
        <v>63</v>
      </c>
      <c r="C1401" t="s">
        <v>13</v>
      </c>
      <c r="E1401" t="s">
        <v>9</v>
      </c>
      <c r="F1401" s="1" t="s">
        <v>5</v>
      </c>
      <c r="G1401" s="1">
        <v>45925</v>
      </c>
      <c r="H1401" t="s">
        <v>41</v>
      </c>
      <c r="I1401" s="2">
        <v>3000</v>
      </c>
      <c r="J1401" t="s">
        <v>306</v>
      </c>
      <c r="K1401" s="7">
        <v>45901</v>
      </c>
    </row>
    <row r="1402" spans="1:11" hidden="1">
      <c r="A1402" t="s">
        <v>39</v>
      </c>
      <c r="B1402" t="s">
        <v>40</v>
      </c>
      <c r="C1402" t="s">
        <v>14</v>
      </c>
      <c r="E1402" t="s">
        <v>9</v>
      </c>
      <c r="F1402" s="1" t="s">
        <v>3</v>
      </c>
      <c r="G1402" s="1">
        <v>45937</v>
      </c>
      <c r="H1402" t="s">
        <v>41</v>
      </c>
      <c r="I1402" s="2">
        <v>3000</v>
      </c>
      <c r="J1402" t="s">
        <v>893</v>
      </c>
      <c r="K1402" s="7">
        <v>45931</v>
      </c>
    </row>
    <row r="1403" spans="1:11" hidden="1">
      <c r="A1403" t="s">
        <v>39</v>
      </c>
      <c r="B1403" t="s">
        <v>40</v>
      </c>
      <c r="C1403" t="s">
        <v>14</v>
      </c>
      <c r="E1403" t="s">
        <v>9</v>
      </c>
      <c r="F1403" s="1" t="s">
        <v>3</v>
      </c>
      <c r="G1403" s="1">
        <v>45938</v>
      </c>
      <c r="H1403" t="s">
        <v>41</v>
      </c>
      <c r="I1403" s="2">
        <v>3000</v>
      </c>
      <c r="J1403" t="s">
        <v>893</v>
      </c>
      <c r="K1403" s="7">
        <v>45931</v>
      </c>
    </row>
    <row r="1404" spans="1:11" hidden="1">
      <c r="A1404" t="s">
        <v>56</v>
      </c>
      <c r="B1404" t="s">
        <v>40</v>
      </c>
      <c r="C1404" t="s">
        <v>14</v>
      </c>
      <c r="D1404">
        <v>10808</v>
      </c>
      <c r="E1404" t="s">
        <v>9</v>
      </c>
      <c r="F1404" s="1" t="s">
        <v>3</v>
      </c>
      <c r="G1404" s="1">
        <v>45941</v>
      </c>
      <c r="H1404" t="s">
        <v>41</v>
      </c>
      <c r="I1404" s="2">
        <v>3000</v>
      </c>
      <c r="J1404" t="s">
        <v>889</v>
      </c>
      <c r="K1404" s="7">
        <v>45931</v>
      </c>
    </row>
    <row r="1405" spans="1:11" hidden="1">
      <c r="A1405" t="s">
        <v>39</v>
      </c>
      <c r="B1405" t="s">
        <v>40</v>
      </c>
      <c r="C1405" t="s">
        <v>14</v>
      </c>
      <c r="E1405" t="s">
        <v>9</v>
      </c>
      <c r="F1405" s="52" t="s">
        <v>4</v>
      </c>
      <c r="G1405" s="1">
        <v>45916</v>
      </c>
      <c r="H1405" t="s">
        <v>41</v>
      </c>
      <c r="I1405" s="2">
        <v>277</v>
      </c>
      <c r="J1405" s="53" t="s">
        <v>952</v>
      </c>
      <c r="K1405" s="7">
        <v>45901</v>
      </c>
    </row>
    <row r="1406" spans="1:11" hidden="1">
      <c r="A1406" t="s">
        <v>39</v>
      </c>
      <c r="B1406" t="s">
        <v>40</v>
      </c>
      <c r="C1406" t="s">
        <v>14</v>
      </c>
      <c r="E1406" t="s">
        <v>9</v>
      </c>
      <c r="F1406" s="52" t="s">
        <v>4</v>
      </c>
      <c r="G1406" s="1">
        <v>45917</v>
      </c>
      <c r="H1406" t="s">
        <v>41</v>
      </c>
      <c r="I1406" s="2">
        <v>8111</v>
      </c>
      <c r="J1406" s="53" t="s">
        <v>953</v>
      </c>
      <c r="K1406" s="7">
        <v>45901</v>
      </c>
    </row>
    <row r="1407" spans="1:11" hidden="1">
      <c r="A1407" t="s">
        <v>114</v>
      </c>
      <c r="B1407" t="s">
        <v>63</v>
      </c>
      <c r="C1407" t="s">
        <v>13</v>
      </c>
      <c r="E1407" t="s">
        <v>9</v>
      </c>
      <c r="F1407" s="52" t="s">
        <v>4</v>
      </c>
      <c r="G1407" s="1">
        <v>45917</v>
      </c>
      <c r="H1407" t="s">
        <v>41</v>
      </c>
      <c r="I1407" s="2">
        <v>6167.36</v>
      </c>
      <c r="J1407" t="s">
        <v>954</v>
      </c>
      <c r="K1407" s="7">
        <v>45901</v>
      </c>
    </row>
    <row r="1408" spans="1:11" hidden="1">
      <c r="A1408" t="s">
        <v>56</v>
      </c>
      <c r="B1408" t="s">
        <v>40</v>
      </c>
      <c r="C1408" t="s">
        <v>14</v>
      </c>
      <c r="D1408">
        <v>10837</v>
      </c>
      <c r="E1408" t="s">
        <v>9</v>
      </c>
      <c r="F1408" s="1" t="s">
        <v>5</v>
      </c>
      <c r="G1408" s="1">
        <v>45986</v>
      </c>
      <c r="H1408" t="s">
        <v>41</v>
      </c>
      <c r="I1408" s="2">
        <v>3000</v>
      </c>
      <c r="J1408" t="s">
        <v>781</v>
      </c>
      <c r="K1408" s="7">
        <v>45962</v>
      </c>
    </row>
    <row r="1409" spans="1:11" hidden="1">
      <c r="A1409" t="s">
        <v>39</v>
      </c>
      <c r="B1409" t="s">
        <v>40</v>
      </c>
      <c r="C1409" t="s">
        <v>14</v>
      </c>
      <c r="E1409" t="s">
        <v>9</v>
      </c>
      <c r="F1409" s="52" t="s">
        <v>4</v>
      </c>
      <c r="G1409" s="1">
        <v>45917</v>
      </c>
      <c r="H1409" t="s">
        <v>41</v>
      </c>
      <c r="I1409" s="2">
        <v>3579.05</v>
      </c>
      <c r="J1409" s="53" t="s">
        <v>310</v>
      </c>
      <c r="K1409" s="7">
        <v>45901</v>
      </c>
    </row>
    <row r="1410" spans="1:11" hidden="1">
      <c r="A1410" t="s">
        <v>39</v>
      </c>
      <c r="B1410" t="s">
        <v>40</v>
      </c>
      <c r="C1410" t="s">
        <v>14</v>
      </c>
      <c r="E1410" t="s">
        <v>9</v>
      </c>
      <c r="F1410" s="1" t="s">
        <v>5</v>
      </c>
      <c r="G1410" s="1">
        <v>46049</v>
      </c>
      <c r="H1410" t="s">
        <v>41</v>
      </c>
      <c r="I1410" s="2">
        <v>3000</v>
      </c>
      <c r="J1410" t="s">
        <v>955</v>
      </c>
      <c r="K1410" s="7">
        <v>46023</v>
      </c>
    </row>
    <row r="1411" spans="1:11" hidden="1">
      <c r="A1411" t="s">
        <v>56</v>
      </c>
      <c r="B1411" t="s">
        <v>40</v>
      </c>
      <c r="C1411" t="s">
        <v>14</v>
      </c>
      <c r="D1411">
        <v>10881</v>
      </c>
      <c r="E1411" t="s">
        <v>9</v>
      </c>
      <c r="F1411" s="1" t="s">
        <v>5</v>
      </c>
      <c r="G1411" s="1">
        <v>46050</v>
      </c>
      <c r="H1411" t="s">
        <v>41</v>
      </c>
      <c r="I1411" s="2">
        <v>3000</v>
      </c>
      <c r="J1411" t="s">
        <v>956</v>
      </c>
      <c r="K1411" s="7">
        <v>46023</v>
      </c>
    </row>
    <row r="1412" spans="1:11" hidden="1">
      <c r="A1412" t="s">
        <v>39</v>
      </c>
      <c r="B1412" t="s">
        <v>63</v>
      </c>
      <c r="C1412" t="s">
        <v>13</v>
      </c>
      <c r="D1412">
        <v>10026543</v>
      </c>
      <c r="E1412" t="s">
        <v>9</v>
      </c>
      <c r="F1412" s="1" t="s">
        <v>3</v>
      </c>
      <c r="G1412" s="1">
        <v>45786</v>
      </c>
      <c r="H1412" t="s">
        <v>41</v>
      </c>
      <c r="I1412" s="2">
        <v>2996.77</v>
      </c>
      <c r="J1412" t="s">
        <v>643</v>
      </c>
      <c r="K1412" s="7">
        <v>45778</v>
      </c>
    </row>
    <row r="1413" spans="1:11" hidden="1">
      <c r="A1413" t="s">
        <v>39</v>
      </c>
      <c r="B1413" t="s">
        <v>63</v>
      </c>
      <c r="C1413" t="s">
        <v>14</v>
      </c>
      <c r="E1413" t="s">
        <v>9</v>
      </c>
      <c r="F1413" s="1" t="s">
        <v>3</v>
      </c>
      <c r="G1413" s="1">
        <v>46035</v>
      </c>
      <c r="H1413" t="s">
        <v>41</v>
      </c>
      <c r="I1413" s="2">
        <v>2976.45</v>
      </c>
      <c r="J1413" t="s">
        <v>957</v>
      </c>
      <c r="K1413" s="7">
        <v>46023</v>
      </c>
    </row>
    <row r="1414" spans="1:11" hidden="1">
      <c r="A1414" t="s">
        <v>56</v>
      </c>
      <c r="B1414" t="s">
        <v>40</v>
      </c>
      <c r="C1414" t="s">
        <v>14</v>
      </c>
      <c r="D1414">
        <v>10798</v>
      </c>
      <c r="E1414" t="s">
        <v>9</v>
      </c>
      <c r="F1414" s="1" t="s">
        <v>6</v>
      </c>
      <c r="G1414" s="1">
        <v>45930</v>
      </c>
      <c r="H1414" t="s">
        <v>41</v>
      </c>
      <c r="I1414" s="2">
        <v>2975</v>
      </c>
      <c r="J1414" t="s">
        <v>831</v>
      </c>
      <c r="K1414" s="7">
        <v>45901</v>
      </c>
    </row>
    <row r="1415" spans="1:11" hidden="1">
      <c r="A1415" t="s">
        <v>39</v>
      </c>
      <c r="B1415" t="s">
        <v>63</v>
      </c>
      <c r="C1415" t="s">
        <v>124</v>
      </c>
      <c r="E1415" t="s">
        <v>9</v>
      </c>
      <c r="F1415" s="1" t="s">
        <v>5</v>
      </c>
      <c r="G1415" s="1">
        <v>46014</v>
      </c>
      <c r="H1415" t="s">
        <v>64</v>
      </c>
      <c r="I1415" s="2">
        <f>1515997.26/510</f>
        <v>2972.5436470588234</v>
      </c>
      <c r="J1415" t="s">
        <v>334</v>
      </c>
      <c r="K1415" s="7">
        <v>45992</v>
      </c>
    </row>
    <row r="1416" spans="1:11" hidden="1">
      <c r="A1416" t="s">
        <v>39</v>
      </c>
      <c r="B1416" t="s">
        <v>40</v>
      </c>
      <c r="C1416" t="s">
        <v>14</v>
      </c>
      <c r="D1416">
        <v>10027739</v>
      </c>
      <c r="E1416" t="s">
        <v>9</v>
      </c>
      <c r="F1416" s="1" t="s">
        <v>3</v>
      </c>
      <c r="G1416" s="1">
        <v>45940</v>
      </c>
      <c r="H1416" t="s">
        <v>41</v>
      </c>
      <c r="I1416" s="2">
        <v>2963</v>
      </c>
      <c r="J1416" t="s">
        <v>958</v>
      </c>
      <c r="K1416" s="7">
        <v>45931</v>
      </c>
    </row>
    <row r="1417" spans="1:11" hidden="1">
      <c r="A1417" t="s">
        <v>39</v>
      </c>
      <c r="B1417" t="s">
        <v>47</v>
      </c>
      <c r="C1417" t="s">
        <v>14</v>
      </c>
      <c r="E1417" t="s">
        <v>9</v>
      </c>
      <c r="F1417" s="1" t="s">
        <v>2</v>
      </c>
      <c r="G1417" s="1">
        <v>45933</v>
      </c>
      <c r="H1417" t="s">
        <v>41</v>
      </c>
      <c r="I1417" s="2">
        <v>2959.26</v>
      </c>
      <c r="J1417" t="s">
        <v>711</v>
      </c>
      <c r="K1417" s="7">
        <v>45931</v>
      </c>
    </row>
    <row r="1418" spans="1:11" hidden="1">
      <c r="A1418" t="s">
        <v>39</v>
      </c>
      <c r="B1418" t="s">
        <v>40</v>
      </c>
      <c r="C1418" t="s">
        <v>14</v>
      </c>
      <c r="E1418" t="s">
        <v>9</v>
      </c>
      <c r="F1418" s="1" t="s">
        <v>3</v>
      </c>
      <c r="G1418" s="1">
        <v>45885</v>
      </c>
      <c r="H1418" t="s">
        <v>41</v>
      </c>
      <c r="I1418" s="2">
        <f>1500000/510</f>
        <v>2941.1764705882351</v>
      </c>
      <c r="J1418" t="s">
        <v>625</v>
      </c>
      <c r="K1418" s="7">
        <v>45870</v>
      </c>
    </row>
    <row r="1419" spans="1:11" hidden="1">
      <c r="A1419" t="s">
        <v>39</v>
      </c>
      <c r="B1419" t="s">
        <v>40</v>
      </c>
      <c r="C1419" t="s">
        <v>14</v>
      </c>
      <c r="D1419">
        <v>10027674</v>
      </c>
      <c r="E1419" t="s">
        <v>9</v>
      </c>
      <c r="F1419" s="1" t="s">
        <v>6</v>
      </c>
      <c r="G1419" s="1">
        <v>45930</v>
      </c>
      <c r="H1419" t="s">
        <v>64</v>
      </c>
      <c r="I1419" s="2">
        <f>1500000/510</f>
        <v>2941.1764705882351</v>
      </c>
      <c r="J1419" t="s">
        <v>625</v>
      </c>
      <c r="K1419" s="7">
        <v>45901</v>
      </c>
    </row>
    <row r="1420" spans="1:11" hidden="1">
      <c r="A1420" t="s">
        <v>39</v>
      </c>
      <c r="B1420" t="s">
        <v>63</v>
      </c>
      <c r="C1420" t="s">
        <v>13</v>
      </c>
      <c r="D1420">
        <v>10026582</v>
      </c>
      <c r="E1420" t="s">
        <v>9</v>
      </c>
      <c r="F1420" s="1" t="s">
        <v>3</v>
      </c>
      <c r="G1420" s="1">
        <v>45783</v>
      </c>
      <c r="H1420" t="s">
        <v>41</v>
      </c>
      <c r="I1420" s="2">
        <v>2927.88</v>
      </c>
      <c r="J1420" t="s">
        <v>959</v>
      </c>
      <c r="K1420" s="7">
        <v>45778</v>
      </c>
    </row>
    <row r="1421" spans="1:11" hidden="1">
      <c r="A1421" t="s">
        <v>56</v>
      </c>
      <c r="B1421" t="s">
        <v>40</v>
      </c>
      <c r="C1421" t="s">
        <v>14</v>
      </c>
      <c r="E1421" t="s">
        <v>9</v>
      </c>
      <c r="F1421" s="52" t="s">
        <v>4</v>
      </c>
      <c r="G1421" s="1">
        <v>45917</v>
      </c>
      <c r="H1421" t="s">
        <v>41</v>
      </c>
      <c r="I1421" s="2">
        <v>2600</v>
      </c>
      <c r="J1421" s="53" t="s">
        <v>960</v>
      </c>
      <c r="K1421" s="7">
        <v>45901</v>
      </c>
    </row>
    <row r="1422" spans="1:11" hidden="1">
      <c r="A1422" t="s">
        <v>39</v>
      </c>
      <c r="B1422" t="s">
        <v>63</v>
      </c>
      <c r="C1422" t="s">
        <v>12</v>
      </c>
      <c r="D1422">
        <v>10026901</v>
      </c>
      <c r="E1422" t="s">
        <v>9</v>
      </c>
      <c r="F1422" s="1" t="s">
        <v>5</v>
      </c>
      <c r="G1422" s="1">
        <v>45831</v>
      </c>
      <c r="H1422" t="s">
        <v>41</v>
      </c>
      <c r="I1422" s="2">
        <v>2900</v>
      </c>
      <c r="J1422" t="s">
        <v>828</v>
      </c>
      <c r="K1422" s="7">
        <v>45809</v>
      </c>
    </row>
    <row r="1423" spans="1:11" hidden="1">
      <c r="A1423" t="s">
        <v>39</v>
      </c>
      <c r="B1423" t="s">
        <v>47</v>
      </c>
      <c r="C1423" t="s">
        <v>14</v>
      </c>
      <c r="E1423" t="s">
        <v>9</v>
      </c>
      <c r="F1423" s="1" t="s">
        <v>2</v>
      </c>
      <c r="G1423" s="1">
        <v>45902</v>
      </c>
      <c r="H1423" t="s">
        <v>41</v>
      </c>
      <c r="I1423" s="2">
        <v>2898.28</v>
      </c>
      <c r="J1423" t="s">
        <v>961</v>
      </c>
      <c r="K1423" s="7">
        <v>45901</v>
      </c>
    </row>
    <row r="1424" spans="1:11" hidden="1">
      <c r="A1424" t="s">
        <v>56</v>
      </c>
      <c r="B1424" t="s">
        <v>40</v>
      </c>
      <c r="C1424" t="s">
        <v>14</v>
      </c>
      <c r="E1424" t="s">
        <v>9</v>
      </c>
      <c r="F1424" s="52" t="s">
        <v>4</v>
      </c>
      <c r="G1424" s="1">
        <v>45917</v>
      </c>
      <c r="H1424" t="s">
        <v>41</v>
      </c>
      <c r="I1424" s="2">
        <v>2600</v>
      </c>
      <c r="J1424" s="53" t="s">
        <v>960</v>
      </c>
      <c r="K1424" s="7">
        <v>45901</v>
      </c>
    </row>
    <row r="1425" spans="1:11" hidden="1">
      <c r="A1425" t="s">
        <v>39</v>
      </c>
      <c r="B1425" t="s">
        <v>40</v>
      </c>
      <c r="C1425" t="s">
        <v>14</v>
      </c>
      <c r="E1425" t="s">
        <v>9</v>
      </c>
      <c r="F1425" s="52" t="s">
        <v>4</v>
      </c>
      <c r="G1425" s="1">
        <v>45917</v>
      </c>
      <c r="H1425" t="s">
        <v>41</v>
      </c>
      <c r="I1425" s="2">
        <v>2600</v>
      </c>
      <c r="J1425" s="53" t="s">
        <v>962</v>
      </c>
      <c r="K1425" s="7">
        <v>45901</v>
      </c>
    </row>
    <row r="1426" spans="1:11" hidden="1">
      <c r="A1426" t="s">
        <v>39</v>
      </c>
      <c r="B1426" t="s">
        <v>40</v>
      </c>
      <c r="C1426" t="s">
        <v>14</v>
      </c>
      <c r="E1426" t="s">
        <v>9</v>
      </c>
      <c r="F1426" s="1" t="s">
        <v>5</v>
      </c>
      <c r="G1426" s="1">
        <v>45800</v>
      </c>
      <c r="H1426" t="s">
        <v>41</v>
      </c>
      <c r="I1426" s="2">
        <v>2880</v>
      </c>
      <c r="J1426" t="s">
        <v>963</v>
      </c>
      <c r="K1426" s="7">
        <v>45778</v>
      </c>
    </row>
    <row r="1427" spans="1:11" hidden="1">
      <c r="A1427" t="s">
        <v>39</v>
      </c>
      <c r="B1427" t="s">
        <v>40</v>
      </c>
      <c r="C1427" t="s">
        <v>14</v>
      </c>
      <c r="E1427" t="s">
        <v>9</v>
      </c>
      <c r="F1427" s="52" t="s">
        <v>4</v>
      </c>
      <c r="G1427" s="1">
        <v>45917</v>
      </c>
      <c r="H1427" t="s">
        <v>41</v>
      </c>
      <c r="I1427" s="2">
        <v>2045.46</v>
      </c>
      <c r="J1427" s="53" t="s">
        <v>964</v>
      </c>
      <c r="K1427" s="7">
        <v>45901</v>
      </c>
    </row>
    <row r="1428" spans="1:11" hidden="1">
      <c r="A1428" t="s">
        <v>39</v>
      </c>
      <c r="B1428" t="s">
        <v>40</v>
      </c>
      <c r="C1428" t="s">
        <v>14</v>
      </c>
      <c r="E1428" t="s">
        <v>9</v>
      </c>
      <c r="F1428" s="52" t="s">
        <v>4</v>
      </c>
      <c r="G1428" s="1">
        <v>45917</v>
      </c>
      <c r="H1428" t="s">
        <v>41</v>
      </c>
      <c r="I1428" s="2">
        <v>1062.3499999999999</v>
      </c>
      <c r="J1428" s="53" t="s">
        <v>965</v>
      </c>
      <c r="K1428" s="7">
        <v>45901</v>
      </c>
    </row>
    <row r="1429" spans="1:11" hidden="1">
      <c r="A1429" t="s">
        <v>39</v>
      </c>
      <c r="B1429" t="s">
        <v>63</v>
      </c>
      <c r="C1429" t="s">
        <v>13</v>
      </c>
      <c r="E1429" t="s">
        <v>9</v>
      </c>
      <c r="F1429" s="52" t="s">
        <v>4</v>
      </c>
      <c r="G1429" s="1">
        <v>45917</v>
      </c>
      <c r="H1429" t="s">
        <v>41</v>
      </c>
      <c r="I1429" s="2">
        <v>616.16</v>
      </c>
      <c r="J1429" s="53" t="s">
        <v>966</v>
      </c>
      <c r="K1429" s="7">
        <v>45901</v>
      </c>
    </row>
    <row r="1430" spans="1:11" hidden="1">
      <c r="A1430" t="s">
        <v>39</v>
      </c>
      <c r="B1430" t="s">
        <v>40</v>
      </c>
      <c r="C1430" t="s">
        <v>14</v>
      </c>
      <c r="D1430">
        <v>10027289</v>
      </c>
      <c r="E1430" t="s">
        <v>9</v>
      </c>
      <c r="F1430" s="1" t="s">
        <v>3</v>
      </c>
      <c r="G1430" s="1">
        <v>45877</v>
      </c>
      <c r="H1430" t="s">
        <v>41</v>
      </c>
      <c r="I1430" s="2">
        <v>2824</v>
      </c>
      <c r="J1430" t="s">
        <v>967</v>
      </c>
      <c r="K1430" s="7">
        <v>45870</v>
      </c>
    </row>
    <row r="1431" spans="1:11" hidden="1">
      <c r="A1431" t="s">
        <v>39</v>
      </c>
      <c r="B1431" t="s">
        <v>40</v>
      </c>
      <c r="C1431" t="s">
        <v>14</v>
      </c>
      <c r="E1431" t="s">
        <v>9</v>
      </c>
      <c r="F1431" s="1" t="s">
        <v>3</v>
      </c>
      <c r="G1431" s="1">
        <v>46035</v>
      </c>
      <c r="H1431" t="s">
        <v>41</v>
      </c>
      <c r="I1431" s="2">
        <v>2804</v>
      </c>
      <c r="J1431" t="s">
        <v>968</v>
      </c>
      <c r="K1431" s="7">
        <v>46023</v>
      </c>
    </row>
    <row r="1432" spans="1:11" hidden="1">
      <c r="A1432" t="s">
        <v>39</v>
      </c>
      <c r="B1432" t="s">
        <v>40</v>
      </c>
      <c r="C1432" t="s">
        <v>14</v>
      </c>
      <c r="E1432" t="s">
        <v>9</v>
      </c>
      <c r="F1432" s="52" t="s">
        <v>4</v>
      </c>
      <c r="G1432" s="1">
        <v>45917</v>
      </c>
      <c r="H1432" t="s">
        <v>41</v>
      </c>
      <c r="I1432" s="2">
        <v>525</v>
      </c>
      <c r="J1432" s="53" t="s">
        <v>969</v>
      </c>
      <c r="K1432" s="7">
        <v>45901</v>
      </c>
    </row>
    <row r="1433" spans="1:11" hidden="1">
      <c r="A1433" t="s">
        <v>56</v>
      </c>
      <c r="B1433" t="s">
        <v>40</v>
      </c>
      <c r="C1433" t="s">
        <v>14</v>
      </c>
      <c r="E1433" t="s">
        <v>9</v>
      </c>
      <c r="F1433" s="52" t="s">
        <v>4</v>
      </c>
      <c r="G1433" s="1">
        <v>45917</v>
      </c>
      <c r="H1433" t="s">
        <v>41</v>
      </c>
      <c r="I1433" s="2">
        <v>506.53</v>
      </c>
      <c r="J1433" s="53" t="s">
        <v>648</v>
      </c>
      <c r="K1433" s="7">
        <v>45901</v>
      </c>
    </row>
    <row r="1434" spans="1:11" hidden="1">
      <c r="A1434" t="s">
        <v>39</v>
      </c>
      <c r="B1434" t="s">
        <v>40</v>
      </c>
      <c r="C1434" t="s">
        <v>14</v>
      </c>
      <c r="E1434" t="s">
        <v>9</v>
      </c>
      <c r="F1434" s="1" t="s">
        <v>5</v>
      </c>
      <c r="G1434" s="1">
        <v>45988</v>
      </c>
      <c r="H1434" t="s">
        <v>41</v>
      </c>
      <c r="I1434" s="2">
        <v>2795</v>
      </c>
      <c r="J1434" s="47" t="s">
        <v>970</v>
      </c>
      <c r="K1434" s="7">
        <v>45962</v>
      </c>
    </row>
    <row r="1435" spans="1:11" hidden="1">
      <c r="A1435" t="s">
        <v>39</v>
      </c>
      <c r="B1435" t="s">
        <v>40</v>
      </c>
      <c r="C1435" t="s">
        <v>14</v>
      </c>
      <c r="E1435" t="s">
        <v>9</v>
      </c>
      <c r="F1435" s="52" t="s">
        <v>4</v>
      </c>
      <c r="G1435" s="1">
        <v>45917</v>
      </c>
      <c r="H1435" t="s">
        <v>41</v>
      </c>
      <c r="I1435" s="2">
        <v>250</v>
      </c>
      <c r="J1435" s="53" t="s">
        <v>971</v>
      </c>
      <c r="K1435" s="7">
        <v>45901</v>
      </c>
    </row>
    <row r="1436" spans="1:11" hidden="1">
      <c r="A1436" t="s">
        <v>39</v>
      </c>
      <c r="B1436" t="s">
        <v>40</v>
      </c>
      <c r="C1436" t="s">
        <v>14</v>
      </c>
      <c r="E1436" t="s">
        <v>9</v>
      </c>
      <c r="F1436" s="52" t="s">
        <v>4</v>
      </c>
      <c r="G1436" s="1">
        <v>45917</v>
      </c>
      <c r="H1436" t="s">
        <v>41</v>
      </c>
      <c r="I1436" s="2">
        <v>100</v>
      </c>
      <c r="J1436" t="s">
        <v>972</v>
      </c>
      <c r="K1436" s="7">
        <v>45901</v>
      </c>
    </row>
    <row r="1437" spans="1:11" hidden="1">
      <c r="A1437" t="s">
        <v>39</v>
      </c>
      <c r="B1437" t="s">
        <v>40</v>
      </c>
      <c r="C1437" t="s">
        <v>14</v>
      </c>
      <c r="E1437" t="s">
        <v>9</v>
      </c>
      <c r="F1437" s="1" t="s">
        <v>5</v>
      </c>
      <c r="G1437" s="1">
        <v>45988</v>
      </c>
      <c r="H1437" t="s">
        <v>41</v>
      </c>
      <c r="I1437" s="2">
        <v>2768.84</v>
      </c>
      <c r="J1437" s="47" t="s">
        <v>973</v>
      </c>
      <c r="K1437" s="7">
        <v>45962</v>
      </c>
    </row>
    <row r="1438" spans="1:11" hidden="1">
      <c r="A1438" t="s">
        <v>39</v>
      </c>
      <c r="B1438" t="s">
        <v>40</v>
      </c>
      <c r="C1438" t="s">
        <v>14</v>
      </c>
      <c r="E1438" t="s">
        <v>9</v>
      </c>
      <c r="F1438" s="52" t="s">
        <v>4</v>
      </c>
      <c r="G1438" s="1">
        <v>45918</v>
      </c>
      <c r="H1438" t="s">
        <v>41</v>
      </c>
      <c r="I1438" s="2">
        <v>21900</v>
      </c>
      <c r="J1438" s="53" t="s">
        <v>974</v>
      </c>
      <c r="K1438" s="7">
        <v>45901</v>
      </c>
    </row>
    <row r="1439" spans="1:11" hidden="1">
      <c r="A1439" t="s">
        <v>39</v>
      </c>
      <c r="B1439" t="s">
        <v>47</v>
      </c>
      <c r="C1439" t="s">
        <v>13</v>
      </c>
      <c r="E1439" t="s">
        <v>9</v>
      </c>
      <c r="F1439" s="1" t="s">
        <v>5</v>
      </c>
      <c r="G1439" s="1">
        <v>46050</v>
      </c>
      <c r="H1439" t="s">
        <v>41</v>
      </c>
      <c r="I1439" s="2">
        <v>2755.75</v>
      </c>
      <c r="J1439" t="s">
        <v>975</v>
      </c>
      <c r="K1439" s="7">
        <v>46023</v>
      </c>
    </row>
    <row r="1440" spans="1:11" hidden="1">
      <c r="A1440" t="s">
        <v>39</v>
      </c>
      <c r="B1440" t="s">
        <v>63</v>
      </c>
      <c r="C1440" t="s">
        <v>13</v>
      </c>
      <c r="E1440" t="s">
        <v>9</v>
      </c>
      <c r="F1440" s="1" t="s">
        <v>2</v>
      </c>
      <c r="G1440" s="1">
        <v>46031</v>
      </c>
      <c r="H1440" t="s">
        <v>41</v>
      </c>
      <c r="I1440" s="2">
        <v>2755.6</v>
      </c>
      <c r="J1440" t="s">
        <v>976</v>
      </c>
      <c r="K1440" s="7">
        <v>46023</v>
      </c>
    </row>
    <row r="1441" spans="1:11" hidden="1">
      <c r="A1441" t="s">
        <v>114</v>
      </c>
      <c r="B1441" t="s">
        <v>63</v>
      </c>
      <c r="C1441" t="s">
        <v>14</v>
      </c>
      <c r="E1441" t="s">
        <v>9</v>
      </c>
      <c r="F1441" s="1" t="s">
        <v>5</v>
      </c>
      <c r="G1441" s="1">
        <v>46014</v>
      </c>
      <c r="H1441" t="s">
        <v>41</v>
      </c>
      <c r="I1441" s="2">
        <v>2754.37</v>
      </c>
      <c r="J1441" s="47" t="s">
        <v>977</v>
      </c>
      <c r="K1441" s="7">
        <v>45992</v>
      </c>
    </row>
    <row r="1442" spans="1:11" hidden="1">
      <c r="A1442" t="s">
        <v>39</v>
      </c>
      <c r="B1442" t="s">
        <v>40</v>
      </c>
      <c r="C1442" t="s">
        <v>14</v>
      </c>
      <c r="E1442" t="s">
        <v>9</v>
      </c>
      <c r="F1442" s="1" t="s">
        <v>3</v>
      </c>
      <c r="G1442" s="1">
        <v>45997</v>
      </c>
      <c r="H1442" t="s">
        <v>41</v>
      </c>
      <c r="I1442" s="2">
        <v>2751</v>
      </c>
      <c r="J1442" t="s">
        <v>978</v>
      </c>
      <c r="K1442" s="7">
        <v>45992</v>
      </c>
    </row>
    <row r="1443" spans="1:11" hidden="1">
      <c r="A1443" t="s">
        <v>39</v>
      </c>
      <c r="B1443" t="s">
        <v>40</v>
      </c>
      <c r="C1443" t="s">
        <v>14</v>
      </c>
      <c r="E1443" t="s">
        <v>9</v>
      </c>
      <c r="F1443" s="1" t="s">
        <v>2</v>
      </c>
      <c r="G1443" s="1">
        <v>45996</v>
      </c>
      <c r="H1443" t="s">
        <v>41</v>
      </c>
      <c r="I1443" s="2">
        <v>2750</v>
      </c>
      <c r="J1443" t="s">
        <v>978</v>
      </c>
      <c r="K1443" s="7">
        <v>45992</v>
      </c>
    </row>
    <row r="1444" spans="1:11">
      <c r="A1444" t="s">
        <v>39</v>
      </c>
      <c r="B1444" t="s">
        <v>47</v>
      </c>
      <c r="C1444" t="s">
        <v>14</v>
      </c>
      <c r="E1444" t="s">
        <v>9</v>
      </c>
      <c r="F1444" s="1" t="s">
        <v>3</v>
      </c>
      <c r="G1444" s="1">
        <v>46063</v>
      </c>
      <c r="H1444" t="s">
        <v>41</v>
      </c>
      <c r="I1444" s="2">
        <v>47797.24</v>
      </c>
      <c r="J1444" t="s">
        <v>61</v>
      </c>
      <c r="K1444" s="7">
        <v>46054</v>
      </c>
    </row>
    <row r="1445" spans="1:11" hidden="1">
      <c r="A1445" t="s">
        <v>39</v>
      </c>
      <c r="B1445" t="s">
        <v>40</v>
      </c>
      <c r="C1445" t="s">
        <v>14</v>
      </c>
      <c r="D1445">
        <v>10028372</v>
      </c>
      <c r="E1445" t="s">
        <v>9</v>
      </c>
      <c r="F1445" s="1" t="s">
        <v>5</v>
      </c>
      <c r="G1445" s="1">
        <v>46050</v>
      </c>
      <c r="H1445" t="s">
        <v>41</v>
      </c>
      <c r="I1445" s="2">
        <v>2746.05</v>
      </c>
      <c r="J1445" t="s">
        <v>979</v>
      </c>
      <c r="K1445" s="7">
        <v>46023</v>
      </c>
    </row>
    <row r="1446" spans="1:11" hidden="1">
      <c r="A1446" t="s">
        <v>39</v>
      </c>
      <c r="B1446" t="s">
        <v>40</v>
      </c>
      <c r="C1446" t="s">
        <v>14</v>
      </c>
      <c r="E1446" t="s">
        <v>9</v>
      </c>
      <c r="F1446" s="52" t="s">
        <v>4</v>
      </c>
      <c r="G1446" s="1">
        <v>45918</v>
      </c>
      <c r="H1446" t="s">
        <v>41</v>
      </c>
      <c r="I1446" s="2">
        <v>15500</v>
      </c>
      <c r="J1446" s="53" t="s">
        <v>980</v>
      </c>
      <c r="K1446" s="7">
        <v>45901</v>
      </c>
    </row>
    <row r="1447" spans="1:11" hidden="1">
      <c r="A1447" t="s">
        <v>39</v>
      </c>
      <c r="B1447" t="s">
        <v>47</v>
      </c>
      <c r="C1447" t="s">
        <v>12</v>
      </c>
      <c r="E1447" t="s">
        <v>9</v>
      </c>
      <c r="F1447" s="1" t="s">
        <v>4</v>
      </c>
      <c r="G1447" s="1">
        <v>45918</v>
      </c>
      <c r="H1447" t="s">
        <v>41</v>
      </c>
      <c r="I1447" s="2">
        <v>12969.68</v>
      </c>
      <c r="J1447" t="s">
        <v>241</v>
      </c>
      <c r="K1447" s="7">
        <v>45901</v>
      </c>
    </row>
    <row r="1448" spans="1:11" hidden="1">
      <c r="A1448" t="s">
        <v>39</v>
      </c>
      <c r="B1448" t="s">
        <v>40</v>
      </c>
      <c r="C1448" t="s">
        <v>14</v>
      </c>
      <c r="E1448" t="s">
        <v>9</v>
      </c>
      <c r="F1448" s="1" t="s">
        <v>2</v>
      </c>
      <c r="G1448" s="1">
        <v>45995</v>
      </c>
      <c r="H1448" t="s">
        <v>41</v>
      </c>
      <c r="I1448" s="2">
        <v>2720</v>
      </c>
      <c r="J1448" t="s">
        <v>981</v>
      </c>
      <c r="K1448" s="7">
        <v>45992</v>
      </c>
    </row>
    <row r="1449" spans="1:11" hidden="1">
      <c r="A1449" t="s">
        <v>39</v>
      </c>
      <c r="B1449" t="s">
        <v>40</v>
      </c>
      <c r="C1449" t="s">
        <v>14</v>
      </c>
      <c r="E1449" t="s">
        <v>9</v>
      </c>
      <c r="F1449" s="1" t="s">
        <v>5</v>
      </c>
      <c r="G1449" s="1">
        <v>45832</v>
      </c>
      <c r="H1449" t="s">
        <v>41</v>
      </c>
      <c r="I1449" s="2">
        <v>2718</v>
      </c>
      <c r="J1449" t="s">
        <v>982</v>
      </c>
      <c r="K1449" s="7">
        <v>45809</v>
      </c>
    </row>
    <row r="1450" spans="1:11" hidden="1">
      <c r="A1450" t="s">
        <v>39</v>
      </c>
      <c r="B1450" t="s">
        <v>47</v>
      </c>
      <c r="C1450" t="s">
        <v>14</v>
      </c>
      <c r="D1450">
        <v>10026470</v>
      </c>
      <c r="E1450" t="s">
        <v>9</v>
      </c>
      <c r="F1450" s="1" t="s">
        <v>2</v>
      </c>
      <c r="G1450" s="1">
        <v>45779</v>
      </c>
      <c r="H1450" t="s">
        <v>41</v>
      </c>
      <c r="I1450" s="2">
        <v>2694.47</v>
      </c>
      <c r="J1450" t="s">
        <v>60</v>
      </c>
      <c r="K1450" s="7">
        <v>45778</v>
      </c>
    </row>
    <row r="1451" spans="1:11" hidden="1">
      <c r="A1451" t="s">
        <v>39</v>
      </c>
      <c r="B1451" t="s">
        <v>40</v>
      </c>
      <c r="C1451" t="s">
        <v>14</v>
      </c>
      <c r="D1451">
        <v>10027415</v>
      </c>
      <c r="E1451" t="s">
        <v>9</v>
      </c>
      <c r="F1451" s="1" t="s">
        <v>5</v>
      </c>
      <c r="G1451" s="1">
        <v>45898</v>
      </c>
      <c r="H1451" t="s">
        <v>64</v>
      </c>
      <c r="I1451" s="2">
        <f>1372221/510</f>
        <v>2690.6294117647058</v>
      </c>
      <c r="J1451" t="s">
        <v>581</v>
      </c>
      <c r="K1451" s="7">
        <v>45870</v>
      </c>
    </row>
    <row r="1452" spans="1:11" hidden="1">
      <c r="A1452" t="s">
        <v>39</v>
      </c>
      <c r="B1452" t="s">
        <v>47</v>
      </c>
      <c r="C1452" t="s">
        <v>14</v>
      </c>
      <c r="E1452" t="s">
        <v>9</v>
      </c>
      <c r="F1452" s="1" t="s">
        <v>3</v>
      </c>
      <c r="G1452" s="1">
        <v>45974</v>
      </c>
      <c r="H1452" t="s">
        <v>41</v>
      </c>
      <c r="I1452" s="2">
        <v>2689.2</v>
      </c>
      <c r="J1452" t="s">
        <v>983</v>
      </c>
      <c r="K1452" s="7">
        <v>45962</v>
      </c>
    </row>
    <row r="1453" spans="1:11" hidden="1">
      <c r="A1453" t="s">
        <v>39</v>
      </c>
      <c r="B1453" t="s">
        <v>40</v>
      </c>
      <c r="C1453" t="s">
        <v>14</v>
      </c>
      <c r="E1453" t="s">
        <v>9</v>
      </c>
      <c r="F1453" s="52" t="s">
        <v>4</v>
      </c>
      <c r="G1453" s="1">
        <v>45918</v>
      </c>
      <c r="H1453" t="s">
        <v>41</v>
      </c>
      <c r="I1453" s="2">
        <v>4400</v>
      </c>
      <c r="J1453" s="53" t="s">
        <v>812</v>
      </c>
      <c r="K1453" s="7">
        <v>45901</v>
      </c>
    </row>
    <row r="1454" spans="1:11" hidden="1">
      <c r="A1454" t="s">
        <v>39</v>
      </c>
      <c r="B1454" t="s">
        <v>63</v>
      </c>
      <c r="C1454" t="s">
        <v>13</v>
      </c>
      <c r="D1454">
        <v>10027037</v>
      </c>
      <c r="E1454" t="s">
        <v>9</v>
      </c>
      <c r="F1454" s="1" t="s">
        <v>3</v>
      </c>
      <c r="G1454" s="1">
        <v>45847</v>
      </c>
      <c r="H1454" t="s">
        <v>64</v>
      </c>
      <c r="I1454" s="2">
        <f>1362551/508</f>
        <v>2682.1870078740158</v>
      </c>
      <c r="J1454" t="s">
        <v>160</v>
      </c>
      <c r="K1454" s="7">
        <v>45839</v>
      </c>
    </row>
    <row r="1455" spans="1:11" hidden="1">
      <c r="A1455" t="s">
        <v>39</v>
      </c>
      <c r="B1455" t="s">
        <v>47</v>
      </c>
      <c r="C1455" t="s">
        <v>14</v>
      </c>
      <c r="D1455">
        <v>10026647</v>
      </c>
      <c r="E1455" t="s">
        <v>9</v>
      </c>
      <c r="F1455" s="1" t="s">
        <v>5</v>
      </c>
      <c r="G1455" s="1">
        <v>45799</v>
      </c>
      <c r="H1455" t="s">
        <v>41</v>
      </c>
      <c r="I1455" s="2">
        <v>2652.09</v>
      </c>
      <c r="J1455" t="s">
        <v>262</v>
      </c>
      <c r="K1455" s="7">
        <v>45778</v>
      </c>
    </row>
    <row r="1456" spans="1:11" hidden="1">
      <c r="A1456" t="s">
        <v>39</v>
      </c>
      <c r="B1456" t="s">
        <v>40</v>
      </c>
      <c r="C1456" t="s">
        <v>14</v>
      </c>
      <c r="E1456" t="s">
        <v>9</v>
      </c>
      <c r="F1456" s="1" t="s">
        <v>2</v>
      </c>
      <c r="G1456" s="1">
        <v>45842</v>
      </c>
      <c r="H1456" t="s">
        <v>41</v>
      </c>
      <c r="I1456" s="2">
        <v>2640</v>
      </c>
      <c r="J1456" t="s">
        <v>744</v>
      </c>
      <c r="K1456" s="7">
        <v>45839</v>
      </c>
    </row>
    <row r="1457" spans="1:11" hidden="1">
      <c r="A1457" t="s">
        <v>56</v>
      </c>
      <c r="B1457" t="s">
        <v>40</v>
      </c>
      <c r="C1457" t="s">
        <v>14</v>
      </c>
      <c r="E1457" t="s">
        <v>9</v>
      </c>
      <c r="F1457" s="52" t="s">
        <v>4</v>
      </c>
      <c r="G1457" s="1">
        <v>45918</v>
      </c>
      <c r="H1457" t="s">
        <v>41</v>
      </c>
      <c r="I1457" s="2">
        <v>4283.47</v>
      </c>
      <c r="J1457" s="53" t="s">
        <v>984</v>
      </c>
      <c r="K1457" s="7">
        <v>45901</v>
      </c>
    </row>
    <row r="1458" spans="1:11" hidden="1">
      <c r="A1458" t="s">
        <v>39</v>
      </c>
      <c r="B1458" t="s">
        <v>40</v>
      </c>
      <c r="C1458" t="s">
        <v>14</v>
      </c>
      <c r="E1458" t="s">
        <v>9</v>
      </c>
      <c r="F1458" s="1" t="s">
        <v>5</v>
      </c>
      <c r="G1458" s="1">
        <v>45951</v>
      </c>
      <c r="H1458" t="s">
        <v>41</v>
      </c>
      <c r="I1458" s="2">
        <v>2636.08</v>
      </c>
      <c r="J1458" s="47" t="s">
        <v>985</v>
      </c>
      <c r="K1458" s="7">
        <v>45931</v>
      </c>
    </row>
    <row r="1459" spans="1:11">
      <c r="A1459" t="s">
        <v>39</v>
      </c>
      <c r="B1459" t="s">
        <v>47</v>
      </c>
      <c r="C1459" t="s">
        <v>13</v>
      </c>
      <c r="E1459" t="s">
        <v>9</v>
      </c>
      <c r="F1459" s="1" t="s">
        <v>3</v>
      </c>
      <c r="G1459" s="1">
        <v>46063</v>
      </c>
      <c r="H1459" t="s">
        <v>41</v>
      </c>
      <c r="I1459" s="2">
        <v>19112.32</v>
      </c>
      <c r="J1459" t="s">
        <v>986</v>
      </c>
      <c r="K1459" s="7">
        <v>46054</v>
      </c>
    </row>
    <row r="1460" spans="1:11" hidden="1">
      <c r="A1460" t="s">
        <v>39</v>
      </c>
      <c r="B1460" t="s">
        <v>47</v>
      </c>
      <c r="C1460" t="s">
        <v>12</v>
      </c>
      <c r="E1460" t="s">
        <v>9</v>
      </c>
      <c r="F1460" s="1" t="s">
        <v>4</v>
      </c>
      <c r="G1460" s="1">
        <v>45918</v>
      </c>
      <c r="H1460" t="s">
        <v>64</v>
      </c>
      <c r="I1460" s="2">
        <f>1639877/510</f>
        <v>3215.4450980392157</v>
      </c>
      <c r="J1460" t="s">
        <v>987</v>
      </c>
      <c r="K1460" s="7">
        <v>45901</v>
      </c>
    </row>
    <row r="1461" spans="1:11" hidden="1">
      <c r="A1461" t="s">
        <v>39</v>
      </c>
      <c r="B1461" t="s">
        <v>40</v>
      </c>
      <c r="C1461" t="s">
        <v>14</v>
      </c>
      <c r="E1461" t="s">
        <v>9</v>
      </c>
      <c r="F1461" s="52" t="s">
        <v>4</v>
      </c>
      <c r="G1461" s="1">
        <v>45918</v>
      </c>
      <c r="H1461" t="s">
        <v>41</v>
      </c>
      <c r="I1461" s="2">
        <v>2000</v>
      </c>
      <c r="J1461" s="53" t="s">
        <v>988</v>
      </c>
      <c r="K1461" s="7">
        <v>45901</v>
      </c>
    </row>
    <row r="1462" spans="1:11" hidden="1">
      <c r="A1462" t="s">
        <v>39</v>
      </c>
      <c r="B1462" t="s">
        <v>47</v>
      </c>
      <c r="C1462" t="s">
        <v>12</v>
      </c>
      <c r="D1462" s="6"/>
      <c r="E1462" t="s">
        <v>9</v>
      </c>
      <c r="F1462" s="52" t="s">
        <v>4</v>
      </c>
      <c r="G1462" s="1">
        <v>45918</v>
      </c>
      <c r="H1462" t="s">
        <v>41</v>
      </c>
      <c r="I1462" s="2">
        <v>778.63</v>
      </c>
      <c r="J1462" t="s">
        <v>989</v>
      </c>
      <c r="K1462" s="7">
        <v>45901</v>
      </c>
    </row>
    <row r="1463" spans="1:11" hidden="1">
      <c r="A1463" t="s">
        <v>39</v>
      </c>
      <c r="B1463" t="s">
        <v>47</v>
      </c>
      <c r="C1463" t="s">
        <v>14</v>
      </c>
      <c r="D1463">
        <v>10027458</v>
      </c>
      <c r="E1463" t="s">
        <v>9</v>
      </c>
      <c r="F1463" s="1" t="s">
        <v>2</v>
      </c>
      <c r="G1463" s="1">
        <v>45903</v>
      </c>
      <c r="H1463" t="s">
        <v>41</v>
      </c>
      <c r="I1463" s="2">
        <v>2581.94</v>
      </c>
      <c r="J1463" t="s">
        <v>990</v>
      </c>
      <c r="K1463" s="7">
        <v>45901</v>
      </c>
    </row>
    <row r="1464" spans="1:11" hidden="1">
      <c r="A1464" t="s">
        <v>39</v>
      </c>
      <c r="B1464" t="s">
        <v>40</v>
      </c>
      <c r="C1464" t="s">
        <v>14</v>
      </c>
      <c r="E1464" t="s">
        <v>9</v>
      </c>
      <c r="F1464" s="52" t="s">
        <v>4</v>
      </c>
      <c r="G1464" s="1">
        <v>45918</v>
      </c>
      <c r="H1464" t="s">
        <v>41</v>
      </c>
      <c r="I1464" s="2">
        <v>100</v>
      </c>
      <c r="J1464" t="s">
        <v>991</v>
      </c>
      <c r="K1464" s="7">
        <v>45901</v>
      </c>
    </row>
    <row r="1465" spans="1:11" hidden="1">
      <c r="A1465" t="s">
        <v>39</v>
      </c>
      <c r="B1465" t="s">
        <v>47</v>
      </c>
      <c r="C1465" t="s">
        <v>14</v>
      </c>
      <c r="E1465" t="s">
        <v>9</v>
      </c>
      <c r="F1465" s="1" t="s">
        <v>3</v>
      </c>
      <c r="G1465" s="1">
        <v>45912</v>
      </c>
      <c r="H1465" t="s">
        <v>41</v>
      </c>
      <c r="I1465" s="2">
        <v>2566.3000000000002</v>
      </c>
      <c r="J1465" t="s">
        <v>992</v>
      </c>
      <c r="K1465" s="7">
        <v>45901</v>
      </c>
    </row>
    <row r="1466" spans="1:11" hidden="1">
      <c r="A1466" t="s">
        <v>99</v>
      </c>
      <c r="B1466" t="s">
        <v>63</v>
      </c>
      <c r="C1466" t="s">
        <v>14</v>
      </c>
      <c r="E1466" t="s">
        <v>9</v>
      </c>
      <c r="F1466" s="1" t="s">
        <v>5</v>
      </c>
      <c r="G1466" s="1">
        <v>46387</v>
      </c>
      <c r="H1466" t="s">
        <v>41</v>
      </c>
      <c r="I1466" s="2">
        <v>2547.66</v>
      </c>
      <c r="J1466" t="s">
        <v>993</v>
      </c>
      <c r="K1466" s="7">
        <v>45992</v>
      </c>
    </row>
    <row r="1467" spans="1:11" hidden="1">
      <c r="A1467" t="s">
        <v>39</v>
      </c>
      <c r="B1467" t="s">
        <v>40</v>
      </c>
      <c r="C1467" t="s">
        <v>14</v>
      </c>
      <c r="D1467">
        <v>10028402</v>
      </c>
      <c r="E1467" t="s">
        <v>9</v>
      </c>
      <c r="F1467" s="1" t="s">
        <v>5</v>
      </c>
      <c r="G1467" s="1">
        <v>46052</v>
      </c>
      <c r="H1467" t="s">
        <v>64</v>
      </c>
      <c r="I1467" s="2">
        <f>1263550/496</f>
        <v>2547.4798387096776</v>
      </c>
      <c r="J1467" t="s">
        <v>994</v>
      </c>
      <c r="K1467" s="7">
        <v>46023</v>
      </c>
    </row>
    <row r="1468" spans="1:11" hidden="1">
      <c r="A1468" t="s">
        <v>39</v>
      </c>
      <c r="B1468" t="s">
        <v>47</v>
      </c>
      <c r="C1468" t="s">
        <v>12</v>
      </c>
      <c r="D1468">
        <v>10027234</v>
      </c>
      <c r="E1468" t="s">
        <v>9</v>
      </c>
      <c r="F1468" s="1" t="s">
        <v>3</v>
      </c>
      <c r="G1468" s="1">
        <v>45845</v>
      </c>
      <c r="H1468" t="s">
        <v>41</v>
      </c>
      <c r="I1468" s="2">
        <v>2528.35</v>
      </c>
      <c r="J1468" t="s">
        <v>995</v>
      </c>
      <c r="K1468" s="7">
        <v>45839</v>
      </c>
    </row>
    <row r="1469" spans="1:11" hidden="1">
      <c r="A1469" t="s">
        <v>39</v>
      </c>
      <c r="B1469" t="s">
        <v>40</v>
      </c>
      <c r="C1469" t="s">
        <v>14</v>
      </c>
      <c r="E1469" t="s">
        <v>9</v>
      </c>
      <c r="F1469" s="1" t="s">
        <v>5</v>
      </c>
      <c r="G1469" s="1">
        <v>45828</v>
      </c>
      <c r="H1469" t="s">
        <v>64</v>
      </c>
      <c r="I1469" s="2">
        <f>1275800.4/508</f>
        <v>2511.4181102362204</v>
      </c>
      <c r="J1469" t="s">
        <v>117</v>
      </c>
      <c r="K1469" s="7">
        <v>45809</v>
      </c>
    </row>
    <row r="1470" spans="1:11" hidden="1">
      <c r="A1470" t="s">
        <v>39</v>
      </c>
      <c r="B1470" t="s">
        <v>40</v>
      </c>
      <c r="C1470" t="s">
        <v>14</v>
      </c>
      <c r="E1470" t="s">
        <v>9</v>
      </c>
      <c r="F1470" s="1" t="s">
        <v>5</v>
      </c>
      <c r="G1470" s="1">
        <v>45985</v>
      </c>
      <c r="H1470" t="s">
        <v>41</v>
      </c>
      <c r="I1470" s="2">
        <v>2500</v>
      </c>
      <c r="J1470" s="47" t="s">
        <v>996</v>
      </c>
      <c r="K1470" s="7">
        <v>45962</v>
      </c>
    </row>
    <row r="1471" spans="1:11" hidden="1">
      <c r="A1471" t="s">
        <v>56</v>
      </c>
      <c r="B1471" t="s">
        <v>40</v>
      </c>
      <c r="C1471" t="s">
        <v>14</v>
      </c>
      <c r="D1471">
        <v>10836</v>
      </c>
      <c r="E1471" t="s">
        <v>9</v>
      </c>
      <c r="F1471" s="1" t="s">
        <v>5</v>
      </c>
      <c r="G1471" s="1">
        <v>45986</v>
      </c>
      <c r="H1471" t="s">
        <v>41</v>
      </c>
      <c r="I1471" s="2">
        <v>2500</v>
      </c>
      <c r="J1471" t="s">
        <v>781</v>
      </c>
      <c r="K1471" s="7">
        <v>45962</v>
      </c>
    </row>
    <row r="1472" spans="1:11" hidden="1">
      <c r="A1472" t="s">
        <v>39</v>
      </c>
      <c r="B1472" t="s">
        <v>63</v>
      </c>
      <c r="C1472" t="s">
        <v>14</v>
      </c>
      <c r="E1472" t="s">
        <v>9</v>
      </c>
      <c r="F1472" s="1" t="s">
        <v>2</v>
      </c>
      <c r="G1472" s="1">
        <v>45933</v>
      </c>
      <c r="H1472" t="s">
        <v>41</v>
      </c>
      <c r="I1472" s="2">
        <v>2496.69</v>
      </c>
      <c r="J1472" t="s">
        <v>315</v>
      </c>
      <c r="K1472" s="7">
        <v>45931</v>
      </c>
    </row>
    <row r="1473" spans="1:11" hidden="1">
      <c r="A1473" t="s">
        <v>39</v>
      </c>
      <c r="B1473" t="s">
        <v>45</v>
      </c>
      <c r="C1473" t="s">
        <v>12</v>
      </c>
      <c r="E1473" t="s">
        <v>9</v>
      </c>
      <c r="F1473" s="52" t="s">
        <v>4</v>
      </c>
      <c r="G1473" s="1">
        <v>45919</v>
      </c>
      <c r="H1473" t="s">
        <v>41</v>
      </c>
      <c r="I1473" s="2">
        <v>97677.34</v>
      </c>
      <c r="J1473" s="53" t="s">
        <v>629</v>
      </c>
      <c r="K1473" s="7">
        <v>45901</v>
      </c>
    </row>
    <row r="1474" spans="1:11" hidden="1">
      <c r="A1474" t="s">
        <v>39</v>
      </c>
      <c r="B1474" t="s">
        <v>40</v>
      </c>
      <c r="C1474" t="s">
        <v>14</v>
      </c>
      <c r="D1474">
        <v>10027154</v>
      </c>
      <c r="E1474" t="s">
        <v>9</v>
      </c>
      <c r="F1474" s="1" t="s">
        <v>5</v>
      </c>
      <c r="G1474" s="1">
        <v>45862</v>
      </c>
      <c r="H1474" t="s">
        <v>41</v>
      </c>
      <c r="I1474" s="2">
        <v>2475</v>
      </c>
      <c r="J1474" t="s">
        <v>899</v>
      </c>
      <c r="K1474" s="7">
        <v>45839</v>
      </c>
    </row>
    <row r="1475" spans="1:11" hidden="1">
      <c r="A1475" t="s">
        <v>39</v>
      </c>
      <c r="B1475" t="s">
        <v>40</v>
      </c>
      <c r="C1475" t="s">
        <v>14</v>
      </c>
      <c r="D1475">
        <v>10027269</v>
      </c>
      <c r="E1475" t="s">
        <v>9</v>
      </c>
      <c r="F1475" s="1" t="s">
        <v>2</v>
      </c>
      <c r="G1475" s="1">
        <v>45877</v>
      </c>
      <c r="H1475" t="s">
        <v>41</v>
      </c>
      <c r="I1475" s="2">
        <v>2466.66</v>
      </c>
      <c r="J1475" t="s">
        <v>997</v>
      </c>
      <c r="K1475" s="7">
        <v>45870</v>
      </c>
    </row>
    <row r="1476" spans="1:11" hidden="1">
      <c r="A1476" t="s">
        <v>39</v>
      </c>
      <c r="B1476" t="s">
        <v>40</v>
      </c>
      <c r="C1476" t="s">
        <v>14</v>
      </c>
      <c r="D1476">
        <v>10027270</v>
      </c>
      <c r="E1476" t="s">
        <v>9</v>
      </c>
      <c r="F1476" s="1" t="s">
        <v>2</v>
      </c>
      <c r="G1476" s="1">
        <v>45877</v>
      </c>
      <c r="H1476" t="s">
        <v>41</v>
      </c>
      <c r="I1476" s="2">
        <v>2466.66</v>
      </c>
      <c r="J1476" t="s">
        <v>997</v>
      </c>
      <c r="K1476" s="7">
        <v>45870</v>
      </c>
    </row>
    <row r="1477" spans="1:11" hidden="1">
      <c r="A1477" t="s">
        <v>39</v>
      </c>
      <c r="B1477" t="s">
        <v>40</v>
      </c>
      <c r="C1477" t="s">
        <v>14</v>
      </c>
      <c r="D1477">
        <v>10027282</v>
      </c>
      <c r="E1477" t="s">
        <v>9</v>
      </c>
      <c r="F1477" s="1" t="s">
        <v>3</v>
      </c>
      <c r="G1477" s="1">
        <v>45880</v>
      </c>
      <c r="H1477" t="s">
        <v>41</v>
      </c>
      <c r="I1477" s="2">
        <v>2466.66</v>
      </c>
      <c r="J1477" t="s">
        <v>108</v>
      </c>
      <c r="K1477" s="7">
        <v>45870</v>
      </c>
    </row>
    <row r="1478" spans="1:11" hidden="1">
      <c r="A1478" t="s">
        <v>39</v>
      </c>
      <c r="B1478" t="s">
        <v>45</v>
      </c>
      <c r="C1478" t="s">
        <v>12</v>
      </c>
      <c r="E1478" t="s">
        <v>9</v>
      </c>
      <c r="F1478" s="52" t="s">
        <v>4</v>
      </c>
      <c r="G1478" s="1">
        <v>45919</v>
      </c>
      <c r="H1478" t="s">
        <v>41</v>
      </c>
      <c r="I1478" s="2">
        <v>90000</v>
      </c>
      <c r="J1478" t="s">
        <v>128</v>
      </c>
      <c r="K1478" s="7">
        <v>45901</v>
      </c>
    </row>
    <row r="1479" spans="1:11" hidden="1">
      <c r="A1479" t="s">
        <v>39</v>
      </c>
      <c r="B1479" t="s">
        <v>40</v>
      </c>
      <c r="C1479" t="s">
        <v>14</v>
      </c>
      <c r="E1479" t="s">
        <v>9</v>
      </c>
      <c r="F1479" s="1" t="s">
        <v>2</v>
      </c>
      <c r="G1479" s="1">
        <v>45874</v>
      </c>
      <c r="H1479" t="s">
        <v>41</v>
      </c>
      <c r="I1479" s="2">
        <v>2465.3200000000002</v>
      </c>
      <c r="J1479" s="47" t="s">
        <v>998</v>
      </c>
      <c r="K1479" s="7">
        <v>45870</v>
      </c>
    </row>
    <row r="1480" spans="1:11" hidden="1">
      <c r="A1480" t="s">
        <v>39</v>
      </c>
      <c r="B1480" t="s">
        <v>45</v>
      </c>
      <c r="C1480" t="s">
        <v>14</v>
      </c>
      <c r="D1480">
        <v>10027285</v>
      </c>
      <c r="E1480" t="s">
        <v>9</v>
      </c>
      <c r="F1480" s="1" t="s">
        <v>2</v>
      </c>
      <c r="G1480" s="1">
        <v>45874</v>
      </c>
      <c r="H1480" t="s">
        <v>41</v>
      </c>
      <c r="I1480" s="2">
        <v>2465.3200000000002</v>
      </c>
      <c r="J1480" t="s">
        <v>999</v>
      </c>
      <c r="K1480" s="7">
        <v>45870</v>
      </c>
    </row>
    <row r="1481" spans="1:11" hidden="1">
      <c r="A1481" t="s">
        <v>39</v>
      </c>
      <c r="B1481" t="s">
        <v>40</v>
      </c>
      <c r="C1481" t="s">
        <v>14</v>
      </c>
      <c r="E1481" t="s">
        <v>9</v>
      </c>
      <c r="F1481" s="1" t="s">
        <v>4</v>
      </c>
      <c r="G1481" s="1">
        <v>45919</v>
      </c>
      <c r="H1481" t="s">
        <v>41</v>
      </c>
      <c r="I1481" s="2">
        <v>50500</v>
      </c>
      <c r="J1481" t="s">
        <v>281</v>
      </c>
      <c r="K1481" s="7">
        <v>45901</v>
      </c>
    </row>
    <row r="1482" spans="1:11" hidden="1">
      <c r="A1482" t="s">
        <v>39</v>
      </c>
      <c r="B1482" t="s">
        <v>47</v>
      </c>
      <c r="C1482" t="s">
        <v>14</v>
      </c>
      <c r="E1482" t="s">
        <v>9</v>
      </c>
      <c r="F1482" s="1" t="s">
        <v>3</v>
      </c>
      <c r="G1482" s="1">
        <v>45910</v>
      </c>
      <c r="H1482" t="s">
        <v>41</v>
      </c>
      <c r="I1482" s="2">
        <v>2452.9699999999998</v>
      </c>
      <c r="J1482" t="s">
        <v>1000</v>
      </c>
      <c r="K1482" s="7">
        <v>45901</v>
      </c>
    </row>
    <row r="1483" spans="1:11" hidden="1">
      <c r="A1483" t="s">
        <v>39</v>
      </c>
      <c r="B1483" t="s">
        <v>45</v>
      </c>
      <c r="C1483" t="s">
        <v>14</v>
      </c>
      <c r="D1483">
        <v>10027582</v>
      </c>
      <c r="E1483" t="s">
        <v>9</v>
      </c>
      <c r="F1483" s="52" t="s">
        <v>4</v>
      </c>
      <c r="G1483" s="1">
        <v>45919</v>
      </c>
      <c r="H1483" t="s">
        <v>41</v>
      </c>
      <c r="I1483" s="2">
        <v>20171.150000000001</v>
      </c>
      <c r="J1483" t="s">
        <v>1001</v>
      </c>
      <c r="K1483" s="7">
        <v>45901</v>
      </c>
    </row>
    <row r="1484" spans="1:11" hidden="1">
      <c r="A1484" t="s">
        <v>39</v>
      </c>
      <c r="B1484" t="s">
        <v>40</v>
      </c>
      <c r="C1484" t="s">
        <v>14</v>
      </c>
      <c r="E1484" t="s">
        <v>9</v>
      </c>
      <c r="F1484" s="1" t="s">
        <v>5</v>
      </c>
      <c r="G1484" s="1">
        <v>45951</v>
      </c>
      <c r="H1484" t="s">
        <v>41</v>
      </c>
      <c r="I1484" s="2">
        <v>2436.4</v>
      </c>
      <c r="J1484" t="s">
        <v>1002</v>
      </c>
      <c r="K1484" s="7">
        <v>45931</v>
      </c>
    </row>
    <row r="1485" spans="1:11" hidden="1">
      <c r="A1485" t="s">
        <v>39</v>
      </c>
      <c r="B1485" t="s">
        <v>45</v>
      </c>
      <c r="C1485" t="s">
        <v>14</v>
      </c>
      <c r="D1485">
        <v>10027583</v>
      </c>
      <c r="E1485" t="s">
        <v>9</v>
      </c>
      <c r="F1485" s="52" t="s">
        <v>4</v>
      </c>
      <c r="G1485" s="1">
        <v>45919</v>
      </c>
      <c r="H1485" t="s">
        <v>41</v>
      </c>
      <c r="I1485" s="2">
        <v>4778.47</v>
      </c>
      <c r="J1485" t="s">
        <v>603</v>
      </c>
      <c r="K1485" s="7">
        <v>45901</v>
      </c>
    </row>
    <row r="1486" spans="1:11" hidden="1">
      <c r="A1486" t="s">
        <v>39</v>
      </c>
      <c r="B1486" t="s">
        <v>47</v>
      </c>
      <c r="C1486" t="s">
        <v>14</v>
      </c>
      <c r="E1486" t="s">
        <v>9</v>
      </c>
      <c r="F1486" s="1" t="s">
        <v>3</v>
      </c>
      <c r="G1486" s="1">
        <v>46037</v>
      </c>
      <c r="H1486" t="s">
        <v>41</v>
      </c>
      <c r="I1486" s="2">
        <v>2421.41</v>
      </c>
      <c r="J1486" t="s">
        <v>74</v>
      </c>
      <c r="K1486" s="7">
        <v>46023</v>
      </c>
    </row>
    <row r="1487" spans="1:11" hidden="1">
      <c r="A1487" t="s">
        <v>39</v>
      </c>
      <c r="B1487" t="s">
        <v>40</v>
      </c>
      <c r="C1487" t="s">
        <v>13</v>
      </c>
      <c r="E1487" t="s">
        <v>9</v>
      </c>
      <c r="F1487" s="1" t="s">
        <v>4</v>
      </c>
      <c r="G1487" s="1">
        <v>45919</v>
      </c>
      <c r="H1487" t="s">
        <v>41</v>
      </c>
      <c r="I1487" s="2">
        <v>2000</v>
      </c>
      <c r="J1487" t="s">
        <v>1003</v>
      </c>
      <c r="K1487" s="7">
        <v>45901</v>
      </c>
    </row>
    <row r="1488" spans="1:11" hidden="1">
      <c r="A1488" t="s">
        <v>99</v>
      </c>
      <c r="B1488" t="s">
        <v>63</v>
      </c>
      <c r="C1488" t="s">
        <v>14</v>
      </c>
      <c r="E1488" t="s">
        <v>9</v>
      </c>
      <c r="F1488" t="s">
        <v>2</v>
      </c>
      <c r="G1488" s="1">
        <v>45779</v>
      </c>
      <c r="H1488" t="s">
        <v>41</v>
      </c>
      <c r="I1488" s="2">
        <v>2409.04</v>
      </c>
      <c r="J1488" t="s">
        <v>1004</v>
      </c>
      <c r="K1488" s="7">
        <v>45778</v>
      </c>
    </row>
    <row r="1489" spans="1:11" hidden="1">
      <c r="A1489" t="s">
        <v>39</v>
      </c>
      <c r="B1489" t="s">
        <v>40</v>
      </c>
      <c r="C1489" t="s">
        <v>14</v>
      </c>
      <c r="E1489" t="s">
        <v>9</v>
      </c>
      <c r="F1489" s="1" t="s">
        <v>5</v>
      </c>
      <c r="G1489" s="1">
        <v>45833</v>
      </c>
      <c r="H1489" t="s">
        <v>41</v>
      </c>
      <c r="I1489" s="2">
        <v>2407.63</v>
      </c>
      <c r="J1489" t="s">
        <v>165</v>
      </c>
      <c r="K1489" s="7">
        <v>45809</v>
      </c>
    </row>
    <row r="1490" spans="1:11" hidden="1">
      <c r="A1490" t="s">
        <v>39</v>
      </c>
      <c r="B1490" t="s">
        <v>63</v>
      </c>
      <c r="C1490" t="s">
        <v>14</v>
      </c>
      <c r="E1490" t="s">
        <v>9</v>
      </c>
      <c r="F1490" s="1" t="s">
        <v>6</v>
      </c>
      <c r="G1490" s="1">
        <v>46021</v>
      </c>
      <c r="H1490" t="s">
        <v>41</v>
      </c>
      <c r="I1490" s="2">
        <v>2405.3200000000002</v>
      </c>
      <c r="J1490" s="47" t="s">
        <v>403</v>
      </c>
      <c r="K1490" s="7">
        <v>45992</v>
      </c>
    </row>
    <row r="1491" spans="1:11" hidden="1">
      <c r="A1491" t="s">
        <v>39</v>
      </c>
      <c r="B1491" t="s">
        <v>47</v>
      </c>
      <c r="C1491" t="s">
        <v>14</v>
      </c>
      <c r="E1491" t="s">
        <v>9</v>
      </c>
      <c r="F1491" s="1" t="s">
        <v>3</v>
      </c>
      <c r="G1491" s="1">
        <v>45974</v>
      </c>
      <c r="H1491" t="s">
        <v>41</v>
      </c>
      <c r="I1491" s="2">
        <v>2401.61</v>
      </c>
      <c r="J1491" t="s">
        <v>1005</v>
      </c>
      <c r="K1491" s="7">
        <v>45962</v>
      </c>
    </row>
    <row r="1492" spans="1:11" hidden="1">
      <c r="A1492" t="s">
        <v>56</v>
      </c>
      <c r="B1492" t="s">
        <v>40</v>
      </c>
      <c r="C1492" t="s">
        <v>14</v>
      </c>
      <c r="E1492" t="s">
        <v>9</v>
      </c>
      <c r="F1492" s="1" t="s">
        <v>3</v>
      </c>
      <c r="G1492" s="1">
        <v>45786</v>
      </c>
      <c r="H1492" t="s">
        <v>41</v>
      </c>
      <c r="I1492" s="2">
        <v>2400</v>
      </c>
      <c r="J1492" t="s">
        <v>1006</v>
      </c>
      <c r="K1492" s="7">
        <v>45778</v>
      </c>
    </row>
    <row r="1493" spans="1:11" hidden="1">
      <c r="A1493" t="s">
        <v>39</v>
      </c>
      <c r="B1493" t="s">
        <v>40</v>
      </c>
      <c r="C1493" t="s">
        <v>14</v>
      </c>
      <c r="E1493" t="s">
        <v>9</v>
      </c>
      <c r="F1493" s="1" t="s">
        <v>6</v>
      </c>
      <c r="G1493" s="1">
        <v>45958</v>
      </c>
      <c r="H1493" t="s">
        <v>41</v>
      </c>
      <c r="I1493" s="2">
        <v>2400</v>
      </c>
      <c r="J1493" t="s">
        <v>1007</v>
      </c>
      <c r="K1493" s="7">
        <v>45931</v>
      </c>
    </row>
    <row r="1494" spans="1:11" hidden="1">
      <c r="A1494" t="s">
        <v>56</v>
      </c>
      <c r="B1494" t="s">
        <v>40</v>
      </c>
      <c r="C1494" t="s">
        <v>14</v>
      </c>
      <c r="E1494" t="s">
        <v>9</v>
      </c>
      <c r="F1494" s="1" t="s">
        <v>5</v>
      </c>
      <c r="G1494" s="1">
        <v>45860</v>
      </c>
      <c r="H1494" t="s">
        <v>41</v>
      </c>
      <c r="I1494" s="2">
        <v>2365</v>
      </c>
      <c r="J1494" s="4">
        <v>3101481379</v>
      </c>
      <c r="K1494" s="7">
        <v>45839</v>
      </c>
    </row>
    <row r="1495" spans="1:11" hidden="1">
      <c r="A1495" t="s">
        <v>39</v>
      </c>
      <c r="B1495" t="s">
        <v>47</v>
      </c>
      <c r="C1495" t="s">
        <v>14</v>
      </c>
      <c r="D1495">
        <v>10026933</v>
      </c>
      <c r="E1495" t="s">
        <v>9</v>
      </c>
      <c r="F1495" s="1" t="s">
        <v>5</v>
      </c>
      <c r="G1495" s="1">
        <v>45835</v>
      </c>
      <c r="H1495" t="s">
        <v>41</v>
      </c>
      <c r="I1495" s="2">
        <v>2338.0700000000002</v>
      </c>
      <c r="J1495" t="s">
        <v>204</v>
      </c>
      <c r="K1495" s="7">
        <v>45809</v>
      </c>
    </row>
    <row r="1496" spans="1:11" hidden="1">
      <c r="A1496" t="s">
        <v>39</v>
      </c>
      <c r="B1496" t="s">
        <v>47</v>
      </c>
      <c r="C1496" t="s">
        <v>14</v>
      </c>
      <c r="D1496">
        <v>10026628</v>
      </c>
      <c r="E1496" t="s">
        <v>9</v>
      </c>
      <c r="F1496" s="1" t="s">
        <v>5</v>
      </c>
      <c r="G1496" s="1">
        <v>45796</v>
      </c>
      <c r="H1496" t="s">
        <v>41</v>
      </c>
      <c r="I1496" s="2">
        <v>2335.25</v>
      </c>
      <c r="J1496" t="s">
        <v>818</v>
      </c>
      <c r="K1496" s="7">
        <v>45778</v>
      </c>
    </row>
    <row r="1497" spans="1:11" hidden="1">
      <c r="A1497" t="s">
        <v>39</v>
      </c>
      <c r="B1497" t="s">
        <v>47</v>
      </c>
      <c r="C1497" t="s">
        <v>14</v>
      </c>
      <c r="E1497" t="s">
        <v>9</v>
      </c>
      <c r="F1497" s="1" t="s">
        <v>5</v>
      </c>
      <c r="G1497" s="1">
        <v>45894</v>
      </c>
      <c r="H1497" t="s">
        <v>41</v>
      </c>
      <c r="I1497" s="2">
        <v>2329.1999999999998</v>
      </c>
      <c r="J1497" t="s">
        <v>576</v>
      </c>
      <c r="K1497" s="7">
        <v>45870</v>
      </c>
    </row>
    <row r="1498" spans="1:11" hidden="1">
      <c r="A1498" t="s">
        <v>56</v>
      </c>
      <c r="B1498" t="s">
        <v>40</v>
      </c>
      <c r="C1498" t="s">
        <v>14</v>
      </c>
      <c r="D1498">
        <v>10850</v>
      </c>
      <c r="E1498" t="s">
        <v>9</v>
      </c>
      <c r="F1498" s="1" t="s">
        <v>5</v>
      </c>
      <c r="G1498" s="1">
        <v>46014</v>
      </c>
      <c r="H1498" t="s">
        <v>41</v>
      </c>
      <c r="I1498" s="2">
        <v>2323</v>
      </c>
      <c r="J1498" t="s">
        <v>830</v>
      </c>
      <c r="K1498" s="7">
        <v>45992</v>
      </c>
    </row>
    <row r="1499" spans="1:11" hidden="1">
      <c r="A1499" t="s">
        <v>39</v>
      </c>
      <c r="B1499" t="s">
        <v>40</v>
      </c>
      <c r="C1499" t="s">
        <v>14</v>
      </c>
      <c r="D1499">
        <v>10027580</v>
      </c>
      <c r="E1499" t="s">
        <v>9</v>
      </c>
      <c r="F1499" s="1" t="s">
        <v>4</v>
      </c>
      <c r="G1499" s="1">
        <v>45919</v>
      </c>
      <c r="H1499" t="s">
        <v>41</v>
      </c>
      <c r="I1499" s="2">
        <v>2000</v>
      </c>
      <c r="J1499" t="s">
        <v>501</v>
      </c>
      <c r="K1499" s="7">
        <v>45901</v>
      </c>
    </row>
    <row r="1500" spans="1:11" hidden="1">
      <c r="A1500" t="s">
        <v>39</v>
      </c>
      <c r="B1500" t="s">
        <v>47</v>
      </c>
      <c r="C1500" t="s">
        <v>14</v>
      </c>
      <c r="E1500" t="s">
        <v>9</v>
      </c>
      <c r="F1500" s="1" t="s">
        <v>4</v>
      </c>
      <c r="G1500" s="1">
        <v>45919</v>
      </c>
      <c r="H1500" t="s">
        <v>41</v>
      </c>
      <c r="I1500" s="2">
        <v>1923.732</v>
      </c>
      <c r="J1500" t="s">
        <v>1008</v>
      </c>
      <c r="K1500" s="7">
        <v>45901</v>
      </c>
    </row>
    <row r="1501" spans="1:11" hidden="1">
      <c r="A1501" t="s">
        <v>39</v>
      </c>
      <c r="B1501" t="s">
        <v>47</v>
      </c>
      <c r="C1501" t="s">
        <v>14</v>
      </c>
      <c r="E1501" t="s">
        <v>9</v>
      </c>
      <c r="F1501" s="1" t="s">
        <v>2</v>
      </c>
      <c r="G1501" s="1">
        <v>46031</v>
      </c>
      <c r="H1501" t="s">
        <v>41</v>
      </c>
      <c r="I1501" s="2">
        <v>2318.5300000000002</v>
      </c>
      <c r="J1501" t="s">
        <v>1009</v>
      </c>
      <c r="K1501" s="7">
        <v>46023</v>
      </c>
    </row>
    <row r="1502" spans="1:11" hidden="1">
      <c r="A1502" t="s">
        <v>39</v>
      </c>
      <c r="B1502" t="s">
        <v>40</v>
      </c>
      <c r="C1502" t="s">
        <v>14</v>
      </c>
      <c r="D1502">
        <v>10027592</v>
      </c>
      <c r="E1502" t="s">
        <v>9</v>
      </c>
      <c r="F1502" s="1" t="s">
        <v>4</v>
      </c>
      <c r="G1502" s="1">
        <v>45919</v>
      </c>
      <c r="H1502" t="s">
        <v>41</v>
      </c>
      <c r="I1502" s="2">
        <v>1339</v>
      </c>
      <c r="J1502" t="s">
        <v>1010</v>
      </c>
      <c r="K1502" s="7">
        <v>45901</v>
      </c>
    </row>
    <row r="1503" spans="1:11" hidden="1">
      <c r="A1503" t="s">
        <v>39</v>
      </c>
      <c r="B1503" t="s">
        <v>40</v>
      </c>
      <c r="C1503" t="s">
        <v>14</v>
      </c>
      <c r="E1503" t="s">
        <v>9</v>
      </c>
      <c r="F1503" s="1" t="s">
        <v>2</v>
      </c>
      <c r="G1503" s="1">
        <v>45966</v>
      </c>
      <c r="H1503" t="s">
        <v>41</v>
      </c>
      <c r="I1503" s="2">
        <v>2313</v>
      </c>
      <c r="J1503" t="s">
        <v>1011</v>
      </c>
      <c r="K1503" s="7">
        <v>45962</v>
      </c>
    </row>
    <row r="1504" spans="1:11" hidden="1">
      <c r="A1504" t="s">
        <v>39</v>
      </c>
      <c r="B1504" t="s">
        <v>40</v>
      </c>
      <c r="C1504" t="s">
        <v>14</v>
      </c>
      <c r="D1504">
        <v>10027233</v>
      </c>
      <c r="E1504" t="s">
        <v>9</v>
      </c>
      <c r="F1504" s="1" t="s">
        <v>3</v>
      </c>
      <c r="G1504" s="1">
        <v>45847</v>
      </c>
      <c r="H1504" t="s">
        <v>41</v>
      </c>
      <c r="I1504" s="2">
        <v>2302</v>
      </c>
      <c r="J1504" t="s">
        <v>1012</v>
      </c>
      <c r="K1504" s="7">
        <v>45839</v>
      </c>
    </row>
    <row r="1505" spans="1:11" hidden="1">
      <c r="A1505" t="s">
        <v>39</v>
      </c>
      <c r="B1505" t="s">
        <v>40</v>
      </c>
      <c r="C1505" t="s">
        <v>14</v>
      </c>
      <c r="D1505">
        <v>10027255</v>
      </c>
      <c r="E1505" t="s">
        <v>9</v>
      </c>
      <c r="F1505" s="1" t="s">
        <v>2</v>
      </c>
      <c r="G1505" s="1">
        <v>45876</v>
      </c>
      <c r="H1505" t="s">
        <v>41</v>
      </c>
      <c r="I1505" s="2">
        <v>2300</v>
      </c>
      <c r="J1505" t="s">
        <v>426</v>
      </c>
      <c r="K1505" s="7">
        <v>45870</v>
      </c>
    </row>
    <row r="1506" spans="1:11" hidden="1">
      <c r="A1506" t="s">
        <v>39</v>
      </c>
      <c r="B1506" t="s">
        <v>40</v>
      </c>
      <c r="C1506" t="s">
        <v>14</v>
      </c>
      <c r="E1506" t="s">
        <v>9</v>
      </c>
      <c r="F1506" s="1" t="s">
        <v>2</v>
      </c>
      <c r="G1506" s="1">
        <v>45877</v>
      </c>
      <c r="H1506" t="s">
        <v>41</v>
      </c>
      <c r="I1506" s="2">
        <v>2300</v>
      </c>
      <c r="J1506" t="s">
        <v>426</v>
      </c>
      <c r="K1506" s="7">
        <v>45870</v>
      </c>
    </row>
    <row r="1507" spans="1:11" hidden="1">
      <c r="A1507" t="s">
        <v>56</v>
      </c>
      <c r="B1507" t="s">
        <v>40</v>
      </c>
      <c r="C1507" t="s">
        <v>14</v>
      </c>
      <c r="D1507">
        <v>10795</v>
      </c>
      <c r="E1507" t="s">
        <v>9</v>
      </c>
      <c r="F1507" s="1" t="s">
        <v>5</v>
      </c>
      <c r="G1507" s="1">
        <v>45926</v>
      </c>
      <c r="H1507" t="s">
        <v>41</v>
      </c>
      <c r="I1507" s="2">
        <v>2292.4499999999998</v>
      </c>
      <c r="J1507" t="s">
        <v>512</v>
      </c>
      <c r="K1507" s="7">
        <v>45901</v>
      </c>
    </row>
    <row r="1508" spans="1:11" hidden="1">
      <c r="A1508" t="s">
        <v>39</v>
      </c>
      <c r="B1508" t="s">
        <v>63</v>
      </c>
      <c r="C1508" t="s">
        <v>13</v>
      </c>
      <c r="D1508">
        <v>10026475</v>
      </c>
      <c r="E1508" t="s">
        <v>9</v>
      </c>
      <c r="F1508" t="s">
        <v>2</v>
      </c>
      <c r="G1508" s="1">
        <v>45779</v>
      </c>
      <c r="H1508" t="s">
        <v>41</v>
      </c>
      <c r="I1508" s="2">
        <v>2286.04</v>
      </c>
      <c r="J1508" t="s">
        <v>1013</v>
      </c>
      <c r="K1508" s="7">
        <v>45778</v>
      </c>
    </row>
    <row r="1509" spans="1:11" hidden="1">
      <c r="A1509" t="s">
        <v>39</v>
      </c>
      <c r="B1509" t="s">
        <v>40</v>
      </c>
      <c r="C1509" t="s">
        <v>14</v>
      </c>
      <c r="D1509">
        <v>10027577</v>
      </c>
      <c r="E1509" t="s">
        <v>9</v>
      </c>
      <c r="F1509" s="1" t="s">
        <v>4</v>
      </c>
      <c r="G1509" s="1">
        <v>45919</v>
      </c>
      <c r="H1509" t="s">
        <v>41</v>
      </c>
      <c r="I1509" s="2">
        <v>568</v>
      </c>
      <c r="J1509" t="s">
        <v>1014</v>
      </c>
      <c r="K1509" s="7">
        <v>45901</v>
      </c>
    </row>
    <row r="1510" spans="1:11" hidden="1">
      <c r="A1510" t="s">
        <v>39</v>
      </c>
      <c r="B1510" t="s">
        <v>63</v>
      </c>
      <c r="C1510" t="s">
        <v>14</v>
      </c>
      <c r="E1510" t="s">
        <v>9</v>
      </c>
      <c r="F1510" s="1" t="s">
        <v>6</v>
      </c>
      <c r="G1510" s="1">
        <v>45960</v>
      </c>
      <c r="H1510" t="s">
        <v>64</v>
      </c>
      <c r="I1510" s="2">
        <f>1162552.67/510</f>
        <v>2279.5150392156861</v>
      </c>
      <c r="J1510" s="47" t="s">
        <v>65</v>
      </c>
      <c r="K1510" s="7">
        <v>45931</v>
      </c>
    </row>
    <row r="1511" spans="1:11" hidden="1">
      <c r="A1511" t="s">
        <v>39</v>
      </c>
      <c r="B1511" t="s">
        <v>40</v>
      </c>
      <c r="C1511" t="s">
        <v>14</v>
      </c>
      <c r="D1511">
        <v>10027356</v>
      </c>
      <c r="E1511" t="s">
        <v>9</v>
      </c>
      <c r="F1511" s="1" t="s">
        <v>4</v>
      </c>
      <c r="G1511" s="1">
        <v>45919</v>
      </c>
      <c r="H1511" t="s">
        <v>41</v>
      </c>
      <c r="I1511" s="2">
        <v>233.68</v>
      </c>
      <c r="J1511" t="s">
        <v>1015</v>
      </c>
      <c r="K1511" s="7">
        <v>45901</v>
      </c>
    </row>
    <row r="1512" spans="1:11" hidden="1">
      <c r="A1512" t="s">
        <v>39</v>
      </c>
      <c r="B1512" t="s">
        <v>40</v>
      </c>
      <c r="C1512" t="s">
        <v>14</v>
      </c>
      <c r="E1512" t="s">
        <v>9</v>
      </c>
      <c r="F1512" s="52" t="s">
        <v>4</v>
      </c>
      <c r="G1512" s="1">
        <v>45919</v>
      </c>
      <c r="H1512" t="s">
        <v>41</v>
      </c>
      <c r="I1512" s="2">
        <v>125</v>
      </c>
      <c r="J1512" t="s">
        <v>1016</v>
      </c>
      <c r="K1512" s="7">
        <v>45901</v>
      </c>
    </row>
    <row r="1513" spans="1:11" hidden="1">
      <c r="A1513" t="s">
        <v>39</v>
      </c>
      <c r="B1513" t="s">
        <v>40</v>
      </c>
      <c r="C1513" t="s">
        <v>14</v>
      </c>
      <c r="D1513">
        <v>10027590</v>
      </c>
      <c r="E1513" t="s">
        <v>9</v>
      </c>
      <c r="F1513" s="1" t="s">
        <v>4</v>
      </c>
      <c r="G1513" s="1">
        <v>45920</v>
      </c>
      <c r="H1513" t="s">
        <v>41</v>
      </c>
      <c r="I1513" s="2">
        <v>5722.07</v>
      </c>
      <c r="J1513" t="s">
        <v>759</v>
      </c>
      <c r="K1513" s="7">
        <v>45901</v>
      </c>
    </row>
    <row r="1514" spans="1:11" hidden="1">
      <c r="A1514" t="s">
        <v>39</v>
      </c>
      <c r="B1514" t="s">
        <v>40</v>
      </c>
      <c r="C1514" t="s">
        <v>14</v>
      </c>
      <c r="D1514">
        <v>10027588</v>
      </c>
      <c r="E1514" t="s">
        <v>9</v>
      </c>
      <c r="F1514" s="1" t="s">
        <v>4</v>
      </c>
      <c r="G1514" s="1">
        <v>45920</v>
      </c>
      <c r="H1514" t="s">
        <v>41</v>
      </c>
      <c r="I1514" s="2">
        <v>5000</v>
      </c>
      <c r="J1514" t="s">
        <v>520</v>
      </c>
      <c r="K1514" s="7">
        <v>45901</v>
      </c>
    </row>
    <row r="1515" spans="1:11" hidden="1">
      <c r="A1515" t="s">
        <v>39</v>
      </c>
      <c r="B1515" t="s">
        <v>40</v>
      </c>
      <c r="C1515" t="s">
        <v>14</v>
      </c>
      <c r="D1515">
        <v>10027597</v>
      </c>
      <c r="E1515" t="s">
        <v>9</v>
      </c>
      <c r="F1515" s="1" t="s">
        <v>5</v>
      </c>
      <c r="G1515" s="1">
        <v>45922</v>
      </c>
      <c r="H1515" t="s">
        <v>41</v>
      </c>
      <c r="I1515" s="2">
        <v>2263.15</v>
      </c>
      <c r="J1515" t="s">
        <v>97</v>
      </c>
      <c r="K1515" s="7">
        <v>45901</v>
      </c>
    </row>
    <row r="1516" spans="1:11" hidden="1">
      <c r="A1516" t="s">
        <v>99</v>
      </c>
      <c r="B1516" t="s">
        <v>63</v>
      </c>
      <c r="C1516" t="s">
        <v>14</v>
      </c>
      <c r="E1516" t="s">
        <v>9</v>
      </c>
      <c r="F1516" s="1" t="s">
        <v>4</v>
      </c>
      <c r="G1516" s="1">
        <v>45920</v>
      </c>
      <c r="H1516" t="s">
        <v>41</v>
      </c>
      <c r="I1516" s="2">
        <v>3747.79</v>
      </c>
      <c r="J1516" t="s">
        <v>1017</v>
      </c>
      <c r="K1516" s="7">
        <v>45901</v>
      </c>
    </row>
    <row r="1517" spans="1:11" hidden="1">
      <c r="A1517" t="s">
        <v>39</v>
      </c>
      <c r="B1517" t="s">
        <v>40</v>
      </c>
      <c r="C1517" t="s">
        <v>12</v>
      </c>
      <c r="E1517" t="s">
        <v>9</v>
      </c>
      <c r="F1517" s="1" t="s">
        <v>3</v>
      </c>
      <c r="G1517" s="1">
        <v>45821</v>
      </c>
      <c r="H1517" t="s">
        <v>41</v>
      </c>
      <c r="I1517" s="2">
        <v>2263.13</v>
      </c>
      <c r="J1517" t="s">
        <v>97</v>
      </c>
      <c r="K1517" s="7">
        <v>45809</v>
      </c>
    </row>
    <row r="1518" spans="1:11" hidden="1">
      <c r="A1518" t="s">
        <v>39</v>
      </c>
      <c r="B1518" t="s">
        <v>40</v>
      </c>
      <c r="C1518" t="s">
        <v>14</v>
      </c>
      <c r="D1518">
        <v>10027591</v>
      </c>
      <c r="E1518" t="s">
        <v>9</v>
      </c>
      <c r="F1518" s="1" t="s">
        <v>4</v>
      </c>
      <c r="G1518" s="1">
        <v>45920</v>
      </c>
      <c r="H1518" t="s">
        <v>41</v>
      </c>
      <c r="I1518" s="2">
        <v>2000</v>
      </c>
      <c r="J1518" t="s">
        <v>978</v>
      </c>
      <c r="K1518" s="7">
        <v>45901</v>
      </c>
    </row>
    <row r="1519" spans="1:11" hidden="1">
      <c r="A1519" t="s">
        <v>39</v>
      </c>
      <c r="B1519" t="s">
        <v>40</v>
      </c>
      <c r="C1519" t="s">
        <v>14</v>
      </c>
      <c r="D1519">
        <v>10026499</v>
      </c>
      <c r="E1519" t="s">
        <v>9</v>
      </c>
      <c r="F1519" t="s">
        <v>2</v>
      </c>
      <c r="G1519" s="1">
        <v>45780</v>
      </c>
      <c r="H1519" t="s">
        <v>41</v>
      </c>
      <c r="I1519" s="2">
        <v>2263</v>
      </c>
      <c r="J1519" t="s">
        <v>97</v>
      </c>
      <c r="K1519" s="7">
        <v>45778</v>
      </c>
    </row>
    <row r="1520" spans="1:11" hidden="1">
      <c r="A1520" t="s">
        <v>39</v>
      </c>
      <c r="B1520" t="s">
        <v>40</v>
      </c>
      <c r="C1520" t="s">
        <v>14</v>
      </c>
      <c r="D1520">
        <v>10027308</v>
      </c>
      <c r="E1520" t="s">
        <v>9</v>
      </c>
      <c r="F1520" s="1" t="s">
        <v>3</v>
      </c>
      <c r="G1520" s="1">
        <v>45883</v>
      </c>
      <c r="H1520" t="s">
        <v>41</v>
      </c>
      <c r="I1520" s="2">
        <v>2263</v>
      </c>
      <c r="J1520" t="s">
        <v>97</v>
      </c>
      <c r="K1520" s="7">
        <v>45870</v>
      </c>
    </row>
    <row r="1521" spans="1:11" hidden="1">
      <c r="A1521" t="s">
        <v>39</v>
      </c>
      <c r="B1521" t="s">
        <v>40</v>
      </c>
      <c r="C1521" t="s">
        <v>14</v>
      </c>
      <c r="D1521">
        <v>10027589</v>
      </c>
      <c r="E1521" t="s">
        <v>9</v>
      </c>
      <c r="F1521" s="1" t="s">
        <v>4</v>
      </c>
      <c r="G1521" s="1">
        <v>45920</v>
      </c>
      <c r="H1521" t="s">
        <v>41</v>
      </c>
      <c r="I1521" s="2">
        <v>1000</v>
      </c>
      <c r="J1521" t="s">
        <v>759</v>
      </c>
      <c r="K1521" s="7">
        <v>45901</v>
      </c>
    </row>
    <row r="1522" spans="1:11" hidden="1">
      <c r="A1522" t="s">
        <v>39</v>
      </c>
      <c r="B1522" t="s">
        <v>40</v>
      </c>
      <c r="C1522" t="s">
        <v>14</v>
      </c>
      <c r="D1522">
        <v>10026501</v>
      </c>
      <c r="E1522" t="s">
        <v>9</v>
      </c>
      <c r="F1522" s="1" t="s">
        <v>3</v>
      </c>
      <c r="G1522" s="1">
        <v>45782</v>
      </c>
      <c r="H1522" t="s">
        <v>41</v>
      </c>
      <c r="I1522" s="2">
        <v>2246.19</v>
      </c>
      <c r="J1522" t="s">
        <v>1018</v>
      </c>
      <c r="K1522" s="7">
        <v>45778</v>
      </c>
    </row>
    <row r="1523" spans="1:11" hidden="1">
      <c r="A1523" t="s">
        <v>39</v>
      </c>
      <c r="B1523" t="s">
        <v>40</v>
      </c>
      <c r="C1523" t="s">
        <v>14</v>
      </c>
      <c r="D1523">
        <v>10027169</v>
      </c>
      <c r="E1523" t="s">
        <v>9</v>
      </c>
      <c r="F1523" s="1" t="s">
        <v>5</v>
      </c>
      <c r="G1523" s="1">
        <v>45864</v>
      </c>
      <c r="H1523" t="s">
        <v>41</v>
      </c>
      <c r="I1523" s="2">
        <v>2245</v>
      </c>
      <c r="J1523" t="s">
        <v>1019</v>
      </c>
      <c r="K1523" s="7">
        <v>45839</v>
      </c>
    </row>
    <row r="1524" spans="1:11" hidden="1">
      <c r="A1524" t="s">
        <v>39</v>
      </c>
      <c r="B1524" t="s">
        <v>45</v>
      </c>
      <c r="C1524" t="s">
        <v>14</v>
      </c>
      <c r="E1524" t="s">
        <v>9</v>
      </c>
      <c r="F1524" s="1" t="s">
        <v>3</v>
      </c>
      <c r="G1524" s="1">
        <v>45936</v>
      </c>
      <c r="H1524" t="s">
        <v>41</v>
      </c>
      <c r="I1524" s="2">
        <v>2239.7199999999998</v>
      </c>
      <c r="J1524" t="s">
        <v>1020</v>
      </c>
      <c r="K1524" s="7">
        <v>45931</v>
      </c>
    </row>
    <row r="1525" spans="1:11" hidden="1">
      <c r="A1525" t="s">
        <v>39</v>
      </c>
      <c r="B1525" t="s">
        <v>63</v>
      </c>
      <c r="C1525" t="s">
        <v>12</v>
      </c>
      <c r="D1525">
        <v>10026757</v>
      </c>
      <c r="E1525" t="s">
        <v>9</v>
      </c>
      <c r="F1525" s="1" t="s">
        <v>2</v>
      </c>
      <c r="G1525" s="1">
        <v>45812</v>
      </c>
      <c r="H1525" t="s">
        <v>41</v>
      </c>
      <c r="I1525" s="2">
        <v>2237.4</v>
      </c>
      <c r="J1525" t="s">
        <v>1021</v>
      </c>
      <c r="K1525" s="7">
        <v>45809</v>
      </c>
    </row>
    <row r="1526" spans="1:11" hidden="1">
      <c r="A1526" t="s">
        <v>56</v>
      </c>
      <c r="B1526" t="s">
        <v>40</v>
      </c>
      <c r="C1526" t="s">
        <v>14</v>
      </c>
      <c r="E1526" t="s">
        <v>9</v>
      </c>
      <c r="F1526" s="1" t="s">
        <v>3</v>
      </c>
      <c r="G1526" s="1">
        <v>45941</v>
      </c>
      <c r="H1526" t="s">
        <v>41</v>
      </c>
      <c r="I1526" s="2">
        <v>2237</v>
      </c>
      <c r="J1526" t="s">
        <v>1022</v>
      </c>
      <c r="K1526" s="7">
        <v>45931</v>
      </c>
    </row>
    <row r="1527" spans="1:11" hidden="1">
      <c r="A1527" t="s">
        <v>114</v>
      </c>
      <c r="B1527" t="s">
        <v>63</v>
      </c>
      <c r="C1527" t="s">
        <v>14</v>
      </c>
      <c r="E1527" t="s">
        <v>9</v>
      </c>
      <c r="F1527" s="1" t="s">
        <v>3</v>
      </c>
      <c r="G1527" s="1">
        <v>45849</v>
      </c>
      <c r="H1527" t="s">
        <v>64</v>
      </c>
      <c r="I1527" s="2">
        <f>1134211.51/508</f>
        <v>2232.6998228346456</v>
      </c>
      <c r="J1527" t="s">
        <v>541</v>
      </c>
      <c r="K1527" s="7">
        <v>45839</v>
      </c>
    </row>
    <row r="1528" spans="1:11" hidden="1">
      <c r="A1528" t="s">
        <v>39</v>
      </c>
      <c r="B1528" t="s">
        <v>45</v>
      </c>
      <c r="C1528" t="s">
        <v>14</v>
      </c>
      <c r="E1528" t="s">
        <v>9</v>
      </c>
      <c r="F1528" s="1" t="s">
        <v>6</v>
      </c>
      <c r="G1528" s="1">
        <v>45930</v>
      </c>
      <c r="H1528" t="s">
        <v>41</v>
      </c>
      <c r="I1528" s="2">
        <v>2224.29</v>
      </c>
      <c r="J1528" s="47" t="s">
        <v>283</v>
      </c>
      <c r="K1528" s="7">
        <v>45901</v>
      </c>
    </row>
    <row r="1529" spans="1:11" hidden="1">
      <c r="A1529" t="s">
        <v>39</v>
      </c>
      <c r="B1529" t="s">
        <v>40</v>
      </c>
      <c r="C1529" t="s">
        <v>14</v>
      </c>
      <c r="D1529">
        <v>10027150</v>
      </c>
      <c r="E1529" t="s">
        <v>9</v>
      </c>
      <c r="F1529" s="1" t="s">
        <v>5</v>
      </c>
      <c r="G1529" s="1">
        <v>45862</v>
      </c>
      <c r="H1529" t="s">
        <v>41</v>
      </c>
      <c r="I1529" s="2">
        <v>2211.67</v>
      </c>
      <c r="J1529" t="s">
        <v>633</v>
      </c>
      <c r="K1529" s="7">
        <v>45839</v>
      </c>
    </row>
    <row r="1530" spans="1:11" hidden="1">
      <c r="A1530" t="s">
        <v>39</v>
      </c>
      <c r="B1530" t="s">
        <v>40</v>
      </c>
      <c r="C1530" t="s">
        <v>14</v>
      </c>
      <c r="E1530" t="s">
        <v>9</v>
      </c>
      <c r="F1530" s="1" t="s">
        <v>3</v>
      </c>
      <c r="G1530" s="1">
        <v>45938</v>
      </c>
      <c r="H1530" t="s">
        <v>41</v>
      </c>
      <c r="I1530" s="2">
        <v>2205.67</v>
      </c>
      <c r="J1530" t="s">
        <v>1023</v>
      </c>
      <c r="K1530" s="7">
        <v>45931</v>
      </c>
    </row>
    <row r="1531" spans="1:11" hidden="1">
      <c r="A1531" t="s">
        <v>39</v>
      </c>
      <c r="B1531" t="s">
        <v>63</v>
      </c>
      <c r="C1531" t="s">
        <v>124</v>
      </c>
      <c r="D1531">
        <v>10026744</v>
      </c>
      <c r="E1531" t="s">
        <v>9</v>
      </c>
      <c r="F1531" s="1" t="s">
        <v>2</v>
      </c>
      <c r="G1531" s="1">
        <v>45811</v>
      </c>
      <c r="H1531" t="s">
        <v>41</v>
      </c>
      <c r="I1531" s="2">
        <v>2203.5</v>
      </c>
      <c r="J1531" t="s">
        <v>344</v>
      </c>
      <c r="K1531" s="7">
        <v>45809</v>
      </c>
    </row>
    <row r="1532" spans="1:11" hidden="1">
      <c r="A1532" t="s">
        <v>39</v>
      </c>
      <c r="B1532" t="s">
        <v>40</v>
      </c>
      <c r="C1532" t="s">
        <v>14</v>
      </c>
      <c r="E1532" t="s">
        <v>9</v>
      </c>
      <c r="F1532" s="1" t="s">
        <v>5</v>
      </c>
      <c r="G1532" s="1">
        <v>45925</v>
      </c>
      <c r="H1532" t="s">
        <v>41</v>
      </c>
      <c r="I1532" s="2">
        <v>2203.5</v>
      </c>
      <c r="J1532" t="s">
        <v>1024</v>
      </c>
      <c r="K1532" s="7">
        <v>45901</v>
      </c>
    </row>
    <row r="1533" spans="1:11" hidden="1">
      <c r="A1533" t="s">
        <v>39</v>
      </c>
      <c r="B1533" t="s">
        <v>45</v>
      </c>
      <c r="C1533" t="s">
        <v>14</v>
      </c>
      <c r="D1533">
        <v>10026642</v>
      </c>
      <c r="E1533" t="s">
        <v>9</v>
      </c>
      <c r="F1533" s="1" t="s">
        <v>5</v>
      </c>
      <c r="G1533" s="1">
        <v>45799</v>
      </c>
      <c r="H1533" t="s">
        <v>41</v>
      </c>
      <c r="I1533" s="2">
        <v>2198.12</v>
      </c>
      <c r="J1533" t="s">
        <v>1025</v>
      </c>
      <c r="K1533" s="7">
        <v>45778</v>
      </c>
    </row>
    <row r="1534" spans="1:11" hidden="1">
      <c r="A1534" t="s">
        <v>39</v>
      </c>
      <c r="B1534" t="s">
        <v>40</v>
      </c>
      <c r="C1534" t="s">
        <v>14</v>
      </c>
      <c r="E1534" t="s">
        <v>9</v>
      </c>
      <c r="F1534" s="1" t="s">
        <v>3</v>
      </c>
      <c r="G1534" s="1">
        <v>45819</v>
      </c>
      <c r="H1534" t="s">
        <v>41</v>
      </c>
      <c r="I1534" s="2">
        <v>2192</v>
      </c>
      <c r="J1534" t="s">
        <v>783</v>
      </c>
      <c r="K1534" s="7">
        <v>45809</v>
      </c>
    </row>
    <row r="1535" spans="1:11" hidden="1">
      <c r="A1535" t="s">
        <v>39</v>
      </c>
      <c r="B1535" t="s">
        <v>40</v>
      </c>
      <c r="C1535" t="s">
        <v>14</v>
      </c>
      <c r="E1535" t="s">
        <v>9</v>
      </c>
      <c r="F1535" s="1" t="s">
        <v>2</v>
      </c>
      <c r="G1535" s="1">
        <v>45996</v>
      </c>
      <c r="H1535" t="s">
        <v>41</v>
      </c>
      <c r="I1535" s="2">
        <v>2192</v>
      </c>
      <c r="J1535" s="47" t="s">
        <v>1026</v>
      </c>
      <c r="K1535" s="7">
        <v>45992</v>
      </c>
    </row>
    <row r="1536" spans="1:11" hidden="1">
      <c r="A1536" t="s">
        <v>39</v>
      </c>
      <c r="B1536" t="s">
        <v>40</v>
      </c>
      <c r="C1536" t="s">
        <v>14</v>
      </c>
      <c r="E1536" t="s">
        <v>9</v>
      </c>
      <c r="F1536" s="1" t="s">
        <v>2</v>
      </c>
      <c r="G1536" s="1">
        <v>45996</v>
      </c>
      <c r="H1536" t="s">
        <v>41</v>
      </c>
      <c r="I1536" s="2">
        <v>2183</v>
      </c>
      <c r="J1536" s="47" t="s">
        <v>1027</v>
      </c>
      <c r="K1536" s="7">
        <v>45992</v>
      </c>
    </row>
    <row r="1537" spans="1:11" hidden="1">
      <c r="A1537" t="s">
        <v>39</v>
      </c>
      <c r="B1537" t="s">
        <v>40</v>
      </c>
      <c r="C1537" t="s">
        <v>14</v>
      </c>
      <c r="D1537">
        <v>10028286</v>
      </c>
      <c r="E1537" t="s">
        <v>9</v>
      </c>
      <c r="F1537" s="1" t="s">
        <v>2</v>
      </c>
      <c r="G1537" s="1">
        <v>45996</v>
      </c>
      <c r="H1537" t="s">
        <v>41</v>
      </c>
      <c r="I1537" s="2">
        <v>2183</v>
      </c>
      <c r="J1537" t="s">
        <v>1027</v>
      </c>
      <c r="K1537" s="7">
        <v>45992</v>
      </c>
    </row>
    <row r="1538" spans="1:11" hidden="1">
      <c r="A1538" t="s">
        <v>39</v>
      </c>
      <c r="B1538" t="s">
        <v>40</v>
      </c>
      <c r="C1538" t="s">
        <v>14</v>
      </c>
      <c r="E1538" t="s">
        <v>9</v>
      </c>
      <c r="F1538" s="1" t="s">
        <v>6</v>
      </c>
      <c r="G1538" s="1">
        <v>45805</v>
      </c>
      <c r="H1538" t="s">
        <v>41</v>
      </c>
      <c r="I1538" s="2">
        <v>2177</v>
      </c>
      <c r="J1538" t="s">
        <v>1028</v>
      </c>
      <c r="K1538" s="7">
        <v>45778</v>
      </c>
    </row>
    <row r="1539" spans="1:11" hidden="1">
      <c r="A1539" t="s">
        <v>39</v>
      </c>
      <c r="B1539" t="s">
        <v>40</v>
      </c>
      <c r="C1539" t="s">
        <v>14</v>
      </c>
      <c r="E1539" t="s">
        <v>9</v>
      </c>
      <c r="F1539" s="1" t="s">
        <v>2</v>
      </c>
      <c r="G1539" s="1">
        <v>45994</v>
      </c>
      <c r="H1539" t="s">
        <v>41</v>
      </c>
      <c r="I1539" s="2">
        <v>2177</v>
      </c>
      <c r="J1539" t="s">
        <v>1029</v>
      </c>
      <c r="K1539" s="7">
        <v>45992</v>
      </c>
    </row>
    <row r="1540" spans="1:11" hidden="1">
      <c r="A1540" t="s">
        <v>39</v>
      </c>
      <c r="B1540" t="s">
        <v>47</v>
      </c>
      <c r="C1540" t="s">
        <v>14</v>
      </c>
      <c r="E1540" t="s">
        <v>9</v>
      </c>
      <c r="F1540" s="1" t="s">
        <v>2</v>
      </c>
      <c r="G1540" s="1">
        <v>45995</v>
      </c>
      <c r="H1540" t="s">
        <v>41</v>
      </c>
      <c r="I1540" s="2">
        <v>2169.1</v>
      </c>
      <c r="J1540" t="s">
        <v>1030</v>
      </c>
      <c r="K1540" s="7">
        <v>45992</v>
      </c>
    </row>
    <row r="1541" spans="1:11" hidden="1">
      <c r="A1541" t="s">
        <v>39</v>
      </c>
      <c r="B1541" t="s">
        <v>63</v>
      </c>
      <c r="C1541" t="s">
        <v>14</v>
      </c>
      <c r="E1541" t="s">
        <v>9</v>
      </c>
      <c r="F1541" s="1" t="s">
        <v>3</v>
      </c>
      <c r="G1541" s="1">
        <v>46002</v>
      </c>
      <c r="H1541" t="s">
        <v>64</v>
      </c>
      <c r="I1541" s="2">
        <f>1100180.47/510</f>
        <v>2157.2166078431374</v>
      </c>
      <c r="J1541" t="s">
        <v>1031</v>
      </c>
      <c r="K1541" s="7">
        <v>45992</v>
      </c>
    </row>
    <row r="1542" spans="1:11" hidden="1">
      <c r="A1542" t="s">
        <v>39</v>
      </c>
      <c r="B1542" t="s">
        <v>45</v>
      </c>
      <c r="C1542" t="s">
        <v>14</v>
      </c>
      <c r="D1542">
        <v>10026898</v>
      </c>
      <c r="E1542" t="s">
        <v>9</v>
      </c>
      <c r="F1542" s="1" t="s">
        <v>5</v>
      </c>
      <c r="G1542" s="1">
        <v>45829</v>
      </c>
      <c r="H1542" t="s">
        <v>41</v>
      </c>
      <c r="I1542" s="2">
        <v>2151.85</v>
      </c>
      <c r="J1542" t="s">
        <v>1032</v>
      </c>
      <c r="K1542" s="7">
        <v>45809</v>
      </c>
    </row>
    <row r="1543" spans="1:11" hidden="1">
      <c r="A1543" t="s">
        <v>39</v>
      </c>
      <c r="B1543" t="s">
        <v>47</v>
      </c>
      <c r="C1543" t="s">
        <v>14</v>
      </c>
      <c r="D1543">
        <v>10027658</v>
      </c>
      <c r="E1543" t="s">
        <v>9</v>
      </c>
      <c r="F1543" s="1" t="s">
        <v>4</v>
      </c>
      <c r="G1543" s="1">
        <v>45926</v>
      </c>
      <c r="H1543" t="s">
        <v>41</v>
      </c>
      <c r="I1543" s="2">
        <v>5977.91</v>
      </c>
      <c r="J1543" t="s">
        <v>1033</v>
      </c>
      <c r="K1543" s="7">
        <v>45901</v>
      </c>
    </row>
    <row r="1544" spans="1:11" hidden="1">
      <c r="A1544" t="s">
        <v>39</v>
      </c>
      <c r="B1544" t="s">
        <v>40</v>
      </c>
      <c r="C1544" t="s">
        <v>14</v>
      </c>
      <c r="E1544" t="s">
        <v>9</v>
      </c>
      <c r="F1544" s="1" t="s">
        <v>5</v>
      </c>
      <c r="G1544" s="1">
        <v>45951</v>
      </c>
      <c r="H1544" t="s">
        <v>41</v>
      </c>
      <c r="I1544" s="2">
        <v>2146</v>
      </c>
      <c r="J1544" t="s">
        <v>1034</v>
      </c>
      <c r="K1544" s="7">
        <v>45931</v>
      </c>
    </row>
    <row r="1545" spans="1:11" hidden="1">
      <c r="A1545" t="s">
        <v>39</v>
      </c>
      <c r="B1545" t="s">
        <v>40</v>
      </c>
      <c r="C1545" t="s">
        <v>14</v>
      </c>
      <c r="D1545">
        <v>10026529</v>
      </c>
      <c r="E1545" t="s">
        <v>9</v>
      </c>
      <c r="F1545" s="1" t="s">
        <v>3</v>
      </c>
      <c r="G1545" s="1">
        <v>45785</v>
      </c>
      <c r="H1545" t="s">
        <v>41</v>
      </c>
      <c r="I1545" s="2">
        <v>2145</v>
      </c>
      <c r="J1545" t="s">
        <v>1035</v>
      </c>
      <c r="K1545" s="7">
        <v>45778</v>
      </c>
    </row>
    <row r="1546" spans="1:11" hidden="1">
      <c r="A1546" t="s">
        <v>39</v>
      </c>
      <c r="B1546" t="s">
        <v>63</v>
      </c>
      <c r="C1546" t="s">
        <v>14</v>
      </c>
      <c r="D1546">
        <v>10027736</v>
      </c>
      <c r="E1546" t="s">
        <v>9</v>
      </c>
      <c r="F1546" s="1" t="s">
        <v>4</v>
      </c>
      <c r="G1546" s="1">
        <v>45939</v>
      </c>
      <c r="H1546" t="s">
        <v>41</v>
      </c>
      <c r="I1546" s="2">
        <v>5977.49</v>
      </c>
      <c r="J1546" t="s">
        <v>638</v>
      </c>
      <c r="K1546" s="7">
        <v>45931</v>
      </c>
    </row>
    <row r="1547" spans="1:11" hidden="1">
      <c r="A1547" t="s">
        <v>39</v>
      </c>
      <c r="B1547" t="s">
        <v>40</v>
      </c>
      <c r="C1547" t="s">
        <v>14</v>
      </c>
      <c r="D1547">
        <v>10027800</v>
      </c>
      <c r="E1547" t="s">
        <v>9</v>
      </c>
      <c r="F1547" s="1" t="s">
        <v>3</v>
      </c>
      <c r="G1547" s="1">
        <v>45849</v>
      </c>
      <c r="H1547" t="s">
        <v>41</v>
      </c>
      <c r="I1547" s="2">
        <v>2120.38</v>
      </c>
      <c r="J1547" t="s">
        <v>1036</v>
      </c>
      <c r="K1547" s="7">
        <v>45839</v>
      </c>
    </row>
    <row r="1548" spans="1:11" hidden="1">
      <c r="A1548" t="s">
        <v>39</v>
      </c>
      <c r="B1548" t="s">
        <v>45</v>
      </c>
      <c r="C1548" t="s">
        <v>14</v>
      </c>
      <c r="D1548">
        <v>10027127</v>
      </c>
      <c r="E1548" t="s">
        <v>9</v>
      </c>
      <c r="F1548" s="1" t="s">
        <v>5</v>
      </c>
      <c r="G1548" s="1">
        <v>45859</v>
      </c>
      <c r="H1548" t="s">
        <v>41</v>
      </c>
      <c r="I1548" s="2">
        <v>2118.75</v>
      </c>
      <c r="J1548" t="s">
        <v>1037</v>
      </c>
      <c r="K1548" s="7">
        <v>45839</v>
      </c>
    </row>
    <row r="1549" spans="1:11" hidden="1">
      <c r="A1549" t="s">
        <v>114</v>
      </c>
      <c r="B1549" t="s">
        <v>63</v>
      </c>
      <c r="C1549" t="s">
        <v>13</v>
      </c>
      <c r="E1549" t="s">
        <v>9</v>
      </c>
      <c r="F1549" s="1" t="s">
        <v>5</v>
      </c>
      <c r="G1549" s="1">
        <v>45833</v>
      </c>
      <c r="H1549" t="s">
        <v>64</v>
      </c>
      <c r="I1549" s="2">
        <f>1074945.39/508</f>
        <v>2116.0342322834645</v>
      </c>
      <c r="J1549" t="s">
        <v>190</v>
      </c>
      <c r="K1549" s="7">
        <v>45809</v>
      </c>
    </row>
    <row r="1550" spans="1:11" hidden="1">
      <c r="A1550" t="s">
        <v>114</v>
      </c>
      <c r="B1550" t="s">
        <v>63</v>
      </c>
      <c r="C1550" t="s">
        <v>13</v>
      </c>
      <c r="E1550" t="s">
        <v>9</v>
      </c>
      <c r="F1550" s="1" t="s">
        <v>4</v>
      </c>
      <c r="G1550" s="1">
        <v>45943</v>
      </c>
      <c r="H1550" t="s">
        <v>64</v>
      </c>
      <c r="I1550" s="2">
        <f>31282717.07/510</f>
        <v>61338.660921568626</v>
      </c>
      <c r="J1550" t="s">
        <v>1038</v>
      </c>
      <c r="K1550" s="7">
        <v>45931</v>
      </c>
    </row>
    <row r="1551" spans="1:11" hidden="1">
      <c r="A1551" t="s">
        <v>39</v>
      </c>
      <c r="B1551" t="s">
        <v>47</v>
      </c>
      <c r="C1551" t="s">
        <v>12</v>
      </c>
      <c r="E1551" t="s">
        <v>8</v>
      </c>
      <c r="F1551" s="1" t="s">
        <v>2</v>
      </c>
      <c r="G1551" s="1">
        <v>45933</v>
      </c>
      <c r="H1551" t="s">
        <v>41</v>
      </c>
      <c r="I1551" s="2">
        <v>474858</v>
      </c>
      <c r="J1551" t="s">
        <v>1039</v>
      </c>
      <c r="K1551" s="7">
        <v>45931</v>
      </c>
    </row>
    <row r="1552" spans="1:11" hidden="1">
      <c r="A1552" t="s">
        <v>39</v>
      </c>
      <c r="B1552" t="s">
        <v>63</v>
      </c>
      <c r="C1552" t="s">
        <v>13</v>
      </c>
      <c r="E1552" t="s">
        <v>8</v>
      </c>
      <c r="F1552" s="1" t="s">
        <v>2</v>
      </c>
      <c r="G1552" s="1">
        <v>45933</v>
      </c>
      <c r="H1552" t="s">
        <v>41</v>
      </c>
      <c r="I1552" s="2">
        <v>75000</v>
      </c>
      <c r="J1552" t="s">
        <v>201</v>
      </c>
      <c r="K1552" s="7">
        <v>45931</v>
      </c>
    </row>
    <row r="1553" spans="1:11" hidden="1">
      <c r="A1553" t="s">
        <v>99</v>
      </c>
      <c r="B1553" t="s">
        <v>63</v>
      </c>
      <c r="C1553" t="s">
        <v>14</v>
      </c>
      <c r="E1553" t="s">
        <v>8</v>
      </c>
      <c r="F1553" s="1" t="s">
        <v>2</v>
      </c>
      <c r="G1553" s="1">
        <v>45933</v>
      </c>
      <c r="H1553" t="s">
        <v>41</v>
      </c>
      <c r="I1553" s="2">
        <v>10000</v>
      </c>
      <c r="J1553" t="s">
        <v>745</v>
      </c>
      <c r="K1553" s="7">
        <v>45931</v>
      </c>
    </row>
    <row r="1554" spans="1:11" hidden="1">
      <c r="A1554" t="s">
        <v>39</v>
      </c>
      <c r="B1554" t="s">
        <v>40</v>
      </c>
      <c r="C1554" t="s">
        <v>14</v>
      </c>
      <c r="E1554" t="s">
        <v>8</v>
      </c>
      <c r="F1554" s="1" t="s">
        <v>2</v>
      </c>
      <c r="G1554" s="1">
        <v>45933</v>
      </c>
      <c r="H1554" t="s">
        <v>41</v>
      </c>
      <c r="I1554" s="2">
        <v>60000</v>
      </c>
      <c r="J1554" t="s">
        <v>98</v>
      </c>
      <c r="K1554" s="7">
        <v>45931</v>
      </c>
    </row>
    <row r="1555" spans="1:11" hidden="1">
      <c r="A1555" t="s">
        <v>56</v>
      </c>
      <c r="B1555" t="s">
        <v>40</v>
      </c>
      <c r="C1555" t="s">
        <v>14</v>
      </c>
      <c r="E1555" t="s">
        <v>8</v>
      </c>
      <c r="F1555" s="1" t="s">
        <v>2</v>
      </c>
      <c r="G1555" s="1">
        <v>45933</v>
      </c>
      <c r="H1555" t="s">
        <v>41</v>
      </c>
      <c r="I1555" s="2">
        <v>25000</v>
      </c>
      <c r="J1555" t="s">
        <v>98</v>
      </c>
      <c r="K1555" s="7">
        <v>45931</v>
      </c>
    </row>
    <row r="1556" spans="1:11" hidden="1">
      <c r="A1556" t="s">
        <v>39</v>
      </c>
      <c r="B1556" t="s">
        <v>45</v>
      </c>
      <c r="C1556" t="s">
        <v>14</v>
      </c>
      <c r="E1556" t="s">
        <v>8</v>
      </c>
      <c r="F1556" s="1" t="s">
        <v>2</v>
      </c>
      <c r="G1556" s="1">
        <v>45933</v>
      </c>
      <c r="H1556" t="s">
        <v>41</v>
      </c>
      <c r="I1556" s="2">
        <v>23399</v>
      </c>
      <c r="J1556" t="s">
        <v>1040</v>
      </c>
      <c r="K1556" s="7">
        <v>45931</v>
      </c>
    </row>
    <row r="1557" spans="1:11" hidden="1">
      <c r="A1557" t="s">
        <v>39</v>
      </c>
      <c r="B1557" t="s">
        <v>45</v>
      </c>
      <c r="C1557" t="s">
        <v>13</v>
      </c>
      <c r="E1557" t="s">
        <v>8</v>
      </c>
      <c r="F1557" s="1" t="s">
        <v>2</v>
      </c>
      <c r="G1557" s="1">
        <v>45933</v>
      </c>
      <c r="H1557" t="s">
        <v>41</v>
      </c>
      <c r="I1557" s="2">
        <v>13426.31</v>
      </c>
      <c r="J1557" t="s">
        <v>88</v>
      </c>
      <c r="K1557" s="7">
        <v>45931</v>
      </c>
    </row>
    <row r="1558" spans="1:11" hidden="1">
      <c r="A1558" t="s">
        <v>39</v>
      </c>
      <c r="B1558" t="s">
        <v>45</v>
      </c>
      <c r="C1558" t="s">
        <v>14</v>
      </c>
      <c r="E1558" t="s">
        <v>8</v>
      </c>
      <c r="F1558" s="1" t="s">
        <v>2</v>
      </c>
      <c r="G1558" s="1">
        <v>45933</v>
      </c>
      <c r="H1558" t="s">
        <v>41</v>
      </c>
      <c r="I1558" s="2">
        <v>12152.58</v>
      </c>
      <c r="J1558" t="s">
        <v>378</v>
      </c>
      <c r="K1558" s="7">
        <v>45931</v>
      </c>
    </row>
    <row r="1559" spans="1:11" hidden="1">
      <c r="A1559" t="s">
        <v>39</v>
      </c>
      <c r="B1559" t="s">
        <v>45</v>
      </c>
      <c r="C1559" t="s">
        <v>13</v>
      </c>
      <c r="E1559" t="s">
        <v>8</v>
      </c>
      <c r="F1559" s="1" t="s">
        <v>2</v>
      </c>
      <c r="G1559" s="1">
        <v>45933</v>
      </c>
      <c r="H1559" t="s">
        <v>41</v>
      </c>
      <c r="I1559" s="2">
        <v>11787.33</v>
      </c>
      <c r="J1559" t="s">
        <v>217</v>
      </c>
      <c r="K1559" s="7">
        <v>45931</v>
      </c>
    </row>
    <row r="1560" spans="1:11" hidden="1">
      <c r="A1560" t="s">
        <v>39</v>
      </c>
      <c r="B1560" t="s">
        <v>47</v>
      </c>
      <c r="C1560" t="s">
        <v>14</v>
      </c>
      <c r="E1560" t="s">
        <v>8</v>
      </c>
      <c r="F1560" s="1" t="s">
        <v>2</v>
      </c>
      <c r="G1560" s="1">
        <v>45933</v>
      </c>
      <c r="H1560" t="s">
        <v>41</v>
      </c>
      <c r="I1560" s="2">
        <v>10123</v>
      </c>
      <c r="J1560" t="s">
        <v>539</v>
      </c>
      <c r="K1560" s="7">
        <v>45931</v>
      </c>
    </row>
    <row r="1561" spans="1:11" hidden="1">
      <c r="A1561" t="s">
        <v>39</v>
      </c>
      <c r="B1561" t="s">
        <v>45</v>
      </c>
      <c r="C1561" t="s">
        <v>14</v>
      </c>
      <c r="E1561" t="s">
        <v>8</v>
      </c>
      <c r="F1561" s="1" t="s">
        <v>2</v>
      </c>
      <c r="G1561" s="1">
        <v>45933</v>
      </c>
      <c r="H1561" t="s">
        <v>41</v>
      </c>
      <c r="I1561" s="2">
        <v>9173.27</v>
      </c>
      <c r="J1561" t="s">
        <v>217</v>
      </c>
      <c r="K1561" s="7">
        <v>45931</v>
      </c>
    </row>
    <row r="1562" spans="1:11" hidden="1">
      <c r="A1562" t="s">
        <v>39</v>
      </c>
      <c r="B1562" t="s">
        <v>45</v>
      </c>
      <c r="C1562" t="s">
        <v>14</v>
      </c>
      <c r="E1562" t="s">
        <v>8</v>
      </c>
      <c r="F1562" s="1" t="s">
        <v>2</v>
      </c>
      <c r="G1562" s="1">
        <v>45933</v>
      </c>
      <c r="H1562" t="s">
        <v>41</v>
      </c>
      <c r="I1562" s="2">
        <v>7892</v>
      </c>
      <c r="J1562" t="s">
        <v>1040</v>
      </c>
      <c r="K1562" s="7">
        <v>45931</v>
      </c>
    </row>
    <row r="1563" spans="1:11" hidden="1">
      <c r="A1563" t="s">
        <v>39</v>
      </c>
      <c r="B1563" t="s">
        <v>47</v>
      </c>
      <c r="C1563" t="s">
        <v>14</v>
      </c>
      <c r="E1563" t="s">
        <v>8</v>
      </c>
      <c r="F1563" s="1" t="s">
        <v>2</v>
      </c>
      <c r="G1563" s="1">
        <v>45933</v>
      </c>
      <c r="H1563" t="s">
        <v>41</v>
      </c>
      <c r="I1563" s="2">
        <v>7881</v>
      </c>
      <c r="J1563" t="s">
        <v>211</v>
      </c>
      <c r="K1563" s="7">
        <v>45931</v>
      </c>
    </row>
    <row r="1564" spans="1:11" hidden="1">
      <c r="A1564" t="s">
        <v>39</v>
      </c>
      <c r="B1564" t="s">
        <v>45</v>
      </c>
      <c r="C1564" t="s">
        <v>14</v>
      </c>
      <c r="E1564" t="s">
        <v>8</v>
      </c>
      <c r="F1564" s="1" t="s">
        <v>2</v>
      </c>
      <c r="G1564" s="1">
        <v>45933</v>
      </c>
      <c r="H1564" t="s">
        <v>41</v>
      </c>
      <c r="I1564" s="2">
        <v>91.2</v>
      </c>
      <c r="J1564" t="s">
        <v>1040</v>
      </c>
      <c r="K1564" s="7">
        <v>45931</v>
      </c>
    </row>
    <row r="1565" spans="1:11" hidden="1">
      <c r="A1565" t="s">
        <v>39</v>
      </c>
      <c r="B1565" t="s">
        <v>40</v>
      </c>
      <c r="C1565" t="s">
        <v>14</v>
      </c>
      <c r="E1565" t="s">
        <v>9</v>
      </c>
      <c r="F1565" s="1" t="s">
        <v>4</v>
      </c>
      <c r="G1565" s="1">
        <v>45943</v>
      </c>
      <c r="H1565" t="s">
        <v>41</v>
      </c>
      <c r="I1565" s="2">
        <v>7840</v>
      </c>
      <c r="J1565" s="47" t="s">
        <v>1041</v>
      </c>
      <c r="K1565" s="7">
        <v>45931</v>
      </c>
    </row>
    <row r="1566" spans="1:11" hidden="1">
      <c r="A1566" t="s">
        <v>39</v>
      </c>
      <c r="B1566" t="s">
        <v>40</v>
      </c>
      <c r="C1566" t="s">
        <v>14</v>
      </c>
      <c r="D1566">
        <v>10027187</v>
      </c>
      <c r="E1566" t="s">
        <v>9</v>
      </c>
      <c r="F1566" s="1" t="s">
        <v>5</v>
      </c>
      <c r="G1566" s="1">
        <v>45864</v>
      </c>
      <c r="H1566" t="s">
        <v>41</v>
      </c>
      <c r="I1566" s="2">
        <v>2100</v>
      </c>
      <c r="J1566" t="s">
        <v>1042</v>
      </c>
      <c r="K1566" s="7">
        <v>45839</v>
      </c>
    </row>
    <row r="1567" spans="1:11" hidden="1">
      <c r="A1567" t="s">
        <v>39</v>
      </c>
      <c r="B1567" t="s">
        <v>45</v>
      </c>
      <c r="C1567" t="s">
        <v>14</v>
      </c>
      <c r="E1567" t="s">
        <v>9</v>
      </c>
      <c r="F1567" s="1" t="s">
        <v>4</v>
      </c>
      <c r="G1567" s="1">
        <v>45943</v>
      </c>
      <c r="H1567" t="s">
        <v>41</v>
      </c>
      <c r="I1567" s="2">
        <v>6152.57</v>
      </c>
      <c r="J1567" t="s">
        <v>1043</v>
      </c>
      <c r="K1567" s="7">
        <v>45931</v>
      </c>
    </row>
    <row r="1568" spans="1:11" hidden="1">
      <c r="A1568" t="s">
        <v>114</v>
      </c>
      <c r="B1568" t="s">
        <v>63</v>
      </c>
      <c r="C1568" t="s">
        <v>13</v>
      </c>
      <c r="E1568" t="s">
        <v>9</v>
      </c>
      <c r="F1568" s="1" t="s">
        <v>5</v>
      </c>
      <c r="G1568" s="1">
        <v>45952</v>
      </c>
      <c r="H1568" t="s">
        <v>41</v>
      </c>
      <c r="I1568" s="2">
        <v>2068.2399999999998</v>
      </c>
      <c r="J1568" t="s">
        <v>465</v>
      </c>
      <c r="K1568" s="7">
        <v>45931</v>
      </c>
    </row>
    <row r="1569" spans="1:11" hidden="1">
      <c r="A1569" t="s">
        <v>39</v>
      </c>
      <c r="B1569" t="s">
        <v>40</v>
      </c>
      <c r="C1569" t="s">
        <v>14</v>
      </c>
      <c r="D1569">
        <v>10027761</v>
      </c>
      <c r="E1569" t="s">
        <v>9</v>
      </c>
      <c r="F1569" s="1" t="s">
        <v>4</v>
      </c>
      <c r="G1569" s="1">
        <v>45943</v>
      </c>
      <c r="H1569" t="s">
        <v>41</v>
      </c>
      <c r="I1569" s="2">
        <v>1700</v>
      </c>
      <c r="J1569" t="s">
        <v>1044</v>
      </c>
      <c r="K1569" s="7">
        <v>45931</v>
      </c>
    </row>
    <row r="1570" spans="1:11" hidden="1">
      <c r="A1570" t="s">
        <v>39</v>
      </c>
      <c r="B1570" t="s">
        <v>47</v>
      </c>
      <c r="C1570" t="s">
        <v>13</v>
      </c>
      <c r="E1570" t="s">
        <v>9</v>
      </c>
      <c r="F1570" s="1" t="s">
        <v>6</v>
      </c>
      <c r="G1570" s="1">
        <v>45958</v>
      </c>
      <c r="H1570" t="s">
        <v>41</v>
      </c>
      <c r="I1570" s="2">
        <v>2056.6</v>
      </c>
      <c r="J1570" t="s">
        <v>1045</v>
      </c>
      <c r="K1570" s="7">
        <v>45931</v>
      </c>
    </row>
    <row r="1571" spans="1:11" hidden="1">
      <c r="A1571" t="s">
        <v>39</v>
      </c>
      <c r="B1571" t="s">
        <v>144</v>
      </c>
      <c r="C1571" t="s">
        <v>14</v>
      </c>
      <c r="E1571" t="s">
        <v>9</v>
      </c>
      <c r="F1571" s="1" t="s">
        <v>4</v>
      </c>
      <c r="G1571" s="1">
        <v>45943</v>
      </c>
      <c r="H1571" t="s">
        <v>64</v>
      </c>
      <c r="I1571" s="2">
        <f>524320/510</f>
        <v>1028.0784313725489</v>
      </c>
      <c r="J1571" s="47" t="s">
        <v>1046</v>
      </c>
      <c r="K1571" s="7">
        <v>45931</v>
      </c>
    </row>
    <row r="1572" spans="1:11" hidden="1">
      <c r="A1572" t="s">
        <v>39</v>
      </c>
      <c r="B1572" t="s">
        <v>40</v>
      </c>
      <c r="C1572" t="s">
        <v>14</v>
      </c>
      <c r="E1572" t="s">
        <v>9</v>
      </c>
      <c r="F1572" s="1" t="s">
        <v>5</v>
      </c>
      <c r="G1572" s="1">
        <v>45988</v>
      </c>
      <c r="H1572" t="s">
        <v>41</v>
      </c>
      <c r="I1572" s="2">
        <v>2046</v>
      </c>
      <c r="J1572" s="47" t="s">
        <v>1047</v>
      </c>
      <c r="K1572" s="7">
        <v>45962</v>
      </c>
    </row>
    <row r="1573" spans="1:11" hidden="1">
      <c r="A1573" t="s">
        <v>39</v>
      </c>
      <c r="B1573" t="s">
        <v>47</v>
      </c>
      <c r="C1573" t="s">
        <v>14</v>
      </c>
      <c r="E1573" t="s">
        <v>9</v>
      </c>
      <c r="F1573" s="1" t="s">
        <v>4</v>
      </c>
      <c r="G1573" s="1">
        <v>45944</v>
      </c>
      <c r="H1573" t="s">
        <v>41</v>
      </c>
      <c r="I1573" s="2">
        <v>57356.97</v>
      </c>
      <c r="J1573" t="s">
        <v>1048</v>
      </c>
      <c r="K1573" s="7">
        <v>45931</v>
      </c>
    </row>
    <row r="1574" spans="1:11" hidden="1">
      <c r="A1574" t="s">
        <v>39</v>
      </c>
      <c r="B1574" t="s">
        <v>47</v>
      </c>
      <c r="C1574" t="s">
        <v>13</v>
      </c>
      <c r="E1574" t="s">
        <v>9</v>
      </c>
      <c r="F1574" s="1" t="s">
        <v>4</v>
      </c>
      <c r="G1574" s="1">
        <v>45944</v>
      </c>
      <c r="H1574" t="s">
        <v>64</v>
      </c>
      <c r="I1574" s="2">
        <f>13053333.09/510</f>
        <v>25594.770764705881</v>
      </c>
      <c r="J1574" t="s">
        <v>135</v>
      </c>
      <c r="K1574" s="7">
        <v>45931</v>
      </c>
    </row>
    <row r="1575" spans="1:11" hidden="1">
      <c r="A1575" t="s">
        <v>39</v>
      </c>
      <c r="B1575" t="s">
        <v>40</v>
      </c>
      <c r="C1575" t="s">
        <v>14</v>
      </c>
      <c r="E1575" t="s">
        <v>9</v>
      </c>
      <c r="F1575" s="1" t="s">
        <v>2</v>
      </c>
      <c r="G1575" s="1">
        <v>45965</v>
      </c>
      <c r="H1575" t="s">
        <v>41</v>
      </c>
      <c r="I1575" s="2">
        <v>2037</v>
      </c>
      <c r="J1575" t="s">
        <v>460</v>
      </c>
      <c r="K1575" s="7">
        <v>45962</v>
      </c>
    </row>
    <row r="1576" spans="1:11" hidden="1">
      <c r="A1576" t="s">
        <v>39</v>
      </c>
      <c r="B1576" t="s">
        <v>63</v>
      </c>
      <c r="C1576" t="s">
        <v>14</v>
      </c>
      <c r="E1576" t="s">
        <v>9</v>
      </c>
      <c r="F1576" s="1" t="s">
        <v>4</v>
      </c>
      <c r="G1576" s="1">
        <v>45944</v>
      </c>
      <c r="H1576" t="s">
        <v>41</v>
      </c>
      <c r="I1576" s="2">
        <v>13438.45</v>
      </c>
      <c r="J1576" t="s">
        <v>1049</v>
      </c>
      <c r="K1576" s="7">
        <v>45931</v>
      </c>
    </row>
    <row r="1577" spans="1:11" hidden="1">
      <c r="A1577" t="s">
        <v>39</v>
      </c>
      <c r="B1577" t="s">
        <v>47</v>
      </c>
      <c r="C1577" t="s">
        <v>14</v>
      </c>
      <c r="E1577" t="s">
        <v>9</v>
      </c>
      <c r="F1577" s="1" t="s">
        <v>3</v>
      </c>
      <c r="G1577" s="1">
        <v>45937</v>
      </c>
      <c r="H1577" t="s">
        <v>41</v>
      </c>
      <c r="I1577" s="2">
        <v>2027.9</v>
      </c>
      <c r="J1577" t="s">
        <v>1000</v>
      </c>
      <c r="K1577" s="7">
        <v>45931</v>
      </c>
    </row>
    <row r="1578" spans="1:11" hidden="1">
      <c r="A1578" t="s">
        <v>56</v>
      </c>
      <c r="B1578" t="s">
        <v>40</v>
      </c>
      <c r="C1578" t="s">
        <v>14</v>
      </c>
      <c r="D1578">
        <v>10867</v>
      </c>
      <c r="E1578" t="s">
        <v>9</v>
      </c>
      <c r="F1578" s="1" t="s">
        <v>5</v>
      </c>
      <c r="G1578" s="1">
        <v>45986</v>
      </c>
      <c r="H1578" t="s">
        <v>41</v>
      </c>
      <c r="I1578" s="2">
        <v>2025</v>
      </c>
      <c r="J1578" t="s">
        <v>1050</v>
      </c>
      <c r="K1578" s="7">
        <v>45962</v>
      </c>
    </row>
    <row r="1579" spans="1:11" hidden="1">
      <c r="A1579" t="s">
        <v>39</v>
      </c>
      <c r="B1579" t="s">
        <v>47</v>
      </c>
      <c r="C1579" t="s">
        <v>14</v>
      </c>
      <c r="E1579" t="s">
        <v>8</v>
      </c>
      <c r="F1579" s="1" t="s">
        <v>3</v>
      </c>
      <c r="G1579" s="1">
        <v>45935</v>
      </c>
      <c r="H1579" t="s">
        <v>41</v>
      </c>
      <c r="I1579" s="2">
        <v>31638</v>
      </c>
      <c r="J1579" t="s">
        <v>1051</v>
      </c>
      <c r="K1579" s="7">
        <v>45931</v>
      </c>
    </row>
    <row r="1580" spans="1:11" hidden="1">
      <c r="A1580" t="s">
        <v>39</v>
      </c>
      <c r="B1580" t="s">
        <v>47</v>
      </c>
      <c r="C1580" t="s">
        <v>14</v>
      </c>
      <c r="E1580" t="s">
        <v>8</v>
      </c>
      <c r="F1580" s="1" t="s">
        <v>3</v>
      </c>
      <c r="G1580" s="1">
        <v>45935</v>
      </c>
      <c r="H1580" t="s">
        <v>41</v>
      </c>
      <c r="I1580" s="2">
        <v>25632</v>
      </c>
      <c r="J1580" t="s">
        <v>135</v>
      </c>
      <c r="K1580" s="7">
        <v>45931</v>
      </c>
    </row>
    <row r="1581" spans="1:11" hidden="1">
      <c r="A1581" t="s">
        <v>39</v>
      </c>
      <c r="B1581" t="s">
        <v>47</v>
      </c>
      <c r="C1581" t="s">
        <v>14</v>
      </c>
      <c r="E1581" t="s">
        <v>8</v>
      </c>
      <c r="F1581" s="1" t="s">
        <v>3</v>
      </c>
      <c r="G1581" s="1">
        <v>45935</v>
      </c>
      <c r="H1581" t="s">
        <v>41</v>
      </c>
      <c r="I1581" s="2">
        <v>22495.37</v>
      </c>
      <c r="J1581" t="s">
        <v>1052</v>
      </c>
      <c r="K1581" s="7">
        <v>45931</v>
      </c>
    </row>
    <row r="1582" spans="1:11" hidden="1">
      <c r="A1582" t="s">
        <v>39</v>
      </c>
      <c r="B1582" t="s">
        <v>47</v>
      </c>
      <c r="C1582" t="s">
        <v>14</v>
      </c>
      <c r="D1582">
        <v>10027661</v>
      </c>
      <c r="E1582" t="s">
        <v>9</v>
      </c>
      <c r="F1582" s="1" t="s">
        <v>6</v>
      </c>
      <c r="G1582" s="1">
        <v>45930</v>
      </c>
      <c r="H1582" t="s">
        <v>41</v>
      </c>
      <c r="I1582" s="2">
        <v>2021.46</v>
      </c>
      <c r="J1582" t="s">
        <v>593</v>
      </c>
      <c r="K1582" s="7">
        <v>45901</v>
      </c>
    </row>
    <row r="1583" spans="1:11" hidden="1">
      <c r="A1583" t="s">
        <v>39</v>
      </c>
      <c r="B1583" t="s">
        <v>63</v>
      </c>
      <c r="C1583" t="s">
        <v>14</v>
      </c>
      <c r="E1583" t="s">
        <v>9</v>
      </c>
      <c r="F1583" s="1" t="s">
        <v>3</v>
      </c>
      <c r="G1583" s="1">
        <v>46036</v>
      </c>
      <c r="H1583" t="s">
        <v>64</v>
      </c>
      <c r="I1583" s="2">
        <f>1000000/496</f>
        <v>2016.1290322580646</v>
      </c>
      <c r="J1583" t="s">
        <v>561</v>
      </c>
      <c r="K1583" s="7">
        <v>46023</v>
      </c>
    </row>
    <row r="1584" spans="1:11" hidden="1">
      <c r="A1584" t="s">
        <v>39</v>
      </c>
      <c r="B1584" t="s">
        <v>40</v>
      </c>
      <c r="C1584" t="s">
        <v>14</v>
      </c>
      <c r="D1584">
        <v>10026487</v>
      </c>
      <c r="E1584" t="s">
        <v>9</v>
      </c>
      <c r="F1584" t="s">
        <v>2</v>
      </c>
      <c r="G1584" s="1">
        <v>45778</v>
      </c>
      <c r="H1584" t="s">
        <v>41</v>
      </c>
      <c r="I1584" s="2">
        <v>2000</v>
      </c>
      <c r="J1584" t="s">
        <v>42</v>
      </c>
      <c r="K1584" s="7">
        <v>45778</v>
      </c>
    </row>
    <row r="1585" spans="1:11" hidden="1">
      <c r="A1585" t="s">
        <v>39</v>
      </c>
      <c r="B1585" t="s">
        <v>40</v>
      </c>
      <c r="C1585" t="s">
        <v>14</v>
      </c>
      <c r="D1585">
        <v>10026509</v>
      </c>
      <c r="E1585" t="s">
        <v>9</v>
      </c>
      <c r="F1585" s="1" t="s">
        <v>3</v>
      </c>
      <c r="G1585" s="1">
        <v>45785</v>
      </c>
      <c r="H1585" t="s">
        <v>41</v>
      </c>
      <c r="I1585" s="2">
        <v>2000</v>
      </c>
      <c r="J1585" t="s">
        <v>536</v>
      </c>
      <c r="K1585" s="7">
        <v>45778</v>
      </c>
    </row>
    <row r="1586" spans="1:11" hidden="1">
      <c r="A1586" t="s">
        <v>56</v>
      </c>
      <c r="B1586" t="s">
        <v>40</v>
      </c>
      <c r="C1586" t="s">
        <v>14</v>
      </c>
      <c r="E1586" t="s">
        <v>9</v>
      </c>
      <c r="F1586" s="1" t="s">
        <v>3</v>
      </c>
      <c r="G1586" s="1">
        <v>45785</v>
      </c>
      <c r="H1586" t="s">
        <v>41</v>
      </c>
      <c r="I1586" s="2">
        <v>2000</v>
      </c>
      <c r="J1586" t="s">
        <v>703</v>
      </c>
      <c r="K1586" s="7">
        <v>45778</v>
      </c>
    </row>
    <row r="1587" spans="1:11" hidden="1">
      <c r="A1587" t="s">
        <v>39</v>
      </c>
      <c r="B1587" t="s">
        <v>63</v>
      </c>
      <c r="C1587" t="s">
        <v>14</v>
      </c>
      <c r="D1587">
        <v>10026539</v>
      </c>
      <c r="E1587" t="s">
        <v>9</v>
      </c>
      <c r="F1587" s="1" t="s">
        <v>3</v>
      </c>
      <c r="G1587" s="1">
        <v>45786</v>
      </c>
      <c r="H1587" t="s">
        <v>41</v>
      </c>
      <c r="I1587" s="2">
        <v>2000</v>
      </c>
      <c r="J1587" t="s">
        <v>1053</v>
      </c>
      <c r="K1587" s="7">
        <v>45778</v>
      </c>
    </row>
    <row r="1588" spans="1:11" hidden="1">
      <c r="A1588" t="s">
        <v>39</v>
      </c>
      <c r="B1588" t="s">
        <v>40</v>
      </c>
      <c r="C1588" t="s">
        <v>14</v>
      </c>
      <c r="D1588">
        <v>10027756</v>
      </c>
      <c r="E1588" t="s">
        <v>9</v>
      </c>
      <c r="F1588" s="1" t="s">
        <v>4</v>
      </c>
      <c r="G1588" s="1">
        <v>45944</v>
      </c>
      <c r="H1588" t="s">
        <v>41</v>
      </c>
      <c r="I1588" s="2">
        <v>9670.4</v>
      </c>
      <c r="J1588" t="s">
        <v>948</v>
      </c>
      <c r="K1588" s="7">
        <v>45931</v>
      </c>
    </row>
    <row r="1589" spans="1:11" hidden="1">
      <c r="A1589" t="s">
        <v>39</v>
      </c>
      <c r="B1589" t="s">
        <v>40</v>
      </c>
      <c r="C1589" t="s">
        <v>14</v>
      </c>
      <c r="E1589" t="s">
        <v>9</v>
      </c>
      <c r="F1589" s="1" t="s">
        <v>5</v>
      </c>
      <c r="G1589" s="1">
        <v>45794</v>
      </c>
      <c r="H1589" t="s">
        <v>41</v>
      </c>
      <c r="I1589" s="2">
        <v>2000</v>
      </c>
      <c r="J1589" t="s">
        <v>108</v>
      </c>
      <c r="K1589" s="7">
        <v>45778</v>
      </c>
    </row>
    <row r="1590" spans="1:11" hidden="1">
      <c r="A1590" t="s">
        <v>39</v>
      </c>
      <c r="B1590" t="s">
        <v>40</v>
      </c>
      <c r="C1590" t="s">
        <v>14</v>
      </c>
      <c r="E1590" t="s">
        <v>9</v>
      </c>
      <c r="F1590" s="1" t="s">
        <v>5</v>
      </c>
      <c r="G1590" s="1">
        <v>45799</v>
      </c>
      <c r="H1590" t="s">
        <v>41</v>
      </c>
      <c r="I1590" s="2">
        <v>2000</v>
      </c>
      <c r="J1590" t="s">
        <v>1054</v>
      </c>
      <c r="K1590" s="7">
        <v>45778</v>
      </c>
    </row>
    <row r="1591" spans="1:11" hidden="1">
      <c r="A1591" t="s">
        <v>39</v>
      </c>
      <c r="B1591" t="s">
        <v>40</v>
      </c>
      <c r="C1591" t="s">
        <v>12</v>
      </c>
      <c r="E1591" t="s">
        <v>9</v>
      </c>
      <c r="F1591" s="1" t="s">
        <v>3</v>
      </c>
      <c r="G1591" s="1">
        <v>45818</v>
      </c>
      <c r="H1591" t="s">
        <v>41</v>
      </c>
      <c r="I1591" s="2">
        <v>2000</v>
      </c>
      <c r="J1591" t="s">
        <v>545</v>
      </c>
      <c r="K1591" s="7">
        <v>45809</v>
      </c>
    </row>
    <row r="1592" spans="1:11" hidden="1">
      <c r="A1592" t="s">
        <v>39</v>
      </c>
      <c r="B1592" t="s">
        <v>40</v>
      </c>
      <c r="C1592" t="s">
        <v>14</v>
      </c>
      <c r="D1592">
        <v>10026710</v>
      </c>
      <c r="E1592" t="s">
        <v>9</v>
      </c>
      <c r="F1592" s="1" t="s">
        <v>3</v>
      </c>
      <c r="G1592" s="1">
        <v>45818</v>
      </c>
      <c r="H1592" t="s">
        <v>41</v>
      </c>
      <c r="I1592" s="2">
        <v>2000</v>
      </c>
      <c r="J1592" t="s">
        <v>1028</v>
      </c>
      <c r="K1592" s="7">
        <v>45809</v>
      </c>
    </row>
    <row r="1593" spans="1:11" hidden="1">
      <c r="A1593" t="s">
        <v>39</v>
      </c>
      <c r="B1593" t="s">
        <v>40</v>
      </c>
      <c r="C1593" t="s">
        <v>14</v>
      </c>
      <c r="E1593" t="s">
        <v>9</v>
      </c>
      <c r="F1593" s="1" t="s">
        <v>3</v>
      </c>
      <c r="G1593" s="1">
        <v>45821</v>
      </c>
      <c r="H1593" t="s">
        <v>41</v>
      </c>
      <c r="I1593" s="2">
        <v>2000</v>
      </c>
      <c r="J1593" t="s">
        <v>410</v>
      </c>
      <c r="K1593" s="7">
        <v>45809</v>
      </c>
    </row>
    <row r="1594" spans="1:11" hidden="1">
      <c r="A1594" t="s">
        <v>39</v>
      </c>
      <c r="B1594" t="s">
        <v>40</v>
      </c>
      <c r="C1594" t="s">
        <v>12</v>
      </c>
      <c r="E1594" t="s">
        <v>9</v>
      </c>
      <c r="F1594" s="1" t="s">
        <v>4</v>
      </c>
      <c r="G1594" s="1">
        <v>45944</v>
      </c>
      <c r="H1594" t="s">
        <v>41</v>
      </c>
      <c r="I1594" s="2">
        <v>7880</v>
      </c>
      <c r="J1594" t="s">
        <v>1055</v>
      </c>
      <c r="K1594" s="7">
        <v>45931</v>
      </c>
    </row>
    <row r="1595" spans="1:11" hidden="1">
      <c r="A1595" t="s">
        <v>39</v>
      </c>
      <c r="B1595" t="s">
        <v>40</v>
      </c>
      <c r="C1595" t="s">
        <v>14</v>
      </c>
      <c r="E1595" t="s">
        <v>9</v>
      </c>
      <c r="F1595" s="1" t="s">
        <v>4</v>
      </c>
      <c r="G1595" s="1">
        <v>45944</v>
      </c>
      <c r="H1595" t="s">
        <v>41</v>
      </c>
      <c r="I1595" s="2">
        <v>3000</v>
      </c>
      <c r="J1595" t="s">
        <v>1056</v>
      </c>
      <c r="K1595" s="7">
        <v>45931</v>
      </c>
    </row>
    <row r="1596" spans="1:11" hidden="1">
      <c r="A1596" t="s">
        <v>56</v>
      </c>
      <c r="B1596" t="s">
        <v>40</v>
      </c>
      <c r="C1596" t="s">
        <v>14</v>
      </c>
      <c r="D1596">
        <v>10807</v>
      </c>
      <c r="E1596" t="s">
        <v>9</v>
      </c>
      <c r="F1596" s="1" t="s">
        <v>4</v>
      </c>
      <c r="G1596" s="1">
        <v>45944</v>
      </c>
      <c r="H1596" t="s">
        <v>41</v>
      </c>
      <c r="I1596" s="2">
        <v>1000</v>
      </c>
      <c r="J1596" t="s">
        <v>879</v>
      </c>
      <c r="K1596" s="7">
        <v>45931</v>
      </c>
    </row>
    <row r="1597" spans="1:11" hidden="1">
      <c r="A1597" t="s">
        <v>39</v>
      </c>
      <c r="B1597" t="s">
        <v>40</v>
      </c>
      <c r="C1597" t="s">
        <v>14</v>
      </c>
      <c r="E1597" t="s">
        <v>9</v>
      </c>
      <c r="F1597" s="1" t="s">
        <v>5</v>
      </c>
      <c r="G1597" s="1">
        <v>45834</v>
      </c>
      <c r="H1597" t="s">
        <v>41</v>
      </c>
      <c r="I1597" s="2">
        <v>2000</v>
      </c>
      <c r="J1597" t="s">
        <v>1057</v>
      </c>
      <c r="K1597" s="7">
        <v>45809</v>
      </c>
    </row>
    <row r="1598" spans="1:11" hidden="1">
      <c r="A1598" t="s">
        <v>39</v>
      </c>
      <c r="B1598" t="s">
        <v>40</v>
      </c>
      <c r="C1598" t="s">
        <v>14</v>
      </c>
      <c r="E1598" t="s">
        <v>9</v>
      </c>
      <c r="F1598" s="1" t="s">
        <v>5</v>
      </c>
      <c r="G1598" s="1">
        <v>45835</v>
      </c>
      <c r="H1598" t="s">
        <v>41</v>
      </c>
      <c r="I1598" s="2">
        <v>2000</v>
      </c>
      <c r="J1598" t="s">
        <v>108</v>
      </c>
      <c r="K1598" s="7">
        <v>45809</v>
      </c>
    </row>
    <row r="1599" spans="1:11" hidden="1">
      <c r="A1599" t="s">
        <v>39</v>
      </c>
      <c r="B1599" t="s">
        <v>40</v>
      </c>
      <c r="C1599" t="s">
        <v>14</v>
      </c>
      <c r="D1599">
        <v>10027022</v>
      </c>
      <c r="E1599" t="s">
        <v>9</v>
      </c>
      <c r="F1599" s="1" t="s">
        <v>3</v>
      </c>
      <c r="G1599" s="1">
        <v>45842</v>
      </c>
      <c r="H1599" t="s">
        <v>41</v>
      </c>
      <c r="I1599" s="2">
        <v>2000</v>
      </c>
      <c r="J1599" t="s">
        <v>633</v>
      </c>
      <c r="K1599" s="7">
        <v>45839</v>
      </c>
    </row>
    <row r="1600" spans="1:11" hidden="1">
      <c r="A1600" t="s">
        <v>39</v>
      </c>
      <c r="B1600" t="s">
        <v>40</v>
      </c>
      <c r="C1600" t="s">
        <v>14</v>
      </c>
      <c r="D1600">
        <v>10027023</v>
      </c>
      <c r="E1600" t="s">
        <v>9</v>
      </c>
      <c r="F1600" s="1" t="s">
        <v>3</v>
      </c>
      <c r="G1600" s="1">
        <v>45843</v>
      </c>
      <c r="H1600" t="s">
        <v>41</v>
      </c>
      <c r="I1600" s="2">
        <v>2000</v>
      </c>
      <c r="J1600" t="s">
        <v>813</v>
      </c>
      <c r="K1600" s="7">
        <v>45839</v>
      </c>
    </row>
    <row r="1601" spans="1:11" hidden="1">
      <c r="A1601" t="s">
        <v>39</v>
      </c>
      <c r="B1601" t="s">
        <v>40</v>
      </c>
      <c r="C1601" t="s">
        <v>14</v>
      </c>
      <c r="D1601">
        <v>10027029</v>
      </c>
      <c r="E1601" t="s">
        <v>9</v>
      </c>
      <c r="F1601" s="1" t="s">
        <v>3</v>
      </c>
      <c r="G1601" s="1">
        <v>45845</v>
      </c>
      <c r="H1601" t="s">
        <v>41</v>
      </c>
      <c r="I1601" s="2">
        <v>2000</v>
      </c>
      <c r="J1601" t="s">
        <v>550</v>
      </c>
      <c r="K1601" s="7">
        <v>45839</v>
      </c>
    </row>
    <row r="1602" spans="1:11" hidden="1">
      <c r="A1602" t="s">
        <v>39</v>
      </c>
      <c r="B1602" t="s">
        <v>40</v>
      </c>
      <c r="C1602" t="s">
        <v>14</v>
      </c>
      <c r="D1602">
        <v>10027036</v>
      </c>
      <c r="E1602" t="s">
        <v>9</v>
      </c>
      <c r="F1602" s="1" t="s">
        <v>3</v>
      </c>
      <c r="G1602" s="1">
        <v>45847</v>
      </c>
      <c r="H1602" t="s">
        <v>41</v>
      </c>
      <c r="I1602" s="2">
        <v>2000</v>
      </c>
      <c r="J1602" t="s">
        <v>1058</v>
      </c>
      <c r="K1602" s="7">
        <v>45839</v>
      </c>
    </row>
    <row r="1603" spans="1:11" hidden="1">
      <c r="A1603" t="s">
        <v>39</v>
      </c>
      <c r="B1603" t="s">
        <v>40</v>
      </c>
      <c r="C1603" t="s">
        <v>14</v>
      </c>
      <c r="D1603">
        <v>10027127</v>
      </c>
      <c r="E1603" t="s">
        <v>9</v>
      </c>
      <c r="F1603" s="1" t="s">
        <v>3</v>
      </c>
      <c r="G1603" s="1">
        <v>45847</v>
      </c>
      <c r="H1603" t="s">
        <v>41</v>
      </c>
      <c r="I1603" s="2">
        <v>2000</v>
      </c>
      <c r="J1603" t="s">
        <v>666</v>
      </c>
      <c r="K1603" s="7">
        <v>45839</v>
      </c>
    </row>
    <row r="1604" spans="1:11" hidden="1">
      <c r="A1604" t="s">
        <v>39</v>
      </c>
      <c r="B1604" t="s">
        <v>40</v>
      </c>
      <c r="C1604" t="s">
        <v>14</v>
      </c>
      <c r="D1604">
        <v>10027332</v>
      </c>
      <c r="E1604" t="s">
        <v>9</v>
      </c>
      <c r="F1604" s="1" t="s">
        <v>3</v>
      </c>
      <c r="G1604" s="1">
        <v>45848</v>
      </c>
      <c r="H1604" t="s">
        <v>41</v>
      </c>
      <c r="I1604" s="2">
        <v>2000</v>
      </c>
      <c r="J1604" t="s">
        <v>1012</v>
      </c>
      <c r="K1604" s="7">
        <v>45839</v>
      </c>
    </row>
    <row r="1605" spans="1:11" hidden="1">
      <c r="A1605" t="s">
        <v>39</v>
      </c>
      <c r="B1605" t="s">
        <v>45</v>
      </c>
      <c r="C1605" t="s">
        <v>14</v>
      </c>
      <c r="E1605" t="s">
        <v>9</v>
      </c>
      <c r="F1605" s="1" t="s">
        <v>4</v>
      </c>
      <c r="G1605" s="1">
        <v>45944</v>
      </c>
      <c r="H1605" t="s">
        <v>41</v>
      </c>
      <c r="I1605" s="2">
        <v>892.4</v>
      </c>
      <c r="J1605" t="s">
        <v>1059</v>
      </c>
      <c r="K1605" s="7">
        <v>45931</v>
      </c>
    </row>
    <row r="1606" spans="1:11" hidden="1">
      <c r="A1606" t="s">
        <v>39</v>
      </c>
      <c r="B1606" t="s">
        <v>40</v>
      </c>
      <c r="C1606" t="s">
        <v>14</v>
      </c>
      <c r="D1606">
        <v>10027174</v>
      </c>
      <c r="E1606" t="s">
        <v>9</v>
      </c>
      <c r="F1606" s="1" t="s">
        <v>5</v>
      </c>
      <c r="G1606" s="1">
        <v>45864</v>
      </c>
      <c r="H1606" t="s">
        <v>41</v>
      </c>
      <c r="I1606" s="2">
        <v>2000</v>
      </c>
      <c r="J1606" t="s">
        <v>1060</v>
      </c>
      <c r="K1606" s="7">
        <v>45839</v>
      </c>
    </row>
    <row r="1607" spans="1:11" hidden="1">
      <c r="A1607" t="s">
        <v>39</v>
      </c>
      <c r="B1607" t="s">
        <v>40</v>
      </c>
      <c r="C1607" t="s">
        <v>14</v>
      </c>
      <c r="D1607">
        <v>10027203</v>
      </c>
      <c r="E1607" t="s">
        <v>9</v>
      </c>
      <c r="F1607" s="1" t="s">
        <v>6</v>
      </c>
      <c r="G1607" s="1">
        <v>45864</v>
      </c>
      <c r="H1607" t="s">
        <v>41</v>
      </c>
      <c r="I1607" s="2">
        <v>2000</v>
      </c>
      <c r="J1607" t="s">
        <v>501</v>
      </c>
      <c r="K1607" s="7">
        <v>45839</v>
      </c>
    </row>
    <row r="1608" spans="1:11" hidden="1">
      <c r="A1608" t="s">
        <v>39</v>
      </c>
      <c r="B1608" t="s">
        <v>40</v>
      </c>
      <c r="C1608" t="s">
        <v>14</v>
      </c>
      <c r="E1608" t="s">
        <v>9</v>
      </c>
      <c r="F1608" s="1" t="s">
        <v>6</v>
      </c>
      <c r="G1608" s="1">
        <v>45866</v>
      </c>
      <c r="H1608" t="s">
        <v>41</v>
      </c>
      <c r="I1608" s="2">
        <v>2000</v>
      </c>
      <c r="J1608" s="47" t="s">
        <v>1003</v>
      </c>
      <c r="K1608" s="7">
        <v>45839</v>
      </c>
    </row>
    <row r="1609" spans="1:11" hidden="1">
      <c r="A1609" t="s">
        <v>39</v>
      </c>
      <c r="B1609" t="s">
        <v>40</v>
      </c>
      <c r="C1609" t="s">
        <v>14</v>
      </c>
      <c r="D1609">
        <v>10027173</v>
      </c>
      <c r="E1609" t="s">
        <v>9</v>
      </c>
      <c r="F1609" s="1" t="s">
        <v>6</v>
      </c>
      <c r="G1609" s="1">
        <v>45866</v>
      </c>
      <c r="H1609" t="s">
        <v>41</v>
      </c>
      <c r="I1609" s="2">
        <v>2000</v>
      </c>
      <c r="J1609" t="s">
        <v>774</v>
      </c>
      <c r="K1609" s="7">
        <v>45839</v>
      </c>
    </row>
    <row r="1610" spans="1:11" hidden="1">
      <c r="A1610" t="s">
        <v>39</v>
      </c>
      <c r="B1610" t="s">
        <v>40</v>
      </c>
      <c r="C1610" t="s">
        <v>12</v>
      </c>
      <c r="E1610" t="s">
        <v>9</v>
      </c>
      <c r="F1610" s="1" t="s">
        <v>6</v>
      </c>
      <c r="G1610" s="1">
        <v>45867</v>
      </c>
      <c r="H1610" t="s">
        <v>41</v>
      </c>
      <c r="I1610" s="2">
        <v>2000</v>
      </c>
      <c r="J1610" t="s">
        <v>1061</v>
      </c>
      <c r="K1610" s="7">
        <v>45839</v>
      </c>
    </row>
    <row r="1611" spans="1:11" hidden="1">
      <c r="A1611" t="s">
        <v>39</v>
      </c>
      <c r="B1611" t="s">
        <v>47</v>
      </c>
      <c r="C1611" t="s">
        <v>14</v>
      </c>
      <c r="E1611" t="s">
        <v>9</v>
      </c>
      <c r="F1611" s="1" t="s">
        <v>4</v>
      </c>
      <c r="G1611" s="1">
        <v>45944</v>
      </c>
      <c r="H1611" t="s">
        <v>41</v>
      </c>
      <c r="I1611" s="2">
        <v>419.56</v>
      </c>
      <c r="J1611" t="s">
        <v>1000</v>
      </c>
      <c r="K1611" s="7">
        <v>45931</v>
      </c>
    </row>
    <row r="1612" spans="1:11" hidden="1">
      <c r="A1612" t="s">
        <v>39</v>
      </c>
      <c r="B1612" t="s">
        <v>40</v>
      </c>
      <c r="C1612" t="s">
        <v>14</v>
      </c>
      <c r="D1612">
        <v>10027753</v>
      </c>
      <c r="E1612" t="s">
        <v>9</v>
      </c>
      <c r="F1612" s="1" t="s">
        <v>4</v>
      </c>
      <c r="G1612" s="1">
        <v>45944</v>
      </c>
      <c r="H1612" t="s">
        <v>41</v>
      </c>
      <c r="I1612" s="2">
        <v>100</v>
      </c>
      <c r="J1612" t="s">
        <v>1062</v>
      </c>
      <c r="K1612" s="7">
        <v>45931</v>
      </c>
    </row>
    <row r="1613" spans="1:11" hidden="1">
      <c r="A1613" t="s">
        <v>39</v>
      </c>
      <c r="B1613" t="s">
        <v>40</v>
      </c>
      <c r="C1613" t="s">
        <v>14</v>
      </c>
      <c r="D1613">
        <v>10027380</v>
      </c>
      <c r="E1613" t="s">
        <v>9</v>
      </c>
      <c r="F1613" s="1" t="s">
        <v>5</v>
      </c>
      <c r="G1613" s="1">
        <v>45894</v>
      </c>
      <c r="H1613" t="s">
        <v>41</v>
      </c>
      <c r="I1613" s="2">
        <v>2000</v>
      </c>
      <c r="J1613" t="s">
        <v>1063</v>
      </c>
      <c r="K1613" s="7">
        <v>45870</v>
      </c>
    </row>
    <row r="1614" spans="1:11" hidden="1">
      <c r="A1614" t="s">
        <v>39</v>
      </c>
      <c r="B1614" t="s">
        <v>40</v>
      </c>
      <c r="C1614" t="s">
        <v>14</v>
      </c>
      <c r="D1614">
        <v>10027409</v>
      </c>
      <c r="E1614" t="s">
        <v>9</v>
      </c>
      <c r="F1614" s="1" t="s">
        <v>5</v>
      </c>
      <c r="G1614" s="1">
        <v>45898</v>
      </c>
      <c r="H1614" t="s">
        <v>41</v>
      </c>
      <c r="I1614" s="2">
        <v>2000</v>
      </c>
      <c r="J1614" t="s">
        <v>1064</v>
      </c>
      <c r="K1614" s="7">
        <v>45870</v>
      </c>
    </row>
    <row r="1615" spans="1:11" hidden="1">
      <c r="A1615" t="s">
        <v>56</v>
      </c>
      <c r="B1615" t="s">
        <v>40</v>
      </c>
      <c r="C1615" t="s">
        <v>14</v>
      </c>
      <c r="E1615" t="s">
        <v>9</v>
      </c>
      <c r="F1615" s="1" t="s">
        <v>5</v>
      </c>
      <c r="G1615" s="1">
        <v>45899</v>
      </c>
      <c r="H1615" t="s">
        <v>41</v>
      </c>
      <c r="I1615" s="2">
        <v>2000</v>
      </c>
      <c r="J1615" t="s">
        <v>1065</v>
      </c>
      <c r="K1615" s="7">
        <v>45870</v>
      </c>
    </row>
    <row r="1616" spans="1:11" hidden="1">
      <c r="A1616" t="s">
        <v>39</v>
      </c>
      <c r="B1616" t="s">
        <v>40</v>
      </c>
      <c r="C1616" t="s">
        <v>14</v>
      </c>
      <c r="D1616">
        <v>10027443</v>
      </c>
      <c r="E1616" t="s">
        <v>9</v>
      </c>
      <c r="F1616" s="1" t="s">
        <v>5</v>
      </c>
      <c r="G1616" s="1">
        <v>45899</v>
      </c>
      <c r="H1616" t="s">
        <v>41</v>
      </c>
      <c r="I1616" s="2">
        <v>2000</v>
      </c>
      <c r="J1616" t="s">
        <v>1066</v>
      </c>
      <c r="K1616" s="7">
        <v>45870</v>
      </c>
    </row>
    <row r="1617" spans="1:11" hidden="1">
      <c r="A1617" t="s">
        <v>39</v>
      </c>
      <c r="B1617" t="s">
        <v>40</v>
      </c>
      <c r="C1617" t="s">
        <v>14</v>
      </c>
      <c r="D1617">
        <v>10027763</v>
      </c>
      <c r="E1617" t="s">
        <v>9</v>
      </c>
      <c r="F1617" s="1" t="s">
        <v>4</v>
      </c>
      <c r="G1617" s="1">
        <v>45944</v>
      </c>
      <c r="H1617" t="s">
        <v>41</v>
      </c>
      <c r="I1617" s="2">
        <v>65.5</v>
      </c>
      <c r="J1617" t="s">
        <v>1067</v>
      </c>
      <c r="K1617" s="7">
        <v>45931</v>
      </c>
    </row>
    <row r="1618" spans="1:11" hidden="1">
      <c r="A1618" t="s">
        <v>39</v>
      </c>
      <c r="B1618" t="s">
        <v>40</v>
      </c>
      <c r="C1618" t="s">
        <v>14</v>
      </c>
      <c r="D1618">
        <v>10027764</v>
      </c>
      <c r="E1618" t="s">
        <v>9</v>
      </c>
      <c r="F1618" s="1" t="s">
        <v>4</v>
      </c>
      <c r="G1618" s="1">
        <v>45944</v>
      </c>
      <c r="H1618" t="s">
        <v>41</v>
      </c>
      <c r="I1618" s="2">
        <v>65.5</v>
      </c>
      <c r="J1618" t="s">
        <v>1067</v>
      </c>
      <c r="K1618" s="7">
        <v>45931</v>
      </c>
    </row>
    <row r="1619" spans="1:11" hidden="1">
      <c r="A1619" t="s">
        <v>39</v>
      </c>
      <c r="B1619" t="s">
        <v>47</v>
      </c>
      <c r="C1619" t="s">
        <v>14</v>
      </c>
      <c r="E1619" t="s">
        <v>9</v>
      </c>
      <c r="F1619" s="1" t="s">
        <v>4</v>
      </c>
      <c r="G1619" s="1">
        <v>45945</v>
      </c>
      <c r="H1619" t="s">
        <v>41</v>
      </c>
      <c r="I1619" s="2">
        <v>17055.689999999999</v>
      </c>
      <c r="J1619" t="s">
        <v>1068</v>
      </c>
      <c r="K1619" s="7">
        <v>45931</v>
      </c>
    </row>
    <row r="1620" spans="1:11" hidden="1">
      <c r="A1620" t="s">
        <v>39</v>
      </c>
      <c r="B1620" t="s">
        <v>63</v>
      </c>
      <c r="C1620" t="s">
        <v>14</v>
      </c>
      <c r="E1620" t="s">
        <v>9</v>
      </c>
      <c r="F1620" s="1" t="s">
        <v>4</v>
      </c>
      <c r="G1620" s="1">
        <v>45945</v>
      </c>
      <c r="H1620" t="s">
        <v>41</v>
      </c>
      <c r="I1620" s="2">
        <v>13021.72</v>
      </c>
      <c r="J1620" t="s">
        <v>1069</v>
      </c>
      <c r="K1620" s="7">
        <v>45931</v>
      </c>
    </row>
    <row r="1621" spans="1:11" hidden="1">
      <c r="A1621" t="s">
        <v>39</v>
      </c>
      <c r="B1621" t="s">
        <v>40</v>
      </c>
      <c r="C1621" t="s">
        <v>14</v>
      </c>
      <c r="D1621">
        <v>10027762</v>
      </c>
      <c r="E1621" t="s">
        <v>9</v>
      </c>
      <c r="F1621" s="1" t="s">
        <v>4</v>
      </c>
      <c r="G1621" s="1">
        <v>45945</v>
      </c>
      <c r="H1621" t="s">
        <v>41</v>
      </c>
      <c r="I1621" s="2">
        <v>3100</v>
      </c>
      <c r="J1621" t="s">
        <v>988</v>
      </c>
      <c r="K1621" s="7">
        <v>45931</v>
      </c>
    </row>
    <row r="1622" spans="1:11" hidden="1">
      <c r="A1622" t="s">
        <v>39</v>
      </c>
      <c r="B1622" t="s">
        <v>40</v>
      </c>
      <c r="C1622" t="s">
        <v>14</v>
      </c>
      <c r="D1622">
        <v>10027655</v>
      </c>
      <c r="E1622" t="s">
        <v>9</v>
      </c>
      <c r="F1622" s="1" t="s">
        <v>5</v>
      </c>
      <c r="G1622" s="1">
        <v>45927</v>
      </c>
      <c r="H1622" t="s">
        <v>41</v>
      </c>
      <c r="I1622" s="2">
        <v>2000</v>
      </c>
      <c r="J1622" t="s">
        <v>473</v>
      </c>
      <c r="K1622" s="7">
        <v>45901</v>
      </c>
    </row>
    <row r="1623" spans="1:11" hidden="1">
      <c r="A1623" t="s">
        <v>39</v>
      </c>
      <c r="B1623" t="s">
        <v>45</v>
      </c>
      <c r="C1623" t="s">
        <v>13</v>
      </c>
      <c r="E1623" t="s">
        <v>8</v>
      </c>
      <c r="F1623" s="1" t="s">
        <v>3</v>
      </c>
      <c r="G1623" s="1">
        <v>45940</v>
      </c>
      <c r="H1623" t="s">
        <v>41</v>
      </c>
      <c r="I1623" s="2">
        <v>173016.82</v>
      </c>
      <c r="J1623" t="s">
        <v>461</v>
      </c>
      <c r="K1623" s="7">
        <v>45931</v>
      </c>
    </row>
    <row r="1624" spans="1:11" hidden="1">
      <c r="A1624" t="s">
        <v>39</v>
      </c>
      <c r="B1624" t="s">
        <v>45</v>
      </c>
      <c r="C1624" t="s">
        <v>13</v>
      </c>
      <c r="E1624" t="s">
        <v>8</v>
      </c>
      <c r="F1624" s="1" t="s">
        <v>3</v>
      </c>
      <c r="G1624" s="1">
        <v>45940</v>
      </c>
      <c r="H1624" t="s">
        <v>41</v>
      </c>
      <c r="I1624" s="2">
        <v>65703.81</v>
      </c>
      <c r="J1624" t="s">
        <v>378</v>
      </c>
      <c r="K1624" s="7">
        <v>45931</v>
      </c>
    </row>
    <row r="1625" spans="1:11" hidden="1">
      <c r="A1625" t="s">
        <v>39</v>
      </c>
      <c r="B1625" t="s">
        <v>45</v>
      </c>
      <c r="C1625" t="s">
        <v>14</v>
      </c>
      <c r="E1625" t="s">
        <v>8</v>
      </c>
      <c r="F1625" s="1" t="s">
        <v>3</v>
      </c>
      <c r="G1625" s="1">
        <v>45940</v>
      </c>
      <c r="H1625" t="s">
        <v>41</v>
      </c>
      <c r="I1625" s="2">
        <v>65518.38</v>
      </c>
      <c r="J1625" t="s">
        <v>163</v>
      </c>
      <c r="K1625" s="7">
        <v>45931</v>
      </c>
    </row>
    <row r="1626" spans="1:11" hidden="1">
      <c r="A1626" t="s">
        <v>39</v>
      </c>
      <c r="B1626" t="s">
        <v>40</v>
      </c>
      <c r="C1626" t="s">
        <v>14</v>
      </c>
      <c r="E1626" t="s">
        <v>8</v>
      </c>
      <c r="F1626" s="1" t="s">
        <v>3</v>
      </c>
      <c r="G1626" s="1">
        <v>45940</v>
      </c>
      <c r="H1626" t="s">
        <v>41</v>
      </c>
      <c r="I1626" s="2">
        <v>60000</v>
      </c>
      <c r="J1626" t="s">
        <v>98</v>
      </c>
      <c r="K1626" s="7">
        <v>45931</v>
      </c>
    </row>
    <row r="1627" spans="1:11" hidden="1">
      <c r="A1627" t="s">
        <v>39</v>
      </c>
      <c r="B1627" t="s">
        <v>63</v>
      </c>
      <c r="C1627" t="s">
        <v>14</v>
      </c>
      <c r="E1627" t="s">
        <v>8</v>
      </c>
      <c r="F1627" s="1" t="s">
        <v>3</v>
      </c>
      <c r="G1627" s="1">
        <v>45940</v>
      </c>
      <c r="H1627" t="s">
        <v>41</v>
      </c>
      <c r="I1627" s="2">
        <v>32924</v>
      </c>
      <c r="J1627" t="s">
        <v>482</v>
      </c>
      <c r="K1627" s="7">
        <v>45931</v>
      </c>
    </row>
    <row r="1628" spans="1:11" hidden="1">
      <c r="A1628" t="s">
        <v>99</v>
      </c>
      <c r="B1628" t="s">
        <v>63</v>
      </c>
      <c r="C1628" t="s">
        <v>14</v>
      </c>
      <c r="E1628" t="s">
        <v>8</v>
      </c>
      <c r="F1628" s="1" t="s">
        <v>3</v>
      </c>
      <c r="G1628" s="1">
        <v>45940</v>
      </c>
      <c r="H1628" t="s">
        <v>41</v>
      </c>
      <c r="I1628" s="2">
        <v>20000</v>
      </c>
      <c r="J1628" t="s">
        <v>526</v>
      </c>
      <c r="K1628" s="7">
        <v>45931</v>
      </c>
    </row>
    <row r="1629" spans="1:11" hidden="1">
      <c r="A1629" t="s">
        <v>39</v>
      </c>
      <c r="B1629" t="s">
        <v>45</v>
      </c>
      <c r="C1629" t="s">
        <v>12</v>
      </c>
      <c r="E1629" t="s">
        <v>8</v>
      </c>
      <c r="F1629" s="1" t="s">
        <v>3</v>
      </c>
      <c r="G1629" s="1">
        <v>45940</v>
      </c>
      <c r="H1629" t="s">
        <v>41</v>
      </c>
      <c r="I1629" s="2">
        <v>46109.22</v>
      </c>
      <c r="J1629" t="s">
        <v>708</v>
      </c>
      <c r="K1629" s="7">
        <v>45931</v>
      </c>
    </row>
    <row r="1630" spans="1:11" hidden="1">
      <c r="A1630" t="s">
        <v>39</v>
      </c>
      <c r="B1630" t="s">
        <v>63</v>
      </c>
      <c r="C1630" t="s">
        <v>14</v>
      </c>
      <c r="E1630" t="s">
        <v>8</v>
      </c>
      <c r="F1630" s="1" t="s">
        <v>3</v>
      </c>
      <c r="G1630" s="1">
        <v>45940</v>
      </c>
      <c r="H1630" t="s">
        <v>41</v>
      </c>
      <c r="I1630" s="2">
        <v>13475.25</v>
      </c>
      <c r="J1630" t="s">
        <v>1070</v>
      </c>
      <c r="K1630" s="7">
        <v>45931</v>
      </c>
    </row>
    <row r="1631" spans="1:11" hidden="1">
      <c r="A1631" t="s">
        <v>39</v>
      </c>
      <c r="B1631" t="s">
        <v>63</v>
      </c>
      <c r="C1631" t="s">
        <v>13</v>
      </c>
      <c r="E1631" t="s">
        <v>8</v>
      </c>
      <c r="F1631" s="1" t="s">
        <v>3</v>
      </c>
      <c r="G1631" s="1">
        <v>45940</v>
      </c>
      <c r="H1631" t="s">
        <v>41</v>
      </c>
      <c r="I1631" s="2">
        <v>13438</v>
      </c>
      <c r="J1631" t="s">
        <v>1049</v>
      </c>
      <c r="K1631" s="7">
        <v>45931</v>
      </c>
    </row>
    <row r="1632" spans="1:11" hidden="1">
      <c r="A1632" t="s">
        <v>39</v>
      </c>
      <c r="B1632" t="s">
        <v>63</v>
      </c>
      <c r="C1632" t="s">
        <v>13</v>
      </c>
      <c r="E1632" t="s">
        <v>8</v>
      </c>
      <c r="F1632" s="1" t="s">
        <v>3</v>
      </c>
      <c r="G1632" s="1">
        <v>45940</v>
      </c>
      <c r="H1632" t="s">
        <v>41</v>
      </c>
      <c r="I1632" s="2">
        <v>8252.84</v>
      </c>
      <c r="J1632" t="s">
        <v>541</v>
      </c>
      <c r="K1632" s="7">
        <v>45931</v>
      </c>
    </row>
    <row r="1633" spans="1:11" hidden="1">
      <c r="A1633" t="s">
        <v>39</v>
      </c>
      <c r="B1633" t="s">
        <v>47</v>
      </c>
      <c r="C1633" t="s">
        <v>14</v>
      </c>
      <c r="E1633" t="s">
        <v>8</v>
      </c>
      <c r="F1633" s="1" t="s">
        <v>3</v>
      </c>
      <c r="G1633" s="1">
        <v>45940</v>
      </c>
      <c r="H1633" t="s">
        <v>41</v>
      </c>
      <c r="I1633" s="2">
        <v>31569.32</v>
      </c>
      <c r="J1633" t="s">
        <v>121</v>
      </c>
      <c r="K1633" s="7">
        <v>45931</v>
      </c>
    </row>
    <row r="1634" spans="1:11" hidden="1">
      <c r="A1634" t="s">
        <v>56</v>
      </c>
      <c r="B1634" t="s">
        <v>40</v>
      </c>
      <c r="C1634" t="s">
        <v>14</v>
      </c>
      <c r="E1634" t="s">
        <v>8</v>
      </c>
      <c r="F1634" s="1" t="s">
        <v>3</v>
      </c>
      <c r="G1634" s="1">
        <v>45940</v>
      </c>
      <c r="H1634" t="s">
        <v>41</v>
      </c>
      <c r="I1634" s="2">
        <v>25000</v>
      </c>
      <c r="J1634" t="s">
        <v>98</v>
      </c>
      <c r="K1634" s="7">
        <v>45931</v>
      </c>
    </row>
    <row r="1635" spans="1:11" hidden="1">
      <c r="A1635" t="s">
        <v>360</v>
      </c>
      <c r="B1635" t="s">
        <v>45</v>
      </c>
      <c r="C1635" t="s">
        <v>13</v>
      </c>
      <c r="E1635" t="s">
        <v>8</v>
      </c>
      <c r="F1635" s="1" t="s">
        <v>3</v>
      </c>
      <c r="G1635" s="1">
        <v>45940</v>
      </c>
      <c r="H1635" t="s">
        <v>41</v>
      </c>
      <c r="I1635" s="2">
        <v>20944</v>
      </c>
      <c r="J1635" t="s">
        <v>313</v>
      </c>
      <c r="K1635" s="7">
        <v>45931</v>
      </c>
    </row>
    <row r="1636" spans="1:11" hidden="1">
      <c r="A1636" t="s">
        <v>39</v>
      </c>
      <c r="B1636" t="s">
        <v>45</v>
      </c>
      <c r="C1636" t="s">
        <v>14</v>
      </c>
      <c r="E1636" t="s">
        <v>8</v>
      </c>
      <c r="F1636" s="1" t="s">
        <v>3</v>
      </c>
      <c r="G1636" s="1">
        <v>45940</v>
      </c>
      <c r="H1636" t="s">
        <v>41</v>
      </c>
      <c r="I1636" s="2">
        <v>9240.9</v>
      </c>
      <c r="J1636" t="s">
        <v>282</v>
      </c>
      <c r="K1636" s="7">
        <v>45931</v>
      </c>
    </row>
    <row r="1637" spans="1:11" hidden="1">
      <c r="A1637" t="s">
        <v>39</v>
      </c>
      <c r="B1637" t="s">
        <v>40</v>
      </c>
      <c r="C1637" t="s">
        <v>14</v>
      </c>
      <c r="D1637">
        <v>10027685</v>
      </c>
      <c r="E1637" t="s">
        <v>9</v>
      </c>
      <c r="F1637" s="1" t="s">
        <v>2</v>
      </c>
      <c r="G1637" s="1">
        <v>45931</v>
      </c>
      <c r="H1637" t="s">
        <v>41</v>
      </c>
      <c r="I1637" s="2">
        <v>2000</v>
      </c>
      <c r="J1637" t="s">
        <v>1071</v>
      </c>
      <c r="K1637" s="7">
        <v>45931</v>
      </c>
    </row>
    <row r="1638" spans="1:11" hidden="1">
      <c r="A1638" t="s">
        <v>39</v>
      </c>
      <c r="B1638" t="s">
        <v>40</v>
      </c>
      <c r="C1638" t="s">
        <v>14</v>
      </c>
      <c r="E1638" t="s">
        <v>9</v>
      </c>
      <c r="F1638" s="1" t="s">
        <v>2</v>
      </c>
      <c r="G1638" s="1">
        <v>45933</v>
      </c>
      <c r="H1638" t="s">
        <v>41</v>
      </c>
      <c r="I1638" s="2">
        <v>2000</v>
      </c>
      <c r="J1638" t="s">
        <v>1072</v>
      </c>
      <c r="K1638" s="7">
        <v>45931</v>
      </c>
    </row>
    <row r="1639" spans="1:11" hidden="1">
      <c r="A1639" t="s">
        <v>39</v>
      </c>
      <c r="B1639" t="s">
        <v>40</v>
      </c>
      <c r="C1639" t="s">
        <v>12</v>
      </c>
      <c r="D1639">
        <v>10027751</v>
      </c>
      <c r="E1639" t="s">
        <v>9</v>
      </c>
      <c r="F1639" s="1" t="s">
        <v>3</v>
      </c>
      <c r="G1639" s="1">
        <v>45941</v>
      </c>
      <c r="H1639" t="s">
        <v>41</v>
      </c>
      <c r="I1639" s="2">
        <v>2000</v>
      </c>
      <c r="J1639" t="s">
        <v>556</v>
      </c>
      <c r="K1639" s="7">
        <v>45931</v>
      </c>
    </row>
    <row r="1640" spans="1:11" hidden="1">
      <c r="A1640" t="s">
        <v>114</v>
      </c>
      <c r="B1640" t="s">
        <v>63</v>
      </c>
      <c r="C1640" t="s">
        <v>12</v>
      </c>
      <c r="E1640" t="s">
        <v>9</v>
      </c>
      <c r="F1640" s="1" t="s">
        <v>4</v>
      </c>
      <c r="G1640" s="1">
        <v>45945</v>
      </c>
      <c r="H1640" t="s">
        <v>41</v>
      </c>
      <c r="I1640" s="2">
        <v>1392.85</v>
      </c>
      <c r="J1640" t="s">
        <v>1073</v>
      </c>
      <c r="K1640" s="7">
        <v>45931</v>
      </c>
    </row>
    <row r="1641" spans="1:11" hidden="1">
      <c r="A1641" t="s">
        <v>39</v>
      </c>
      <c r="B1641" t="s">
        <v>40</v>
      </c>
      <c r="C1641" t="s">
        <v>14</v>
      </c>
      <c r="E1641" t="s">
        <v>9</v>
      </c>
      <c r="F1641" s="1" t="s">
        <v>5</v>
      </c>
      <c r="G1641" s="1">
        <v>45951</v>
      </c>
      <c r="H1641" t="s">
        <v>41</v>
      </c>
      <c r="I1641" s="2">
        <v>2000</v>
      </c>
      <c r="J1641" t="s">
        <v>1036</v>
      </c>
      <c r="K1641" s="7">
        <v>45931</v>
      </c>
    </row>
    <row r="1642" spans="1:11" hidden="1">
      <c r="A1642" t="s">
        <v>39</v>
      </c>
      <c r="B1642" t="s">
        <v>40</v>
      </c>
      <c r="C1642" t="s">
        <v>14</v>
      </c>
      <c r="E1642" t="s">
        <v>9</v>
      </c>
      <c r="F1642" s="1" t="s">
        <v>5</v>
      </c>
      <c r="G1642" s="1">
        <v>45951</v>
      </c>
      <c r="H1642" t="s">
        <v>41</v>
      </c>
      <c r="I1642" s="2">
        <v>2000</v>
      </c>
      <c r="J1642" t="s">
        <v>1036</v>
      </c>
      <c r="K1642" s="7">
        <v>45931</v>
      </c>
    </row>
    <row r="1643" spans="1:11" hidden="1">
      <c r="A1643" t="s">
        <v>39</v>
      </c>
      <c r="B1643" t="s">
        <v>40</v>
      </c>
      <c r="C1643" t="s">
        <v>14</v>
      </c>
      <c r="E1643" t="s">
        <v>9</v>
      </c>
      <c r="F1643" s="1" t="s">
        <v>5</v>
      </c>
      <c r="G1643" s="1">
        <v>45951</v>
      </c>
      <c r="H1643" t="s">
        <v>41</v>
      </c>
      <c r="I1643" s="2">
        <v>2000</v>
      </c>
      <c r="J1643" t="s">
        <v>1036</v>
      </c>
      <c r="K1643" s="7">
        <v>45931</v>
      </c>
    </row>
    <row r="1644" spans="1:11" hidden="1">
      <c r="A1644" t="s">
        <v>39</v>
      </c>
      <c r="B1644" t="s">
        <v>40</v>
      </c>
      <c r="C1644" t="s">
        <v>14</v>
      </c>
      <c r="E1644" t="s">
        <v>9</v>
      </c>
      <c r="F1644" s="1" t="s">
        <v>5</v>
      </c>
      <c r="G1644" s="1">
        <v>45951</v>
      </c>
      <c r="H1644" t="s">
        <v>41</v>
      </c>
      <c r="I1644" s="2">
        <v>2000</v>
      </c>
      <c r="J1644" t="s">
        <v>1036</v>
      </c>
      <c r="K1644" s="7">
        <v>45931</v>
      </c>
    </row>
    <row r="1645" spans="1:11" hidden="1">
      <c r="A1645" t="s">
        <v>39</v>
      </c>
      <c r="B1645" t="s">
        <v>40</v>
      </c>
      <c r="C1645" t="s">
        <v>14</v>
      </c>
      <c r="D1645">
        <v>10027957</v>
      </c>
      <c r="E1645" t="s">
        <v>9</v>
      </c>
      <c r="F1645" s="1" t="s">
        <v>3</v>
      </c>
      <c r="G1645" s="1">
        <v>45975</v>
      </c>
      <c r="H1645" t="s">
        <v>41</v>
      </c>
      <c r="I1645" s="2">
        <v>2000</v>
      </c>
      <c r="J1645" t="s">
        <v>375</v>
      </c>
      <c r="K1645" s="7">
        <v>45962</v>
      </c>
    </row>
    <row r="1646" spans="1:11" hidden="1">
      <c r="A1646" t="s">
        <v>114</v>
      </c>
      <c r="B1646" t="s">
        <v>63</v>
      </c>
      <c r="C1646" t="s">
        <v>14</v>
      </c>
      <c r="E1646" t="s">
        <v>9</v>
      </c>
      <c r="F1646" s="1" t="s">
        <v>4</v>
      </c>
      <c r="G1646" s="1">
        <v>45946</v>
      </c>
      <c r="H1646" t="s">
        <v>41</v>
      </c>
      <c r="I1646" s="2">
        <v>110765.91</v>
      </c>
      <c r="J1646" t="s">
        <v>221</v>
      </c>
      <c r="K1646" s="7">
        <v>45931</v>
      </c>
    </row>
    <row r="1647" spans="1:11" hidden="1">
      <c r="A1647" t="s">
        <v>39</v>
      </c>
      <c r="B1647" t="s">
        <v>40</v>
      </c>
      <c r="C1647" t="s">
        <v>14</v>
      </c>
      <c r="E1647" t="s">
        <v>9</v>
      </c>
      <c r="F1647" s="1" t="s">
        <v>2</v>
      </c>
      <c r="G1647" s="1">
        <v>45996</v>
      </c>
      <c r="H1647" t="s">
        <v>41</v>
      </c>
      <c r="I1647" s="2">
        <v>2000</v>
      </c>
      <c r="J1647" t="s">
        <v>981</v>
      </c>
      <c r="K1647" s="7">
        <v>45992</v>
      </c>
    </row>
    <row r="1648" spans="1:11" hidden="1">
      <c r="A1648" t="s">
        <v>39</v>
      </c>
      <c r="B1648" t="s">
        <v>40</v>
      </c>
      <c r="C1648" t="s">
        <v>14</v>
      </c>
      <c r="E1648" t="s">
        <v>9</v>
      </c>
      <c r="F1648" s="1" t="s">
        <v>2</v>
      </c>
      <c r="G1648" s="1">
        <v>45996</v>
      </c>
      <c r="H1648" t="s">
        <v>41</v>
      </c>
      <c r="I1648" s="2">
        <v>2000</v>
      </c>
      <c r="J1648" t="s">
        <v>1074</v>
      </c>
      <c r="K1648" s="7">
        <v>45992</v>
      </c>
    </row>
    <row r="1649" spans="1:11" hidden="1">
      <c r="A1649" t="s">
        <v>39</v>
      </c>
      <c r="B1649" t="s">
        <v>40</v>
      </c>
      <c r="C1649" t="s">
        <v>14</v>
      </c>
      <c r="E1649" t="s">
        <v>9</v>
      </c>
      <c r="F1649" s="1" t="s">
        <v>319</v>
      </c>
      <c r="G1649" s="1">
        <v>46003</v>
      </c>
      <c r="H1649" t="s">
        <v>41</v>
      </c>
      <c r="I1649" s="2">
        <v>2000</v>
      </c>
      <c r="J1649" t="s">
        <v>1075</v>
      </c>
      <c r="K1649" s="7">
        <v>45992</v>
      </c>
    </row>
    <row r="1650" spans="1:11" hidden="1">
      <c r="A1650" t="s">
        <v>39</v>
      </c>
      <c r="B1650" t="s">
        <v>63</v>
      </c>
      <c r="C1650" t="s">
        <v>14</v>
      </c>
      <c r="E1650" t="s">
        <v>9</v>
      </c>
      <c r="F1650" s="1" t="s">
        <v>4</v>
      </c>
      <c r="G1650" s="1">
        <v>45946</v>
      </c>
      <c r="H1650" t="s">
        <v>41</v>
      </c>
      <c r="I1650" s="2">
        <v>22524.91</v>
      </c>
      <c r="J1650" s="47" t="s">
        <v>430</v>
      </c>
      <c r="K1650" s="7">
        <v>45931</v>
      </c>
    </row>
    <row r="1651" spans="1:11" hidden="1">
      <c r="A1651" t="s">
        <v>39</v>
      </c>
      <c r="B1651" t="s">
        <v>144</v>
      </c>
      <c r="C1651" t="s">
        <v>14</v>
      </c>
      <c r="E1651" t="s">
        <v>9</v>
      </c>
      <c r="F1651" s="1" t="s">
        <v>4</v>
      </c>
      <c r="G1651" s="1">
        <v>45946</v>
      </c>
      <c r="H1651" t="s">
        <v>41</v>
      </c>
      <c r="I1651" s="2">
        <v>14817.38</v>
      </c>
      <c r="J1651" s="47" t="s">
        <v>1076</v>
      </c>
      <c r="K1651" s="7">
        <v>45931</v>
      </c>
    </row>
    <row r="1652" spans="1:11" hidden="1">
      <c r="A1652" t="s">
        <v>39</v>
      </c>
      <c r="B1652" t="s">
        <v>40</v>
      </c>
      <c r="C1652" t="s">
        <v>14</v>
      </c>
      <c r="E1652" t="s">
        <v>9</v>
      </c>
      <c r="F1652" s="1" t="s">
        <v>6</v>
      </c>
      <c r="G1652" s="1">
        <v>46021</v>
      </c>
      <c r="H1652" t="s">
        <v>41</v>
      </c>
      <c r="I1652" s="2">
        <v>2000</v>
      </c>
      <c r="J1652" s="47" t="s">
        <v>1077</v>
      </c>
      <c r="K1652" s="7">
        <v>45992</v>
      </c>
    </row>
    <row r="1653" spans="1:11" hidden="1">
      <c r="A1653" t="s">
        <v>39</v>
      </c>
      <c r="B1653" t="s">
        <v>40</v>
      </c>
      <c r="C1653" t="s">
        <v>14</v>
      </c>
      <c r="E1653" t="s">
        <v>9</v>
      </c>
      <c r="F1653" s="1" t="s">
        <v>2</v>
      </c>
      <c r="G1653" s="1">
        <v>46032</v>
      </c>
      <c r="H1653" t="s">
        <v>41</v>
      </c>
      <c r="I1653" s="2">
        <v>2000</v>
      </c>
      <c r="J1653" t="s">
        <v>1078</v>
      </c>
      <c r="K1653" s="7">
        <v>46023</v>
      </c>
    </row>
    <row r="1654" spans="1:11" hidden="1">
      <c r="A1654" t="s">
        <v>39</v>
      </c>
      <c r="B1654" t="s">
        <v>40</v>
      </c>
      <c r="C1654" t="s">
        <v>14</v>
      </c>
      <c r="D1654">
        <v>10028256</v>
      </c>
      <c r="E1654" t="s">
        <v>9</v>
      </c>
      <c r="F1654" s="1" t="s">
        <v>3</v>
      </c>
      <c r="G1654" s="1">
        <v>46034</v>
      </c>
      <c r="H1654" t="s">
        <v>41</v>
      </c>
      <c r="I1654" s="2">
        <v>2000</v>
      </c>
      <c r="J1654" t="s">
        <v>1079</v>
      </c>
      <c r="K1654" s="7">
        <v>46023</v>
      </c>
    </row>
    <row r="1655" spans="1:11" hidden="1">
      <c r="A1655" t="s">
        <v>39</v>
      </c>
      <c r="B1655" t="s">
        <v>40</v>
      </c>
      <c r="C1655" t="s">
        <v>12</v>
      </c>
      <c r="E1655" t="s">
        <v>9</v>
      </c>
      <c r="F1655" s="1" t="s">
        <v>4</v>
      </c>
      <c r="G1655" s="1">
        <v>45946</v>
      </c>
      <c r="H1655" t="s">
        <v>41</v>
      </c>
      <c r="I1655" s="2">
        <v>3520</v>
      </c>
      <c r="J1655" t="s">
        <v>846</v>
      </c>
      <c r="K1655" s="7">
        <v>45931</v>
      </c>
    </row>
    <row r="1656" spans="1:11" hidden="1">
      <c r="A1656" t="s">
        <v>39</v>
      </c>
      <c r="B1656" t="s">
        <v>40</v>
      </c>
      <c r="C1656" t="s">
        <v>14</v>
      </c>
      <c r="D1656">
        <v>10028360</v>
      </c>
      <c r="E1656" t="s">
        <v>9</v>
      </c>
      <c r="F1656" s="1" t="s">
        <v>5</v>
      </c>
      <c r="G1656" s="1">
        <v>46048</v>
      </c>
      <c r="H1656" t="s">
        <v>41</v>
      </c>
      <c r="I1656" s="2">
        <v>2000</v>
      </c>
      <c r="J1656" t="s">
        <v>1080</v>
      </c>
      <c r="K1656" s="7">
        <v>46023</v>
      </c>
    </row>
    <row r="1657" spans="1:11" hidden="1">
      <c r="A1657" t="s">
        <v>39</v>
      </c>
      <c r="B1657" t="s">
        <v>40</v>
      </c>
      <c r="C1657" t="s">
        <v>14</v>
      </c>
      <c r="E1657" t="s">
        <v>9</v>
      </c>
      <c r="F1657" s="1" t="s">
        <v>5</v>
      </c>
      <c r="G1657" s="1">
        <v>46051</v>
      </c>
      <c r="H1657" t="s">
        <v>41</v>
      </c>
      <c r="I1657" s="2">
        <v>2000</v>
      </c>
      <c r="J1657" s="47" t="s">
        <v>1081</v>
      </c>
      <c r="K1657" s="7">
        <v>46023</v>
      </c>
    </row>
    <row r="1658" spans="1:11" hidden="1">
      <c r="A1658" t="s">
        <v>39</v>
      </c>
      <c r="B1658" t="s">
        <v>63</v>
      </c>
      <c r="C1658" t="s">
        <v>14</v>
      </c>
      <c r="E1658" t="s">
        <v>9</v>
      </c>
      <c r="F1658" s="1" t="s">
        <v>4</v>
      </c>
      <c r="G1658" s="1">
        <v>45946</v>
      </c>
      <c r="H1658" t="s">
        <v>41</v>
      </c>
      <c r="I1658" s="2">
        <v>2797.12</v>
      </c>
      <c r="J1658" s="47" t="s">
        <v>151</v>
      </c>
      <c r="K1658" s="7">
        <v>45931</v>
      </c>
    </row>
    <row r="1659" spans="1:11" hidden="1">
      <c r="A1659" t="s">
        <v>39</v>
      </c>
      <c r="B1659" t="s">
        <v>47</v>
      </c>
      <c r="C1659" t="s">
        <v>14</v>
      </c>
      <c r="E1659" t="s">
        <v>9</v>
      </c>
      <c r="F1659" s="1" t="s">
        <v>3</v>
      </c>
      <c r="G1659" s="1">
        <v>46037</v>
      </c>
      <c r="H1659" t="s">
        <v>41</v>
      </c>
      <c r="I1659" s="2">
        <v>1985.54</v>
      </c>
      <c r="J1659" t="s">
        <v>74</v>
      </c>
      <c r="K1659" s="7">
        <v>46023</v>
      </c>
    </row>
    <row r="1660" spans="1:11" hidden="1">
      <c r="A1660" t="s">
        <v>39</v>
      </c>
      <c r="B1660" t="s">
        <v>47</v>
      </c>
      <c r="C1660" t="s">
        <v>14</v>
      </c>
      <c r="E1660" t="s">
        <v>9</v>
      </c>
      <c r="F1660" s="1" t="s">
        <v>4</v>
      </c>
      <c r="G1660" s="1">
        <v>45946</v>
      </c>
      <c r="H1660" t="s">
        <v>41</v>
      </c>
      <c r="I1660" s="2">
        <v>677.52</v>
      </c>
      <c r="J1660" t="s">
        <v>1082</v>
      </c>
      <c r="K1660" s="7">
        <v>45931</v>
      </c>
    </row>
    <row r="1661" spans="1:11" hidden="1">
      <c r="A1661" t="s">
        <v>39</v>
      </c>
      <c r="B1661" t="s">
        <v>40</v>
      </c>
      <c r="C1661" t="s">
        <v>12</v>
      </c>
      <c r="E1661" t="s">
        <v>9</v>
      </c>
      <c r="F1661" s="1" t="s">
        <v>3</v>
      </c>
      <c r="G1661" s="1">
        <v>45820</v>
      </c>
      <c r="H1661" t="s">
        <v>64</v>
      </c>
      <c r="I1661" s="2">
        <f>1000000/508</f>
        <v>1968.5039370078741</v>
      </c>
      <c r="J1661" t="s">
        <v>275</v>
      </c>
      <c r="K1661" s="7">
        <v>45809</v>
      </c>
    </row>
    <row r="1662" spans="1:11" hidden="1">
      <c r="A1662" t="s">
        <v>39</v>
      </c>
      <c r="B1662" t="s">
        <v>47</v>
      </c>
      <c r="C1662" t="s">
        <v>14</v>
      </c>
      <c r="E1662" t="s">
        <v>9</v>
      </c>
      <c r="F1662" s="1" t="s">
        <v>2</v>
      </c>
      <c r="G1662" s="1">
        <v>45968</v>
      </c>
      <c r="H1662" t="s">
        <v>64</v>
      </c>
      <c r="I1662" s="2">
        <f>992022.03/510</f>
        <v>1945.1412352941177</v>
      </c>
      <c r="J1662" t="s">
        <v>1083</v>
      </c>
      <c r="K1662" s="7">
        <v>45962</v>
      </c>
    </row>
    <row r="1663" spans="1:11" hidden="1">
      <c r="A1663" t="s">
        <v>39</v>
      </c>
      <c r="B1663" t="s">
        <v>40</v>
      </c>
      <c r="C1663" t="s">
        <v>14</v>
      </c>
      <c r="E1663" t="s">
        <v>9</v>
      </c>
      <c r="F1663" s="1" t="s">
        <v>4</v>
      </c>
      <c r="G1663" s="1">
        <v>45946</v>
      </c>
      <c r="H1663" t="s">
        <v>41</v>
      </c>
      <c r="I1663" s="2">
        <v>425</v>
      </c>
      <c r="J1663" s="47" t="s">
        <v>1084</v>
      </c>
      <c r="K1663" s="7">
        <v>45931</v>
      </c>
    </row>
    <row r="1664" spans="1:11" hidden="1">
      <c r="A1664" t="s">
        <v>39</v>
      </c>
      <c r="B1664" t="s">
        <v>47</v>
      </c>
      <c r="C1664" t="s">
        <v>14</v>
      </c>
      <c r="E1664" t="s">
        <v>9</v>
      </c>
      <c r="F1664" s="1" t="s">
        <v>3</v>
      </c>
      <c r="G1664" s="1">
        <v>46003</v>
      </c>
      <c r="H1664" t="s">
        <v>41</v>
      </c>
      <c r="I1664" s="2">
        <v>1941.72</v>
      </c>
      <c r="J1664" t="s">
        <v>1085</v>
      </c>
      <c r="K1664" s="7">
        <v>45992</v>
      </c>
    </row>
    <row r="1665" spans="1:11" hidden="1">
      <c r="A1665" t="s">
        <v>39</v>
      </c>
      <c r="B1665" t="s">
        <v>40</v>
      </c>
      <c r="C1665" t="s">
        <v>14</v>
      </c>
      <c r="D1665">
        <v>10028260</v>
      </c>
      <c r="E1665" t="s">
        <v>9</v>
      </c>
      <c r="F1665" s="1" t="s">
        <v>3</v>
      </c>
      <c r="G1665" s="1">
        <v>46034</v>
      </c>
      <c r="H1665" t="s">
        <v>41</v>
      </c>
      <c r="I1665" s="2">
        <v>1936</v>
      </c>
      <c r="J1665" t="s">
        <v>1086</v>
      </c>
      <c r="K1665" s="7">
        <v>46023</v>
      </c>
    </row>
    <row r="1666" spans="1:11" hidden="1">
      <c r="A1666" t="s">
        <v>39</v>
      </c>
      <c r="B1666" t="s">
        <v>45</v>
      </c>
      <c r="C1666" t="s">
        <v>14</v>
      </c>
      <c r="E1666" t="s">
        <v>9</v>
      </c>
      <c r="F1666" s="1" t="s">
        <v>4</v>
      </c>
      <c r="G1666" s="1">
        <v>45947</v>
      </c>
      <c r="H1666" t="s">
        <v>41</v>
      </c>
      <c r="I1666" s="2">
        <v>62516.15</v>
      </c>
      <c r="J1666" t="s">
        <v>1087</v>
      </c>
      <c r="K1666" s="7">
        <v>45931</v>
      </c>
    </row>
    <row r="1667" spans="1:11" hidden="1">
      <c r="A1667" t="s">
        <v>39</v>
      </c>
      <c r="B1667" t="s">
        <v>47</v>
      </c>
      <c r="C1667" t="s">
        <v>14</v>
      </c>
      <c r="D1667">
        <v>10026541</v>
      </c>
      <c r="E1667" t="s">
        <v>9</v>
      </c>
      <c r="F1667" s="1" t="s">
        <v>3</v>
      </c>
      <c r="G1667" s="1">
        <v>45785</v>
      </c>
      <c r="H1667" t="s">
        <v>41</v>
      </c>
      <c r="I1667" s="2">
        <v>1906.76</v>
      </c>
      <c r="J1667" t="s">
        <v>133</v>
      </c>
      <c r="K1667" s="7">
        <v>45778</v>
      </c>
    </row>
    <row r="1668" spans="1:11" hidden="1">
      <c r="A1668" t="s">
        <v>39</v>
      </c>
      <c r="B1668" t="s">
        <v>40</v>
      </c>
      <c r="C1668" t="s">
        <v>14</v>
      </c>
      <c r="D1668">
        <v>10026579</v>
      </c>
      <c r="E1668" t="s">
        <v>9</v>
      </c>
      <c r="F1668" s="1" t="s">
        <v>3</v>
      </c>
      <c r="G1668" s="1">
        <v>45787</v>
      </c>
      <c r="H1668" t="s">
        <v>41</v>
      </c>
      <c r="I1668" s="2">
        <v>1884.4</v>
      </c>
      <c r="J1668" t="s">
        <v>1088</v>
      </c>
      <c r="K1668" s="7">
        <v>45778</v>
      </c>
    </row>
    <row r="1669" spans="1:11" hidden="1">
      <c r="A1669" t="s">
        <v>39</v>
      </c>
      <c r="B1669" t="s">
        <v>47</v>
      </c>
      <c r="C1669" t="s">
        <v>14</v>
      </c>
      <c r="E1669" t="s">
        <v>9</v>
      </c>
      <c r="F1669" s="1" t="s">
        <v>2</v>
      </c>
      <c r="G1669" s="1">
        <v>45967</v>
      </c>
      <c r="H1669" t="s">
        <v>41</v>
      </c>
      <c r="I1669" s="2">
        <v>1875.11</v>
      </c>
      <c r="J1669" t="s">
        <v>1085</v>
      </c>
      <c r="K1669" s="7">
        <v>45962</v>
      </c>
    </row>
    <row r="1670" spans="1:11" hidden="1">
      <c r="A1670" t="s">
        <v>39</v>
      </c>
      <c r="B1670" t="s">
        <v>45</v>
      </c>
      <c r="C1670" t="s">
        <v>14</v>
      </c>
      <c r="E1670" t="s">
        <v>9</v>
      </c>
      <c r="F1670" s="1" t="s">
        <v>4</v>
      </c>
      <c r="G1670" s="1">
        <v>45947</v>
      </c>
      <c r="H1670" t="s">
        <v>41</v>
      </c>
      <c r="I1670" s="2">
        <v>28258.51</v>
      </c>
      <c r="J1670" t="s">
        <v>164</v>
      </c>
      <c r="K1670" s="7">
        <v>45931</v>
      </c>
    </row>
    <row r="1671" spans="1:11" hidden="1">
      <c r="A1671" t="s">
        <v>39</v>
      </c>
      <c r="B1671" t="s">
        <v>40</v>
      </c>
      <c r="C1671" t="s">
        <v>14</v>
      </c>
      <c r="E1671" t="s">
        <v>9</v>
      </c>
      <c r="F1671" s="1" t="s">
        <v>2</v>
      </c>
      <c r="G1671" s="1">
        <v>45902</v>
      </c>
      <c r="H1671" t="s">
        <v>41</v>
      </c>
      <c r="I1671" s="2">
        <v>1871.28</v>
      </c>
      <c r="J1671" t="s">
        <v>1089</v>
      </c>
      <c r="K1671" s="7">
        <v>45901</v>
      </c>
    </row>
    <row r="1672" spans="1:11" hidden="1">
      <c r="A1672" t="s">
        <v>39</v>
      </c>
      <c r="B1672" t="s">
        <v>45</v>
      </c>
      <c r="C1672" t="s">
        <v>14</v>
      </c>
      <c r="D1672">
        <v>10026645</v>
      </c>
      <c r="E1672" t="s">
        <v>9</v>
      </c>
      <c r="F1672" s="1" t="s">
        <v>5</v>
      </c>
      <c r="G1672" s="1">
        <v>45797</v>
      </c>
      <c r="H1672" t="s">
        <v>41</v>
      </c>
      <c r="I1672" s="2">
        <v>1859.82</v>
      </c>
      <c r="J1672" t="s">
        <v>1090</v>
      </c>
      <c r="K1672" s="7">
        <v>45778</v>
      </c>
    </row>
    <row r="1673" spans="1:11" hidden="1">
      <c r="A1673" t="s">
        <v>39</v>
      </c>
      <c r="B1673" t="s">
        <v>47</v>
      </c>
      <c r="C1673" t="s">
        <v>14</v>
      </c>
      <c r="E1673" t="s">
        <v>9</v>
      </c>
      <c r="F1673" s="1" t="s">
        <v>2</v>
      </c>
      <c r="G1673" s="1">
        <v>45932</v>
      </c>
      <c r="H1673" t="s">
        <v>41</v>
      </c>
      <c r="I1673" s="2">
        <v>1858.51</v>
      </c>
      <c r="J1673" t="s">
        <v>931</v>
      </c>
      <c r="K1673" s="7">
        <v>45931</v>
      </c>
    </row>
    <row r="1674" spans="1:11" hidden="1">
      <c r="A1674" t="s">
        <v>39</v>
      </c>
      <c r="B1674" t="s">
        <v>40</v>
      </c>
      <c r="C1674" t="s">
        <v>14</v>
      </c>
      <c r="D1674">
        <v>10027259</v>
      </c>
      <c r="E1674" t="s">
        <v>9</v>
      </c>
      <c r="F1674" s="1" t="s">
        <v>2</v>
      </c>
      <c r="G1674" s="1">
        <v>45876</v>
      </c>
      <c r="H1674" t="s">
        <v>41</v>
      </c>
      <c r="I1674" s="2">
        <v>1850</v>
      </c>
      <c r="J1674" t="s">
        <v>1091</v>
      </c>
      <c r="K1674" s="7">
        <v>45870</v>
      </c>
    </row>
    <row r="1675" spans="1:11" hidden="1">
      <c r="A1675" t="s">
        <v>39</v>
      </c>
      <c r="B1675" t="s">
        <v>63</v>
      </c>
      <c r="C1675" t="s">
        <v>14</v>
      </c>
      <c r="E1675" t="s">
        <v>9</v>
      </c>
      <c r="F1675" s="1" t="s">
        <v>2</v>
      </c>
      <c r="G1675" s="1">
        <v>45996</v>
      </c>
      <c r="H1675" t="s">
        <v>41</v>
      </c>
      <c r="I1675" s="2">
        <v>1850</v>
      </c>
      <c r="J1675" t="s">
        <v>1092</v>
      </c>
      <c r="K1675" s="7">
        <v>45992</v>
      </c>
    </row>
    <row r="1676" spans="1:11" hidden="1">
      <c r="A1676" t="s">
        <v>39</v>
      </c>
      <c r="B1676" t="s">
        <v>40</v>
      </c>
      <c r="C1676" t="s">
        <v>14</v>
      </c>
      <c r="E1676" t="s">
        <v>9</v>
      </c>
      <c r="F1676" s="1" t="s">
        <v>4</v>
      </c>
      <c r="G1676" s="1">
        <v>45947</v>
      </c>
      <c r="H1676" t="s">
        <v>41</v>
      </c>
      <c r="I1676" s="2">
        <v>8558.85</v>
      </c>
      <c r="J1676" t="s">
        <v>1093</v>
      </c>
      <c r="K1676" s="7">
        <v>45931</v>
      </c>
    </row>
    <row r="1677" spans="1:11" hidden="1">
      <c r="A1677" t="s">
        <v>39</v>
      </c>
      <c r="B1677" t="s">
        <v>40</v>
      </c>
      <c r="C1677" t="s">
        <v>14</v>
      </c>
      <c r="D1677">
        <v>10027698</v>
      </c>
      <c r="E1677" t="s">
        <v>9</v>
      </c>
      <c r="F1677" s="1" t="s">
        <v>2</v>
      </c>
      <c r="G1677" s="1">
        <v>45933</v>
      </c>
      <c r="H1677" t="s">
        <v>41</v>
      </c>
      <c r="I1677" s="2">
        <v>1825</v>
      </c>
      <c r="J1677" t="s">
        <v>584</v>
      </c>
      <c r="K1677" s="7">
        <v>45931</v>
      </c>
    </row>
    <row r="1678" spans="1:11" hidden="1">
      <c r="A1678" t="s">
        <v>39</v>
      </c>
      <c r="B1678" t="s">
        <v>47</v>
      </c>
      <c r="C1678" t="s">
        <v>14</v>
      </c>
      <c r="D1678">
        <v>10026478</v>
      </c>
      <c r="E1678" t="s">
        <v>9</v>
      </c>
      <c r="F1678" s="1" t="s">
        <v>3</v>
      </c>
      <c r="G1678" s="1">
        <v>45783</v>
      </c>
      <c r="H1678" t="s">
        <v>41</v>
      </c>
      <c r="I1678" s="2">
        <v>1821.2</v>
      </c>
      <c r="J1678" t="s">
        <v>170</v>
      </c>
      <c r="K1678" s="7">
        <v>45778</v>
      </c>
    </row>
    <row r="1679" spans="1:11" hidden="1">
      <c r="A1679" t="s">
        <v>39</v>
      </c>
      <c r="B1679" t="s">
        <v>40</v>
      </c>
      <c r="C1679" t="s">
        <v>12</v>
      </c>
      <c r="E1679" t="s">
        <v>9</v>
      </c>
      <c r="F1679" s="1" t="s">
        <v>3</v>
      </c>
      <c r="G1679" s="1">
        <v>46063</v>
      </c>
      <c r="H1679" t="s">
        <v>41</v>
      </c>
      <c r="I1679" s="2">
        <v>18000</v>
      </c>
      <c r="J1679" t="s">
        <v>1094</v>
      </c>
      <c r="K1679" s="7">
        <v>46054</v>
      </c>
    </row>
    <row r="1680" spans="1:11" hidden="1">
      <c r="A1680" t="s">
        <v>39</v>
      </c>
      <c r="B1680" t="s">
        <v>47</v>
      </c>
      <c r="C1680" t="s">
        <v>14</v>
      </c>
      <c r="D1680">
        <v>10026936</v>
      </c>
      <c r="E1680" t="s">
        <v>9</v>
      </c>
      <c r="F1680" s="60" t="s">
        <v>5</v>
      </c>
      <c r="G1680" s="1">
        <v>45835</v>
      </c>
      <c r="H1680" t="s">
        <v>41</v>
      </c>
      <c r="I1680" s="2">
        <v>1816.79</v>
      </c>
      <c r="J1680" t="s">
        <v>493</v>
      </c>
      <c r="K1680" s="7">
        <v>45809</v>
      </c>
    </row>
    <row r="1681" spans="1:11" hidden="1">
      <c r="A1681" t="s">
        <v>39</v>
      </c>
      <c r="B1681" t="s">
        <v>40</v>
      </c>
      <c r="C1681" t="s">
        <v>14</v>
      </c>
      <c r="D1681">
        <v>10027314</v>
      </c>
      <c r="E1681" t="s">
        <v>9</v>
      </c>
      <c r="F1681" s="51" t="s">
        <v>3</v>
      </c>
      <c r="G1681" s="1">
        <v>45883</v>
      </c>
      <c r="H1681" t="s">
        <v>41</v>
      </c>
      <c r="I1681" s="2">
        <v>1815</v>
      </c>
      <c r="J1681" s="50" t="s">
        <v>612</v>
      </c>
      <c r="K1681" s="7">
        <v>45870</v>
      </c>
    </row>
    <row r="1682" spans="1:11" hidden="1">
      <c r="A1682" t="s">
        <v>114</v>
      </c>
      <c r="B1682" t="s">
        <v>63</v>
      </c>
      <c r="C1682" t="s">
        <v>14</v>
      </c>
      <c r="E1682" t="s">
        <v>9</v>
      </c>
      <c r="F1682" s="51" t="s">
        <v>2</v>
      </c>
      <c r="G1682" s="1">
        <v>45933</v>
      </c>
      <c r="H1682" t="s">
        <v>64</v>
      </c>
      <c r="I1682" s="2">
        <f>924677.78/510</f>
        <v>1813.0936862745098</v>
      </c>
      <c r="J1682" s="50" t="s">
        <v>1095</v>
      </c>
      <c r="K1682" s="7">
        <v>45931</v>
      </c>
    </row>
    <row r="1683" spans="1:11" hidden="1">
      <c r="A1683" t="s">
        <v>39</v>
      </c>
      <c r="B1683" t="s">
        <v>40</v>
      </c>
      <c r="C1683" t="s">
        <v>14</v>
      </c>
      <c r="E1683" t="s">
        <v>9</v>
      </c>
      <c r="F1683" s="51" t="s">
        <v>2</v>
      </c>
      <c r="G1683" s="1">
        <v>45994</v>
      </c>
      <c r="H1683" t="s">
        <v>41</v>
      </c>
      <c r="I1683" s="2">
        <v>1811.76</v>
      </c>
      <c r="J1683" s="50" t="s">
        <v>1096</v>
      </c>
      <c r="K1683" s="7">
        <v>45992</v>
      </c>
    </row>
    <row r="1684" spans="1:11" hidden="1">
      <c r="A1684" t="s">
        <v>39</v>
      </c>
      <c r="B1684" t="s">
        <v>63</v>
      </c>
      <c r="C1684" t="s">
        <v>14</v>
      </c>
      <c r="E1684" t="s">
        <v>9</v>
      </c>
      <c r="F1684" s="1" t="s">
        <v>2</v>
      </c>
      <c r="G1684" s="1">
        <v>45995</v>
      </c>
      <c r="H1684" t="s">
        <v>41</v>
      </c>
      <c r="I1684" s="2">
        <v>1805.96</v>
      </c>
      <c r="J1684" s="50" t="s">
        <v>1097</v>
      </c>
      <c r="K1684" s="7">
        <v>45992</v>
      </c>
    </row>
    <row r="1685" spans="1:11" hidden="1">
      <c r="A1685" t="s">
        <v>39</v>
      </c>
      <c r="B1685" t="s">
        <v>47</v>
      </c>
      <c r="C1685" t="s">
        <v>12</v>
      </c>
      <c r="E1685" t="s">
        <v>8</v>
      </c>
      <c r="F1685" s="1" t="s">
        <v>4</v>
      </c>
      <c r="G1685" s="1">
        <v>45947</v>
      </c>
      <c r="H1685" t="s">
        <v>41</v>
      </c>
      <c r="I1685" s="2">
        <v>322000</v>
      </c>
      <c r="J1685" s="50" t="s">
        <v>371</v>
      </c>
      <c r="K1685" s="7">
        <v>45931</v>
      </c>
    </row>
    <row r="1686" spans="1:11" hidden="1">
      <c r="A1686" t="s">
        <v>39</v>
      </c>
      <c r="B1686" t="s">
        <v>47</v>
      </c>
      <c r="C1686" t="s">
        <v>13</v>
      </c>
      <c r="E1686" t="s">
        <v>8</v>
      </c>
      <c r="F1686" s="1" t="s">
        <v>4</v>
      </c>
      <c r="G1686" s="1">
        <v>45947</v>
      </c>
      <c r="H1686" t="s">
        <v>41</v>
      </c>
      <c r="I1686" s="2">
        <v>65751</v>
      </c>
      <c r="J1686" s="50" t="s">
        <v>975</v>
      </c>
      <c r="K1686" s="7">
        <v>45931</v>
      </c>
    </row>
    <row r="1687" spans="1:11" hidden="1">
      <c r="A1687" t="s">
        <v>39</v>
      </c>
      <c r="B1687" t="s">
        <v>40</v>
      </c>
      <c r="C1687" t="s">
        <v>14</v>
      </c>
      <c r="E1687" t="s">
        <v>8</v>
      </c>
      <c r="F1687" s="1" t="s">
        <v>4</v>
      </c>
      <c r="G1687" s="1">
        <v>45947</v>
      </c>
      <c r="H1687" t="s">
        <v>41</v>
      </c>
      <c r="I1687" s="2">
        <v>60000</v>
      </c>
      <c r="J1687" s="50" t="s">
        <v>98</v>
      </c>
      <c r="K1687" s="7">
        <v>45931</v>
      </c>
    </row>
    <row r="1688" spans="1:11" hidden="1">
      <c r="A1688" t="s">
        <v>39</v>
      </c>
      <c r="B1688" t="s">
        <v>47</v>
      </c>
      <c r="C1688" t="s">
        <v>13</v>
      </c>
      <c r="E1688" t="s">
        <v>8</v>
      </c>
      <c r="F1688" s="1" t="s">
        <v>4</v>
      </c>
      <c r="G1688" s="1">
        <v>45947</v>
      </c>
      <c r="H1688" t="s">
        <v>41</v>
      </c>
      <c r="I1688" s="2">
        <v>44275.97</v>
      </c>
      <c r="J1688" s="50" t="s">
        <v>221</v>
      </c>
      <c r="K1688" s="7">
        <v>45931</v>
      </c>
    </row>
    <row r="1689" spans="1:11" hidden="1">
      <c r="A1689" t="s">
        <v>56</v>
      </c>
      <c r="B1689" t="s">
        <v>40</v>
      </c>
      <c r="C1689" t="s">
        <v>14</v>
      </c>
      <c r="E1689" t="s">
        <v>8</v>
      </c>
      <c r="F1689" s="1" t="s">
        <v>4</v>
      </c>
      <c r="G1689" s="1">
        <v>45947</v>
      </c>
      <c r="H1689" t="s">
        <v>41</v>
      </c>
      <c r="I1689" s="2">
        <v>25000</v>
      </c>
      <c r="J1689" s="50" t="s">
        <v>98</v>
      </c>
      <c r="K1689" s="7">
        <v>45931</v>
      </c>
    </row>
    <row r="1690" spans="1:11" hidden="1">
      <c r="A1690" t="s">
        <v>99</v>
      </c>
      <c r="B1690" t="s">
        <v>63</v>
      </c>
      <c r="C1690" t="s">
        <v>14</v>
      </c>
      <c r="E1690" t="s">
        <v>8</v>
      </c>
      <c r="F1690" s="1" t="s">
        <v>4</v>
      </c>
      <c r="G1690" s="1">
        <v>45947</v>
      </c>
      <c r="H1690" t="s">
        <v>41</v>
      </c>
      <c r="I1690" s="2">
        <v>20000</v>
      </c>
      <c r="J1690" s="50" t="s">
        <v>1098</v>
      </c>
      <c r="K1690" s="7">
        <v>45931</v>
      </c>
    </row>
    <row r="1691" spans="1:11" hidden="1">
      <c r="A1691" t="s">
        <v>39</v>
      </c>
      <c r="B1691" t="s">
        <v>63</v>
      </c>
      <c r="C1691" t="s">
        <v>14</v>
      </c>
      <c r="E1691" t="s">
        <v>8</v>
      </c>
      <c r="F1691" s="1" t="s">
        <v>4</v>
      </c>
      <c r="G1691" s="1">
        <v>45947</v>
      </c>
      <c r="H1691" t="s">
        <v>41</v>
      </c>
      <c r="I1691" s="2">
        <v>14942</v>
      </c>
      <c r="J1691" s="50" t="s">
        <v>1069</v>
      </c>
      <c r="K1691" s="7">
        <v>45931</v>
      </c>
    </row>
    <row r="1692" spans="1:11" hidden="1">
      <c r="A1692" t="s">
        <v>39</v>
      </c>
      <c r="B1692" t="s">
        <v>63</v>
      </c>
      <c r="C1692" t="s">
        <v>13</v>
      </c>
      <c r="E1692" t="s">
        <v>8</v>
      </c>
      <c r="F1692" s="1" t="s">
        <v>4</v>
      </c>
      <c r="G1692" s="1">
        <v>45947</v>
      </c>
      <c r="H1692" t="s">
        <v>41</v>
      </c>
      <c r="I1692" s="2">
        <v>13272</v>
      </c>
      <c r="J1692" s="50" t="s">
        <v>465</v>
      </c>
      <c r="K1692" s="7">
        <v>45931</v>
      </c>
    </row>
    <row r="1693" spans="1:11" hidden="1">
      <c r="A1693" t="s">
        <v>39</v>
      </c>
      <c r="B1693" t="s">
        <v>45</v>
      </c>
      <c r="C1693" t="s">
        <v>14</v>
      </c>
      <c r="E1693" t="s">
        <v>8</v>
      </c>
      <c r="F1693" s="1" t="s">
        <v>4</v>
      </c>
      <c r="G1693" s="1">
        <v>45947</v>
      </c>
      <c r="H1693" t="s">
        <v>41</v>
      </c>
      <c r="I1693" s="2">
        <v>18750</v>
      </c>
      <c r="J1693" s="50" t="s">
        <v>1099</v>
      </c>
      <c r="K1693" s="7">
        <v>45931</v>
      </c>
    </row>
    <row r="1694" spans="1:11" hidden="1">
      <c r="A1694" t="s">
        <v>39</v>
      </c>
      <c r="B1694" t="s">
        <v>63</v>
      </c>
      <c r="C1694" t="s">
        <v>14</v>
      </c>
      <c r="E1694" t="s">
        <v>8</v>
      </c>
      <c r="F1694" s="1" t="s">
        <v>4</v>
      </c>
      <c r="G1694" s="1">
        <v>45947</v>
      </c>
      <c r="H1694" t="s">
        <v>41</v>
      </c>
      <c r="I1694" s="2">
        <v>4404</v>
      </c>
      <c r="J1694" s="50" t="s">
        <v>65</v>
      </c>
      <c r="K1694" s="7">
        <v>45931</v>
      </c>
    </row>
    <row r="1695" spans="1:11" hidden="1">
      <c r="A1695" t="s">
        <v>39</v>
      </c>
      <c r="B1695" t="s">
        <v>45</v>
      </c>
      <c r="C1695" t="s">
        <v>14</v>
      </c>
      <c r="E1695" t="s">
        <v>8</v>
      </c>
      <c r="F1695" s="1" t="s">
        <v>4</v>
      </c>
      <c r="G1695" s="1">
        <v>45947</v>
      </c>
      <c r="H1695" t="s">
        <v>41</v>
      </c>
      <c r="I1695" s="2">
        <v>14309.19</v>
      </c>
      <c r="J1695" s="50" t="s">
        <v>805</v>
      </c>
      <c r="K1695" s="7">
        <v>45931</v>
      </c>
    </row>
    <row r="1696" spans="1:11" hidden="1">
      <c r="A1696" t="s">
        <v>39</v>
      </c>
      <c r="B1696" t="s">
        <v>63</v>
      </c>
      <c r="C1696" t="s">
        <v>13</v>
      </c>
      <c r="E1696" t="s">
        <v>8</v>
      </c>
      <c r="F1696" s="1" t="s">
        <v>4</v>
      </c>
      <c r="G1696" s="1">
        <v>45947</v>
      </c>
      <c r="H1696" t="s">
        <v>41</v>
      </c>
      <c r="I1696" s="2">
        <v>4082</v>
      </c>
      <c r="J1696" s="50" t="s">
        <v>537</v>
      </c>
      <c r="K1696" s="7">
        <v>45931</v>
      </c>
    </row>
    <row r="1697" spans="1:11" hidden="1">
      <c r="A1697" t="s">
        <v>39</v>
      </c>
      <c r="B1697" t="s">
        <v>63</v>
      </c>
      <c r="C1697" t="s">
        <v>14</v>
      </c>
      <c r="E1697" t="s">
        <v>8</v>
      </c>
      <c r="F1697" s="1" t="s">
        <v>4</v>
      </c>
      <c r="G1697" s="1">
        <v>45947</v>
      </c>
      <c r="H1697" t="s">
        <v>41</v>
      </c>
      <c r="I1697" s="2">
        <v>2797</v>
      </c>
      <c r="J1697" s="50" t="s">
        <v>151</v>
      </c>
      <c r="K1697" s="7">
        <v>45931</v>
      </c>
    </row>
    <row r="1698" spans="1:11" hidden="1">
      <c r="A1698" t="s">
        <v>39</v>
      </c>
      <c r="B1698" t="s">
        <v>47</v>
      </c>
      <c r="C1698" t="s">
        <v>14</v>
      </c>
      <c r="E1698" t="s">
        <v>8</v>
      </c>
      <c r="F1698" s="1" t="s">
        <v>4</v>
      </c>
      <c r="G1698" s="1">
        <v>45947</v>
      </c>
      <c r="H1698" t="s">
        <v>41</v>
      </c>
      <c r="I1698" s="2">
        <v>5025</v>
      </c>
      <c r="J1698" s="50" t="s">
        <v>767</v>
      </c>
      <c r="K1698" s="7">
        <v>45931</v>
      </c>
    </row>
    <row r="1699" spans="1:11" hidden="1">
      <c r="A1699" t="s">
        <v>39</v>
      </c>
      <c r="B1699" t="s">
        <v>45</v>
      </c>
      <c r="C1699" t="s">
        <v>14</v>
      </c>
      <c r="E1699" t="s">
        <v>9</v>
      </c>
      <c r="F1699" s="1" t="s">
        <v>3</v>
      </c>
      <c r="G1699" s="1">
        <v>46038</v>
      </c>
      <c r="H1699" t="s">
        <v>41</v>
      </c>
      <c r="I1699" s="2">
        <v>1802.6</v>
      </c>
      <c r="J1699" s="50" t="s">
        <v>623</v>
      </c>
      <c r="K1699" s="7">
        <v>46023</v>
      </c>
    </row>
    <row r="1700" spans="1:11" hidden="1">
      <c r="A1700" t="s">
        <v>39</v>
      </c>
      <c r="B1700" t="s">
        <v>40</v>
      </c>
      <c r="C1700" t="s">
        <v>14</v>
      </c>
      <c r="E1700" t="s">
        <v>9</v>
      </c>
      <c r="F1700" s="1" t="s">
        <v>6</v>
      </c>
      <c r="G1700" s="1">
        <v>45805</v>
      </c>
      <c r="H1700" t="s">
        <v>41</v>
      </c>
      <c r="I1700" s="2">
        <v>1800</v>
      </c>
      <c r="J1700" s="50" t="s">
        <v>1100</v>
      </c>
      <c r="K1700" s="7">
        <v>45778</v>
      </c>
    </row>
    <row r="1701" spans="1:11" hidden="1">
      <c r="A1701" t="s">
        <v>39</v>
      </c>
      <c r="B1701" t="s">
        <v>47</v>
      </c>
      <c r="C1701" t="s">
        <v>12</v>
      </c>
      <c r="D1701">
        <v>10027201</v>
      </c>
      <c r="E1701" t="s">
        <v>9</v>
      </c>
      <c r="F1701" s="1" t="s">
        <v>6</v>
      </c>
      <c r="G1701" s="1">
        <v>45845</v>
      </c>
      <c r="H1701" t="s">
        <v>41</v>
      </c>
      <c r="I1701" s="2">
        <v>1800</v>
      </c>
      <c r="J1701" s="50" t="s">
        <v>1101</v>
      </c>
      <c r="K1701" s="7">
        <v>45839</v>
      </c>
    </row>
    <row r="1702" spans="1:11" hidden="1">
      <c r="A1702" t="s">
        <v>39</v>
      </c>
      <c r="B1702" t="s">
        <v>40</v>
      </c>
      <c r="C1702" t="s">
        <v>14</v>
      </c>
      <c r="D1702">
        <v>10027466</v>
      </c>
      <c r="E1702" t="s">
        <v>9</v>
      </c>
      <c r="F1702" s="1" t="s">
        <v>2</v>
      </c>
      <c r="G1702" s="1">
        <v>45903</v>
      </c>
      <c r="H1702" t="s">
        <v>41</v>
      </c>
      <c r="I1702" s="2">
        <v>1800</v>
      </c>
      <c r="J1702" s="50" t="s">
        <v>1102</v>
      </c>
      <c r="K1702" s="7">
        <v>45901</v>
      </c>
    </row>
    <row r="1703" spans="1:11" hidden="1">
      <c r="A1703" t="s">
        <v>39</v>
      </c>
      <c r="B1703" t="s">
        <v>40</v>
      </c>
      <c r="C1703" t="s">
        <v>14</v>
      </c>
      <c r="D1703">
        <v>10027483</v>
      </c>
      <c r="E1703" t="s">
        <v>9</v>
      </c>
      <c r="F1703" s="1" t="s">
        <v>2</v>
      </c>
      <c r="G1703" s="1">
        <v>45903</v>
      </c>
      <c r="H1703" t="s">
        <v>41</v>
      </c>
      <c r="I1703" s="2">
        <v>1800</v>
      </c>
      <c r="J1703" s="50" t="s">
        <v>1103</v>
      </c>
      <c r="K1703" s="7">
        <v>45901</v>
      </c>
    </row>
    <row r="1704" spans="1:11" hidden="1">
      <c r="A1704" t="s">
        <v>39</v>
      </c>
      <c r="B1704" t="s">
        <v>63</v>
      </c>
      <c r="C1704" t="s">
        <v>14</v>
      </c>
      <c r="E1704" t="s">
        <v>9</v>
      </c>
      <c r="F1704" s="1" t="s">
        <v>5</v>
      </c>
      <c r="G1704" s="1">
        <v>45923</v>
      </c>
      <c r="H1704" t="s">
        <v>41</v>
      </c>
      <c r="I1704" s="2">
        <v>1800</v>
      </c>
      <c r="J1704" s="50" t="s">
        <v>1104</v>
      </c>
      <c r="K1704" s="7">
        <v>45901</v>
      </c>
    </row>
    <row r="1705" spans="1:11" hidden="1">
      <c r="A1705" t="s">
        <v>39</v>
      </c>
      <c r="B1705" t="s">
        <v>40</v>
      </c>
      <c r="C1705" t="s">
        <v>14</v>
      </c>
      <c r="E1705" t="s">
        <v>9</v>
      </c>
      <c r="F1705" s="1" t="s">
        <v>2</v>
      </c>
      <c r="G1705" s="1">
        <v>45996</v>
      </c>
      <c r="H1705" t="s">
        <v>41</v>
      </c>
      <c r="I1705" s="2">
        <v>1800</v>
      </c>
      <c r="J1705" s="50" t="s">
        <v>1105</v>
      </c>
      <c r="K1705" s="7">
        <v>45992</v>
      </c>
    </row>
    <row r="1706" spans="1:11" hidden="1">
      <c r="A1706" t="s">
        <v>39</v>
      </c>
      <c r="B1706" t="s">
        <v>40</v>
      </c>
      <c r="C1706" t="s">
        <v>14</v>
      </c>
      <c r="E1706" t="s">
        <v>9</v>
      </c>
      <c r="F1706" s="1" t="s">
        <v>2</v>
      </c>
      <c r="G1706" s="1">
        <v>46030</v>
      </c>
      <c r="H1706" t="s">
        <v>41</v>
      </c>
      <c r="I1706" s="2">
        <v>1800</v>
      </c>
      <c r="J1706" s="59" t="s">
        <v>1106</v>
      </c>
      <c r="K1706" s="7">
        <v>46023</v>
      </c>
    </row>
    <row r="1707" spans="1:11" hidden="1">
      <c r="A1707" t="s">
        <v>39</v>
      </c>
      <c r="B1707" t="s">
        <v>63</v>
      </c>
      <c r="C1707" t="s">
        <v>124</v>
      </c>
      <c r="E1707" t="s">
        <v>9</v>
      </c>
      <c r="F1707" s="1" t="s">
        <v>3</v>
      </c>
      <c r="G1707" s="1">
        <v>45849</v>
      </c>
      <c r="H1707" t="s">
        <v>41</v>
      </c>
      <c r="I1707" s="2">
        <v>1799.95</v>
      </c>
      <c r="J1707" s="50" t="s">
        <v>1107</v>
      </c>
      <c r="K1707" s="7">
        <v>45839</v>
      </c>
    </row>
    <row r="1708" spans="1:11" hidden="1">
      <c r="A1708" t="s">
        <v>39</v>
      </c>
      <c r="B1708" t="s">
        <v>63</v>
      </c>
      <c r="C1708" t="s">
        <v>14</v>
      </c>
      <c r="E1708" t="s">
        <v>9</v>
      </c>
      <c r="F1708" s="1" t="s">
        <v>3</v>
      </c>
      <c r="G1708" s="1">
        <v>46034</v>
      </c>
      <c r="H1708" t="s">
        <v>41</v>
      </c>
      <c r="I1708" s="2">
        <v>1799.61</v>
      </c>
      <c r="J1708" s="59" t="s">
        <v>283</v>
      </c>
      <c r="K1708" s="7">
        <v>46023</v>
      </c>
    </row>
    <row r="1709" spans="1:11" hidden="1">
      <c r="A1709" t="s">
        <v>39</v>
      </c>
      <c r="B1709" t="s">
        <v>47</v>
      </c>
      <c r="C1709" t="s">
        <v>14</v>
      </c>
      <c r="E1709" t="s">
        <v>9</v>
      </c>
      <c r="F1709" s="1" t="s">
        <v>2</v>
      </c>
      <c r="G1709" s="1">
        <v>45993</v>
      </c>
      <c r="H1709" t="s">
        <v>41</v>
      </c>
      <c r="I1709" s="2">
        <v>1798.81</v>
      </c>
      <c r="J1709" s="50" t="s">
        <v>384</v>
      </c>
      <c r="K1709" s="7">
        <v>45992</v>
      </c>
    </row>
    <row r="1710" spans="1:11" hidden="1">
      <c r="A1710" t="s">
        <v>39</v>
      </c>
      <c r="B1710" t="s">
        <v>40</v>
      </c>
      <c r="C1710" t="s">
        <v>14</v>
      </c>
      <c r="E1710" t="s">
        <v>9</v>
      </c>
      <c r="F1710" s="51" t="s">
        <v>3</v>
      </c>
      <c r="G1710" s="1">
        <v>46001</v>
      </c>
      <c r="H1710" t="s">
        <v>41</v>
      </c>
      <c r="I1710" s="2">
        <v>1786.89</v>
      </c>
      <c r="J1710" s="47" t="s">
        <v>1108</v>
      </c>
      <c r="K1710" s="7">
        <v>45992</v>
      </c>
    </row>
    <row r="1711" spans="1:11" hidden="1">
      <c r="A1711" t="s">
        <v>39</v>
      </c>
      <c r="B1711" t="s">
        <v>40</v>
      </c>
      <c r="C1711" t="s">
        <v>14</v>
      </c>
      <c r="E1711" t="s">
        <v>9</v>
      </c>
      <c r="F1711" s="1" t="s">
        <v>3</v>
      </c>
      <c r="G1711" s="1">
        <v>45908</v>
      </c>
      <c r="H1711" t="s">
        <v>41</v>
      </c>
      <c r="I1711" s="2">
        <v>1775.6</v>
      </c>
      <c r="J1711" s="50" t="s">
        <v>1109</v>
      </c>
      <c r="K1711" s="7">
        <v>45901</v>
      </c>
    </row>
    <row r="1712" spans="1:11" hidden="1">
      <c r="A1712" t="s">
        <v>39</v>
      </c>
      <c r="B1712" t="s">
        <v>63</v>
      </c>
      <c r="C1712" t="s">
        <v>14</v>
      </c>
      <c r="E1712" t="s">
        <v>9</v>
      </c>
      <c r="F1712" s="1" t="s">
        <v>5</v>
      </c>
      <c r="G1712" s="1">
        <v>46051</v>
      </c>
      <c r="H1712" t="s">
        <v>64</v>
      </c>
      <c r="I1712" s="2">
        <f>880069.07/496</f>
        <v>1774.3328024193547</v>
      </c>
      <c r="J1712" t="s">
        <v>65</v>
      </c>
      <c r="K1712" s="7">
        <v>46023</v>
      </c>
    </row>
    <row r="1713" spans="1:11" hidden="1">
      <c r="A1713" t="s">
        <v>39</v>
      </c>
      <c r="B1713" t="s">
        <v>40</v>
      </c>
      <c r="C1713" t="s">
        <v>14</v>
      </c>
      <c r="E1713" t="s">
        <v>9</v>
      </c>
      <c r="F1713" s="1" t="s">
        <v>4</v>
      </c>
      <c r="G1713" s="1">
        <v>45947</v>
      </c>
      <c r="H1713" t="s">
        <v>41</v>
      </c>
      <c r="I1713" s="2">
        <v>8558.85</v>
      </c>
      <c r="J1713" t="s">
        <v>1093</v>
      </c>
      <c r="K1713" s="7">
        <v>45931</v>
      </c>
    </row>
    <row r="1714" spans="1:11" hidden="1">
      <c r="A1714" t="s">
        <v>39</v>
      </c>
      <c r="B1714" t="s">
        <v>47</v>
      </c>
      <c r="C1714" t="s">
        <v>14</v>
      </c>
      <c r="E1714" t="s">
        <v>9</v>
      </c>
      <c r="F1714" s="1" t="s">
        <v>4</v>
      </c>
      <c r="G1714" s="1">
        <v>45947</v>
      </c>
      <c r="H1714" t="s">
        <v>41</v>
      </c>
      <c r="I1714" s="2">
        <v>7881.86</v>
      </c>
      <c r="J1714" t="s">
        <v>211</v>
      </c>
      <c r="K1714" s="7">
        <v>45931</v>
      </c>
    </row>
    <row r="1715" spans="1:11" hidden="1">
      <c r="A1715" t="s">
        <v>114</v>
      </c>
      <c r="B1715" t="s">
        <v>63</v>
      </c>
      <c r="C1715" t="s">
        <v>14</v>
      </c>
      <c r="E1715" t="s">
        <v>9</v>
      </c>
      <c r="F1715" s="1" t="s">
        <v>3</v>
      </c>
      <c r="G1715" s="1">
        <v>45999</v>
      </c>
      <c r="H1715" t="s">
        <v>41</v>
      </c>
      <c r="I1715" s="2">
        <f>892635.12/510</f>
        <v>1750.2649411764705</v>
      </c>
      <c r="J1715" t="s">
        <v>65</v>
      </c>
      <c r="K1715" s="7">
        <v>45992</v>
      </c>
    </row>
    <row r="1716" spans="1:11" hidden="1">
      <c r="A1716" t="s">
        <v>114</v>
      </c>
      <c r="B1716" t="s">
        <v>63</v>
      </c>
      <c r="C1716" t="s">
        <v>124</v>
      </c>
      <c r="E1716" t="s">
        <v>9</v>
      </c>
      <c r="F1716" s="1" t="s">
        <v>5</v>
      </c>
      <c r="G1716" s="1">
        <v>46014</v>
      </c>
      <c r="H1716" t="s">
        <v>64</v>
      </c>
      <c r="I1716" s="2">
        <f>891982.97/510</f>
        <v>1748.9862156862744</v>
      </c>
      <c r="J1716" t="s">
        <v>334</v>
      </c>
      <c r="K1716" s="7">
        <v>45992</v>
      </c>
    </row>
    <row r="1717" spans="1:11" hidden="1">
      <c r="A1717" t="s">
        <v>39</v>
      </c>
      <c r="B1717" t="s">
        <v>144</v>
      </c>
      <c r="C1717" t="s">
        <v>14</v>
      </c>
      <c r="E1717" t="s">
        <v>9</v>
      </c>
      <c r="F1717" s="51" t="s">
        <v>4</v>
      </c>
      <c r="G1717" s="1">
        <v>45947</v>
      </c>
      <c r="H1717" t="s">
        <v>41</v>
      </c>
      <c r="I1717" s="2">
        <v>6955.53</v>
      </c>
      <c r="J1717" s="47" t="s">
        <v>1110</v>
      </c>
      <c r="K1717" s="7">
        <v>45931</v>
      </c>
    </row>
    <row r="1718" spans="1:11" hidden="1">
      <c r="A1718" t="s">
        <v>39</v>
      </c>
      <c r="B1718" t="s">
        <v>47</v>
      </c>
      <c r="C1718" t="s">
        <v>13</v>
      </c>
      <c r="D1718">
        <v>10026885</v>
      </c>
      <c r="E1718" t="s">
        <v>9</v>
      </c>
      <c r="F1718" s="51" t="s">
        <v>3</v>
      </c>
      <c r="G1718" s="1">
        <v>45821</v>
      </c>
      <c r="H1718" t="s">
        <v>41</v>
      </c>
      <c r="I1718" s="2">
        <v>1744.67</v>
      </c>
      <c r="J1718" t="s">
        <v>168</v>
      </c>
      <c r="K1718" s="7">
        <v>45809</v>
      </c>
    </row>
    <row r="1719" spans="1:11" hidden="1">
      <c r="A1719" t="s">
        <v>39</v>
      </c>
      <c r="B1719" t="s">
        <v>47</v>
      </c>
      <c r="C1719" t="s">
        <v>14</v>
      </c>
      <c r="E1719" t="s">
        <v>9</v>
      </c>
      <c r="F1719" s="51" t="s">
        <v>5</v>
      </c>
      <c r="G1719" s="1">
        <v>45859</v>
      </c>
      <c r="H1719" t="s">
        <v>41</v>
      </c>
      <c r="I1719" s="2">
        <v>1744.34</v>
      </c>
      <c r="J1719" t="s">
        <v>1111</v>
      </c>
      <c r="K1719" s="7">
        <v>45839</v>
      </c>
    </row>
    <row r="1720" spans="1:11" hidden="1">
      <c r="A1720" t="s">
        <v>39</v>
      </c>
      <c r="B1720" t="s">
        <v>47</v>
      </c>
      <c r="C1720" t="s">
        <v>14</v>
      </c>
      <c r="E1720" t="s">
        <v>9</v>
      </c>
      <c r="F1720" s="51" t="s">
        <v>3</v>
      </c>
      <c r="G1720" s="1">
        <v>46037</v>
      </c>
      <c r="H1720" t="s">
        <v>41</v>
      </c>
      <c r="I1720" s="2">
        <v>1743.17</v>
      </c>
      <c r="J1720" t="s">
        <v>1112</v>
      </c>
      <c r="K1720" s="7">
        <v>46023</v>
      </c>
    </row>
    <row r="1721" spans="1:11" hidden="1">
      <c r="A1721" t="s">
        <v>39</v>
      </c>
      <c r="B1721" t="s">
        <v>63</v>
      </c>
      <c r="C1721" t="s">
        <v>12</v>
      </c>
      <c r="E1721" t="s">
        <v>9</v>
      </c>
      <c r="F1721" s="51" t="s">
        <v>4</v>
      </c>
      <c r="G1721" s="1">
        <v>45947</v>
      </c>
      <c r="H1721" t="s">
        <v>41</v>
      </c>
      <c r="I1721" s="2">
        <v>3944.77</v>
      </c>
      <c r="J1721" t="s">
        <v>791</v>
      </c>
      <c r="K1721" s="7">
        <v>45931</v>
      </c>
    </row>
    <row r="1722" spans="1:11" hidden="1">
      <c r="A1722" t="s">
        <v>39</v>
      </c>
      <c r="B1722" t="s">
        <v>47</v>
      </c>
      <c r="C1722" t="s">
        <v>12</v>
      </c>
      <c r="E1722" t="s">
        <v>9</v>
      </c>
      <c r="F1722" s="51" t="s">
        <v>5</v>
      </c>
      <c r="G1722" s="1">
        <v>45924</v>
      </c>
      <c r="H1722" t="s">
        <v>41</v>
      </c>
      <c r="I1722" s="2">
        <v>1729.06</v>
      </c>
      <c r="J1722" t="s">
        <v>931</v>
      </c>
      <c r="K1722" s="7">
        <v>45901</v>
      </c>
    </row>
    <row r="1723" spans="1:11" hidden="1">
      <c r="A1723" t="s">
        <v>39</v>
      </c>
      <c r="B1723" t="s">
        <v>45</v>
      </c>
      <c r="C1723" t="s">
        <v>14</v>
      </c>
      <c r="D1723">
        <v>10027668</v>
      </c>
      <c r="E1723" t="s">
        <v>9</v>
      </c>
      <c r="F1723" s="51" t="s">
        <v>4</v>
      </c>
      <c r="G1723" s="1">
        <v>45947</v>
      </c>
      <c r="H1723" t="s">
        <v>41</v>
      </c>
      <c r="I1723" s="2">
        <v>3260.3</v>
      </c>
      <c r="J1723" t="s">
        <v>1113</v>
      </c>
      <c r="K1723" s="7">
        <v>45931</v>
      </c>
    </row>
    <row r="1724" spans="1:11" hidden="1">
      <c r="A1724" t="s">
        <v>39</v>
      </c>
      <c r="B1724" t="s">
        <v>47</v>
      </c>
      <c r="C1724" t="s">
        <v>12</v>
      </c>
      <c r="E1724" t="s">
        <v>9</v>
      </c>
      <c r="F1724" s="51" t="s">
        <v>2</v>
      </c>
      <c r="G1724" s="1">
        <v>45877</v>
      </c>
      <c r="H1724" t="s">
        <v>41</v>
      </c>
      <c r="I1724" s="2">
        <v>1717.66</v>
      </c>
      <c r="J1724" t="s">
        <v>1114</v>
      </c>
      <c r="K1724" s="7">
        <v>45870</v>
      </c>
    </row>
    <row r="1725" spans="1:11" hidden="1">
      <c r="A1725" t="s">
        <v>39</v>
      </c>
      <c r="B1725" t="s">
        <v>47</v>
      </c>
      <c r="C1725" t="s">
        <v>14</v>
      </c>
      <c r="E1725" t="s">
        <v>9</v>
      </c>
      <c r="F1725" s="51" t="s">
        <v>5</v>
      </c>
      <c r="G1725" s="1">
        <v>45923</v>
      </c>
      <c r="H1725" t="s">
        <v>41</v>
      </c>
      <c r="I1725" s="2">
        <v>1717.65</v>
      </c>
      <c r="J1725" t="s">
        <v>384</v>
      </c>
      <c r="K1725" s="7">
        <v>45901</v>
      </c>
    </row>
    <row r="1726" spans="1:11" hidden="1">
      <c r="A1726" t="s">
        <v>39</v>
      </c>
      <c r="B1726" t="s">
        <v>63</v>
      </c>
      <c r="C1726" t="s">
        <v>14</v>
      </c>
      <c r="E1726" t="s">
        <v>9</v>
      </c>
      <c r="F1726" s="51" t="s">
        <v>3</v>
      </c>
      <c r="G1726" s="1">
        <v>45940</v>
      </c>
      <c r="H1726" t="s">
        <v>41</v>
      </c>
      <c r="I1726" s="2">
        <v>1711.88</v>
      </c>
      <c r="J1726" t="s">
        <v>679</v>
      </c>
      <c r="K1726" s="7">
        <v>45931</v>
      </c>
    </row>
    <row r="1727" spans="1:11" hidden="1">
      <c r="A1727" t="s">
        <v>39</v>
      </c>
      <c r="B1727" t="s">
        <v>47</v>
      </c>
      <c r="C1727" t="s">
        <v>12</v>
      </c>
      <c r="D1727">
        <v>10027301</v>
      </c>
      <c r="E1727" t="s">
        <v>9</v>
      </c>
      <c r="F1727" s="51" t="s">
        <v>3</v>
      </c>
      <c r="G1727" s="1">
        <v>45881</v>
      </c>
      <c r="H1727" t="s">
        <v>41</v>
      </c>
      <c r="I1727" s="2">
        <v>1710.92</v>
      </c>
      <c r="J1727" t="s">
        <v>992</v>
      </c>
      <c r="K1727" s="7">
        <v>45870</v>
      </c>
    </row>
    <row r="1728" spans="1:11" hidden="1">
      <c r="A1728" t="s">
        <v>39</v>
      </c>
      <c r="B1728" t="s">
        <v>45</v>
      </c>
      <c r="C1728" t="s">
        <v>14</v>
      </c>
      <c r="E1728" t="s">
        <v>9</v>
      </c>
      <c r="F1728" s="51" t="s">
        <v>4</v>
      </c>
      <c r="G1728" s="1">
        <v>45947</v>
      </c>
      <c r="H1728" t="s">
        <v>41</v>
      </c>
      <c r="I1728" s="2">
        <v>3230</v>
      </c>
      <c r="J1728" t="s">
        <v>743</v>
      </c>
      <c r="K1728" s="7">
        <v>45931</v>
      </c>
    </row>
    <row r="1729" spans="1:11" hidden="1">
      <c r="A1729" t="s">
        <v>39</v>
      </c>
      <c r="B1729" t="s">
        <v>63</v>
      </c>
      <c r="C1729" t="s">
        <v>13</v>
      </c>
      <c r="E1729" t="s">
        <v>9</v>
      </c>
      <c r="F1729" s="51" t="s">
        <v>4</v>
      </c>
      <c r="G1729" s="1">
        <v>45947</v>
      </c>
      <c r="H1729" t="s">
        <v>41</v>
      </c>
      <c r="I1729" s="2">
        <v>3000</v>
      </c>
      <c r="J1729" t="s">
        <v>306</v>
      </c>
      <c r="K1729" s="7">
        <v>45931</v>
      </c>
    </row>
    <row r="1730" spans="1:11" hidden="1">
      <c r="A1730" t="s">
        <v>39</v>
      </c>
      <c r="B1730" t="s">
        <v>63</v>
      </c>
      <c r="C1730" t="s">
        <v>14</v>
      </c>
      <c r="E1730" t="s">
        <v>9</v>
      </c>
      <c r="F1730" s="1" t="s">
        <v>4</v>
      </c>
      <c r="G1730" s="1">
        <v>45947</v>
      </c>
      <c r="H1730" t="s">
        <v>41</v>
      </c>
      <c r="I1730" s="2">
        <v>1700</v>
      </c>
      <c r="J1730" t="s">
        <v>246</v>
      </c>
      <c r="K1730" s="7">
        <v>45931</v>
      </c>
    </row>
    <row r="1731" spans="1:11" hidden="1">
      <c r="A1731" t="s">
        <v>39</v>
      </c>
      <c r="B1731" t="s">
        <v>45</v>
      </c>
      <c r="C1731" t="s">
        <v>14</v>
      </c>
      <c r="E1731" t="s">
        <v>9</v>
      </c>
      <c r="F1731" s="1" t="s">
        <v>4</v>
      </c>
      <c r="G1731" s="1">
        <v>45947</v>
      </c>
      <c r="H1731" t="s">
        <v>41</v>
      </c>
      <c r="I1731" s="2">
        <v>1265.58</v>
      </c>
      <c r="J1731" t="s">
        <v>1115</v>
      </c>
      <c r="K1731" s="7">
        <v>45931</v>
      </c>
    </row>
    <row r="1732" spans="1:11" hidden="1">
      <c r="A1732" t="s">
        <v>39</v>
      </c>
      <c r="B1732" t="s">
        <v>45</v>
      </c>
      <c r="C1732" t="s">
        <v>14</v>
      </c>
      <c r="E1732" t="s">
        <v>9</v>
      </c>
      <c r="F1732" s="1" t="s">
        <v>5</v>
      </c>
      <c r="G1732" s="1">
        <v>46052</v>
      </c>
      <c r="H1732" t="s">
        <v>41</v>
      </c>
      <c r="I1732" s="2">
        <v>1687.43</v>
      </c>
      <c r="J1732" t="s">
        <v>1116</v>
      </c>
      <c r="K1732" s="7">
        <v>46023</v>
      </c>
    </row>
    <row r="1733" spans="1:11" hidden="1">
      <c r="A1733" t="s">
        <v>39</v>
      </c>
      <c r="B1733" t="s">
        <v>63</v>
      </c>
      <c r="C1733" t="s">
        <v>13</v>
      </c>
      <c r="E1733" t="s">
        <v>9</v>
      </c>
      <c r="F1733" s="1" t="s">
        <v>5</v>
      </c>
      <c r="G1733" s="1">
        <v>45833</v>
      </c>
      <c r="H1733" t="s">
        <v>41</v>
      </c>
      <c r="I1733" s="2">
        <v>1685.34</v>
      </c>
      <c r="J1733" t="s">
        <v>1117</v>
      </c>
      <c r="K1733" s="7">
        <v>45809</v>
      </c>
    </row>
    <row r="1734" spans="1:11" hidden="1">
      <c r="A1734" t="s">
        <v>39</v>
      </c>
      <c r="B1734" t="s">
        <v>63</v>
      </c>
      <c r="C1734" t="s">
        <v>14</v>
      </c>
      <c r="E1734" t="s">
        <v>9</v>
      </c>
      <c r="F1734" s="1" t="s">
        <v>4</v>
      </c>
      <c r="G1734" s="1">
        <v>45947</v>
      </c>
      <c r="H1734" t="s">
        <v>41</v>
      </c>
      <c r="I1734" s="2">
        <v>1243</v>
      </c>
      <c r="J1734" t="s">
        <v>1118</v>
      </c>
      <c r="K1734" s="7">
        <v>45931</v>
      </c>
    </row>
    <row r="1735" spans="1:11" hidden="1">
      <c r="A1735" t="s">
        <v>39</v>
      </c>
      <c r="B1735" t="s">
        <v>144</v>
      </c>
      <c r="C1735" t="s">
        <v>14</v>
      </c>
      <c r="E1735" t="s">
        <v>9</v>
      </c>
      <c r="F1735" s="1" t="s">
        <v>4</v>
      </c>
      <c r="G1735" s="1">
        <v>45947</v>
      </c>
      <c r="H1735" t="s">
        <v>41</v>
      </c>
      <c r="I1735" s="2">
        <v>1074</v>
      </c>
      <c r="J1735" s="47" t="s">
        <v>1119</v>
      </c>
      <c r="K1735" s="7">
        <v>45931</v>
      </c>
    </row>
    <row r="1736" spans="1:11" hidden="1">
      <c r="A1736" t="s">
        <v>39</v>
      </c>
      <c r="B1736" t="s">
        <v>47</v>
      </c>
      <c r="C1736" t="s">
        <v>14</v>
      </c>
      <c r="D1736">
        <v>10026923</v>
      </c>
      <c r="E1736" t="s">
        <v>9</v>
      </c>
      <c r="F1736" s="1" t="s">
        <v>5</v>
      </c>
      <c r="G1736" s="1">
        <v>45834</v>
      </c>
      <c r="H1736" t="s">
        <v>41</v>
      </c>
      <c r="I1736" s="2">
        <v>1680.17</v>
      </c>
      <c r="J1736" t="s">
        <v>1120</v>
      </c>
      <c r="K1736" s="7">
        <v>45809</v>
      </c>
    </row>
    <row r="1737" spans="1:11" hidden="1">
      <c r="A1737" t="s">
        <v>39</v>
      </c>
      <c r="B1737" t="s">
        <v>40</v>
      </c>
      <c r="C1737" t="s">
        <v>14</v>
      </c>
      <c r="D1737">
        <v>10027733</v>
      </c>
      <c r="E1737" t="s">
        <v>9</v>
      </c>
      <c r="F1737" s="1" t="s">
        <v>3</v>
      </c>
      <c r="G1737" s="1">
        <v>45940</v>
      </c>
      <c r="H1737" t="s">
        <v>41</v>
      </c>
      <c r="I1737" s="2">
        <v>1676</v>
      </c>
      <c r="J1737" t="s">
        <v>1121</v>
      </c>
      <c r="K1737" s="7">
        <v>45931</v>
      </c>
    </row>
    <row r="1738" spans="1:11" hidden="1">
      <c r="A1738" t="s">
        <v>39</v>
      </c>
      <c r="B1738" t="s">
        <v>47</v>
      </c>
      <c r="C1738" t="s">
        <v>14</v>
      </c>
      <c r="E1738" t="s">
        <v>9</v>
      </c>
      <c r="F1738" s="1" t="s">
        <v>6</v>
      </c>
      <c r="G1738" s="1">
        <v>45867</v>
      </c>
      <c r="H1738" t="s">
        <v>41</v>
      </c>
      <c r="I1738" s="2">
        <v>1674.64</v>
      </c>
      <c r="J1738" s="47" t="s">
        <v>931</v>
      </c>
      <c r="K1738" s="7">
        <v>45839</v>
      </c>
    </row>
    <row r="1739" spans="1:11" hidden="1">
      <c r="A1739" t="s">
        <v>39</v>
      </c>
      <c r="B1739" t="s">
        <v>144</v>
      </c>
      <c r="C1739" t="s">
        <v>14</v>
      </c>
      <c r="E1739" t="s">
        <v>9</v>
      </c>
      <c r="F1739" s="1" t="s">
        <v>4</v>
      </c>
      <c r="G1739" s="1">
        <v>45947</v>
      </c>
      <c r="H1739" t="s">
        <v>41</v>
      </c>
      <c r="I1739" s="2">
        <v>812.93</v>
      </c>
      <c r="J1739" s="47" t="s">
        <v>1110</v>
      </c>
      <c r="K1739" s="7">
        <v>45931</v>
      </c>
    </row>
    <row r="1740" spans="1:11" hidden="1">
      <c r="A1740" t="s">
        <v>39</v>
      </c>
      <c r="B1740" t="s">
        <v>40</v>
      </c>
      <c r="C1740" t="s">
        <v>14</v>
      </c>
      <c r="D1740">
        <v>10027051</v>
      </c>
      <c r="E1740" t="s">
        <v>9</v>
      </c>
      <c r="F1740" s="1" t="s">
        <v>3</v>
      </c>
      <c r="G1740" s="1">
        <v>45848</v>
      </c>
      <c r="H1740" t="s">
        <v>41</v>
      </c>
      <c r="I1740" s="2">
        <v>1672</v>
      </c>
      <c r="J1740" t="s">
        <v>1122</v>
      </c>
      <c r="K1740" s="7">
        <v>45839</v>
      </c>
    </row>
    <row r="1741" spans="1:11" hidden="1">
      <c r="A1741" t="s">
        <v>39</v>
      </c>
      <c r="B1741" t="s">
        <v>40</v>
      </c>
      <c r="C1741" t="s">
        <v>14</v>
      </c>
      <c r="D1741">
        <v>10027787</v>
      </c>
      <c r="E1741" t="s">
        <v>9</v>
      </c>
      <c r="F1741" s="1" t="s">
        <v>4</v>
      </c>
      <c r="G1741" s="1">
        <v>45947</v>
      </c>
      <c r="H1741" t="s">
        <v>41</v>
      </c>
      <c r="I1741" s="2">
        <v>455.58</v>
      </c>
      <c r="J1741" t="s">
        <v>1123</v>
      </c>
      <c r="K1741" s="7">
        <v>45931</v>
      </c>
    </row>
    <row r="1742" spans="1:11" hidden="1">
      <c r="A1742" t="s">
        <v>39</v>
      </c>
      <c r="B1742" t="s">
        <v>47</v>
      </c>
      <c r="C1742" t="s">
        <v>14</v>
      </c>
      <c r="E1742" t="s">
        <v>9</v>
      </c>
      <c r="F1742" s="1" t="s">
        <v>2</v>
      </c>
      <c r="G1742" s="1">
        <v>45932</v>
      </c>
      <c r="H1742" t="s">
        <v>41</v>
      </c>
      <c r="I1742" s="2">
        <v>1668.24</v>
      </c>
      <c r="J1742" t="s">
        <v>1124</v>
      </c>
      <c r="K1742" s="7">
        <v>45931</v>
      </c>
    </row>
    <row r="1743" spans="1:11" hidden="1">
      <c r="A1743" t="s">
        <v>39</v>
      </c>
      <c r="B1743" t="s">
        <v>40</v>
      </c>
      <c r="C1743" t="s">
        <v>14</v>
      </c>
      <c r="E1743" t="s">
        <v>9</v>
      </c>
      <c r="F1743" s="1" t="s">
        <v>3</v>
      </c>
      <c r="G1743" s="1">
        <v>45913</v>
      </c>
      <c r="H1743" t="s">
        <v>41</v>
      </c>
      <c r="I1743" s="2">
        <v>1652</v>
      </c>
      <c r="J1743" t="s">
        <v>1125</v>
      </c>
      <c r="K1743" s="7">
        <v>45901</v>
      </c>
    </row>
    <row r="1744" spans="1:11" hidden="1">
      <c r="A1744" t="s">
        <v>39</v>
      </c>
      <c r="B1744" t="s">
        <v>40</v>
      </c>
      <c r="C1744" t="s">
        <v>14</v>
      </c>
      <c r="D1744">
        <v>10027601</v>
      </c>
      <c r="E1744" t="s">
        <v>9</v>
      </c>
      <c r="F1744" s="1" t="s">
        <v>5</v>
      </c>
      <c r="G1744" s="1">
        <v>45922</v>
      </c>
      <c r="H1744" t="s">
        <v>41</v>
      </c>
      <c r="I1744" s="2">
        <v>1650</v>
      </c>
      <c r="J1744" t="s">
        <v>1042</v>
      </c>
      <c r="K1744" s="7">
        <v>45901</v>
      </c>
    </row>
    <row r="1745" spans="1:11" hidden="1">
      <c r="A1745" t="s">
        <v>39</v>
      </c>
      <c r="B1745" t="s">
        <v>40</v>
      </c>
      <c r="C1745" t="s">
        <v>14</v>
      </c>
      <c r="D1745">
        <v>10027788</v>
      </c>
      <c r="E1745" t="s">
        <v>9</v>
      </c>
      <c r="F1745" s="1" t="s">
        <v>4</v>
      </c>
      <c r="G1745" s="1">
        <v>45947</v>
      </c>
      <c r="H1745" t="s">
        <v>64</v>
      </c>
      <c r="I1745" s="2">
        <f>188190/510</f>
        <v>369</v>
      </c>
      <c r="J1745" t="s">
        <v>1126</v>
      </c>
      <c r="K1745" s="7">
        <v>45931</v>
      </c>
    </row>
    <row r="1746" spans="1:11" hidden="1">
      <c r="A1746" t="s">
        <v>39</v>
      </c>
      <c r="B1746" t="s">
        <v>40</v>
      </c>
      <c r="C1746" t="s">
        <v>14</v>
      </c>
      <c r="E1746" t="s">
        <v>9</v>
      </c>
      <c r="F1746" s="1" t="s">
        <v>6</v>
      </c>
      <c r="G1746" s="1">
        <v>45804</v>
      </c>
      <c r="H1746" t="s">
        <v>41</v>
      </c>
      <c r="I1746" s="2">
        <v>1637</v>
      </c>
      <c r="J1746" t="s">
        <v>1127</v>
      </c>
      <c r="K1746" s="7">
        <v>45778</v>
      </c>
    </row>
    <row r="1747" spans="1:11" hidden="1">
      <c r="A1747" t="s">
        <v>114</v>
      </c>
      <c r="B1747" t="s">
        <v>63</v>
      </c>
      <c r="C1747" t="s">
        <v>12</v>
      </c>
      <c r="D1747">
        <v>15240</v>
      </c>
      <c r="E1747" t="s">
        <v>9</v>
      </c>
      <c r="F1747" s="1" t="s">
        <v>3</v>
      </c>
      <c r="G1747" s="1">
        <v>45937</v>
      </c>
      <c r="H1747" t="s">
        <v>64</v>
      </c>
      <c r="I1747" s="2">
        <f>834238/510</f>
        <v>1635.7607843137255</v>
      </c>
      <c r="J1747" t="s">
        <v>1128</v>
      </c>
      <c r="K1747" s="7">
        <v>45931</v>
      </c>
    </row>
    <row r="1748" spans="1:11" hidden="1">
      <c r="A1748" t="s">
        <v>39</v>
      </c>
      <c r="B1748" t="s">
        <v>63</v>
      </c>
      <c r="C1748" t="s">
        <v>14</v>
      </c>
      <c r="E1748" t="s">
        <v>9</v>
      </c>
      <c r="F1748" s="1" t="s">
        <v>5</v>
      </c>
      <c r="G1748" s="1">
        <v>46051</v>
      </c>
      <c r="H1748" t="s">
        <v>41</v>
      </c>
      <c r="I1748" s="2">
        <v>1634.3</v>
      </c>
      <c r="J1748" t="s">
        <v>836</v>
      </c>
      <c r="K1748" s="7">
        <v>46023</v>
      </c>
    </row>
    <row r="1749" spans="1:11" hidden="1">
      <c r="A1749" t="s">
        <v>39</v>
      </c>
      <c r="B1749" t="s">
        <v>47</v>
      </c>
      <c r="C1749" t="s">
        <v>12</v>
      </c>
      <c r="D1749">
        <v>10027122</v>
      </c>
      <c r="E1749" t="s">
        <v>9</v>
      </c>
      <c r="F1749" s="1" t="s">
        <v>5</v>
      </c>
      <c r="G1749" s="1">
        <v>45859</v>
      </c>
      <c r="H1749" t="s">
        <v>41</v>
      </c>
      <c r="I1749" s="2">
        <v>1627</v>
      </c>
      <c r="J1749" t="s">
        <v>1129</v>
      </c>
      <c r="K1749" s="7">
        <v>45839</v>
      </c>
    </row>
    <row r="1750" spans="1:11" hidden="1">
      <c r="A1750" t="s">
        <v>39</v>
      </c>
      <c r="B1750" t="s">
        <v>63</v>
      </c>
      <c r="C1750" t="s">
        <v>12</v>
      </c>
      <c r="D1750" t="s">
        <v>1130</v>
      </c>
      <c r="E1750" t="s">
        <v>9</v>
      </c>
      <c r="F1750" s="1" t="s">
        <v>2</v>
      </c>
      <c r="G1750" s="1">
        <v>46029</v>
      </c>
      <c r="H1750" t="s">
        <v>41</v>
      </c>
      <c r="I1750" s="2">
        <v>1626.2</v>
      </c>
      <c r="J1750" t="s">
        <v>1131</v>
      </c>
      <c r="K1750" s="7">
        <v>46023</v>
      </c>
    </row>
    <row r="1751" spans="1:11" hidden="1">
      <c r="A1751" t="s">
        <v>114</v>
      </c>
      <c r="B1751" t="s">
        <v>63</v>
      </c>
      <c r="C1751" t="s">
        <v>14</v>
      </c>
      <c r="D1751">
        <v>15230</v>
      </c>
      <c r="E1751" t="s">
        <v>9</v>
      </c>
      <c r="F1751" s="1" t="s">
        <v>5</v>
      </c>
      <c r="G1751" s="1">
        <v>45925</v>
      </c>
      <c r="H1751" t="s">
        <v>41</v>
      </c>
      <c r="I1751" s="2">
        <v>1610.3</v>
      </c>
      <c r="J1751" t="s">
        <v>1132</v>
      </c>
      <c r="K1751" s="7">
        <v>45901</v>
      </c>
    </row>
    <row r="1752" spans="1:11" hidden="1">
      <c r="A1752" t="s">
        <v>39</v>
      </c>
      <c r="B1752" t="s">
        <v>63</v>
      </c>
      <c r="C1752" t="s">
        <v>124</v>
      </c>
      <c r="E1752" t="s">
        <v>9</v>
      </c>
      <c r="F1752" s="1" t="s">
        <v>3</v>
      </c>
      <c r="G1752" s="1">
        <v>45849</v>
      </c>
      <c r="H1752" t="s">
        <v>41</v>
      </c>
      <c r="I1752" s="2">
        <v>1603.06</v>
      </c>
      <c r="J1752" t="s">
        <v>225</v>
      </c>
      <c r="K1752" s="7">
        <v>45839</v>
      </c>
    </row>
    <row r="1753" spans="1:11" hidden="1">
      <c r="A1753" t="s">
        <v>39</v>
      </c>
      <c r="B1753" t="s">
        <v>40</v>
      </c>
      <c r="C1753" t="s">
        <v>12</v>
      </c>
      <c r="E1753" t="s">
        <v>9</v>
      </c>
      <c r="F1753" s="1" t="s">
        <v>4</v>
      </c>
      <c r="G1753" s="1">
        <v>45947</v>
      </c>
      <c r="H1753" t="s">
        <v>41</v>
      </c>
      <c r="I1753" s="2">
        <v>355</v>
      </c>
      <c r="J1753" t="s">
        <v>991</v>
      </c>
      <c r="K1753" s="7">
        <v>45931</v>
      </c>
    </row>
    <row r="1754" spans="1:11" hidden="1">
      <c r="A1754" t="s">
        <v>99</v>
      </c>
      <c r="B1754" t="s">
        <v>63</v>
      </c>
      <c r="C1754" t="s">
        <v>14</v>
      </c>
      <c r="E1754" t="s">
        <v>9</v>
      </c>
      <c r="F1754" s="1" t="s">
        <v>4</v>
      </c>
      <c r="G1754" s="1">
        <v>45949</v>
      </c>
      <c r="H1754" t="s">
        <v>41</v>
      </c>
      <c r="I1754" s="2">
        <v>17172.64</v>
      </c>
      <c r="J1754" t="s">
        <v>1098</v>
      </c>
      <c r="K1754" s="7">
        <v>45931</v>
      </c>
    </row>
    <row r="1755" spans="1:11" hidden="1">
      <c r="A1755" t="s">
        <v>39</v>
      </c>
      <c r="B1755" t="s">
        <v>40</v>
      </c>
      <c r="C1755" t="s">
        <v>14</v>
      </c>
      <c r="D1755">
        <v>10026465</v>
      </c>
      <c r="E1755" t="s">
        <v>9</v>
      </c>
      <c r="F1755" t="s">
        <v>2</v>
      </c>
      <c r="G1755" s="1">
        <v>45779</v>
      </c>
      <c r="H1755" t="s">
        <v>41</v>
      </c>
      <c r="I1755" s="2">
        <v>1596</v>
      </c>
      <c r="J1755" t="s">
        <v>75</v>
      </c>
      <c r="K1755" s="7">
        <v>45778</v>
      </c>
    </row>
    <row r="1756" spans="1:11" hidden="1">
      <c r="A1756" t="s">
        <v>39</v>
      </c>
      <c r="B1756" t="s">
        <v>63</v>
      </c>
      <c r="C1756" t="s">
        <v>14</v>
      </c>
      <c r="E1756" t="s">
        <v>9</v>
      </c>
      <c r="F1756" s="1" t="s">
        <v>3</v>
      </c>
      <c r="G1756" s="1">
        <v>45971</v>
      </c>
      <c r="H1756" t="s">
        <v>41</v>
      </c>
      <c r="I1756" s="2">
        <v>1593.03</v>
      </c>
      <c r="J1756" s="47" t="s">
        <v>1133</v>
      </c>
      <c r="K1756" s="7">
        <v>45962</v>
      </c>
    </row>
    <row r="1757" spans="1:11" hidden="1">
      <c r="A1757" t="s">
        <v>39</v>
      </c>
      <c r="B1757" t="s">
        <v>47</v>
      </c>
      <c r="C1757" t="s">
        <v>14</v>
      </c>
      <c r="D1757">
        <v>10026695</v>
      </c>
      <c r="E1757" t="s">
        <v>9</v>
      </c>
      <c r="F1757" s="1" t="s">
        <v>6</v>
      </c>
      <c r="G1757" s="1">
        <v>45804</v>
      </c>
      <c r="H1757" t="s">
        <v>41</v>
      </c>
      <c r="I1757" s="2">
        <v>1589.23</v>
      </c>
      <c r="J1757" t="s">
        <v>133</v>
      </c>
      <c r="K1757" s="7">
        <v>45778</v>
      </c>
    </row>
    <row r="1758" spans="1:11" hidden="1">
      <c r="A1758" t="s">
        <v>114</v>
      </c>
      <c r="B1758" t="s">
        <v>63</v>
      </c>
      <c r="C1758" t="s">
        <v>14</v>
      </c>
      <c r="D1758">
        <v>15312</v>
      </c>
      <c r="E1758" t="s">
        <v>9</v>
      </c>
      <c r="F1758" s="1" t="s">
        <v>2</v>
      </c>
      <c r="G1758" s="1">
        <v>46030</v>
      </c>
      <c r="H1758" t="s">
        <v>64</v>
      </c>
      <c r="I1758" s="2">
        <f>785243.67/496</f>
        <v>1583.152560483871</v>
      </c>
      <c r="J1758" t="s">
        <v>1134</v>
      </c>
      <c r="K1758" s="7">
        <v>46023</v>
      </c>
    </row>
    <row r="1759" spans="1:11" hidden="1">
      <c r="A1759" t="s">
        <v>39</v>
      </c>
      <c r="B1759" t="s">
        <v>45</v>
      </c>
      <c r="C1759" t="s">
        <v>13</v>
      </c>
      <c r="E1759" t="s">
        <v>8</v>
      </c>
      <c r="F1759" s="1" t="s">
        <v>5</v>
      </c>
      <c r="G1759" s="1">
        <v>45953</v>
      </c>
      <c r="H1759" t="s">
        <v>41</v>
      </c>
      <c r="I1759" s="2">
        <v>10575</v>
      </c>
      <c r="J1759" t="s">
        <v>531</v>
      </c>
      <c r="K1759" s="7">
        <v>45931</v>
      </c>
    </row>
    <row r="1760" spans="1:11" hidden="1">
      <c r="A1760" t="s">
        <v>39</v>
      </c>
      <c r="B1760" t="s">
        <v>40</v>
      </c>
      <c r="C1760" t="s">
        <v>14</v>
      </c>
      <c r="D1760">
        <v>10027794</v>
      </c>
      <c r="E1760" t="s">
        <v>9</v>
      </c>
      <c r="F1760" s="1" t="s">
        <v>4</v>
      </c>
      <c r="G1760" s="1">
        <v>45950</v>
      </c>
      <c r="H1760" t="s">
        <v>41</v>
      </c>
      <c r="I1760" s="2">
        <v>13000</v>
      </c>
      <c r="J1760" t="s">
        <v>556</v>
      </c>
      <c r="K1760" s="7">
        <v>45931</v>
      </c>
    </row>
    <row r="1761" spans="1:11" hidden="1">
      <c r="A1761" t="s">
        <v>39</v>
      </c>
      <c r="B1761" t="s">
        <v>47</v>
      </c>
      <c r="C1761" t="s">
        <v>14</v>
      </c>
      <c r="E1761" t="s">
        <v>9</v>
      </c>
      <c r="F1761" s="1" t="s">
        <v>3</v>
      </c>
      <c r="G1761" s="1">
        <v>46034</v>
      </c>
      <c r="H1761" t="s">
        <v>41</v>
      </c>
      <c r="I1761" s="2">
        <v>1578.52</v>
      </c>
      <c r="J1761" t="s">
        <v>1135</v>
      </c>
      <c r="K1761" s="7">
        <v>46023</v>
      </c>
    </row>
    <row r="1762" spans="1:11" hidden="1">
      <c r="A1762" t="s">
        <v>39</v>
      </c>
      <c r="B1762" t="s">
        <v>40</v>
      </c>
      <c r="C1762" t="s">
        <v>14</v>
      </c>
      <c r="D1762">
        <v>10027166</v>
      </c>
      <c r="E1762" t="s">
        <v>9</v>
      </c>
      <c r="F1762" s="1" t="s">
        <v>5</v>
      </c>
      <c r="G1762" s="1">
        <v>45862</v>
      </c>
      <c r="H1762" t="s">
        <v>41</v>
      </c>
      <c r="I1762" s="2">
        <v>1570.7</v>
      </c>
      <c r="J1762" t="s">
        <v>1136</v>
      </c>
      <c r="K1762" s="7">
        <v>45839</v>
      </c>
    </row>
    <row r="1763" spans="1:11" hidden="1">
      <c r="A1763" t="s">
        <v>39</v>
      </c>
      <c r="B1763" t="s">
        <v>47</v>
      </c>
      <c r="C1763" t="s">
        <v>14</v>
      </c>
      <c r="E1763" t="s">
        <v>9</v>
      </c>
      <c r="F1763" s="1" t="s">
        <v>5</v>
      </c>
      <c r="G1763" s="1">
        <v>45898</v>
      </c>
      <c r="H1763" t="s">
        <v>41</v>
      </c>
      <c r="I1763" s="2">
        <v>1566.16</v>
      </c>
      <c r="J1763" t="s">
        <v>54</v>
      </c>
      <c r="K1763" s="7">
        <v>45870</v>
      </c>
    </row>
    <row r="1764" spans="1:11" hidden="1">
      <c r="A1764" t="s">
        <v>39</v>
      </c>
      <c r="B1764" t="s">
        <v>45</v>
      </c>
      <c r="C1764" t="s">
        <v>14</v>
      </c>
      <c r="E1764" t="s">
        <v>8</v>
      </c>
      <c r="F1764" s="1" t="s">
        <v>5</v>
      </c>
      <c r="G1764" s="1">
        <v>45954</v>
      </c>
      <c r="H1764" t="s">
        <v>41</v>
      </c>
      <c r="I1764" s="2">
        <v>272349.94</v>
      </c>
      <c r="J1764" t="s">
        <v>46</v>
      </c>
      <c r="K1764" s="7">
        <v>45931</v>
      </c>
    </row>
    <row r="1765" spans="1:11" hidden="1">
      <c r="A1765" t="s">
        <v>39</v>
      </c>
      <c r="B1765" t="s">
        <v>47</v>
      </c>
      <c r="C1765" t="s">
        <v>14</v>
      </c>
      <c r="E1765" t="s">
        <v>8</v>
      </c>
      <c r="F1765" s="1" t="s">
        <v>5</v>
      </c>
      <c r="G1765" s="1">
        <v>45954</v>
      </c>
      <c r="H1765" t="s">
        <v>41</v>
      </c>
      <c r="I1765" s="2">
        <v>77935</v>
      </c>
      <c r="J1765" t="s">
        <v>137</v>
      </c>
      <c r="K1765" s="7">
        <v>45931</v>
      </c>
    </row>
    <row r="1766" spans="1:11" hidden="1">
      <c r="A1766" t="s">
        <v>39</v>
      </c>
      <c r="B1766" t="s">
        <v>40</v>
      </c>
      <c r="C1766" t="s">
        <v>14</v>
      </c>
      <c r="E1766" t="s">
        <v>8</v>
      </c>
      <c r="F1766" s="1" t="s">
        <v>5</v>
      </c>
      <c r="G1766" s="1">
        <v>45954</v>
      </c>
      <c r="H1766" t="s">
        <v>41</v>
      </c>
      <c r="I1766" s="2">
        <v>60000</v>
      </c>
      <c r="J1766" t="s">
        <v>98</v>
      </c>
      <c r="K1766" s="7">
        <v>45931</v>
      </c>
    </row>
    <row r="1767" spans="1:11" hidden="1">
      <c r="A1767" t="s">
        <v>39</v>
      </c>
      <c r="B1767" t="s">
        <v>47</v>
      </c>
      <c r="C1767" t="s">
        <v>13</v>
      </c>
      <c r="E1767" t="s">
        <v>8</v>
      </c>
      <c r="F1767" s="1" t="s">
        <v>5</v>
      </c>
      <c r="G1767" s="1">
        <v>45954</v>
      </c>
      <c r="H1767" t="s">
        <v>41</v>
      </c>
      <c r="I1767" s="2">
        <v>51078</v>
      </c>
      <c r="J1767" t="s">
        <v>194</v>
      </c>
      <c r="K1767" s="7">
        <v>45931</v>
      </c>
    </row>
    <row r="1768" spans="1:11" hidden="1">
      <c r="A1768" t="s">
        <v>39</v>
      </c>
      <c r="B1768" t="s">
        <v>47</v>
      </c>
      <c r="C1768" t="s">
        <v>14</v>
      </c>
      <c r="E1768" t="s">
        <v>8</v>
      </c>
      <c r="F1768" s="1" t="s">
        <v>5</v>
      </c>
      <c r="G1768" s="1">
        <v>45954</v>
      </c>
      <c r="H1768" t="s">
        <v>41</v>
      </c>
      <c r="I1768" s="2">
        <v>28332</v>
      </c>
      <c r="J1768" t="s">
        <v>371</v>
      </c>
      <c r="K1768" s="7">
        <v>45931</v>
      </c>
    </row>
    <row r="1769" spans="1:11" hidden="1">
      <c r="A1769" t="s">
        <v>56</v>
      </c>
      <c r="B1769" t="s">
        <v>40</v>
      </c>
      <c r="C1769" t="s">
        <v>14</v>
      </c>
      <c r="E1769" t="s">
        <v>8</v>
      </c>
      <c r="F1769" s="1" t="s">
        <v>5</v>
      </c>
      <c r="G1769" s="1">
        <v>45954</v>
      </c>
      <c r="H1769" t="s">
        <v>41</v>
      </c>
      <c r="I1769" s="2">
        <v>25000</v>
      </c>
      <c r="J1769" t="s">
        <v>98</v>
      </c>
      <c r="K1769" s="7">
        <v>45931</v>
      </c>
    </row>
    <row r="1770" spans="1:11" hidden="1">
      <c r="A1770" t="s">
        <v>39</v>
      </c>
      <c r="B1770" t="s">
        <v>63</v>
      </c>
      <c r="C1770" t="s">
        <v>13</v>
      </c>
      <c r="E1770" t="s">
        <v>8</v>
      </c>
      <c r="F1770" s="1" t="s">
        <v>5</v>
      </c>
      <c r="G1770" s="1">
        <v>45954</v>
      </c>
      <c r="H1770" t="s">
        <v>41</v>
      </c>
      <c r="I1770" s="2">
        <v>225000</v>
      </c>
      <c r="J1770" t="s">
        <v>131</v>
      </c>
      <c r="K1770" s="7">
        <v>45931</v>
      </c>
    </row>
    <row r="1771" spans="1:11" hidden="1">
      <c r="A1771" t="s">
        <v>99</v>
      </c>
      <c r="B1771" t="s">
        <v>63</v>
      </c>
      <c r="C1771" t="s">
        <v>14</v>
      </c>
      <c r="E1771" t="s">
        <v>8</v>
      </c>
      <c r="F1771" s="1" t="s">
        <v>5</v>
      </c>
      <c r="G1771" s="1">
        <v>45954</v>
      </c>
      <c r="H1771" t="s">
        <v>41</v>
      </c>
      <c r="I1771" s="2">
        <v>20000</v>
      </c>
      <c r="J1771" t="s">
        <v>468</v>
      </c>
      <c r="K1771" s="7">
        <v>45931</v>
      </c>
    </row>
    <row r="1772" spans="1:11" hidden="1">
      <c r="A1772" t="s">
        <v>39</v>
      </c>
      <c r="B1772" t="s">
        <v>63</v>
      </c>
      <c r="C1772" t="s">
        <v>14</v>
      </c>
      <c r="E1772" t="s">
        <v>8</v>
      </c>
      <c r="F1772" s="1" t="s">
        <v>5</v>
      </c>
      <c r="G1772" s="1">
        <v>45954</v>
      </c>
      <c r="H1772" t="s">
        <v>41</v>
      </c>
      <c r="I1772" s="2">
        <v>9463</v>
      </c>
      <c r="J1772" t="s">
        <v>632</v>
      </c>
      <c r="K1772" s="7">
        <v>45931</v>
      </c>
    </row>
    <row r="1773" spans="1:11" hidden="1">
      <c r="A1773" t="s">
        <v>39</v>
      </c>
      <c r="B1773" t="s">
        <v>47</v>
      </c>
      <c r="C1773" t="s">
        <v>14</v>
      </c>
      <c r="E1773" t="s">
        <v>8</v>
      </c>
      <c r="F1773" s="1" t="s">
        <v>5</v>
      </c>
      <c r="G1773" s="1">
        <v>45954</v>
      </c>
      <c r="H1773" t="s">
        <v>41</v>
      </c>
      <c r="I1773" s="2">
        <v>9492.7000000000007</v>
      </c>
      <c r="J1773" t="s">
        <v>1137</v>
      </c>
      <c r="K1773" s="7">
        <v>45931</v>
      </c>
    </row>
    <row r="1774" spans="1:11" hidden="1">
      <c r="A1774" t="s">
        <v>39</v>
      </c>
      <c r="B1774" t="s">
        <v>47</v>
      </c>
      <c r="C1774" t="s">
        <v>14</v>
      </c>
      <c r="D1774">
        <v>10027439</v>
      </c>
      <c r="E1774" t="s">
        <v>9</v>
      </c>
      <c r="F1774" s="1" t="s">
        <v>2</v>
      </c>
      <c r="G1774" s="1">
        <v>45901</v>
      </c>
      <c r="H1774" t="s">
        <v>41</v>
      </c>
      <c r="I1774" s="2">
        <v>1566.16</v>
      </c>
      <c r="J1774" t="s">
        <v>371</v>
      </c>
      <c r="K1774" s="7">
        <v>45901</v>
      </c>
    </row>
    <row r="1775" spans="1:11" hidden="1">
      <c r="A1775" t="s">
        <v>39</v>
      </c>
      <c r="B1775" t="s">
        <v>45</v>
      </c>
      <c r="C1775" t="s">
        <v>14</v>
      </c>
      <c r="D1775">
        <v>10027865</v>
      </c>
      <c r="E1775" t="s">
        <v>9</v>
      </c>
      <c r="F1775" s="1" t="s">
        <v>4</v>
      </c>
      <c r="G1775" s="1">
        <v>45950</v>
      </c>
      <c r="H1775" t="s">
        <v>41</v>
      </c>
      <c r="I1775" s="2">
        <v>194</v>
      </c>
      <c r="J1775" t="s">
        <v>1138</v>
      </c>
      <c r="K1775" s="7">
        <v>45931</v>
      </c>
    </row>
    <row r="1776" spans="1:11" hidden="1">
      <c r="A1776" t="s">
        <v>39</v>
      </c>
      <c r="B1776" t="s">
        <v>40</v>
      </c>
      <c r="C1776" t="s">
        <v>14</v>
      </c>
      <c r="D1776">
        <v>10027807</v>
      </c>
      <c r="E1776" t="s">
        <v>9</v>
      </c>
      <c r="F1776" s="1" t="s">
        <v>4</v>
      </c>
      <c r="G1776" s="1">
        <v>45951</v>
      </c>
      <c r="H1776" t="s">
        <v>41</v>
      </c>
      <c r="I1776" s="2">
        <v>2263.15</v>
      </c>
      <c r="J1776" t="s">
        <v>97</v>
      </c>
      <c r="K1776" s="7">
        <v>45931</v>
      </c>
    </row>
    <row r="1777" spans="1:11" hidden="1">
      <c r="A1777" t="s">
        <v>39</v>
      </c>
      <c r="B1777" t="s">
        <v>40</v>
      </c>
      <c r="C1777" t="s">
        <v>14</v>
      </c>
      <c r="D1777">
        <v>10027808</v>
      </c>
      <c r="E1777" t="s">
        <v>9</v>
      </c>
      <c r="F1777" s="1" t="s">
        <v>4</v>
      </c>
      <c r="G1777" s="1">
        <v>45951</v>
      </c>
      <c r="H1777" t="s">
        <v>41</v>
      </c>
      <c r="I1777" s="2">
        <v>2000</v>
      </c>
      <c r="J1777" t="s">
        <v>463</v>
      </c>
      <c r="K1777" s="7">
        <v>45931</v>
      </c>
    </row>
    <row r="1778" spans="1:11" hidden="1">
      <c r="A1778" t="s">
        <v>39</v>
      </c>
      <c r="B1778" t="s">
        <v>40</v>
      </c>
      <c r="C1778" t="s">
        <v>14</v>
      </c>
      <c r="E1778" t="s">
        <v>9</v>
      </c>
      <c r="F1778" s="1" t="s">
        <v>2</v>
      </c>
      <c r="G1778" s="1">
        <v>45839</v>
      </c>
      <c r="H1778" t="s">
        <v>41</v>
      </c>
      <c r="I1778" s="2">
        <v>1545</v>
      </c>
      <c r="J1778" t="s">
        <v>123</v>
      </c>
      <c r="K1778" s="7">
        <v>45839</v>
      </c>
    </row>
    <row r="1779" spans="1:11" hidden="1">
      <c r="A1779" t="s">
        <v>39</v>
      </c>
      <c r="B1779" t="s">
        <v>45</v>
      </c>
      <c r="C1779" t="s">
        <v>14</v>
      </c>
      <c r="E1779" t="s">
        <v>9</v>
      </c>
      <c r="F1779" s="1" t="s">
        <v>2</v>
      </c>
      <c r="G1779" s="1">
        <v>45965</v>
      </c>
      <c r="H1779" t="s">
        <v>41</v>
      </c>
      <c r="I1779" s="2">
        <v>1539.89</v>
      </c>
      <c r="J1779" s="47" t="s">
        <v>1139</v>
      </c>
      <c r="K1779" s="7">
        <v>45962</v>
      </c>
    </row>
    <row r="1780" spans="1:11">
      <c r="A1780" t="s">
        <v>39</v>
      </c>
      <c r="B1780" t="s">
        <v>47</v>
      </c>
      <c r="C1780" t="s">
        <v>14</v>
      </c>
      <c r="E1780" t="s">
        <v>9</v>
      </c>
      <c r="F1780" s="1" t="s">
        <v>3</v>
      </c>
      <c r="G1780" s="1">
        <v>46063</v>
      </c>
      <c r="H1780" t="s">
        <v>41</v>
      </c>
      <c r="I1780" s="2">
        <v>14584.44</v>
      </c>
      <c r="J1780" t="s">
        <v>61</v>
      </c>
      <c r="K1780" s="7">
        <v>46054</v>
      </c>
    </row>
    <row r="1781" spans="1:11" hidden="1">
      <c r="A1781" t="s">
        <v>39</v>
      </c>
      <c r="B1781" t="s">
        <v>45</v>
      </c>
      <c r="C1781" t="s">
        <v>14</v>
      </c>
      <c r="D1781">
        <v>10026472</v>
      </c>
      <c r="E1781" t="s">
        <v>9</v>
      </c>
      <c r="F1781" t="s">
        <v>2</v>
      </c>
      <c r="G1781" s="1">
        <v>45779</v>
      </c>
      <c r="H1781" t="s">
        <v>41</v>
      </c>
      <c r="I1781" s="2">
        <v>1528.58</v>
      </c>
      <c r="J1781" t="s">
        <v>82</v>
      </c>
      <c r="K1781" s="7">
        <v>45778</v>
      </c>
    </row>
    <row r="1782" spans="1:11" hidden="1">
      <c r="A1782" t="s">
        <v>39</v>
      </c>
      <c r="B1782" t="s">
        <v>40</v>
      </c>
      <c r="C1782" t="s">
        <v>14</v>
      </c>
      <c r="D1782">
        <v>10027818</v>
      </c>
      <c r="E1782" t="s">
        <v>9</v>
      </c>
      <c r="F1782" s="1" t="s">
        <v>4</v>
      </c>
      <c r="G1782" s="1">
        <v>45952</v>
      </c>
      <c r="H1782" t="s">
        <v>41</v>
      </c>
      <c r="I1782" s="2">
        <v>8470</v>
      </c>
      <c r="J1782" t="s">
        <v>1044</v>
      </c>
      <c r="K1782" s="7">
        <v>45931</v>
      </c>
    </row>
    <row r="1783" spans="1:11" hidden="1">
      <c r="A1783" t="s">
        <v>39</v>
      </c>
      <c r="B1783" t="s">
        <v>40</v>
      </c>
      <c r="C1783" t="s">
        <v>14</v>
      </c>
      <c r="E1783" t="s">
        <v>9</v>
      </c>
      <c r="F1783" s="1" t="s">
        <v>5</v>
      </c>
      <c r="G1783" s="1">
        <v>45835</v>
      </c>
      <c r="H1783" t="s">
        <v>64</v>
      </c>
      <c r="I1783" s="2">
        <f>776200/508</f>
        <v>1527.9527559055118</v>
      </c>
      <c r="J1783" t="s">
        <v>65</v>
      </c>
      <c r="K1783" s="7">
        <v>45809</v>
      </c>
    </row>
    <row r="1784" spans="1:11" hidden="1">
      <c r="A1784" t="s">
        <v>39</v>
      </c>
      <c r="B1784" t="s">
        <v>47</v>
      </c>
      <c r="C1784" t="s">
        <v>14</v>
      </c>
      <c r="E1784" t="s">
        <v>9</v>
      </c>
      <c r="F1784" s="1" t="s">
        <v>3</v>
      </c>
      <c r="G1784" s="1">
        <v>45972</v>
      </c>
      <c r="H1784" t="s">
        <v>41</v>
      </c>
      <c r="I1784" s="2">
        <v>1518.99</v>
      </c>
      <c r="J1784" t="s">
        <v>1140</v>
      </c>
      <c r="K1784" s="7">
        <v>45962</v>
      </c>
    </row>
    <row r="1785" spans="1:11" hidden="1">
      <c r="A1785" t="s">
        <v>39</v>
      </c>
      <c r="B1785" t="s">
        <v>63</v>
      </c>
      <c r="C1785" t="s">
        <v>14</v>
      </c>
      <c r="E1785" t="s">
        <v>8</v>
      </c>
      <c r="F1785" s="1" t="s">
        <v>5</v>
      </c>
      <c r="G1785" s="1">
        <v>45955</v>
      </c>
      <c r="H1785" t="s">
        <v>41</v>
      </c>
      <c r="I1785" s="2">
        <v>54844.26</v>
      </c>
      <c r="J1785" t="s">
        <v>158</v>
      </c>
      <c r="K1785" s="7">
        <v>45931</v>
      </c>
    </row>
    <row r="1786" spans="1:11" hidden="1">
      <c r="A1786" t="s">
        <v>39</v>
      </c>
      <c r="B1786" t="s">
        <v>63</v>
      </c>
      <c r="C1786" t="s">
        <v>14</v>
      </c>
      <c r="E1786" t="s">
        <v>8</v>
      </c>
      <c r="F1786" s="1" t="s">
        <v>5</v>
      </c>
      <c r="G1786" s="1">
        <v>45955</v>
      </c>
      <c r="H1786" t="s">
        <v>41</v>
      </c>
      <c r="I1786" s="2">
        <v>38016</v>
      </c>
      <c r="J1786" t="s">
        <v>430</v>
      </c>
      <c r="K1786" s="7">
        <v>45931</v>
      </c>
    </row>
    <row r="1787" spans="1:11" hidden="1">
      <c r="A1787" t="s">
        <v>39</v>
      </c>
      <c r="B1787" t="s">
        <v>40</v>
      </c>
      <c r="C1787" t="s">
        <v>14</v>
      </c>
      <c r="D1787">
        <v>10026553</v>
      </c>
      <c r="E1787" t="s">
        <v>9</v>
      </c>
      <c r="F1787" s="1" t="s">
        <v>3</v>
      </c>
      <c r="G1787" s="1">
        <v>45787</v>
      </c>
      <c r="H1787" t="s">
        <v>64</v>
      </c>
      <c r="I1787" s="2">
        <f>765629.24/508</f>
        <v>1507.1441732283465</v>
      </c>
      <c r="J1787" t="s">
        <v>1141</v>
      </c>
      <c r="K1787" s="7">
        <v>45778</v>
      </c>
    </row>
    <row r="1788" spans="1:11" hidden="1">
      <c r="A1788" t="s">
        <v>39</v>
      </c>
      <c r="B1788" t="s">
        <v>63</v>
      </c>
      <c r="C1788" t="s">
        <v>14</v>
      </c>
      <c r="E1788" t="s">
        <v>9</v>
      </c>
      <c r="F1788" s="1" t="s">
        <v>5</v>
      </c>
      <c r="G1788" s="1">
        <v>45862</v>
      </c>
      <c r="H1788" t="s">
        <v>41</v>
      </c>
      <c r="I1788" s="2">
        <v>1502.9</v>
      </c>
      <c r="J1788" t="s">
        <v>1142</v>
      </c>
      <c r="K1788" s="7">
        <v>45839</v>
      </c>
    </row>
    <row r="1789" spans="1:11" hidden="1">
      <c r="A1789" t="s">
        <v>39</v>
      </c>
      <c r="B1789" t="s">
        <v>63</v>
      </c>
      <c r="C1789" t="s">
        <v>12</v>
      </c>
      <c r="E1789" t="s">
        <v>9</v>
      </c>
      <c r="F1789" s="1" t="s">
        <v>3</v>
      </c>
      <c r="G1789" s="1">
        <v>46063</v>
      </c>
      <c r="H1789" t="s">
        <v>41</v>
      </c>
      <c r="I1789" s="2">
        <v>7308.84</v>
      </c>
      <c r="J1789" s="47" t="s">
        <v>1143</v>
      </c>
      <c r="K1789" s="7">
        <v>46054</v>
      </c>
    </row>
    <row r="1790" spans="1:11" hidden="1">
      <c r="A1790" t="s">
        <v>39</v>
      </c>
      <c r="B1790" t="s">
        <v>63</v>
      </c>
      <c r="C1790" t="s">
        <v>14</v>
      </c>
      <c r="E1790" t="s">
        <v>8</v>
      </c>
      <c r="F1790" s="51" t="s">
        <v>6</v>
      </c>
      <c r="G1790" s="1">
        <v>45956</v>
      </c>
      <c r="H1790" t="s">
        <v>41</v>
      </c>
      <c r="I1790" s="2">
        <v>12091</v>
      </c>
      <c r="J1790" t="s">
        <v>498</v>
      </c>
      <c r="K1790" s="7">
        <v>45931</v>
      </c>
    </row>
    <row r="1791" spans="1:11" hidden="1">
      <c r="A1791" t="s">
        <v>39</v>
      </c>
      <c r="B1791" t="s">
        <v>40</v>
      </c>
      <c r="C1791" t="s">
        <v>14</v>
      </c>
      <c r="E1791" t="s">
        <v>9</v>
      </c>
      <c r="F1791" s="1" t="s">
        <v>3</v>
      </c>
      <c r="G1791" s="1">
        <v>46063</v>
      </c>
      <c r="H1791" t="s">
        <v>41</v>
      </c>
      <c r="I1791" s="2">
        <v>5458.66</v>
      </c>
      <c r="J1791" t="s">
        <v>1144</v>
      </c>
      <c r="K1791" s="7">
        <v>46054</v>
      </c>
    </row>
    <row r="1792" spans="1:11" hidden="1">
      <c r="A1792" t="s">
        <v>39</v>
      </c>
      <c r="B1792" t="s">
        <v>40</v>
      </c>
      <c r="C1792" t="s">
        <v>14</v>
      </c>
      <c r="D1792">
        <v>10026489</v>
      </c>
      <c r="E1792" t="s">
        <v>9</v>
      </c>
      <c r="F1792" s="1" t="s">
        <v>3</v>
      </c>
      <c r="G1792" s="1">
        <v>45782</v>
      </c>
      <c r="H1792" t="s">
        <v>41</v>
      </c>
      <c r="I1792" s="2">
        <v>1500</v>
      </c>
      <c r="J1792" t="s">
        <v>107</v>
      </c>
      <c r="K1792" s="7">
        <v>45778</v>
      </c>
    </row>
    <row r="1793" spans="1:11" hidden="1">
      <c r="A1793" t="s">
        <v>39</v>
      </c>
      <c r="B1793" t="s">
        <v>40</v>
      </c>
      <c r="C1793" t="s">
        <v>14</v>
      </c>
      <c r="D1793">
        <v>10027044</v>
      </c>
      <c r="E1793" t="s">
        <v>9</v>
      </c>
      <c r="F1793" s="1" t="s">
        <v>3</v>
      </c>
      <c r="G1793" s="1">
        <v>45847</v>
      </c>
      <c r="H1793" t="s">
        <v>41</v>
      </c>
      <c r="I1793" s="2">
        <v>1500</v>
      </c>
      <c r="J1793" t="s">
        <v>1145</v>
      </c>
      <c r="K1793" s="7">
        <v>45839</v>
      </c>
    </row>
    <row r="1794" spans="1:11" hidden="1">
      <c r="A1794" t="s">
        <v>39</v>
      </c>
      <c r="B1794" t="s">
        <v>40</v>
      </c>
      <c r="C1794" t="s">
        <v>14</v>
      </c>
      <c r="E1794" t="s">
        <v>9</v>
      </c>
      <c r="F1794" s="1" t="s">
        <v>3</v>
      </c>
      <c r="G1794" s="1">
        <v>45845</v>
      </c>
      <c r="H1794" t="s">
        <v>41</v>
      </c>
      <c r="I1794" s="2">
        <v>1500</v>
      </c>
      <c r="J1794" t="s">
        <v>1146</v>
      </c>
      <c r="K1794" s="7">
        <v>45839</v>
      </c>
    </row>
    <row r="1795" spans="1:11" hidden="1">
      <c r="A1795" t="s">
        <v>56</v>
      </c>
      <c r="B1795" t="s">
        <v>40</v>
      </c>
      <c r="C1795" t="s">
        <v>14</v>
      </c>
      <c r="E1795" t="s">
        <v>9</v>
      </c>
      <c r="F1795" s="1" t="s">
        <v>5</v>
      </c>
      <c r="G1795" s="1">
        <v>45927</v>
      </c>
      <c r="H1795" t="s">
        <v>41</v>
      </c>
      <c r="I1795" s="2">
        <v>1500</v>
      </c>
      <c r="J1795" t="s">
        <v>1100</v>
      </c>
      <c r="K1795" s="7">
        <v>45901</v>
      </c>
    </row>
    <row r="1796" spans="1:11" hidden="1">
      <c r="A1796" t="s">
        <v>39</v>
      </c>
      <c r="B1796" t="s">
        <v>63</v>
      </c>
      <c r="C1796" t="s">
        <v>14</v>
      </c>
      <c r="E1796" t="s">
        <v>9</v>
      </c>
      <c r="F1796" s="1" t="s">
        <v>2</v>
      </c>
      <c r="G1796" s="1">
        <v>46030</v>
      </c>
      <c r="H1796" t="s">
        <v>41</v>
      </c>
      <c r="I1796" s="2">
        <v>1500</v>
      </c>
      <c r="J1796" t="s">
        <v>1147</v>
      </c>
      <c r="K1796" s="7">
        <v>46023</v>
      </c>
    </row>
    <row r="1797" spans="1:11" hidden="1">
      <c r="A1797" t="s">
        <v>39</v>
      </c>
      <c r="B1797" t="s">
        <v>63</v>
      </c>
      <c r="C1797" t="s">
        <v>14</v>
      </c>
      <c r="E1797" t="s">
        <v>8</v>
      </c>
      <c r="F1797" s="1" t="s">
        <v>6</v>
      </c>
      <c r="G1797" s="1">
        <v>45959</v>
      </c>
      <c r="H1797" t="s">
        <v>41</v>
      </c>
      <c r="I1797" s="2">
        <v>4716.29</v>
      </c>
      <c r="J1797" t="s">
        <v>157</v>
      </c>
      <c r="K1797" s="7">
        <v>45931</v>
      </c>
    </row>
    <row r="1798" spans="1:11" hidden="1">
      <c r="A1798" t="s">
        <v>39</v>
      </c>
      <c r="B1798" t="s">
        <v>40</v>
      </c>
      <c r="C1798" t="s">
        <v>14</v>
      </c>
      <c r="E1798" t="s">
        <v>9</v>
      </c>
      <c r="F1798" s="1" t="s">
        <v>3</v>
      </c>
      <c r="G1798" s="1">
        <v>45818</v>
      </c>
      <c r="H1798" t="s">
        <v>41</v>
      </c>
      <c r="I1798" s="2">
        <v>1499</v>
      </c>
      <c r="J1798" t="s">
        <v>1148</v>
      </c>
      <c r="K1798" s="7">
        <v>45809</v>
      </c>
    </row>
    <row r="1799" spans="1:11" hidden="1">
      <c r="A1799" t="s">
        <v>39</v>
      </c>
      <c r="B1799" t="s">
        <v>40</v>
      </c>
      <c r="C1799" t="s">
        <v>14</v>
      </c>
      <c r="E1799" t="s">
        <v>9</v>
      </c>
      <c r="F1799" s="1" t="s">
        <v>3</v>
      </c>
      <c r="G1799" s="1">
        <v>45822</v>
      </c>
      <c r="H1799" t="s">
        <v>41</v>
      </c>
      <c r="I1799" s="2">
        <v>1499</v>
      </c>
      <c r="J1799" t="s">
        <v>1149</v>
      </c>
      <c r="K1799" s="7">
        <v>45809</v>
      </c>
    </row>
    <row r="1800" spans="1:11" hidden="1">
      <c r="A1800" t="s">
        <v>39</v>
      </c>
      <c r="B1800" t="s">
        <v>40</v>
      </c>
      <c r="C1800" t="s">
        <v>14</v>
      </c>
      <c r="D1800">
        <v>10027309</v>
      </c>
      <c r="E1800" t="s">
        <v>9</v>
      </c>
      <c r="F1800" s="1" t="s">
        <v>2</v>
      </c>
      <c r="G1800" s="1">
        <v>45871</v>
      </c>
      <c r="H1800" t="s">
        <v>41</v>
      </c>
      <c r="I1800" s="2">
        <v>1499</v>
      </c>
      <c r="J1800" t="s">
        <v>1150</v>
      </c>
      <c r="K1800" s="7">
        <v>45870</v>
      </c>
    </row>
    <row r="1801" spans="1:11" hidden="1">
      <c r="A1801" t="s">
        <v>39</v>
      </c>
      <c r="B1801" t="s">
        <v>40</v>
      </c>
      <c r="C1801" t="s">
        <v>14</v>
      </c>
      <c r="D1801">
        <v>10027290</v>
      </c>
      <c r="E1801" t="s">
        <v>9</v>
      </c>
      <c r="F1801" s="1" t="s">
        <v>3</v>
      </c>
      <c r="G1801" s="1">
        <v>45878</v>
      </c>
      <c r="H1801" t="s">
        <v>41</v>
      </c>
      <c r="I1801" s="2">
        <v>1499</v>
      </c>
      <c r="J1801" t="s">
        <v>1151</v>
      </c>
      <c r="K1801" s="7">
        <v>45870</v>
      </c>
    </row>
    <row r="1802" spans="1:11" hidden="1">
      <c r="A1802" t="s">
        <v>39</v>
      </c>
      <c r="B1802" t="s">
        <v>40</v>
      </c>
      <c r="C1802" t="s">
        <v>14</v>
      </c>
      <c r="E1802" t="s">
        <v>9</v>
      </c>
      <c r="F1802" s="1" t="s">
        <v>5</v>
      </c>
      <c r="G1802" s="1">
        <v>45895</v>
      </c>
      <c r="H1802" t="s">
        <v>64</v>
      </c>
      <c r="I1802" s="2">
        <v>1499</v>
      </c>
      <c r="J1802" t="s">
        <v>1152</v>
      </c>
      <c r="K1802" s="7">
        <v>45870</v>
      </c>
    </row>
    <row r="1803" spans="1:11" hidden="1">
      <c r="A1803" t="s">
        <v>39</v>
      </c>
      <c r="B1803" t="s">
        <v>40</v>
      </c>
      <c r="C1803" t="s">
        <v>14</v>
      </c>
      <c r="E1803" t="s">
        <v>9</v>
      </c>
      <c r="F1803" s="1" t="s">
        <v>3</v>
      </c>
      <c r="G1803" s="1">
        <v>45911</v>
      </c>
      <c r="H1803" t="s">
        <v>41</v>
      </c>
      <c r="I1803" s="2">
        <v>1499</v>
      </c>
      <c r="J1803" t="s">
        <v>1153</v>
      </c>
      <c r="K1803" s="7">
        <v>45901</v>
      </c>
    </row>
    <row r="1804" spans="1:11" hidden="1">
      <c r="A1804" t="s">
        <v>39</v>
      </c>
      <c r="B1804" t="s">
        <v>63</v>
      </c>
      <c r="C1804" t="s">
        <v>14</v>
      </c>
      <c r="E1804" t="s">
        <v>8</v>
      </c>
      <c r="F1804" s="1" t="s">
        <v>6</v>
      </c>
      <c r="G1804" s="1">
        <v>45960</v>
      </c>
      <c r="H1804" t="s">
        <v>41</v>
      </c>
      <c r="I1804" s="2">
        <v>45424.06</v>
      </c>
      <c r="J1804" t="s">
        <v>241</v>
      </c>
      <c r="K1804" s="7">
        <v>45931</v>
      </c>
    </row>
    <row r="1805" spans="1:11" hidden="1">
      <c r="A1805" t="s">
        <v>39</v>
      </c>
      <c r="B1805" t="s">
        <v>63</v>
      </c>
      <c r="C1805" t="s">
        <v>14</v>
      </c>
      <c r="E1805" t="s">
        <v>8</v>
      </c>
      <c r="F1805" s="1" t="s">
        <v>6</v>
      </c>
      <c r="G1805" s="1">
        <v>45960</v>
      </c>
      <c r="H1805" t="s">
        <v>41</v>
      </c>
      <c r="I1805" s="2">
        <v>4154</v>
      </c>
      <c r="J1805" t="s">
        <v>855</v>
      </c>
      <c r="K1805" s="7">
        <v>45931</v>
      </c>
    </row>
    <row r="1806" spans="1:11" hidden="1">
      <c r="A1806" t="s">
        <v>39</v>
      </c>
      <c r="B1806" t="s">
        <v>40</v>
      </c>
      <c r="C1806" t="s">
        <v>14</v>
      </c>
      <c r="D1806">
        <v>10027656</v>
      </c>
      <c r="E1806" t="s">
        <v>9</v>
      </c>
      <c r="F1806" s="1" t="s">
        <v>6</v>
      </c>
      <c r="G1806" s="1">
        <v>45929</v>
      </c>
      <c r="H1806" t="s">
        <v>41</v>
      </c>
      <c r="I1806" s="2">
        <v>1499</v>
      </c>
      <c r="J1806" t="s">
        <v>1154</v>
      </c>
      <c r="K1806" s="7">
        <v>45901</v>
      </c>
    </row>
    <row r="1807" spans="1:11" hidden="1">
      <c r="A1807" t="s">
        <v>39</v>
      </c>
      <c r="B1807" t="s">
        <v>47</v>
      </c>
      <c r="C1807" t="s">
        <v>14</v>
      </c>
      <c r="D1807">
        <v>10027681</v>
      </c>
      <c r="E1807" t="s">
        <v>9</v>
      </c>
      <c r="F1807" s="1" t="s">
        <v>2</v>
      </c>
      <c r="G1807" s="1">
        <v>45931</v>
      </c>
      <c r="H1807" t="s">
        <v>41</v>
      </c>
      <c r="I1807" s="2">
        <v>1495.09</v>
      </c>
      <c r="J1807" t="s">
        <v>1155</v>
      </c>
      <c r="K1807" s="7">
        <v>45931</v>
      </c>
    </row>
    <row r="1808" spans="1:11" hidden="1">
      <c r="A1808" t="s">
        <v>39</v>
      </c>
      <c r="B1808" t="s">
        <v>40</v>
      </c>
      <c r="C1808" t="s">
        <v>14</v>
      </c>
      <c r="D1808">
        <v>10028204</v>
      </c>
      <c r="E1808" t="s">
        <v>9</v>
      </c>
      <c r="F1808" s="1" t="s">
        <v>5</v>
      </c>
      <c r="G1808" s="1">
        <v>46018</v>
      </c>
      <c r="H1808" t="s">
        <v>41</v>
      </c>
      <c r="I1808" s="2">
        <v>1495</v>
      </c>
      <c r="J1808" t="s">
        <v>801</v>
      </c>
      <c r="K1808" s="7">
        <v>45992</v>
      </c>
    </row>
    <row r="1809" spans="1:11">
      <c r="A1809" t="s">
        <v>39</v>
      </c>
      <c r="B1809" t="s">
        <v>47</v>
      </c>
      <c r="C1809" t="s">
        <v>14</v>
      </c>
      <c r="E1809" t="s">
        <v>9</v>
      </c>
      <c r="F1809" s="1" t="s">
        <v>3</v>
      </c>
      <c r="G1809" s="1">
        <v>46063</v>
      </c>
      <c r="H1809" t="s">
        <v>41</v>
      </c>
      <c r="I1809" s="2">
        <v>4947.16</v>
      </c>
      <c r="J1809" s="47" t="s">
        <v>882</v>
      </c>
      <c r="K1809" s="7">
        <v>46054</v>
      </c>
    </row>
    <row r="1810" spans="1:11" hidden="1">
      <c r="A1810" t="s">
        <v>39</v>
      </c>
      <c r="B1810" t="s">
        <v>63</v>
      </c>
      <c r="C1810" t="s">
        <v>14</v>
      </c>
      <c r="E1810" t="s">
        <v>9</v>
      </c>
      <c r="F1810" s="1" t="s">
        <v>5</v>
      </c>
      <c r="G1810" s="1">
        <v>45986</v>
      </c>
      <c r="H1810" t="s">
        <v>41</v>
      </c>
      <c r="I1810" s="2">
        <v>1491.6</v>
      </c>
      <c r="J1810" s="47" t="s">
        <v>921</v>
      </c>
      <c r="K1810" s="7">
        <v>45962</v>
      </c>
    </row>
    <row r="1811" spans="1:11" hidden="1">
      <c r="A1811" t="s">
        <v>39</v>
      </c>
      <c r="B1811" t="s">
        <v>40</v>
      </c>
      <c r="C1811" t="s">
        <v>14</v>
      </c>
      <c r="D1811">
        <v>10027819</v>
      </c>
      <c r="E1811" t="s">
        <v>9</v>
      </c>
      <c r="F1811" s="1" t="s">
        <v>4</v>
      </c>
      <c r="G1811" s="1">
        <v>45953</v>
      </c>
      <c r="H1811" t="s">
        <v>41</v>
      </c>
      <c r="I1811" s="2">
        <v>870</v>
      </c>
      <c r="J1811" t="s">
        <v>801</v>
      </c>
      <c r="K1811" s="7">
        <v>45931</v>
      </c>
    </row>
    <row r="1812" spans="1:11" hidden="1">
      <c r="A1812" t="s">
        <v>39</v>
      </c>
      <c r="B1812" t="s">
        <v>40</v>
      </c>
      <c r="C1812" t="s">
        <v>14</v>
      </c>
      <c r="E1812" t="s">
        <v>9</v>
      </c>
      <c r="F1812" s="1" t="s">
        <v>2</v>
      </c>
      <c r="G1812" s="1">
        <v>45870</v>
      </c>
      <c r="H1812" t="s">
        <v>41</v>
      </c>
      <c r="I1812" s="2">
        <v>1484.13</v>
      </c>
      <c r="J1812" s="47" t="s">
        <v>1156</v>
      </c>
      <c r="K1812" s="7">
        <v>45870</v>
      </c>
    </row>
    <row r="1813" spans="1:11" hidden="1">
      <c r="A1813" t="s">
        <v>39</v>
      </c>
      <c r="B1813" t="s">
        <v>47</v>
      </c>
      <c r="C1813" t="s">
        <v>14</v>
      </c>
      <c r="D1813">
        <v>10027268</v>
      </c>
      <c r="E1813" t="s">
        <v>9</v>
      </c>
      <c r="F1813" s="1" t="s">
        <v>2</v>
      </c>
      <c r="G1813" s="1">
        <v>45870</v>
      </c>
      <c r="H1813" t="s">
        <v>41</v>
      </c>
      <c r="I1813" s="2">
        <v>1484.1</v>
      </c>
      <c r="J1813" t="s">
        <v>1156</v>
      </c>
      <c r="K1813" s="7">
        <v>45870</v>
      </c>
    </row>
    <row r="1814" spans="1:11" hidden="1">
      <c r="A1814" t="s">
        <v>39</v>
      </c>
      <c r="B1814" t="s">
        <v>47</v>
      </c>
      <c r="C1814" t="s">
        <v>13</v>
      </c>
      <c r="E1814" t="s">
        <v>8</v>
      </c>
      <c r="F1814" s="1" t="s">
        <v>6</v>
      </c>
      <c r="G1814" s="1">
        <v>45961</v>
      </c>
      <c r="H1814" t="s">
        <v>41</v>
      </c>
      <c r="I1814" s="2">
        <v>136569</v>
      </c>
      <c r="J1814" t="s">
        <v>118</v>
      </c>
      <c r="K1814" s="7">
        <v>45931</v>
      </c>
    </row>
    <row r="1815" spans="1:11" hidden="1">
      <c r="A1815" t="s">
        <v>39</v>
      </c>
      <c r="B1815" t="s">
        <v>40</v>
      </c>
      <c r="C1815" t="s">
        <v>14</v>
      </c>
      <c r="E1815" t="s">
        <v>8</v>
      </c>
      <c r="F1815" s="1" t="s">
        <v>6</v>
      </c>
      <c r="G1815" s="1">
        <v>45961</v>
      </c>
      <c r="H1815" t="s">
        <v>41</v>
      </c>
      <c r="I1815" s="2">
        <v>30000</v>
      </c>
      <c r="J1815" t="s">
        <v>98</v>
      </c>
      <c r="K1815" s="7">
        <v>45931</v>
      </c>
    </row>
    <row r="1816" spans="1:11" hidden="1">
      <c r="A1816" t="s">
        <v>56</v>
      </c>
      <c r="B1816" t="s">
        <v>40</v>
      </c>
      <c r="C1816" t="s">
        <v>14</v>
      </c>
      <c r="E1816" t="s">
        <v>8</v>
      </c>
      <c r="F1816" s="1" t="s">
        <v>6</v>
      </c>
      <c r="G1816" s="1">
        <v>45961</v>
      </c>
      <c r="H1816" t="s">
        <v>41</v>
      </c>
      <c r="I1816" s="2">
        <v>10000</v>
      </c>
      <c r="J1816" t="s">
        <v>98</v>
      </c>
      <c r="K1816" s="7">
        <v>45931</v>
      </c>
    </row>
    <row r="1817" spans="1:11" hidden="1">
      <c r="A1817" t="s">
        <v>39</v>
      </c>
      <c r="B1817" t="s">
        <v>45</v>
      </c>
      <c r="C1817" t="s">
        <v>14</v>
      </c>
      <c r="E1817" t="s">
        <v>8</v>
      </c>
      <c r="F1817" s="1" t="s">
        <v>6</v>
      </c>
      <c r="G1817" s="1">
        <v>45961</v>
      </c>
      <c r="H1817" t="s">
        <v>41</v>
      </c>
      <c r="I1817" s="2">
        <v>9718.6299999999992</v>
      </c>
      <c r="J1817" s="50" t="s">
        <v>88</v>
      </c>
      <c r="K1817" s="7">
        <v>45931</v>
      </c>
    </row>
    <row r="1818" spans="1:11" hidden="1">
      <c r="A1818" t="s">
        <v>39</v>
      </c>
      <c r="B1818" t="s">
        <v>63</v>
      </c>
      <c r="C1818" t="s">
        <v>13</v>
      </c>
      <c r="E1818" t="s">
        <v>8</v>
      </c>
      <c r="F1818" s="1" t="s">
        <v>6</v>
      </c>
      <c r="G1818" s="1">
        <v>45961</v>
      </c>
      <c r="H1818" t="s">
        <v>41</v>
      </c>
      <c r="I1818" s="2">
        <v>50887</v>
      </c>
      <c r="J1818" s="50" t="s">
        <v>304</v>
      </c>
      <c r="K1818" s="7">
        <v>45931</v>
      </c>
    </row>
    <row r="1819" spans="1:11" hidden="1">
      <c r="A1819" t="s">
        <v>99</v>
      </c>
      <c r="B1819" t="s">
        <v>63</v>
      </c>
      <c r="C1819" t="s">
        <v>14</v>
      </c>
      <c r="E1819" t="s">
        <v>8</v>
      </c>
      <c r="F1819" s="1" t="s">
        <v>6</v>
      </c>
      <c r="G1819" s="1">
        <v>45961</v>
      </c>
      <c r="H1819" t="s">
        <v>41</v>
      </c>
      <c r="I1819" s="2">
        <v>10000</v>
      </c>
      <c r="J1819" s="50" t="s">
        <v>569</v>
      </c>
      <c r="K1819" s="7">
        <v>45931</v>
      </c>
    </row>
    <row r="1820" spans="1:11" hidden="1">
      <c r="A1820" t="s">
        <v>39</v>
      </c>
      <c r="B1820" t="s">
        <v>63</v>
      </c>
      <c r="C1820" t="s">
        <v>13</v>
      </c>
      <c r="E1820" t="s">
        <v>8</v>
      </c>
      <c r="F1820" s="1" t="s">
        <v>6</v>
      </c>
      <c r="G1820" s="1">
        <v>45961</v>
      </c>
      <c r="H1820" t="s">
        <v>41</v>
      </c>
      <c r="I1820" s="2">
        <v>9695</v>
      </c>
      <c r="J1820" s="50" t="s">
        <v>821</v>
      </c>
      <c r="K1820" s="7">
        <v>45931</v>
      </c>
    </row>
    <row r="1821" spans="1:11" hidden="1">
      <c r="A1821" t="s">
        <v>39</v>
      </c>
      <c r="B1821" t="s">
        <v>406</v>
      </c>
      <c r="C1821" t="s">
        <v>14</v>
      </c>
      <c r="E1821" t="s">
        <v>9</v>
      </c>
      <c r="F1821" s="1" t="s">
        <v>4</v>
      </c>
      <c r="G1821" s="1">
        <v>45978</v>
      </c>
      <c r="H1821" t="s">
        <v>41</v>
      </c>
      <c r="I1821" s="2">
        <v>14817.38</v>
      </c>
      <c r="J1821" s="59" t="s">
        <v>1157</v>
      </c>
      <c r="K1821" s="7">
        <v>45962</v>
      </c>
    </row>
    <row r="1822" spans="1:11" hidden="1">
      <c r="A1822" t="s">
        <v>114</v>
      </c>
      <c r="B1822" t="s">
        <v>63</v>
      </c>
      <c r="C1822" t="s">
        <v>12</v>
      </c>
      <c r="E1822" t="s">
        <v>9</v>
      </c>
      <c r="F1822" s="1" t="s">
        <v>4</v>
      </c>
      <c r="G1822" s="1">
        <v>45978</v>
      </c>
      <c r="H1822" t="s">
        <v>41</v>
      </c>
      <c r="I1822" s="2">
        <v>10611.71</v>
      </c>
      <c r="J1822" s="50" t="s">
        <v>1158</v>
      </c>
      <c r="K1822" s="7">
        <v>45962</v>
      </c>
    </row>
    <row r="1823" spans="1:11" hidden="1">
      <c r="A1823" t="s">
        <v>39</v>
      </c>
      <c r="B1823" t="s">
        <v>47</v>
      </c>
      <c r="C1823" t="s">
        <v>14</v>
      </c>
      <c r="D1823">
        <v>10026630</v>
      </c>
      <c r="E1823" t="s">
        <v>9</v>
      </c>
      <c r="F1823" s="1" t="s">
        <v>5</v>
      </c>
      <c r="G1823" s="1">
        <v>45796</v>
      </c>
      <c r="H1823" t="s">
        <v>41</v>
      </c>
      <c r="I1823" s="2">
        <v>1469.06</v>
      </c>
      <c r="J1823" s="50" t="s">
        <v>1159</v>
      </c>
      <c r="K1823" s="7">
        <v>45778</v>
      </c>
    </row>
    <row r="1824" spans="1:11" hidden="1">
      <c r="A1824" t="s">
        <v>39</v>
      </c>
      <c r="B1824" t="s">
        <v>63</v>
      </c>
      <c r="C1824" t="s">
        <v>12</v>
      </c>
      <c r="D1824">
        <v>10026995</v>
      </c>
      <c r="E1824" t="s">
        <v>9</v>
      </c>
      <c r="F1824" s="1" t="s">
        <v>2</v>
      </c>
      <c r="G1824" s="1">
        <v>45841</v>
      </c>
      <c r="H1824" t="s">
        <v>41</v>
      </c>
      <c r="I1824" s="2">
        <v>1467.46</v>
      </c>
      <c r="J1824" s="50" t="s">
        <v>662</v>
      </c>
      <c r="K1824" s="7">
        <v>45839</v>
      </c>
    </row>
    <row r="1825" spans="1:11" hidden="1">
      <c r="A1825" t="s">
        <v>39</v>
      </c>
      <c r="B1825" t="s">
        <v>47</v>
      </c>
      <c r="C1825" t="s">
        <v>14</v>
      </c>
      <c r="E1825" t="s">
        <v>9</v>
      </c>
      <c r="F1825" s="1" t="s">
        <v>4</v>
      </c>
      <c r="G1825" s="1">
        <v>45978</v>
      </c>
      <c r="H1825" t="s">
        <v>41</v>
      </c>
      <c r="I1825" s="2">
        <v>9492.7099999999991</v>
      </c>
      <c r="J1825" s="50" t="s">
        <v>1137</v>
      </c>
      <c r="K1825" s="7">
        <v>45962</v>
      </c>
    </row>
    <row r="1826" spans="1:11" hidden="1">
      <c r="A1826" t="s">
        <v>39</v>
      </c>
      <c r="B1826" t="s">
        <v>40</v>
      </c>
      <c r="C1826" t="s">
        <v>14</v>
      </c>
      <c r="E1826" t="s">
        <v>9</v>
      </c>
      <c r="F1826" s="1" t="s">
        <v>5</v>
      </c>
      <c r="G1826" s="1">
        <v>45952</v>
      </c>
      <c r="H1826" t="s">
        <v>41</v>
      </c>
      <c r="I1826" s="2">
        <v>1455.76</v>
      </c>
      <c r="J1826" s="50" t="s">
        <v>217</v>
      </c>
      <c r="K1826" s="7">
        <v>45931</v>
      </c>
    </row>
    <row r="1827" spans="1:11" hidden="1">
      <c r="A1827" t="s">
        <v>39</v>
      </c>
      <c r="B1827" t="s">
        <v>47</v>
      </c>
      <c r="C1827" t="s">
        <v>12</v>
      </c>
      <c r="D1827">
        <v>10026905</v>
      </c>
      <c r="E1827" t="s">
        <v>9</v>
      </c>
      <c r="F1827" s="1" t="s">
        <v>3</v>
      </c>
      <c r="G1827" s="1">
        <v>45818</v>
      </c>
      <c r="H1827" t="s">
        <v>41</v>
      </c>
      <c r="I1827" s="2">
        <v>1449.22</v>
      </c>
      <c r="J1827" s="50" t="s">
        <v>1160</v>
      </c>
      <c r="K1827" s="7">
        <v>45809</v>
      </c>
    </row>
    <row r="1828" spans="1:11" hidden="1">
      <c r="A1828" t="s">
        <v>39</v>
      </c>
      <c r="B1828" t="s">
        <v>47</v>
      </c>
      <c r="C1828" t="s">
        <v>14</v>
      </c>
      <c r="E1828" t="s">
        <v>9</v>
      </c>
      <c r="F1828" s="1" t="s">
        <v>3</v>
      </c>
      <c r="G1828" s="1">
        <v>45972</v>
      </c>
      <c r="H1828" t="s">
        <v>41</v>
      </c>
      <c r="I1828" s="2">
        <v>1435.44</v>
      </c>
      <c r="J1828" s="50" t="s">
        <v>931</v>
      </c>
      <c r="K1828" s="7">
        <v>45962</v>
      </c>
    </row>
    <row r="1829" spans="1:11" hidden="1">
      <c r="A1829" t="s">
        <v>39</v>
      </c>
      <c r="B1829" t="s">
        <v>40</v>
      </c>
      <c r="C1829" t="s">
        <v>14</v>
      </c>
      <c r="E1829" t="s">
        <v>9</v>
      </c>
      <c r="F1829" s="1" t="s">
        <v>3</v>
      </c>
      <c r="G1829" s="1">
        <v>45845</v>
      </c>
      <c r="H1829" t="s">
        <v>64</v>
      </c>
      <c r="I1829" s="2">
        <f>727000/508</f>
        <v>1431.1023622047244</v>
      </c>
      <c r="J1829" s="50" t="s">
        <v>1161</v>
      </c>
      <c r="K1829" s="7">
        <v>45839</v>
      </c>
    </row>
    <row r="1830" spans="1:11" hidden="1">
      <c r="A1830" t="s">
        <v>39</v>
      </c>
      <c r="B1830" t="s">
        <v>40</v>
      </c>
      <c r="C1830" t="s">
        <v>14</v>
      </c>
      <c r="E1830" t="s">
        <v>9</v>
      </c>
      <c r="F1830" s="1" t="s">
        <v>6</v>
      </c>
      <c r="G1830" s="1">
        <v>46020</v>
      </c>
      <c r="H1830" t="s">
        <v>41</v>
      </c>
      <c r="I1830" s="2">
        <v>1415</v>
      </c>
      <c r="J1830" s="59" t="s">
        <v>1162</v>
      </c>
      <c r="K1830" s="7">
        <v>45992</v>
      </c>
    </row>
    <row r="1831" spans="1:11" hidden="1">
      <c r="A1831" t="s">
        <v>39</v>
      </c>
      <c r="B1831" t="s">
        <v>40</v>
      </c>
      <c r="C1831" t="s">
        <v>14</v>
      </c>
      <c r="D1831">
        <v>10028415</v>
      </c>
      <c r="E1831" t="s">
        <v>9</v>
      </c>
      <c r="F1831" s="1" t="s">
        <v>5</v>
      </c>
      <c r="G1831" s="1">
        <v>46385</v>
      </c>
      <c r="H1831" t="s">
        <v>41</v>
      </c>
      <c r="I1831" s="2">
        <v>1415</v>
      </c>
      <c r="J1831" s="50" t="s">
        <v>1163</v>
      </c>
      <c r="K1831" s="7">
        <v>45992</v>
      </c>
    </row>
    <row r="1832" spans="1:11" hidden="1">
      <c r="A1832" t="s">
        <v>39</v>
      </c>
      <c r="B1832" t="s">
        <v>40</v>
      </c>
      <c r="C1832" t="s">
        <v>14</v>
      </c>
      <c r="E1832" t="s">
        <v>9</v>
      </c>
      <c r="F1832" s="1" t="s">
        <v>5</v>
      </c>
      <c r="G1832" s="1">
        <v>45834</v>
      </c>
      <c r="H1832" t="s">
        <v>41</v>
      </c>
      <c r="I1832" s="2">
        <v>1407.42</v>
      </c>
      <c r="J1832" s="50" t="s">
        <v>1164</v>
      </c>
      <c r="K1832" s="7">
        <v>45809</v>
      </c>
    </row>
    <row r="1833" spans="1:11" hidden="1">
      <c r="A1833" t="s">
        <v>39</v>
      </c>
      <c r="B1833" t="s">
        <v>40</v>
      </c>
      <c r="C1833" t="s">
        <v>14</v>
      </c>
      <c r="D1833">
        <v>10026536</v>
      </c>
      <c r="E1833" t="s">
        <v>9</v>
      </c>
      <c r="F1833" s="1" t="s">
        <v>3</v>
      </c>
      <c r="G1833" s="1">
        <v>45786</v>
      </c>
      <c r="H1833" t="s">
        <v>41</v>
      </c>
      <c r="I1833" s="2">
        <v>1400</v>
      </c>
      <c r="J1833" s="50" t="s">
        <v>899</v>
      </c>
      <c r="K1833" s="7">
        <v>45778</v>
      </c>
    </row>
    <row r="1834" spans="1:11" hidden="1">
      <c r="A1834" t="s">
        <v>39</v>
      </c>
      <c r="B1834" t="s">
        <v>40</v>
      </c>
      <c r="C1834" t="s">
        <v>14</v>
      </c>
      <c r="D1834">
        <v>10027215</v>
      </c>
      <c r="E1834" t="s">
        <v>9</v>
      </c>
      <c r="F1834" s="1" t="s">
        <v>2</v>
      </c>
      <c r="G1834" s="1">
        <v>45870</v>
      </c>
      <c r="H1834" t="s">
        <v>41</v>
      </c>
      <c r="I1834" s="2">
        <v>1400</v>
      </c>
      <c r="J1834" s="50" t="s">
        <v>666</v>
      </c>
      <c r="K1834" s="7">
        <v>45870</v>
      </c>
    </row>
    <row r="1835" spans="1:11" hidden="1">
      <c r="A1835" t="s">
        <v>39</v>
      </c>
      <c r="B1835" t="s">
        <v>63</v>
      </c>
      <c r="C1835" t="s">
        <v>14</v>
      </c>
      <c r="E1835" t="s">
        <v>9</v>
      </c>
      <c r="F1835" s="1" t="s">
        <v>3</v>
      </c>
      <c r="G1835" s="1">
        <v>45883</v>
      </c>
      <c r="H1835" t="s">
        <v>64</v>
      </c>
      <c r="I1835" s="2">
        <f>712161.61/510</f>
        <v>1396.3953137254903</v>
      </c>
      <c r="J1835" s="50" t="s">
        <v>1165</v>
      </c>
      <c r="K1835" s="7">
        <v>45870</v>
      </c>
    </row>
    <row r="1836" spans="1:11" hidden="1">
      <c r="A1836" t="s">
        <v>39</v>
      </c>
      <c r="B1836" t="s">
        <v>40</v>
      </c>
      <c r="C1836" t="s">
        <v>14</v>
      </c>
      <c r="D1836">
        <v>10027974</v>
      </c>
      <c r="E1836" t="s">
        <v>9</v>
      </c>
      <c r="F1836" s="1" t="s">
        <v>4</v>
      </c>
      <c r="G1836" s="1">
        <v>45978</v>
      </c>
      <c r="H1836" t="s">
        <v>41</v>
      </c>
      <c r="I1836" s="2">
        <v>3000</v>
      </c>
      <c r="J1836" s="50" t="s">
        <v>1166</v>
      </c>
      <c r="K1836" s="7">
        <v>45962</v>
      </c>
    </row>
    <row r="1837" spans="1:11" hidden="1">
      <c r="A1837" t="s">
        <v>39</v>
      </c>
      <c r="B1837" t="s">
        <v>40</v>
      </c>
      <c r="C1837" t="s">
        <v>14</v>
      </c>
      <c r="D1837">
        <v>10026525</v>
      </c>
      <c r="E1837" t="s">
        <v>9</v>
      </c>
      <c r="F1837" s="1" t="s">
        <v>3</v>
      </c>
      <c r="G1837" s="1">
        <v>45785</v>
      </c>
      <c r="H1837" t="s">
        <v>41</v>
      </c>
      <c r="I1837" s="2">
        <v>1389</v>
      </c>
      <c r="J1837" s="50" t="s">
        <v>1167</v>
      </c>
      <c r="K1837" s="7">
        <v>45778</v>
      </c>
    </row>
    <row r="1838" spans="1:11" hidden="1">
      <c r="A1838" t="s">
        <v>39</v>
      </c>
      <c r="B1838" t="s">
        <v>40</v>
      </c>
      <c r="C1838" t="s">
        <v>14</v>
      </c>
      <c r="E1838" t="s">
        <v>9</v>
      </c>
      <c r="F1838" s="1" t="s">
        <v>5</v>
      </c>
      <c r="G1838" s="1">
        <v>45898</v>
      </c>
      <c r="H1838" t="s">
        <v>41</v>
      </c>
      <c r="I1838" s="2">
        <v>1383</v>
      </c>
      <c r="J1838" s="50" t="s">
        <v>1168</v>
      </c>
      <c r="K1838" s="7">
        <v>45870</v>
      </c>
    </row>
    <row r="1839" spans="1:11" hidden="1">
      <c r="A1839" t="s">
        <v>39</v>
      </c>
      <c r="B1839" t="s">
        <v>47</v>
      </c>
      <c r="C1839" t="s">
        <v>12</v>
      </c>
      <c r="E1839" t="s">
        <v>9</v>
      </c>
      <c r="F1839" s="1" t="s">
        <v>6</v>
      </c>
      <c r="G1839" s="1">
        <v>45959</v>
      </c>
      <c r="H1839" t="s">
        <v>41</v>
      </c>
      <c r="I1839" s="2">
        <v>1380.69</v>
      </c>
      <c r="J1839" s="50" t="s">
        <v>1169</v>
      </c>
      <c r="K1839" s="7">
        <v>45931</v>
      </c>
    </row>
    <row r="1840" spans="1:11" hidden="1">
      <c r="A1840" t="s">
        <v>39</v>
      </c>
      <c r="B1840" t="s">
        <v>63</v>
      </c>
      <c r="C1840" t="s">
        <v>14</v>
      </c>
      <c r="E1840" t="s">
        <v>9</v>
      </c>
      <c r="F1840" s="1" t="s">
        <v>3</v>
      </c>
      <c r="G1840" s="1">
        <v>45972</v>
      </c>
      <c r="H1840" t="s">
        <v>41</v>
      </c>
      <c r="I1840" s="2">
        <v>1369.04</v>
      </c>
      <c r="J1840" s="59" t="s">
        <v>283</v>
      </c>
      <c r="K1840" s="7">
        <v>45962</v>
      </c>
    </row>
    <row r="1841" spans="1:11" hidden="1">
      <c r="A1841" t="s">
        <v>39</v>
      </c>
      <c r="B1841" t="s">
        <v>63</v>
      </c>
      <c r="C1841" t="s">
        <v>14</v>
      </c>
      <c r="E1841" t="s">
        <v>9</v>
      </c>
      <c r="F1841" s="1" t="s">
        <v>3</v>
      </c>
      <c r="G1841" s="1">
        <v>45972</v>
      </c>
      <c r="H1841" t="s">
        <v>41</v>
      </c>
      <c r="I1841" s="2">
        <v>1369.04</v>
      </c>
      <c r="J1841" s="59" t="s">
        <v>283</v>
      </c>
      <c r="K1841" s="7">
        <v>45962</v>
      </c>
    </row>
    <row r="1842" spans="1:11" hidden="1">
      <c r="A1842" t="s">
        <v>39</v>
      </c>
      <c r="B1842" t="s">
        <v>40</v>
      </c>
      <c r="C1842" t="s">
        <v>14</v>
      </c>
      <c r="D1842">
        <v>10028375</v>
      </c>
      <c r="E1842" t="s">
        <v>9</v>
      </c>
      <c r="F1842" s="1" t="s">
        <v>5</v>
      </c>
      <c r="G1842" s="1">
        <v>46050</v>
      </c>
      <c r="H1842" t="s">
        <v>41</v>
      </c>
      <c r="I1842" s="2">
        <v>1368</v>
      </c>
      <c r="J1842" s="50" t="s">
        <v>1170</v>
      </c>
      <c r="K1842" s="7">
        <v>46023</v>
      </c>
    </row>
    <row r="1843" spans="1:11" hidden="1">
      <c r="A1843" t="s">
        <v>39</v>
      </c>
      <c r="B1843" t="s">
        <v>40</v>
      </c>
      <c r="C1843" t="s">
        <v>14</v>
      </c>
      <c r="D1843">
        <v>10027975</v>
      </c>
      <c r="E1843" t="s">
        <v>9</v>
      </c>
      <c r="F1843" s="1" t="s">
        <v>4</v>
      </c>
      <c r="G1843" s="1">
        <v>45978</v>
      </c>
      <c r="H1843" t="s">
        <v>41</v>
      </c>
      <c r="I1843" s="2">
        <v>2450</v>
      </c>
      <c r="J1843" s="50" t="s">
        <v>1166</v>
      </c>
      <c r="K1843" s="7">
        <v>45962</v>
      </c>
    </row>
    <row r="1844" spans="1:11" hidden="1">
      <c r="A1844" t="s">
        <v>39</v>
      </c>
      <c r="B1844" t="s">
        <v>40</v>
      </c>
      <c r="C1844" t="s">
        <v>14</v>
      </c>
      <c r="D1844">
        <v>10027973</v>
      </c>
      <c r="E1844" t="s">
        <v>9</v>
      </c>
      <c r="F1844" s="1" t="s">
        <v>4</v>
      </c>
      <c r="G1844" s="1">
        <v>45978</v>
      </c>
      <c r="H1844" t="s">
        <v>41</v>
      </c>
      <c r="I1844" s="2">
        <v>2000</v>
      </c>
      <c r="J1844" s="50" t="s">
        <v>1166</v>
      </c>
      <c r="K1844" s="7">
        <v>45962</v>
      </c>
    </row>
    <row r="1845" spans="1:11" hidden="1">
      <c r="A1845" t="s">
        <v>39</v>
      </c>
      <c r="B1845" t="s">
        <v>40</v>
      </c>
      <c r="C1845" t="s">
        <v>14</v>
      </c>
      <c r="E1845" t="s">
        <v>9</v>
      </c>
      <c r="F1845" s="1" t="s">
        <v>4</v>
      </c>
      <c r="G1845" s="1">
        <v>45978</v>
      </c>
      <c r="H1845" t="s">
        <v>41</v>
      </c>
      <c r="I1845" s="2">
        <v>220</v>
      </c>
      <c r="J1845" s="50" t="s">
        <v>1171</v>
      </c>
      <c r="K1845" s="7">
        <v>45962</v>
      </c>
    </row>
    <row r="1846" spans="1:11" hidden="1">
      <c r="A1846" t="s">
        <v>39</v>
      </c>
      <c r="B1846" t="s">
        <v>47</v>
      </c>
      <c r="C1846" t="s">
        <v>14</v>
      </c>
      <c r="E1846" t="s">
        <v>9</v>
      </c>
      <c r="F1846" s="1" t="s">
        <v>3</v>
      </c>
      <c r="G1846" s="1">
        <v>45912</v>
      </c>
      <c r="H1846" t="s">
        <v>41</v>
      </c>
      <c r="I1846" s="2">
        <v>1362.83</v>
      </c>
      <c r="J1846" s="50" t="s">
        <v>1172</v>
      </c>
      <c r="K1846" s="7">
        <v>45901</v>
      </c>
    </row>
    <row r="1847" spans="1:11" hidden="1">
      <c r="A1847" t="s">
        <v>39</v>
      </c>
      <c r="B1847" t="s">
        <v>47</v>
      </c>
      <c r="C1847" t="s">
        <v>14</v>
      </c>
      <c r="E1847" t="s">
        <v>9</v>
      </c>
      <c r="F1847" s="1" t="s">
        <v>6</v>
      </c>
      <c r="G1847" s="1">
        <v>45961</v>
      </c>
      <c r="H1847" t="s">
        <v>41</v>
      </c>
      <c r="I1847" s="2">
        <v>1362.83</v>
      </c>
      <c r="J1847" s="50" t="s">
        <v>1173</v>
      </c>
      <c r="K1847" s="7">
        <v>45931</v>
      </c>
    </row>
    <row r="1848" spans="1:11" hidden="1">
      <c r="A1848" t="s">
        <v>39</v>
      </c>
      <c r="B1848" t="s">
        <v>40</v>
      </c>
      <c r="C1848" t="s">
        <v>14</v>
      </c>
      <c r="E1848" t="s">
        <v>9</v>
      </c>
      <c r="F1848" s="1" t="s">
        <v>4</v>
      </c>
      <c r="G1848" s="1">
        <v>45978</v>
      </c>
      <c r="H1848" t="s">
        <v>41</v>
      </c>
      <c r="I1848" s="2">
        <v>150</v>
      </c>
      <c r="J1848" s="50" t="s">
        <v>1174</v>
      </c>
      <c r="K1848" s="7">
        <v>45962</v>
      </c>
    </row>
    <row r="1849" spans="1:11" hidden="1">
      <c r="A1849" t="s">
        <v>39</v>
      </c>
      <c r="B1849" t="s">
        <v>40</v>
      </c>
      <c r="C1849" t="s">
        <v>14</v>
      </c>
      <c r="E1849" t="s">
        <v>9</v>
      </c>
      <c r="F1849" s="52" t="s">
        <v>3</v>
      </c>
      <c r="G1849" s="1">
        <v>45912</v>
      </c>
      <c r="H1849" t="s">
        <v>41</v>
      </c>
      <c r="I1849" s="2">
        <v>1360</v>
      </c>
      <c r="J1849" s="50" t="s">
        <v>676</v>
      </c>
      <c r="K1849" s="7">
        <v>45901</v>
      </c>
    </row>
    <row r="1850" spans="1:11" hidden="1">
      <c r="A1850" t="s">
        <v>39</v>
      </c>
      <c r="B1850" t="s">
        <v>47</v>
      </c>
      <c r="C1850" t="s">
        <v>14</v>
      </c>
      <c r="D1850">
        <v>10026540</v>
      </c>
      <c r="E1850" t="s">
        <v>9</v>
      </c>
      <c r="F1850" s="1" t="s">
        <v>3</v>
      </c>
      <c r="G1850" s="1">
        <v>45786</v>
      </c>
      <c r="H1850" t="s">
        <v>41</v>
      </c>
      <c r="I1850" s="2">
        <v>1357.91</v>
      </c>
      <c r="J1850" s="50" t="s">
        <v>1175</v>
      </c>
      <c r="K1850" s="7">
        <v>45778</v>
      </c>
    </row>
    <row r="1851" spans="1:11" hidden="1">
      <c r="A1851" t="s">
        <v>39</v>
      </c>
      <c r="B1851" t="s">
        <v>63</v>
      </c>
      <c r="C1851" t="s">
        <v>13</v>
      </c>
      <c r="D1851">
        <v>10027635</v>
      </c>
      <c r="E1851" t="s">
        <v>9</v>
      </c>
      <c r="F1851" s="1" t="s">
        <v>5</v>
      </c>
      <c r="G1851" s="1">
        <v>45925</v>
      </c>
      <c r="H1851" t="s">
        <v>41</v>
      </c>
      <c r="I1851" s="2">
        <v>1356</v>
      </c>
      <c r="J1851" t="s">
        <v>241</v>
      </c>
      <c r="K1851" s="7">
        <v>45901</v>
      </c>
    </row>
    <row r="1852" spans="1:11" hidden="1">
      <c r="A1852" t="s">
        <v>39</v>
      </c>
      <c r="B1852" t="s">
        <v>40</v>
      </c>
      <c r="C1852" t="s">
        <v>14</v>
      </c>
      <c r="E1852" t="s">
        <v>9</v>
      </c>
      <c r="F1852" s="1" t="s">
        <v>4</v>
      </c>
      <c r="G1852" s="1">
        <v>45978</v>
      </c>
      <c r="H1852" t="s">
        <v>64</v>
      </c>
      <c r="I1852" s="2">
        <f>50000/510</f>
        <v>98.039215686274517</v>
      </c>
      <c r="J1852" s="47" t="s">
        <v>1176</v>
      </c>
      <c r="K1852" s="7">
        <v>45962</v>
      </c>
    </row>
    <row r="1853" spans="1:11" hidden="1">
      <c r="A1853" t="s">
        <v>39</v>
      </c>
      <c r="B1853" t="s">
        <v>40</v>
      </c>
      <c r="C1853" t="s">
        <v>14</v>
      </c>
      <c r="E1853" t="s">
        <v>9</v>
      </c>
      <c r="F1853" s="1" t="s">
        <v>5</v>
      </c>
      <c r="G1853" s="1">
        <v>45987</v>
      </c>
      <c r="H1853" t="s">
        <v>41</v>
      </c>
      <c r="I1853" s="2">
        <v>1355</v>
      </c>
      <c r="J1853" s="47" t="s">
        <v>1177</v>
      </c>
      <c r="K1853" s="7">
        <v>45962</v>
      </c>
    </row>
    <row r="1854" spans="1:11" hidden="1">
      <c r="A1854" t="s">
        <v>39</v>
      </c>
      <c r="B1854" t="s">
        <v>40</v>
      </c>
      <c r="C1854" t="s">
        <v>14</v>
      </c>
      <c r="D1854">
        <v>10028285</v>
      </c>
      <c r="E1854" t="s">
        <v>9</v>
      </c>
      <c r="F1854" s="1" t="s">
        <v>5</v>
      </c>
      <c r="G1854" s="1">
        <v>45987</v>
      </c>
      <c r="H1854" t="s">
        <v>41</v>
      </c>
      <c r="I1854" s="2">
        <v>1355</v>
      </c>
      <c r="J1854" t="s">
        <v>1178</v>
      </c>
      <c r="K1854" s="7">
        <v>45962</v>
      </c>
    </row>
    <row r="1855" spans="1:11" hidden="1">
      <c r="A1855" t="s">
        <v>39</v>
      </c>
      <c r="B1855" t="s">
        <v>40</v>
      </c>
      <c r="C1855" t="s">
        <v>14</v>
      </c>
      <c r="E1855" t="s">
        <v>9</v>
      </c>
      <c r="F1855" s="51" t="s">
        <v>4</v>
      </c>
      <c r="G1855" s="1">
        <v>45978</v>
      </c>
      <c r="H1855" t="s">
        <v>41</v>
      </c>
      <c r="I1855" s="2">
        <v>80</v>
      </c>
      <c r="J1855" t="s">
        <v>1179</v>
      </c>
      <c r="K1855" s="7">
        <v>45962</v>
      </c>
    </row>
    <row r="1856" spans="1:11" hidden="1">
      <c r="A1856" t="s">
        <v>39</v>
      </c>
      <c r="B1856" t="s">
        <v>40</v>
      </c>
      <c r="C1856" t="s">
        <v>14</v>
      </c>
      <c r="E1856" t="s">
        <v>9</v>
      </c>
      <c r="F1856" s="1" t="s">
        <v>4</v>
      </c>
      <c r="G1856" s="1">
        <v>45978</v>
      </c>
      <c r="H1856" t="s">
        <v>41</v>
      </c>
      <c r="I1856" s="2">
        <v>80</v>
      </c>
      <c r="J1856" t="s">
        <v>1179</v>
      </c>
      <c r="K1856" s="7">
        <v>45962</v>
      </c>
    </row>
    <row r="1857" spans="1:11" hidden="1">
      <c r="A1857" t="s">
        <v>114</v>
      </c>
      <c r="B1857" t="s">
        <v>63</v>
      </c>
      <c r="C1857" t="s">
        <v>14</v>
      </c>
      <c r="D1857">
        <v>15142</v>
      </c>
      <c r="E1857" t="s">
        <v>9</v>
      </c>
      <c r="F1857" s="1" t="s">
        <v>3</v>
      </c>
      <c r="G1857" s="1">
        <v>45786</v>
      </c>
      <c r="H1857" t="s">
        <v>41</v>
      </c>
      <c r="I1857" s="2">
        <v>1351.7</v>
      </c>
      <c r="J1857" t="s">
        <v>1180</v>
      </c>
      <c r="K1857" s="7">
        <v>45778</v>
      </c>
    </row>
    <row r="1858" spans="1:11" hidden="1">
      <c r="A1858" t="s">
        <v>39</v>
      </c>
      <c r="B1858" t="s">
        <v>63</v>
      </c>
      <c r="C1858" t="s">
        <v>13</v>
      </c>
      <c r="E1858" t="s">
        <v>9</v>
      </c>
      <c r="F1858" s="1" t="s">
        <v>5</v>
      </c>
      <c r="G1858" s="1">
        <v>45952</v>
      </c>
      <c r="H1858" t="s">
        <v>41</v>
      </c>
      <c r="I1858" s="2">
        <v>1351.48</v>
      </c>
      <c r="J1858" t="s">
        <v>1181</v>
      </c>
      <c r="K1858" s="7">
        <v>45931</v>
      </c>
    </row>
    <row r="1859" spans="1:11" hidden="1">
      <c r="A1859" t="s">
        <v>39</v>
      </c>
      <c r="B1859" t="s">
        <v>40</v>
      </c>
      <c r="C1859" t="s">
        <v>14</v>
      </c>
      <c r="D1859">
        <v>10027481</v>
      </c>
      <c r="E1859" t="s">
        <v>9</v>
      </c>
      <c r="F1859" s="1" t="s">
        <v>2</v>
      </c>
      <c r="G1859" s="1">
        <v>45905</v>
      </c>
      <c r="H1859" t="s">
        <v>41</v>
      </c>
      <c r="I1859" s="2">
        <v>1350</v>
      </c>
      <c r="J1859" t="s">
        <v>1182</v>
      </c>
      <c r="K1859" s="7">
        <v>45901</v>
      </c>
    </row>
    <row r="1860" spans="1:11" hidden="1">
      <c r="A1860" t="s">
        <v>39</v>
      </c>
      <c r="B1860" t="s">
        <v>40</v>
      </c>
      <c r="C1860" t="s">
        <v>14</v>
      </c>
      <c r="D1860">
        <v>10028088</v>
      </c>
      <c r="E1860" t="s">
        <v>9</v>
      </c>
      <c r="F1860" s="1" t="s">
        <v>3</v>
      </c>
      <c r="G1860" s="1">
        <v>45999</v>
      </c>
      <c r="H1860" t="s">
        <v>41</v>
      </c>
      <c r="I1860" s="2">
        <v>1350</v>
      </c>
      <c r="J1860" t="s">
        <v>909</v>
      </c>
      <c r="K1860" s="7">
        <v>45992</v>
      </c>
    </row>
    <row r="1861" spans="1:11" hidden="1">
      <c r="A1861" t="s">
        <v>39</v>
      </c>
      <c r="B1861" t="s">
        <v>47</v>
      </c>
      <c r="C1861" t="s">
        <v>14</v>
      </c>
      <c r="E1861" t="s">
        <v>9</v>
      </c>
      <c r="F1861" s="1" t="s">
        <v>2</v>
      </c>
      <c r="G1861" s="1">
        <v>45903</v>
      </c>
      <c r="H1861" t="s">
        <v>41</v>
      </c>
      <c r="I1861" s="2">
        <v>1349.9</v>
      </c>
      <c r="J1861" t="s">
        <v>1183</v>
      </c>
      <c r="K1861" s="7">
        <v>45901</v>
      </c>
    </row>
    <row r="1862" spans="1:11" hidden="1">
      <c r="A1862" t="s">
        <v>39</v>
      </c>
      <c r="B1862" t="s">
        <v>40</v>
      </c>
      <c r="C1862" t="s">
        <v>14</v>
      </c>
      <c r="E1862" t="s">
        <v>9</v>
      </c>
      <c r="F1862" s="1" t="s">
        <v>5</v>
      </c>
      <c r="G1862" s="1">
        <v>45798</v>
      </c>
      <c r="H1862" t="s">
        <v>41</v>
      </c>
      <c r="I1862" s="2">
        <v>1348.4</v>
      </c>
      <c r="J1862" t="s">
        <v>1184</v>
      </c>
      <c r="K1862" s="7">
        <v>45778</v>
      </c>
    </row>
    <row r="1863" spans="1:11" hidden="1">
      <c r="A1863" t="s">
        <v>39</v>
      </c>
      <c r="B1863" t="s">
        <v>40</v>
      </c>
      <c r="C1863" t="s">
        <v>14</v>
      </c>
      <c r="D1863">
        <v>10027043</v>
      </c>
      <c r="E1863" t="s">
        <v>9</v>
      </c>
      <c r="F1863" s="1" t="s">
        <v>3</v>
      </c>
      <c r="G1863" s="1">
        <v>45848</v>
      </c>
      <c r="H1863" t="s">
        <v>41</v>
      </c>
      <c r="I1863" s="2">
        <v>1344</v>
      </c>
      <c r="J1863" t="s">
        <v>1185</v>
      </c>
      <c r="K1863" s="7">
        <v>45839</v>
      </c>
    </row>
    <row r="1864" spans="1:11" hidden="1">
      <c r="A1864" t="s">
        <v>39</v>
      </c>
      <c r="B1864" t="s">
        <v>63</v>
      </c>
      <c r="C1864" t="s">
        <v>14</v>
      </c>
      <c r="E1864" t="s">
        <v>9</v>
      </c>
      <c r="F1864" s="1" t="s">
        <v>4</v>
      </c>
      <c r="G1864" s="1">
        <v>45979</v>
      </c>
      <c r="H1864" t="s">
        <v>41</v>
      </c>
      <c r="I1864" s="2">
        <v>5655.91</v>
      </c>
      <c r="J1864" t="s">
        <v>1186</v>
      </c>
      <c r="K1864" s="7">
        <v>45962</v>
      </c>
    </row>
    <row r="1865" spans="1:11" hidden="1">
      <c r="A1865" t="s">
        <v>39</v>
      </c>
      <c r="B1865" t="s">
        <v>63</v>
      </c>
      <c r="C1865" t="s">
        <v>12</v>
      </c>
      <c r="D1865" s="6" t="s">
        <v>1187</v>
      </c>
      <c r="E1865" t="s">
        <v>9</v>
      </c>
      <c r="F1865" s="1" t="s">
        <v>2</v>
      </c>
      <c r="G1865" s="1">
        <v>45874</v>
      </c>
      <c r="H1865" t="s">
        <v>41</v>
      </c>
      <c r="I1865" s="2">
        <v>1343.57</v>
      </c>
      <c r="J1865" t="s">
        <v>907</v>
      </c>
      <c r="K1865" s="7">
        <v>45870</v>
      </c>
    </row>
    <row r="1866" spans="1:11" hidden="1">
      <c r="A1866" t="s">
        <v>39</v>
      </c>
      <c r="B1866" t="s">
        <v>45</v>
      </c>
      <c r="C1866" t="s">
        <v>12</v>
      </c>
      <c r="E1866" t="s">
        <v>9</v>
      </c>
      <c r="F1866" s="1" t="s">
        <v>2</v>
      </c>
      <c r="G1866" s="1">
        <v>45875</v>
      </c>
      <c r="H1866" t="s">
        <v>64</v>
      </c>
      <c r="I1866" s="2">
        <f>683000/510</f>
        <v>1339.2156862745098</v>
      </c>
      <c r="J1866" s="47" t="s">
        <v>283</v>
      </c>
      <c r="K1866" s="7">
        <v>45870</v>
      </c>
    </row>
    <row r="1867" spans="1:11" hidden="1">
      <c r="A1867" t="s">
        <v>39</v>
      </c>
      <c r="B1867" t="s">
        <v>406</v>
      </c>
      <c r="C1867" t="s">
        <v>14</v>
      </c>
      <c r="E1867" t="s">
        <v>9</v>
      </c>
      <c r="F1867" s="1" t="s">
        <v>4</v>
      </c>
      <c r="G1867" s="1">
        <v>45979</v>
      </c>
      <c r="H1867" t="s">
        <v>41</v>
      </c>
      <c r="I1867" s="2">
        <v>1074.7</v>
      </c>
      <c r="J1867" s="47" t="s">
        <v>1188</v>
      </c>
      <c r="K1867" s="7">
        <v>45962</v>
      </c>
    </row>
    <row r="1868" spans="1:11" hidden="1">
      <c r="A1868" t="s">
        <v>39</v>
      </c>
      <c r="B1868" t="s">
        <v>40</v>
      </c>
      <c r="C1868" t="s">
        <v>12</v>
      </c>
      <c r="E1868" t="s">
        <v>9</v>
      </c>
      <c r="F1868" s="1" t="s">
        <v>3</v>
      </c>
      <c r="G1868" s="1">
        <v>45820</v>
      </c>
      <c r="H1868" t="s">
        <v>41</v>
      </c>
      <c r="I1868" s="2">
        <v>1325</v>
      </c>
      <c r="J1868" t="s">
        <v>683</v>
      </c>
      <c r="K1868" s="7">
        <v>45809</v>
      </c>
    </row>
    <row r="1869" spans="1:11" hidden="1">
      <c r="A1869" t="s">
        <v>39</v>
      </c>
      <c r="B1869" t="s">
        <v>47</v>
      </c>
      <c r="C1869" t="s">
        <v>14</v>
      </c>
      <c r="E1869" t="s">
        <v>9</v>
      </c>
      <c r="F1869" s="1" t="s">
        <v>2</v>
      </c>
      <c r="G1869" s="1">
        <v>45968</v>
      </c>
      <c r="H1869" t="s">
        <v>41</v>
      </c>
      <c r="I1869" s="2">
        <v>1317.41</v>
      </c>
      <c r="J1869" t="s">
        <v>1189</v>
      </c>
      <c r="K1869" s="7">
        <v>45962</v>
      </c>
    </row>
    <row r="1870" spans="1:11" hidden="1">
      <c r="A1870" t="s">
        <v>39</v>
      </c>
      <c r="B1870" t="s">
        <v>47</v>
      </c>
      <c r="C1870" t="s">
        <v>14</v>
      </c>
      <c r="E1870" t="s">
        <v>9</v>
      </c>
      <c r="F1870" s="1" t="s">
        <v>3</v>
      </c>
      <c r="G1870" s="1">
        <v>46002</v>
      </c>
      <c r="H1870" t="s">
        <v>41</v>
      </c>
      <c r="I1870" s="2">
        <v>1317.41</v>
      </c>
      <c r="J1870" t="s">
        <v>1190</v>
      </c>
      <c r="K1870" s="7">
        <v>45992</v>
      </c>
    </row>
    <row r="1871" spans="1:11" hidden="1">
      <c r="A1871" t="s">
        <v>39</v>
      </c>
      <c r="B1871" t="s">
        <v>47</v>
      </c>
      <c r="C1871" t="s">
        <v>14</v>
      </c>
      <c r="E1871" t="s">
        <v>9</v>
      </c>
      <c r="F1871" s="1" t="s">
        <v>6</v>
      </c>
      <c r="G1871" s="1">
        <v>45929</v>
      </c>
      <c r="H1871" t="s">
        <v>41</v>
      </c>
      <c r="I1871" s="2">
        <v>1317.17</v>
      </c>
      <c r="J1871" t="s">
        <v>1191</v>
      </c>
      <c r="K1871" s="7">
        <v>45901</v>
      </c>
    </row>
    <row r="1872" spans="1:11" hidden="1">
      <c r="A1872" t="s">
        <v>39</v>
      </c>
      <c r="B1872" t="s">
        <v>47</v>
      </c>
      <c r="C1872" t="s">
        <v>12</v>
      </c>
      <c r="D1872">
        <v>10027705</v>
      </c>
      <c r="E1872" t="s">
        <v>9</v>
      </c>
      <c r="F1872" s="1" t="s">
        <v>2</v>
      </c>
      <c r="G1872" s="1">
        <v>45933</v>
      </c>
      <c r="H1872" t="s">
        <v>41</v>
      </c>
      <c r="I1872" s="2">
        <v>1317.17</v>
      </c>
      <c r="J1872" t="s">
        <v>1191</v>
      </c>
      <c r="K1872" s="7">
        <v>45931</v>
      </c>
    </row>
    <row r="1873" spans="1:11" hidden="1">
      <c r="A1873" t="s">
        <v>39</v>
      </c>
      <c r="B1873" t="s">
        <v>47</v>
      </c>
      <c r="C1873" t="s">
        <v>14</v>
      </c>
      <c r="E1873" t="s">
        <v>9</v>
      </c>
      <c r="F1873" s="1" t="s">
        <v>5</v>
      </c>
      <c r="G1873" s="1">
        <v>45987</v>
      </c>
      <c r="H1873" t="s">
        <v>41</v>
      </c>
      <c r="I1873" s="2">
        <v>1317.17</v>
      </c>
      <c r="J1873" s="47" t="s">
        <v>1192</v>
      </c>
      <c r="K1873" s="7">
        <v>45962</v>
      </c>
    </row>
    <row r="1874" spans="1:11" hidden="1">
      <c r="A1874" t="s">
        <v>39</v>
      </c>
      <c r="B1874" t="s">
        <v>40</v>
      </c>
      <c r="C1874" t="s">
        <v>14</v>
      </c>
      <c r="E1874" t="s">
        <v>9</v>
      </c>
      <c r="F1874" s="1" t="s">
        <v>5</v>
      </c>
      <c r="G1874" s="1">
        <v>45898</v>
      </c>
      <c r="H1874" t="s">
        <v>41</v>
      </c>
      <c r="I1874" s="2">
        <v>1316.23</v>
      </c>
      <c r="J1874" t="s">
        <v>1193</v>
      </c>
      <c r="K1874" s="7">
        <v>45870</v>
      </c>
    </row>
    <row r="1875" spans="1:11" hidden="1">
      <c r="A1875" t="s">
        <v>39</v>
      </c>
      <c r="B1875" t="s">
        <v>47</v>
      </c>
      <c r="C1875" t="s">
        <v>14</v>
      </c>
      <c r="E1875" t="s">
        <v>9</v>
      </c>
      <c r="F1875" s="1" t="s">
        <v>2</v>
      </c>
      <c r="G1875" s="1">
        <v>45965</v>
      </c>
      <c r="H1875" t="s">
        <v>64</v>
      </c>
      <c r="I1875" s="2">
        <f>670092.05/510</f>
        <v>1313.9059803921571</v>
      </c>
      <c r="J1875" s="47" t="s">
        <v>1194</v>
      </c>
      <c r="K1875" s="7">
        <v>45962</v>
      </c>
    </row>
    <row r="1876" spans="1:11" hidden="1">
      <c r="A1876" t="s">
        <v>114</v>
      </c>
      <c r="B1876" t="s">
        <v>63</v>
      </c>
      <c r="C1876" t="s">
        <v>14</v>
      </c>
      <c r="E1876" t="s">
        <v>9</v>
      </c>
      <c r="F1876" s="1" t="s">
        <v>5</v>
      </c>
      <c r="G1876" s="1">
        <v>45988</v>
      </c>
      <c r="H1876" t="s">
        <v>64</v>
      </c>
      <c r="I1876" s="2">
        <f>666286.04/510</f>
        <v>1306.4432156862745</v>
      </c>
      <c r="J1876" s="47" t="s">
        <v>283</v>
      </c>
      <c r="K1876" s="7">
        <v>45962</v>
      </c>
    </row>
    <row r="1877" spans="1:11" hidden="1">
      <c r="A1877" t="s">
        <v>39</v>
      </c>
      <c r="B1877" t="s">
        <v>40</v>
      </c>
      <c r="C1877" t="s">
        <v>14</v>
      </c>
      <c r="E1877" t="s">
        <v>9</v>
      </c>
      <c r="F1877" s="1" t="s">
        <v>4</v>
      </c>
      <c r="G1877" s="1">
        <v>45979</v>
      </c>
      <c r="H1877" t="s">
        <v>41</v>
      </c>
      <c r="I1877" s="2">
        <v>250</v>
      </c>
      <c r="J1877" s="47" t="s">
        <v>1195</v>
      </c>
      <c r="K1877" s="7">
        <v>45962</v>
      </c>
    </row>
    <row r="1878" spans="1:11" hidden="1">
      <c r="A1878" t="s">
        <v>39</v>
      </c>
      <c r="B1878" t="s">
        <v>40</v>
      </c>
      <c r="C1878" t="s">
        <v>14</v>
      </c>
      <c r="D1878">
        <v>10027972</v>
      </c>
      <c r="E1878" t="s">
        <v>9</v>
      </c>
      <c r="F1878" s="1" t="s">
        <v>4</v>
      </c>
      <c r="G1878" s="1">
        <v>45979</v>
      </c>
      <c r="H1878" t="s">
        <v>41</v>
      </c>
      <c r="I1878" s="2">
        <v>60</v>
      </c>
      <c r="J1878" t="s">
        <v>1196</v>
      </c>
      <c r="K1878" s="7">
        <v>45962</v>
      </c>
    </row>
    <row r="1879" spans="1:11" hidden="1">
      <c r="A1879" t="s">
        <v>56</v>
      </c>
      <c r="B1879" t="s">
        <v>40</v>
      </c>
      <c r="C1879" t="s">
        <v>14</v>
      </c>
      <c r="D1879">
        <v>10829</v>
      </c>
      <c r="E1879" t="s">
        <v>9</v>
      </c>
      <c r="F1879" s="1" t="s">
        <v>4</v>
      </c>
      <c r="G1879" s="1">
        <v>45980</v>
      </c>
      <c r="H1879" t="s">
        <v>41</v>
      </c>
      <c r="I1879" s="2">
        <v>33000</v>
      </c>
      <c r="J1879" t="s">
        <v>644</v>
      </c>
      <c r="K1879" s="7">
        <v>45962</v>
      </c>
    </row>
    <row r="1880" spans="1:11" hidden="1">
      <c r="A1880" t="s">
        <v>39</v>
      </c>
      <c r="B1880" t="s">
        <v>40</v>
      </c>
      <c r="C1880" t="s">
        <v>14</v>
      </c>
      <c r="D1880">
        <v>10027304</v>
      </c>
      <c r="E1880" t="s">
        <v>9</v>
      </c>
      <c r="F1880" s="1" t="s">
        <v>3</v>
      </c>
      <c r="G1880" s="1">
        <v>45882</v>
      </c>
      <c r="H1880" t="s">
        <v>41</v>
      </c>
      <c r="I1880" s="2">
        <v>1300</v>
      </c>
      <c r="J1880" t="s">
        <v>550</v>
      </c>
      <c r="K1880" s="7">
        <v>45870</v>
      </c>
    </row>
    <row r="1881" spans="1:11" hidden="1">
      <c r="A1881" t="s">
        <v>39</v>
      </c>
      <c r="B1881" t="s">
        <v>40</v>
      </c>
      <c r="C1881" t="s">
        <v>14</v>
      </c>
      <c r="D1881">
        <v>10026466</v>
      </c>
      <c r="E1881" t="s">
        <v>9</v>
      </c>
      <c r="F1881" t="s">
        <v>2</v>
      </c>
      <c r="G1881" s="1">
        <v>45779</v>
      </c>
      <c r="H1881" t="s">
        <v>64</v>
      </c>
      <c r="I1881" s="2">
        <f>660000/508</f>
        <v>1299.2125984251968</v>
      </c>
      <c r="J1881" t="s">
        <v>76</v>
      </c>
      <c r="K1881" s="7">
        <v>45778</v>
      </c>
    </row>
    <row r="1882" spans="1:11" hidden="1">
      <c r="A1882" t="s">
        <v>39</v>
      </c>
      <c r="B1882" t="s">
        <v>47</v>
      </c>
      <c r="C1882" t="s">
        <v>14</v>
      </c>
      <c r="E1882" t="s">
        <v>9</v>
      </c>
      <c r="F1882" s="1" t="s">
        <v>2</v>
      </c>
      <c r="G1882" s="1">
        <v>45996</v>
      </c>
      <c r="H1882" t="s">
        <v>41</v>
      </c>
      <c r="I1882" s="2">
        <v>1289.6400000000001</v>
      </c>
      <c r="J1882" s="47" t="s">
        <v>1197</v>
      </c>
      <c r="K1882" s="7">
        <v>45992</v>
      </c>
    </row>
    <row r="1883" spans="1:11" hidden="1">
      <c r="A1883" t="s">
        <v>39</v>
      </c>
      <c r="B1883" t="s">
        <v>40</v>
      </c>
      <c r="C1883" t="s">
        <v>14</v>
      </c>
      <c r="E1883" t="s">
        <v>9</v>
      </c>
      <c r="F1883" s="1" t="s">
        <v>3</v>
      </c>
      <c r="G1883" s="1">
        <v>46063</v>
      </c>
      <c r="H1883" t="s">
        <v>41</v>
      </c>
      <c r="I1883" s="2">
        <v>3557</v>
      </c>
      <c r="J1883" t="s">
        <v>1198</v>
      </c>
      <c r="K1883" s="7">
        <v>46054</v>
      </c>
    </row>
    <row r="1884" spans="1:11" hidden="1">
      <c r="A1884" t="s">
        <v>56</v>
      </c>
      <c r="B1884" t="s">
        <v>40</v>
      </c>
      <c r="C1884" t="s">
        <v>14</v>
      </c>
      <c r="D1884">
        <v>10830</v>
      </c>
      <c r="E1884" t="s">
        <v>9</v>
      </c>
      <c r="F1884" s="1" t="s">
        <v>4</v>
      </c>
      <c r="G1884" s="1">
        <v>45980</v>
      </c>
      <c r="H1884" t="s">
        <v>41</v>
      </c>
      <c r="I1884" s="2">
        <v>20000</v>
      </c>
      <c r="J1884" t="s">
        <v>644</v>
      </c>
      <c r="K1884" s="7">
        <v>45962</v>
      </c>
    </row>
    <row r="1885" spans="1:11" hidden="1">
      <c r="A1885" t="s">
        <v>56</v>
      </c>
      <c r="B1885" t="s">
        <v>40</v>
      </c>
      <c r="C1885" t="s">
        <v>14</v>
      </c>
      <c r="E1885" t="s">
        <v>9</v>
      </c>
      <c r="F1885" s="1" t="s">
        <v>3</v>
      </c>
      <c r="G1885" s="1">
        <v>45910</v>
      </c>
      <c r="H1885" t="s">
        <v>41</v>
      </c>
      <c r="I1885" s="2">
        <v>1275</v>
      </c>
      <c r="J1885" t="s">
        <v>1199</v>
      </c>
      <c r="K1885" s="7">
        <v>45901</v>
      </c>
    </row>
    <row r="1886" spans="1:11" hidden="1">
      <c r="A1886" t="s">
        <v>39</v>
      </c>
      <c r="B1886" t="s">
        <v>63</v>
      </c>
      <c r="C1886" t="s">
        <v>14</v>
      </c>
      <c r="E1886" t="s">
        <v>9</v>
      </c>
      <c r="F1886" s="1" t="s">
        <v>3</v>
      </c>
      <c r="G1886" s="1">
        <v>45974</v>
      </c>
      <c r="H1886" t="s">
        <v>64</v>
      </c>
      <c r="I1886" s="2">
        <f>649648.52/510</f>
        <v>1273.8206274509805</v>
      </c>
      <c r="J1886" t="s">
        <v>1200</v>
      </c>
      <c r="K1886" s="7">
        <v>45962</v>
      </c>
    </row>
    <row r="1887" spans="1:11" hidden="1">
      <c r="A1887" t="s">
        <v>39</v>
      </c>
      <c r="B1887" t="s">
        <v>40</v>
      </c>
      <c r="C1887" t="s">
        <v>14</v>
      </c>
      <c r="E1887" t="s">
        <v>9</v>
      </c>
      <c r="F1887" s="1" t="s">
        <v>3</v>
      </c>
      <c r="G1887" s="1">
        <v>46063</v>
      </c>
      <c r="H1887" t="s">
        <v>41</v>
      </c>
      <c r="I1887" s="2">
        <v>3557</v>
      </c>
      <c r="J1887" t="s">
        <v>1198</v>
      </c>
      <c r="K1887" s="7">
        <v>46054</v>
      </c>
    </row>
    <row r="1888" spans="1:11" hidden="1">
      <c r="A1888" t="s">
        <v>39</v>
      </c>
      <c r="B1888" t="s">
        <v>40</v>
      </c>
      <c r="C1888" t="s">
        <v>14</v>
      </c>
      <c r="E1888" t="s">
        <v>9</v>
      </c>
      <c r="F1888" s="1" t="s">
        <v>3</v>
      </c>
      <c r="G1888" s="1">
        <v>46063</v>
      </c>
      <c r="H1888" t="s">
        <v>41</v>
      </c>
      <c r="I1888" s="2">
        <v>3500</v>
      </c>
      <c r="J1888" t="s">
        <v>1201</v>
      </c>
      <c r="K1888" s="7">
        <v>46054</v>
      </c>
    </row>
    <row r="1889" spans="1:11" hidden="1">
      <c r="A1889" t="s">
        <v>114</v>
      </c>
      <c r="B1889" t="s">
        <v>63</v>
      </c>
      <c r="C1889" t="s">
        <v>12</v>
      </c>
      <c r="E1889" t="s">
        <v>9</v>
      </c>
      <c r="F1889" s="1" t="s">
        <v>3</v>
      </c>
      <c r="G1889" s="1">
        <v>46063</v>
      </c>
      <c r="H1889" t="s">
        <v>41</v>
      </c>
      <c r="I1889" s="2">
        <v>3264.95</v>
      </c>
      <c r="J1889" s="47" t="s">
        <v>826</v>
      </c>
      <c r="K1889" s="7">
        <v>46054</v>
      </c>
    </row>
    <row r="1890" spans="1:11" hidden="1">
      <c r="A1890" t="s">
        <v>39</v>
      </c>
      <c r="B1890" t="s">
        <v>40</v>
      </c>
      <c r="C1890" t="s">
        <v>14</v>
      </c>
      <c r="E1890" t="s">
        <v>9</v>
      </c>
      <c r="F1890" s="1" t="s">
        <v>2</v>
      </c>
      <c r="G1890" s="1">
        <v>45965</v>
      </c>
      <c r="H1890" t="s">
        <v>41</v>
      </c>
      <c r="I1890" s="2">
        <v>1267.3399999999999</v>
      </c>
      <c r="J1890" t="s">
        <v>1202</v>
      </c>
      <c r="K1890" s="7">
        <v>45962</v>
      </c>
    </row>
    <row r="1891" spans="1:11" hidden="1">
      <c r="A1891" t="s">
        <v>39</v>
      </c>
      <c r="B1891" t="s">
        <v>45</v>
      </c>
      <c r="C1891" t="s">
        <v>14</v>
      </c>
      <c r="E1891" t="s">
        <v>8</v>
      </c>
      <c r="F1891" s="1" t="s">
        <v>2</v>
      </c>
      <c r="G1891" s="1">
        <v>45970</v>
      </c>
      <c r="H1891" t="s">
        <v>41</v>
      </c>
      <c r="I1891" s="2">
        <v>123757.2</v>
      </c>
      <c r="J1891" t="s">
        <v>331</v>
      </c>
      <c r="K1891" s="7">
        <v>45962</v>
      </c>
    </row>
    <row r="1892" spans="1:11" hidden="1">
      <c r="A1892" t="s">
        <v>99</v>
      </c>
      <c r="B1892" t="s">
        <v>63</v>
      </c>
      <c r="C1892" t="s">
        <v>14</v>
      </c>
      <c r="E1892" t="s">
        <v>8</v>
      </c>
      <c r="F1892" s="1" t="s">
        <v>2</v>
      </c>
      <c r="G1892" s="1">
        <v>45970</v>
      </c>
      <c r="H1892" t="s">
        <v>41</v>
      </c>
      <c r="I1892" s="2">
        <v>20000</v>
      </c>
      <c r="J1892" t="s">
        <v>485</v>
      </c>
      <c r="K1892" s="7">
        <v>45962</v>
      </c>
    </row>
    <row r="1893" spans="1:11" hidden="1">
      <c r="A1893" t="s">
        <v>39</v>
      </c>
      <c r="B1893" t="s">
        <v>40</v>
      </c>
      <c r="C1893" t="s">
        <v>14</v>
      </c>
      <c r="E1893" t="s">
        <v>8</v>
      </c>
      <c r="F1893" s="1" t="s">
        <v>2</v>
      </c>
      <c r="G1893" s="1">
        <v>45970</v>
      </c>
      <c r="H1893" t="s">
        <v>41</v>
      </c>
      <c r="I1893" s="2">
        <v>60000</v>
      </c>
      <c r="J1893" t="s">
        <v>98</v>
      </c>
      <c r="K1893" s="7">
        <v>45962</v>
      </c>
    </row>
    <row r="1894" spans="1:11" hidden="1">
      <c r="A1894" t="s">
        <v>39</v>
      </c>
      <c r="B1894" t="s">
        <v>47</v>
      </c>
      <c r="C1894" t="s">
        <v>14</v>
      </c>
      <c r="E1894" t="s">
        <v>8</v>
      </c>
      <c r="F1894" s="1" t="s">
        <v>2</v>
      </c>
      <c r="G1894" s="1">
        <v>45970</v>
      </c>
      <c r="H1894" t="s">
        <v>41</v>
      </c>
      <c r="I1894" s="2">
        <v>31569.32</v>
      </c>
      <c r="J1894" t="s">
        <v>121</v>
      </c>
      <c r="K1894" s="7">
        <v>45962</v>
      </c>
    </row>
    <row r="1895" spans="1:11" hidden="1">
      <c r="A1895" t="s">
        <v>56</v>
      </c>
      <c r="B1895" t="s">
        <v>40</v>
      </c>
      <c r="C1895" t="s">
        <v>14</v>
      </c>
      <c r="E1895" t="s">
        <v>8</v>
      </c>
      <c r="F1895" s="1" t="s">
        <v>2</v>
      </c>
      <c r="G1895" s="1">
        <v>45970</v>
      </c>
      <c r="H1895" t="s">
        <v>41</v>
      </c>
      <c r="I1895" s="2">
        <v>25000</v>
      </c>
      <c r="J1895" t="s">
        <v>98</v>
      </c>
      <c r="K1895" s="7">
        <v>45962</v>
      </c>
    </row>
    <row r="1896" spans="1:11" hidden="1">
      <c r="A1896" t="s">
        <v>39</v>
      </c>
      <c r="B1896" t="s">
        <v>63</v>
      </c>
      <c r="C1896" t="s">
        <v>14</v>
      </c>
      <c r="E1896" t="s">
        <v>8</v>
      </c>
      <c r="F1896" s="1" t="s">
        <v>2</v>
      </c>
      <c r="G1896" s="1">
        <v>45970</v>
      </c>
      <c r="H1896" t="s">
        <v>41</v>
      </c>
      <c r="I1896" s="2">
        <v>25734</v>
      </c>
      <c r="J1896" t="s">
        <v>225</v>
      </c>
      <c r="K1896" s="7">
        <v>45962</v>
      </c>
    </row>
    <row r="1897" spans="1:11" hidden="1">
      <c r="A1897" t="s">
        <v>39</v>
      </c>
      <c r="B1897" t="s">
        <v>63</v>
      </c>
      <c r="C1897" t="s">
        <v>13</v>
      </c>
      <c r="E1897" t="s">
        <v>8</v>
      </c>
      <c r="F1897" s="1" t="s">
        <v>2</v>
      </c>
      <c r="G1897" s="1">
        <v>45970</v>
      </c>
      <c r="H1897" t="s">
        <v>41</v>
      </c>
      <c r="I1897" s="2">
        <v>24543</v>
      </c>
      <c r="J1897" t="s">
        <v>482</v>
      </c>
      <c r="K1897" s="7">
        <v>45962</v>
      </c>
    </row>
    <row r="1898" spans="1:11" hidden="1">
      <c r="A1898" t="s">
        <v>39</v>
      </c>
      <c r="B1898" t="s">
        <v>45</v>
      </c>
      <c r="C1898" t="s">
        <v>14</v>
      </c>
      <c r="E1898" t="s">
        <v>8</v>
      </c>
      <c r="F1898" s="1" t="s">
        <v>2</v>
      </c>
      <c r="G1898" s="1">
        <v>45970</v>
      </c>
      <c r="H1898" t="s">
        <v>41</v>
      </c>
      <c r="I1898" s="2">
        <v>22491</v>
      </c>
      <c r="J1898" t="s">
        <v>347</v>
      </c>
      <c r="K1898" s="7">
        <v>45962</v>
      </c>
    </row>
    <row r="1899" spans="1:11" hidden="1">
      <c r="A1899" t="s">
        <v>39</v>
      </c>
      <c r="B1899" t="s">
        <v>45</v>
      </c>
      <c r="C1899" t="s">
        <v>14</v>
      </c>
      <c r="E1899" t="s">
        <v>8</v>
      </c>
      <c r="F1899" s="1" t="s">
        <v>2</v>
      </c>
      <c r="G1899" s="1">
        <v>45970</v>
      </c>
      <c r="H1899" t="s">
        <v>41</v>
      </c>
      <c r="I1899" s="2">
        <v>12739.68</v>
      </c>
      <c r="J1899" t="s">
        <v>497</v>
      </c>
      <c r="K1899" s="7">
        <v>45962</v>
      </c>
    </row>
    <row r="1900" spans="1:11" hidden="1">
      <c r="A1900" t="s">
        <v>39</v>
      </c>
      <c r="B1900" t="s">
        <v>63</v>
      </c>
      <c r="C1900" t="s">
        <v>14</v>
      </c>
      <c r="E1900" t="s">
        <v>8</v>
      </c>
      <c r="F1900" s="1" t="s">
        <v>2</v>
      </c>
      <c r="G1900" s="1">
        <v>45970</v>
      </c>
      <c r="H1900" t="s">
        <v>41</v>
      </c>
      <c r="I1900" s="2">
        <v>12091.81</v>
      </c>
      <c r="J1900" t="s">
        <v>498</v>
      </c>
      <c r="K1900" s="7">
        <v>45962</v>
      </c>
    </row>
    <row r="1901" spans="1:11" hidden="1">
      <c r="A1901" t="s">
        <v>39</v>
      </c>
      <c r="B1901" t="s">
        <v>45</v>
      </c>
      <c r="C1901" t="s">
        <v>14</v>
      </c>
      <c r="E1901" t="s">
        <v>8</v>
      </c>
      <c r="F1901" s="1" t="s">
        <v>2</v>
      </c>
      <c r="G1901" s="1">
        <v>45970</v>
      </c>
      <c r="H1901" t="s">
        <v>41</v>
      </c>
      <c r="I1901" s="2">
        <v>11252.1</v>
      </c>
      <c r="J1901" t="s">
        <v>1203</v>
      </c>
      <c r="K1901" s="7">
        <v>45962</v>
      </c>
    </row>
    <row r="1902" spans="1:11" hidden="1">
      <c r="A1902" t="s">
        <v>39</v>
      </c>
      <c r="B1902" t="s">
        <v>47</v>
      </c>
      <c r="C1902" t="s">
        <v>13</v>
      </c>
      <c r="E1902" t="s">
        <v>8</v>
      </c>
      <c r="F1902" s="1" t="s">
        <v>2</v>
      </c>
      <c r="G1902" s="1">
        <v>45970</v>
      </c>
      <c r="H1902" t="s">
        <v>41</v>
      </c>
      <c r="I1902" s="2">
        <v>9492.7000000000007</v>
      </c>
      <c r="J1902" t="s">
        <v>1137</v>
      </c>
      <c r="K1902" s="7">
        <v>45962</v>
      </c>
    </row>
    <row r="1903" spans="1:11" hidden="1">
      <c r="A1903" t="s">
        <v>39</v>
      </c>
      <c r="B1903" t="s">
        <v>63</v>
      </c>
      <c r="C1903" t="s">
        <v>14</v>
      </c>
      <c r="E1903" t="s">
        <v>8</v>
      </c>
      <c r="F1903" s="1" t="s">
        <v>2</v>
      </c>
      <c r="G1903" s="1">
        <v>45970</v>
      </c>
      <c r="H1903" t="s">
        <v>41</v>
      </c>
      <c r="I1903" s="2">
        <v>9387</v>
      </c>
      <c r="J1903" t="s">
        <v>700</v>
      </c>
      <c r="K1903" s="7">
        <v>45962</v>
      </c>
    </row>
    <row r="1904" spans="1:11" hidden="1">
      <c r="A1904" t="s">
        <v>39</v>
      </c>
      <c r="B1904" t="s">
        <v>47</v>
      </c>
      <c r="C1904" t="s">
        <v>13</v>
      </c>
      <c r="E1904" t="s">
        <v>8</v>
      </c>
      <c r="F1904" s="1" t="s">
        <v>2</v>
      </c>
      <c r="G1904" s="1">
        <v>45970</v>
      </c>
      <c r="H1904" t="s">
        <v>41</v>
      </c>
      <c r="I1904" s="2">
        <v>4496</v>
      </c>
      <c r="J1904" t="s">
        <v>766</v>
      </c>
      <c r="K1904" s="7">
        <v>45962</v>
      </c>
    </row>
    <row r="1905" spans="1:11" hidden="1">
      <c r="A1905" t="s">
        <v>39</v>
      </c>
      <c r="B1905" t="s">
        <v>45</v>
      </c>
      <c r="C1905" t="s">
        <v>14</v>
      </c>
      <c r="E1905" t="s">
        <v>8</v>
      </c>
      <c r="F1905" s="1" t="s">
        <v>3</v>
      </c>
      <c r="G1905" s="1">
        <v>45970</v>
      </c>
      <c r="H1905" t="s">
        <v>41</v>
      </c>
      <c r="I1905" s="2">
        <v>12804.37</v>
      </c>
      <c r="J1905" t="s">
        <v>241</v>
      </c>
      <c r="K1905" s="7">
        <v>45962</v>
      </c>
    </row>
    <row r="1906" spans="1:11" hidden="1">
      <c r="A1906" t="s">
        <v>56</v>
      </c>
      <c r="B1906" t="s">
        <v>40</v>
      </c>
      <c r="C1906" t="s">
        <v>14</v>
      </c>
      <c r="D1906">
        <v>10831</v>
      </c>
      <c r="E1906" t="s">
        <v>9</v>
      </c>
      <c r="F1906" s="1" t="s">
        <v>4</v>
      </c>
      <c r="G1906" s="1">
        <v>45980</v>
      </c>
      <c r="H1906" t="s">
        <v>41</v>
      </c>
      <c r="I1906" s="2">
        <v>18000</v>
      </c>
      <c r="J1906" t="s">
        <v>830</v>
      </c>
      <c r="K1906" s="7">
        <v>45962</v>
      </c>
    </row>
    <row r="1907" spans="1:11" hidden="1">
      <c r="A1907" t="s">
        <v>39</v>
      </c>
      <c r="B1907" t="s">
        <v>40</v>
      </c>
      <c r="C1907" t="s">
        <v>14</v>
      </c>
      <c r="E1907" t="s">
        <v>9</v>
      </c>
      <c r="F1907" s="1" t="s">
        <v>319</v>
      </c>
      <c r="G1907" s="1">
        <v>46003</v>
      </c>
      <c r="H1907" t="s">
        <v>41</v>
      </c>
      <c r="I1907" s="2">
        <v>1261.8900000000001</v>
      </c>
      <c r="J1907" t="s">
        <v>1204</v>
      </c>
      <c r="K1907" s="7">
        <v>45992</v>
      </c>
    </row>
    <row r="1908" spans="1:11" hidden="1">
      <c r="A1908" t="s">
        <v>114</v>
      </c>
      <c r="B1908" t="s">
        <v>63</v>
      </c>
      <c r="C1908" t="s">
        <v>14</v>
      </c>
      <c r="E1908" t="s">
        <v>9</v>
      </c>
      <c r="F1908" s="1" t="s">
        <v>4</v>
      </c>
      <c r="G1908" s="1">
        <v>45980</v>
      </c>
      <c r="H1908" t="s">
        <v>41</v>
      </c>
      <c r="I1908" s="2">
        <v>12312.4</v>
      </c>
      <c r="J1908" t="s">
        <v>191</v>
      </c>
      <c r="K1908" s="7">
        <v>45962</v>
      </c>
    </row>
    <row r="1909" spans="1:11" hidden="1">
      <c r="A1909" t="s">
        <v>39</v>
      </c>
      <c r="B1909" t="s">
        <v>40</v>
      </c>
      <c r="C1909" t="s">
        <v>14</v>
      </c>
      <c r="D1909">
        <v>10027199</v>
      </c>
      <c r="E1909" t="s">
        <v>9</v>
      </c>
      <c r="F1909" s="1" t="s">
        <v>6</v>
      </c>
      <c r="G1909" s="1">
        <v>45868</v>
      </c>
      <c r="H1909" t="s">
        <v>41</v>
      </c>
      <c r="I1909" s="2">
        <v>1249</v>
      </c>
      <c r="J1909" t="s">
        <v>1205</v>
      </c>
      <c r="K1909" s="7">
        <v>45839</v>
      </c>
    </row>
    <row r="1910" spans="1:11" hidden="1">
      <c r="A1910" t="s">
        <v>39</v>
      </c>
      <c r="B1910" t="s">
        <v>40</v>
      </c>
      <c r="C1910" t="s">
        <v>14</v>
      </c>
      <c r="E1910" t="s">
        <v>9</v>
      </c>
      <c r="F1910" s="1" t="s">
        <v>5</v>
      </c>
      <c r="G1910" s="1">
        <v>45988</v>
      </c>
      <c r="H1910" t="s">
        <v>64</v>
      </c>
      <c r="I1910" s="2">
        <f>636034/510</f>
        <v>1247.1254901960785</v>
      </c>
      <c r="J1910" t="s">
        <v>1206</v>
      </c>
      <c r="K1910" s="7">
        <v>45962</v>
      </c>
    </row>
    <row r="1911" spans="1:11" hidden="1">
      <c r="A1911" t="s">
        <v>39</v>
      </c>
      <c r="B1911" t="s">
        <v>47</v>
      </c>
      <c r="C1911" t="s">
        <v>14</v>
      </c>
      <c r="E1911" t="s">
        <v>9</v>
      </c>
      <c r="F1911" s="1" t="s">
        <v>4</v>
      </c>
      <c r="G1911" s="1">
        <v>45980</v>
      </c>
      <c r="H1911" t="s">
        <v>41</v>
      </c>
      <c r="I1911" s="2">
        <v>6000</v>
      </c>
      <c r="J1911" t="s">
        <v>602</v>
      </c>
      <c r="K1911" s="7">
        <v>45962</v>
      </c>
    </row>
    <row r="1912" spans="1:11" hidden="1">
      <c r="A1912" t="s">
        <v>39</v>
      </c>
      <c r="B1912" t="s">
        <v>47</v>
      </c>
      <c r="C1912" t="s">
        <v>14</v>
      </c>
      <c r="D1912">
        <v>10026486</v>
      </c>
      <c r="E1912" t="s">
        <v>9</v>
      </c>
      <c r="F1912" s="1" t="s">
        <v>3</v>
      </c>
      <c r="G1912" s="1">
        <v>45784</v>
      </c>
      <c r="H1912" t="s">
        <v>41</v>
      </c>
      <c r="I1912" s="2">
        <v>1240.02</v>
      </c>
      <c r="J1912" t="s">
        <v>1207</v>
      </c>
      <c r="K1912" s="7">
        <v>45778</v>
      </c>
    </row>
    <row r="1913" spans="1:11" hidden="1">
      <c r="A1913" t="s">
        <v>39</v>
      </c>
      <c r="B1913" t="s">
        <v>40</v>
      </c>
      <c r="C1913" t="s">
        <v>14</v>
      </c>
      <c r="E1913" t="s">
        <v>9</v>
      </c>
      <c r="F1913" s="1" t="s">
        <v>3</v>
      </c>
      <c r="G1913" s="1">
        <v>45817</v>
      </c>
      <c r="H1913" t="s">
        <v>41</v>
      </c>
      <c r="I1913" s="2">
        <v>1239.1199999999999</v>
      </c>
      <c r="J1913" t="s">
        <v>1208</v>
      </c>
      <c r="K1913" s="7">
        <v>45809</v>
      </c>
    </row>
    <row r="1914" spans="1:11" hidden="1">
      <c r="A1914" t="s">
        <v>39</v>
      </c>
      <c r="B1914" t="s">
        <v>40</v>
      </c>
      <c r="C1914" t="s">
        <v>14</v>
      </c>
      <c r="D1914">
        <v>10027038</v>
      </c>
      <c r="E1914" t="s">
        <v>9</v>
      </c>
      <c r="F1914" s="1" t="s">
        <v>3</v>
      </c>
      <c r="G1914" s="1">
        <v>45847</v>
      </c>
      <c r="H1914" t="s">
        <v>41</v>
      </c>
      <c r="I1914" s="2">
        <v>1237.5999999999999</v>
      </c>
      <c r="J1914" t="s">
        <v>1209</v>
      </c>
      <c r="K1914" s="7">
        <v>45839</v>
      </c>
    </row>
    <row r="1915" spans="1:11" hidden="1">
      <c r="A1915" t="s">
        <v>39</v>
      </c>
      <c r="B1915" t="s">
        <v>40</v>
      </c>
      <c r="C1915" t="s">
        <v>14</v>
      </c>
      <c r="E1915" t="s">
        <v>9</v>
      </c>
      <c r="F1915" s="1" t="s">
        <v>4</v>
      </c>
      <c r="G1915" s="1">
        <v>45980</v>
      </c>
      <c r="H1915" t="s">
        <v>41</v>
      </c>
      <c r="I1915" s="2">
        <v>2263.31</v>
      </c>
      <c r="J1915" s="47" t="s">
        <v>1210</v>
      </c>
      <c r="K1915" s="7">
        <v>45962</v>
      </c>
    </row>
    <row r="1916" spans="1:11" hidden="1">
      <c r="A1916" t="s">
        <v>39</v>
      </c>
      <c r="B1916" t="s">
        <v>40</v>
      </c>
      <c r="C1916" t="s">
        <v>14</v>
      </c>
      <c r="D1916">
        <v>10027171</v>
      </c>
      <c r="E1916" t="s">
        <v>9</v>
      </c>
      <c r="F1916" s="1" t="s">
        <v>5</v>
      </c>
      <c r="G1916" s="1">
        <v>45864</v>
      </c>
      <c r="H1916" t="s">
        <v>41</v>
      </c>
      <c r="I1916" s="2">
        <v>1225</v>
      </c>
      <c r="J1916" t="s">
        <v>800</v>
      </c>
      <c r="K1916" s="7">
        <v>45839</v>
      </c>
    </row>
    <row r="1917" spans="1:11" hidden="1">
      <c r="A1917" t="s">
        <v>56</v>
      </c>
      <c r="B1917" t="s">
        <v>40</v>
      </c>
      <c r="C1917" t="s">
        <v>14</v>
      </c>
      <c r="E1917" t="s">
        <v>9</v>
      </c>
      <c r="F1917" s="1" t="s">
        <v>2</v>
      </c>
      <c r="G1917" s="1">
        <v>46031</v>
      </c>
      <c r="H1917" t="s">
        <v>41</v>
      </c>
      <c r="I1917" s="2">
        <v>1225</v>
      </c>
      <c r="J1917" t="s">
        <v>1050</v>
      </c>
      <c r="K1917" s="7">
        <v>46023</v>
      </c>
    </row>
    <row r="1918" spans="1:11" hidden="1">
      <c r="A1918" t="s">
        <v>39</v>
      </c>
      <c r="B1918" t="s">
        <v>63</v>
      </c>
      <c r="C1918" t="s">
        <v>14</v>
      </c>
      <c r="E1918" t="s">
        <v>9</v>
      </c>
      <c r="F1918" s="1" t="s">
        <v>5</v>
      </c>
      <c r="G1918" s="1">
        <v>45926</v>
      </c>
      <c r="H1918" t="s">
        <v>41</v>
      </c>
      <c r="I1918" s="2">
        <v>1218.29</v>
      </c>
      <c r="J1918" t="s">
        <v>1211</v>
      </c>
      <c r="K1918" s="7">
        <v>45901</v>
      </c>
    </row>
    <row r="1919" spans="1:11" hidden="1">
      <c r="A1919" t="s">
        <v>39</v>
      </c>
      <c r="B1919" t="s">
        <v>40</v>
      </c>
      <c r="C1919" t="s">
        <v>14</v>
      </c>
      <c r="E1919" t="s">
        <v>9</v>
      </c>
      <c r="F1919" s="1" t="s">
        <v>5</v>
      </c>
      <c r="G1919" s="1">
        <v>45952</v>
      </c>
      <c r="H1919" t="s">
        <v>41</v>
      </c>
      <c r="I1919" s="2">
        <v>1218.2</v>
      </c>
      <c r="J1919" t="s">
        <v>1002</v>
      </c>
      <c r="K1919" s="7">
        <v>45931</v>
      </c>
    </row>
    <row r="1920" spans="1:11" hidden="1">
      <c r="A1920" t="s">
        <v>39</v>
      </c>
      <c r="B1920" t="s">
        <v>63</v>
      </c>
      <c r="C1920" t="s">
        <v>14</v>
      </c>
      <c r="E1920" t="s">
        <v>9</v>
      </c>
      <c r="F1920" s="1" t="s">
        <v>5</v>
      </c>
      <c r="G1920" s="1">
        <v>45925</v>
      </c>
      <c r="H1920" t="s">
        <v>41</v>
      </c>
      <c r="I1920" s="2">
        <v>1213.79</v>
      </c>
      <c r="J1920" t="s">
        <v>465</v>
      </c>
      <c r="K1920" s="7">
        <v>45901</v>
      </c>
    </row>
    <row r="1921" spans="1:11" hidden="1">
      <c r="A1921" t="s">
        <v>39</v>
      </c>
      <c r="B1921" t="s">
        <v>47</v>
      </c>
      <c r="C1921" t="s">
        <v>14</v>
      </c>
      <c r="E1921" t="s">
        <v>9</v>
      </c>
      <c r="F1921" s="1" t="s">
        <v>2</v>
      </c>
      <c r="G1921" s="1">
        <v>46030</v>
      </c>
      <c r="H1921" t="s">
        <v>41</v>
      </c>
      <c r="I1921" s="2">
        <v>1211.75</v>
      </c>
      <c r="J1921" t="s">
        <v>1112</v>
      </c>
      <c r="K1921" s="7">
        <v>46023</v>
      </c>
    </row>
    <row r="1922" spans="1:11" hidden="1">
      <c r="A1922" t="s">
        <v>39</v>
      </c>
      <c r="B1922" t="s">
        <v>47</v>
      </c>
      <c r="C1922" t="s">
        <v>12</v>
      </c>
      <c r="E1922" t="s">
        <v>9</v>
      </c>
      <c r="F1922" s="1" t="s">
        <v>6</v>
      </c>
      <c r="G1922" s="1">
        <v>45786</v>
      </c>
      <c r="H1922" t="s">
        <v>41</v>
      </c>
      <c r="I1922" s="2">
        <v>1204.3399999999999</v>
      </c>
      <c r="J1922" t="s">
        <v>855</v>
      </c>
      <c r="K1922" s="7">
        <v>45778</v>
      </c>
    </row>
    <row r="1923" spans="1:11" hidden="1">
      <c r="A1923" t="s">
        <v>39</v>
      </c>
      <c r="B1923" t="s">
        <v>40</v>
      </c>
      <c r="C1923" t="s">
        <v>14</v>
      </c>
      <c r="D1923">
        <v>10027971</v>
      </c>
      <c r="E1923" t="s">
        <v>9</v>
      </c>
      <c r="F1923" s="1" t="s">
        <v>4</v>
      </c>
      <c r="G1923" s="1">
        <v>45980</v>
      </c>
      <c r="H1923" t="s">
        <v>41</v>
      </c>
      <c r="I1923" s="2">
        <v>2263.31</v>
      </c>
      <c r="J1923" t="s">
        <v>97</v>
      </c>
      <c r="K1923" s="7">
        <v>45962</v>
      </c>
    </row>
    <row r="1924" spans="1:11" hidden="1">
      <c r="A1924" t="s">
        <v>39</v>
      </c>
      <c r="B1924" t="s">
        <v>40</v>
      </c>
      <c r="C1924" t="s">
        <v>14</v>
      </c>
      <c r="E1924" t="s">
        <v>9</v>
      </c>
      <c r="F1924" s="1" t="s">
        <v>4</v>
      </c>
      <c r="G1924" s="1">
        <v>45980</v>
      </c>
      <c r="H1924" t="s">
        <v>41</v>
      </c>
      <c r="I1924" s="2">
        <v>1032</v>
      </c>
      <c r="J1924" s="47" t="s">
        <v>1212</v>
      </c>
      <c r="K1924" s="7">
        <v>45962</v>
      </c>
    </row>
    <row r="1925" spans="1:11" hidden="1">
      <c r="A1925" t="s">
        <v>39</v>
      </c>
      <c r="B1925" t="s">
        <v>40</v>
      </c>
      <c r="C1925" t="s">
        <v>14</v>
      </c>
      <c r="E1925" t="s">
        <v>9</v>
      </c>
      <c r="F1925" s="1" t="s">
        <v>4</v>
      </c>
      <c r="G1925" s="1">
        <v>45980</v>
      </c>
      <c r="H1925" t="s">
        <v>41</v>
      </c>
      <c r="I1925" s="2">
        <v>1000</v>
      </c>
      <c r="J1925" t="s">
        <v>1213</v>
      </c>
      <c r="K1925" s="7">
        <v>45962</v>
      </c>
    </row>
    <row r="1926" spans="1:11" hidden="1">
      <c r="A1926" t="s">
        <v>39</v>
      </c>
      <c r="B1926" t="s">
        <v>40</v>
      </c>
      <c r="C1926" t="s">
        <v>14</v>
      </c>
      <c r="D1926">
        <v>10027244</v>
      </c>
      <c r="E1926" t="s">
        <v>9</v>
      </c>
      <c r="F1926" s="1" t="s">
        <v>2</v>
      </c>
      <c r="G1926" s="1">
        <v>45874</v>
      </c>
      <c r="H1926" t="s">
        <v>41</v>
      </c>
      <c r="I1926" s="2">
        <v>1199</v>
      </c>
      <c r="J1926" t="s">
        <v>1214</v>
      </c>
      <c r="K1926" s="7">
        <v>45870</v>
      </c>
    </row>
    <row r="1927" spans="1:11" hidden="1">
      <c r="A1927" t="s">
        <v>39</v>
      </c>
      <c r="B1927" t="s">
        <v>40</v>
      </c>
      <c r="C1927" t="s">
        <v>14</v>
      </c>
      <c r="D1927">
        <v>10027428</v>
      </c>
      <c r="E1927" t="s">
        <v>9</v>
      </c>
      <c r="F1927" s="1" t="s">
        <v>5</v>
      </c>
      <c r="G1927" s="1">
        <v>45899</v>
      </c>
      <c r="H1927" t="s">
        <v>41</v>
      </c>
      <c r="I1927" s="2">
        <v>1199</v>
      </c>
      <c r="J1927" t="s">
        <v>1215</v>
      </c>
      <c r="K1927" s="7">
        <v>45870</v>
      </c>
    </row>
    <row r="1928" spans="1:11" hidden="1">
      <c r="A1928" t="s">
        <v>39</v>
      </c>
      <c r="B1928" t="s">
        <v>40</v>
      </c>
      <c r="C1928" t="s">
        <v>14</v>
      </c>
      <c r="E1928" t="s">
        <v>9</v>
      </c>
      <c r="F1928" s="1" t="s">
        <v>2</v>
      </c>
      <c r="G1928" s="1">
        <v>45968</v>
      </c>
      <c r="H1928" t="s">
        <v>41</v>
      </c>
      <c r="I1928" s="2">
        <v>1199</v>
      </c>
      <c r="J1928" s="47" t="s">
        <v>1216</v>
      </c>
      <c r="K1928" s="7">
        <v>45962</v>
      </c>
    </row>
    <row r="1929" spans="1:11" hidden="1">
      <c r="A1929" t="s">
        <v>39</v>
      </c>
      <c r="B1929" t="s">
        <v>47</v>
      </c>
      <c r="C1929" t="s">
        <v>14</v>
      </c>
      <c r="E1929" t="s">
        <v>9</v>
      </c>
      <c r="F1929" s="1" t="s">
        <v>6</v>
      </c>
      <c r="G1929" s="1">
        <v>45961</v>
      </c>
      <c r="H1929" t="s">
        <v>41</v>
      </c>
      <c r="I1929" s="2">
        <v>1198.48</v>
      </c>
      <c r="J1929" t="s">
        <v>1217</v>
      </c>
      <c r="K1929" s="7">
        <v>45931</v>
      </c>
    </row>
    <row r="1930" spans="1:11" hidden="1">
      <c r="A1930" t="s">
        <v>39</v>
      </c>
      <c r="B1930" t="s">
        <v>40</v>
      </c>
      <c r="C1930" t="s">
        <v>14</v>
      </c>
      <c r="E1930" t="s">
        <v>9</v>
      </c>
      <c r="F1930" s="1" t="s">
        <v>5</v>
      </c>
      <c r="G1930" s="1">
        <v>45899</v>
      </c>
      <c r="H1930" t="s">
        <v>64</v>
      </c>
      <c r="I1930" s="2">
        <f>610590.75/510</f>
        <v>1197.2367647058823</v>
      </c>
      <c r="J1930" t="s">
        <v>951</v>
      </c>
      <c r="K1930" s="7">
        <v>45870</v>
      </c>
    </row>
    <row r="1931" spans="1:11" hidden="1">
      <c r="A1931" t="s">
        <v>39</v>
      </c>
      <c r="B1931" t="s">
        <v>40</v>
      </c>
      <c r="C1931" t="s">
        <v>14</v>
      </c>
      <c r="D1931">
        <v>10027710</v>
      </c>
      <c r="E1931" t="s">
        <v>9</v>
      </c>
      <c r="F1931" s="1" t="s">
        <v>2</v>
      </c>
      <c r="G1931" s="1">
        <v>45931</v>
      </c>
      <c r="H1931" t="s">
        <v>41</v>
      </c>
      <c r="I1931" s="2">
        <v>1197</v>
      </c>
      <c r="J1931" t="s">
        <v>1218</v>
      </c>
      <c r="K1931" s="7">
        <v>45931</v>
      </c>
    </row>
    <row r="1932" spans="1:11" hidden="1">
      <c r="A1932" t="s">
        <v>39</v>
      </c>
      <c r="B1932" t="s">
        <v>40</v>
      </c>
      <c r="C1932" t="s">
        <v>14</v>
      </c>
      <c r="E1932" t="s">
        <v>9</v>
      </c>
      <c r="F1932" s="1" t="s">
        <v>5</v>
      </c>
      <c r="G1932" s="1">
        <v>46013</v>
      </c>
      <c r="H1932" t="s">
        <v>41</v>
      </c>
      <c r="I1932" s="2">
        <v>1197</v>
      </c>
      <c r="J1932" s="47" t="s">
        <v>1219</v>
      </c>
      <c r="K1932" s="7">
        <v>45992</v>
      </c>
    </row>
    <row r="1933" spans="1:11" hidden="1">
      <c r="A1933" t="s">
        <v>39</v>
      </c>
      <c r="B1933" t="s">
        <v>40</v>
      </c>
      <c r="C1933" t="s">
        <v>14</v>
      </c>
      <c r="D1933">
        <v>10027302</v>
      </c>
      <c r="E1933" t="s">
        <v>9</v>
      </c>
      <c r="F1933" s="1" t="s">
        <v>3</v>
      </c>
      <c r="G1933" s="1">
        <v>45880</v>
      </c>
      <c r="H1933" t="s">
        <v>64</v>
      </c>
      <c r="I1933" s="2">
        <f>610135.13/510</f>
        <v>1196.3433921568628</v>
      </c>
      <c r="J1933" t="s">
        <v>1220</v>
      </c>
      <c r="K1933" s="7">
        <v>45870</v>
      </c>
    </row>
    <row r="1934" spans="1:11" hidden="1">
      <c r="A1934" t="s">
        <v>39</v>
      </c>
      <c r="B1934" t="s">
        <v>40</v>
      </c>
      <c r="C1934" t="s">
        <v>14</v>
      </c>
      <c r="D1934">
        <v>10027303</v>
      </c>
      <c r="E1934" t="s">
        <v>9</v>
      </c>
      <c r="F1934" s="1" t="s">
        <v>3</v>
      </c>
      <c r="G1934" s="1">
        <v>45880</v>
      </c>
      <c r="H1934" t="s">
        <v>64</v>
      </c>
      <c r="I1934" s="2">
        <f>610135.13/510</f>
        <v>1196.3433921568628</v>
      </c>
      <c r="J1934" t="s">
        <v>1220</v>
      </c>
      <c r="K1934" s="7">
        <v>45870</v>
      </c>
    </row>
    <row r="1935" spans="1:11" hidden="1">
      <c r="A1935" t="s">
        <v>39</v>
      </c>
      <c r="B1935" t="s">
        <v>40</v>
      </c>
      <c r="C1935" t="s">
        <v>12</v>
      </c>
      <c r="E1935" t="s">
        <v>9</v>
      </c>
      <c r="F1935" s="1" t="s">
        <v>2</v>
      </c>
      <c r="G1935" s="1">
        <v>45812</v>
      </c>
      <c r="H1935" t="s">
        <v>64</v>
      </c>
      <c r="I1935" s="2">
        <f>606670/508</f>
        <v>1194.232283464567</v>
      </c>
      <c r="J1935" t="s">
        <v>1221</v>
      </c>
      <c r="K1935" s="7">
        <v>45809</v>
      </c>
    </row>
    <row r="1936" spans="1:11" hidden="1">
      <c r="A1936" t="s">
        <v>39</v>
      </c>
      <c r="B1936" t="s">
        <v>40</v>
      </c>
      <c r="C1936" t="s">
        <v>14</v>
      </c>
      <c r="D1936">
        <v>10027399</v>
      </c>
      <c r="E1936" t="s">
        <v>9</v>
      </c>
      <c r="F1936" s="1" t="s">
        <v>5</v>
      </c>
      <c r="G1936" s="1">
        <v>45895</v>
      </c>
      <c r="H1936" t="s">
        <v>64</v>
      </c>
      <c r="I1936" s="2">
        <f>607770.16/510</f>
        <v>1191.7061960784315</v>
      </c>
      <c r="J1936" t="s">
        <v>1222</v>
      </c>
      <c r="K1936" s="7">
        <v>45870</v>
      </c>
    </row>
    <row r="1937" spans="1:11" hidden="1">
      <c r="A1937" t="s">
        <v>39</v>
      </c>
      <c r="B1937" t="s">
        <v>47</v>
      </c>
      <c r="C1937" t="s">
        <v>14</v>
      </c>
      <c r="D1937">
        <v>10026644</v>
      </c>
      <c r="E1937" t="s">
        <v>9</v>
      </c>
      <c r="F1937" s="1" t="s">
        <v>5</v>
      </c>
      <c r="G1937" s="1">
        <v>45799</v>
      </c>
      <c r="H1937" t="s">
        <v>41</v>
      </c>
      <c r="I1937" s="2">
        <v>1191.5899999999999</v>
      </c>
      <c r="J1937" t="s">
        <v>1223</v>
      </c>
      <c r="K1937" s="7">
        <v>45778</v>
      </c>
    </row>
    <row r="1938" spans="1:11" hidden="1">
      <c r="A1938" t="s">
        <v>39</v>
      </c>
      <c r="B1938" t="s">
        <v>63</v>
      </c>
      <c r="C1938" t="s">
        <v>12</v>
      </c>
      <c r="D1938">
        <v>10026902</v>
      </c>
      <c r="E1938" t="s">
        <v>9</v>
      </c>
      <c r="F1938" s="1" t="s">
        <v>5</v>
      </c>
      <c r="G1938" s="1">
        <v>45831</v>
      </c>
      <c r="H1938" t="s">
        <v>41</v>
      </c>
      <c r="I1938" s="2">
        <v>1188</v>
      </c>
      <c r="J1938" t="s">
        <v>828</v>
      </c>
      <c r="K1938" s="7">
        <v>45809</v>
      </c>
    </row>
    <row r="1939" spans="1:11" hidden="1">
      <c r="A1939" t="s">
        <v>39</v>
      </c>
      <c r="B1939" t="s">
        <v>40</v>
      </c>
      <c r="C1939" t="s">
        <v>14</v>
      </c>
      <c r="E1939" t="s">
        <v>9</v>
      </c>
      <c r="F1939" s="1" t="s">
        <v>4</v>
      </c>
      <c r="G1939" s="1">
        <v>45980</v>
      </c>
      <c r="H1939" t="s">
        <v>41</v>
      </c>
      <c r="I1939" s="2">
        <v>651.6</v>
      </c>
      <c r="J1939" s="47" t="s">
        <v>1224</v>
      </c>
      <c r="K1939" s="7">
        <v>45962</v>
      </c>
    </row>
    <row r="1940" spans="1:11" hidden="1">
      <c r="A1940" t="s">
        <v>56</v>
      </c>
      <c r="B1940" t="s">
        <v>40</v>
      </c>
      <c r="C1940" t="s">
        <v>14</v>
      </c>
      <c r="D1940">
        <v>10858</v>
      </c>
      <c r="E1940" t="s">
        <v>9</v>
      </c>
      <c r="F1940" s="1" t="s">
        <v>5</v>
      </c>
      <c r="G1940" s="1">
        <v>46016</v>
      </c>
      <c r="H1940" t="s">
        <v>41</v>
      </c>
      <c r="I1940" s="2">
        <v>1185.5</v>
      </c>
      <c r="J1940" t="s">
        <v>904</v>
      </c>
      <c r="K1940" s="7">
        <v>45992</v>
      </c>
    </row>
    <row r="1941" spans="1:11" hidden="1">
      <c r="A1941" t="s">
        <v>56</v>
      </c>
      <c r="B1941" t="s">
        <v>40</v>
      </c>
      <c r="C1941" t="s">
        <v>14</v>
      </c>
      <c r="E1941" t="s">
        <v>9</v>
      </c>
      <c r="F1941" s="1" t="s">
        <v>6</v>
      </c>
      <c r="G1941" s="1">
        <v>46020</v>
      </c>
      <c r="H1941" t="s">
        <v>41</v>
      </c>
      <c r="I1941" s="2">
        <v>1185</v>
      </c>
      <c r="J1941" s="47" t="s">
        <v>1225</v>
      </c>
      <c r="K1941" s="7">
        <v>45992</v>
      </c>
    </row>
    <row r="1942" spans="1:11" hidden="1">
      <c r="A1942" t="s">
        <v>39</v>
      </c>
      <c r="B1942" t="s">
        <v>63</v>
      </c>
      <c r="C1942" t="s">
        <v>12</v>
      </c>
      <c r="D1942">
        <v>10027175</v>
      </c>
      <c r="E1942" t="s">
        <v>9</v>
      </c>
      <c r="F1942" s="1" t="s">
        <v>6</v>
      </c>
      <c r="G1942" s="1">
        <v>45867</v>
      </c>
      <c r="H1942" t="s">
        <v>41</v>
      </c>
      <c r="I1942" s="2">
        <v>1184</v>
      </c>
      <c r="J1942" t="s">
        <v>1226</v>
      </c>
      <c r="K1942" s="7">
        <v>45839</v>
      </c>
    </row>
    <row r="1943" spans="1:11" hidden="1">
      <c r="A1943" t="s">
        <v>39</v>
      </c>
      <c r="B1943" t="s">
        <v>47</v>
      </c>
      <c r="C1943" t="s">
        <v>14</v>
      </c>
      <c r="E1943" t="s">
        <v>9</v>
      </c>
      <c r="F1943" s="1" t="s">
        <v>4</v>
      </c>
      <c r="G1943" s="1">
        <v>45980</v>
      </c>
      <c r="H1943" t="s">
        <v>41</v>
      </c>
      <c r="I1943" s="2">
        <v>609.82000000000005</v>
      </c>
      <c r="J1943" t="s">
        <v>1227</v>
      </c>
      <c r="K1943" s="7">
        <v>45962</v>
      </c>
    </row>
    <row r="1944" spans="1:11" hidden="1">
      <c r="A1944" t="s">
        <v>114</v>
      </c>
      <c r="B1944" t="s">
        <v>63</v>
      </c>
      <c r="C1944" t="s">
        <v>14</v>
      </c>
      <c r="E1944" t="s">
        <v>9</v>
      </c>
      <c r="F1944" s="1" t="s">
        <v>2</v>
      </c>
      <c r="G1944" s="1">
        <v>45995</v>
      </c>
      <c r="H1944" t="s">
        <v>64</v>
      </c>
      <c r="I1944" s="2">
        <f>600731.44/510</f>
        <v>1177.9047843137255</v>
      </c>
      <c r="J1944" t="s">
        <v>1031</v>
      </c>
      <c r="K1944" s="7">
        <v>45992</v>
      </c>
    </row>
    <row r="1945" spans="1:11" hidden="1">
      <c r="A1945" t="s">
        <v>114</v>
      </c>
      <c r="B1945" t="s">
        <v>63</v>
      </c>
      <c r="C1945" t="s">
        <v>13</v>
      </c>
      <c r="E1945" t="s">
        <v>9</v>
      </c>
      <c r="F1945" s="1" t="s">
        <v>5</v>
      </c>
      <c r="G1945" s="1">
        <v>45834</v>
      </c>
      <c r="H1945" t="s">
        <v>41</v>
      </c>
      <c r="I1945" s="2">
        <v>1175.05</v>
      </c>
      <c r="J1945" t="s">
        <v>182</v>
      </c>
      <c r="K1945" s="7">
        <v>45809</v>
      </c>
    </row>
    <row r="1946" spans="1:11" hidden="1">
      <c r="A1946" t="s">
        <v>39</v>
      </c>
      <c r="B1946" t="s">
        <v>47</v>
      </c>
      <c r="C1946" t="s">
        <v>14</v>
      </c>
      <c r="D1946">
        <v>10026646</v>
      </c>
      <c r="E1946" t="s">
        <v>9</v>
      </c>
      <c r="F1946" s="1" t="s">
        <v>5</v>
      </c>
      <c r="G1946" s="1">
        <v>45799</v>
      </c>
      <c r="H1946" t="s">
        <v>41</v>
      </c>
      <c r="I1946" s="2">
        <f>594065.74/508</f>
        <v>1169.420748031496</v>
      </c>
      <c r="J1946" t="s">
        <v>1228</v>
      </c>
      <c r="K1946" s="7">
        <v>45778</v>
      </c>
    </row>
    <row r="1947" spans="1:11" hidden="1">
      <c r="A1947" t="s">
        <v>39</v>
      </c>
      <c r="B1947" t="s">
        <v>40</v>
      </c>
      <c r="C1947" t="s">
        <v>14</v>
      </c>
      <c r="D1947">
        <v>10027031</v>
      </c>
      <c r="E1947" t="s">
        <v>9</v>
      </c>
      <c r="F1947" s="1" t="s">
        <v>3</v>
      </c>
      <c r="G1947" s="1">
        <v>45839</v>
      </c>
      <c r="H1947" t="s">
        <v>41</v>
      </c>
      <c r="I1947" s="2">
        <v>1166.2</v>
      </c>
      <c r="J1947" t="s">
        <v>1229</v>
      </c>
      <c r="K1947" s="7">
        <v>45839</v>
      </c>
    </row>
    <row r="1948" spans="1:11" hidden="1">
      <c r="A1948" t="s">
        <v>39</v>
      </c>
      <c r="B1948" t="s">
        <v>40</v>
      </c>
      <c r="C1948" t="s">
        <v>14</v>
      </c>
      <c r="D1948">
        <v>10028495</v>
      </c>
      <c r="E1948" t="s">
        <v>9</v>
      </c>
      <c r="F1948" s="1" t="s">
        <v>3</v>
      </c>
      <c r="G1948" s="1">
        <v>46063</v>
      </c>
      <c r="H1948" t="s">
        <v>41</v>
      </c>
      <c r="I1948" s="2">
        <v>523</v>
      </c>
      <c r="J1948" t="s">
        <v>1230</v>
      </c>
      <c r="K1948" s="7">
        <v>46054</v>
      </c>
    </row>
    <row r="1949" spans="1:11" hidden="1">
      <c r="A1949" t="s">
        <v>39</v>
      </c>
      <c r="B1949" t="s">
        <v>40</v>
      </c>
      <c r="C1949" t="s">
        <v>14</v>
      </c>
      <c r="D1949">
        <v>10028100</v>
      </c>
      <c r="E1949" t="s">
        <v>9</v>
      </c>
      <c r="F1949" s="1" t="s">
        <v>3</v>
      </c>
      <c r="G1949" s="1">
        <v>46000</v>
      </c>
      <c r="H1949" t="s">
        <v>64</v>
      </c>
      <c r="I1949" s="2">
        <f>591084/510</f>
        <v>1158.9882352941177</v>
      </c>
      <c r="J1949" t="s">
        <v>1231</v>
      </c>
      <c r="K1949" s="7">
        <v>45992</v>
      </c>
    </row>
    <row r="1950" spans="1:11" hidden="1">
      <c r="A1950" t="s">
        <v>39</v>
      </c>
      <c r="B1950" t="s">
        <v>40</v>
      </c>
      <c r="C1950" t="s">
        <v>14</v>
      </c>
      <c r="E1950" t="s">
        <v>9</v>
      </c>
      <c r="F1950" s="1" t="s">
        <v>5</v>
      </c>
      <c r="G1950" s="1">
        <v>45987</v>
      </c>
      <c r="H1950" t="s">
        <v>41</v>
      </c>
      <c r="I1950" s="2">
        <v>1156.78</v>
      </c>
      <c r="J1950" s="47" t="s">
        <v>1232</v>
      </c>
      <c r="K1950" s="7">
        <v>45962</v>
      </c>
    </row>
    <row r="1951" spans="1:11" hidden="1">
      <c r="A1951" t="s">
        <v>39</v>
      </c>
      <c r="B1951" t="s">
        <v>45</v>
      </c>
      <c r="C1951" t="s">
        <v>14</v>
      </c>
      <c r="D1951">
        <v>10026523</v>
      </c>
      <c r="E1951" t="s">
        <v>9</v>
      </c>
      <c r="F1951" s="1" t="s">
        <v>3</v>
      </c>
      <c r="G1951" s="1">
        <v>45785</v>
      </c>
      <c r="H1951" t="s">
        <v>41</v>
      </c>
      <c r="I1951" s="2">
        <v>1155.01</v>
      </c>
      <c r="J1951" t="s">
        <v>82</v>
      </c>
      <c r="K1951" s="7">
        <v>45778</v>
      </c>
    </row>
    <row r="1952" spans="1:11" hidden="1">
      <c r="A1952" t="s">
        <v>39</v>
      </c>
      <c r="B1952" t="s">
        <v>47</v>
      </c>
      <c r="C1952" t="s">
        <v>14</v>
      </c>
      <c r="E1952" t="s">
        <v>9</v>
      </c>
      <c r="F1952" s="1" t="s">
        <v>3</v>
      </c>
      <c r="G1952" s="1">
        <v>45881</v>
      </c>
      <c r="H1952" t="s">
        <v>41</v>
      </c>
      <c r="I1952" s="2">
        <v>1150</v>
      </c>
      <c r="J1952" t="s">
        <v>1233</v>
      </c>
      <c r="K1952" s="7">
        <v>45870</v>
      </c>
    </row>
    <row r="1953" spans="1:11" hidden="1">
      <c r="A1953" t="s">
        <v>56</v>
      </c>
      <c r="B1953" t="s">
        <v>40</v>
      </c>
      <c r="C1953" t="s">
        <v>14</v>
      </c>
      <c r="D1953">
        <v>10774</v>
      </c>
      <c r="E1953" t="s">
        <v>9</v>
      </c>
      <c r="F1953" s="1" t="s">
        <v>2</v>
      </c>
      <c r="G1953" s="1">
        <v>45904</v>
      </c>
      <c r="H1953" t="s">
        <v>41</v>
      </c>
      <c r="I1953" s="2">
        <v>1150</v>
      </c>
      <c r="J1953" t="s">
        <v>923</v>
      </c>
      <c r="K1953" s="7">
        <v>45901</v>
      </c>
    </row>
    <row r="1954" spans="1:11" hidden="1">
      <c r="A1954" t="s">
        <v>114</v>
      </c>
      <c r="B1954" t="s">
        <v>63</v>
      </c>
      <c r="C1954" t="s">
        <v>14</v>
      </c>
      <c r="E1954" t="s">
        <v>9</v>
      </c>
      <c r="F1954" s="1" t="s">
        <v>4</v>
      </c>
      <c r="G1954" s="1">
        <v>45981</v>
      </c>
      <c r="H1954" t="s">
        <v>41</v>
      </c>
      <c r="I1954" s="2">
        <v>30710.560000000001</v>
      </c>
      <c r="J1954" t="s">
        <v>1234</v>
      </c>
      <c r="K1954" s="7">
        <v>45962</v>
      </c>
    </row>
    <row r="1955" spans="1:11" hidden="1">
      <c r="A1955" t="s">
        <v>39</v>
      </c>
      <c r="B1955" t="s">
        <v>40</v>
      </c>
      <c r="C1955" t="s">
        <v>14</v>
      </c>
      <c r="E1955" t="s">
        <v>9</v>
      </c>
      <c r="F1955" s="1" t="s">
        <v>5</v>
      </c>
      <c r="G1955" s="1">
        <v>45985</v>
      </c>
      <c r="H1955" t="s">
        <v>41</v>
      </c>
      <c r="I1955" s="2">
        <v>1141</v>
      </c>
      <c r="J1955" s="47" t="s">
        <v>1235</v>
      </c>
      <c r="K1955" s="7">
        <v>45962</v>
      </c>
    </row>
    <row r="1956" spans="1:11" hidden="1">
      <c r="A1956" t="s">
        <v>39</v>
      </c>
      <c r="B1956" t="s">
        <v>40</v>
      </c>
      <c r="C1956" t="s">
        <v>14</v>
      </c>
      <c r="E1956" t="s">
        <v>9</v>
      </c>
      <c r="F1956" s="1" t="s">
        <v>5</v>
      </c>
      <c r="G1956" s="1">
        <v>45987</v>
      </c>
      <c r="H1956" t="s">
        <v>41</v>
      </c>
      <c r="I1956" s="2">
        <v>1141</v>
      </c>
      <c r="J1956" s="47" t="s">
        <v>1236</v>
      </c>
      <c r="K1956" s="7">
        <v>45962</v>
      </c>
    </row>
    <row r="1957" spans="1:11" hidden="1">
      <c r="A1957" t="s">
        <v>39</v>
      </c>
      <c r="B1957" t="s">
        <v>40</v>
      </c>
      <c r="C1957" t="s">
        <v>14</v>
      </c>
      <c r="E1957" t="s">
        <v>9</v>
      </c>
      <c r="F1957" s="1" t="s">
        <v>2</v>
      </c>
      <c r="G1957" s="1">
        <v>45996</v>
      </c>
      <c r="H1957" t="s">
        <v>41</v>
      </c>
      <c r="I1957" s="2">
        <v>1141</v>
      </c>
      <c r="J1957" t="s">
        <v>1237</v>
      </c>
      <c r="K1957" s="7">
        <v>45992</v>
      </c>
    </row>
    <row r="1958" spans="1:11" hidden="1">
      <c r="A1958" t="s">
        <v>39</v>
      </c>
      <c r="B1958" t="s">
        <v>40</v>
      </c>
      <c r="C1958" t="s">
        <v>14</v>
      </c>
      <c r="E1958" t="s">
        <v>9</v>
      </c>
      <c r="F1958" s="1" t="s">
        <v>2</v>
      </c>
      <c r="G1958" s="1">
        <v>46029</v>
      </c>
      <c r="H1958" t="s">
        <v>41</v>
      </c>
      <c r="I1958" s="2">
        <v>1141</v>
      </c>
      <c r="J1958" s="47" t="s">
        <v>1238</v>
      </c>
      <c r="K1958" s="7">
        <v>46023</v>
      </c>
    </row>
    <row r="1959" spans="1:11" hidden="1">
      <c r="A1959" t="s">
        <v>39</v>
      </c>
      <c r="B1959" t="s">
        <v>45</v>
      </c>
      <c r="C1959" t="s">
        <v>14</v>
      </c>
      <c r="E1959" t="s">
        <v>9</v>
      </c>
      <c r="F1959" s="1" t="s">
        <v>4</v>
      </c>
      <c r="G1959" s="1">
        <v>45981</v>
      </c>
      <c r="H1959" t="s">
        <v>41</v>
      </c>
      <c r="I1959" s="2">
        <v>19220.39</v>
      </c>
      <c r="J1959" t="s">
        <v>1239</v>
      </c>
      <c r="K1959" s="7">
        <v>45962</v>
      </c>
    </row>
    <row r="1960" spans="1:11" hidden="1">
      <c r="A1960" t="s">
        <v>39</v>
      </c>
      <c r="B1960" t="s">
        <v>63</v>
      </c>
      <c r="C1960" t="s">
        <v>12</v>
      </c>
      <c r="D1960">
        <v>10027946</v>
      </c>
      <c r="E1960" t="s">
        <v>9</v>
      </c>
      <c r="F1960" s="1" t="s">
        <v>3</v>
      </c>
      <c r="G1960" s="1">
        <v>45975</v>
      </c>
      <c r="H1960" t="s">
        <v>41</v>
      </c>
      <c r="I1960" s="2">
        <v>1135.8800000000001</v>
      </c>
      <c r="J1960" t="s">
        <v>1240</v>
      </c>
      <c r="K1960" s="7">
        <v>45962</v>
      </c>
    </row>
    <row r="1961" spans="1:11" hidden="1">
      <c r="A1961" t="s">
        <v>114</v>
      </c>
      <c r="B1961" t="s">
        <v>63</v>
      </c>
      <c r="C1961" t="s">
        <v>14</v>
      </c>
      <c r="E1961" t="s">
        <v>9</v>
      </c>
      <c r="F1961" s="1" t="s">
        <v>2</v>
      </c>
      <c r="G1961" s="1">
        <v>45814</v>
      </c>
      <c r="H1961" t="s">
        <v>41</v>
      </c>
      <c r="I1961" s="2">
        <v>1132.71</v>
      </c>
      <c r="J1961" t="s">
        <v>254</v>
      </c>
      <c r="K1961" s="7">
        <v>45809</v>
      </c>
    </row>
    <row r="1962" spans="1:11" hidden="1">
      <c r="A1962" t="s">
        <v>39</v>
      </c>
      <c r="B1962" t="s">
        <v>45</v>
      </c>
      <c r="C1962" t="s">
        <v>14</v>
      </c>
      <c r="E1962" t="s">
        <v>9</v>
      </c>
      <c r="F1962" s="1" t="s">
        <v>4</v>
      </c>
      <c r="G1962" s="1">
        <v>45981</v>
      </c>
      <c r="H1962" t="s">
        <v>41</v>
      </c>
      <c r="I1962" s="2">
        <v>10303.16</v>
      </c>
      <c r="J1962" t="s">
        <v>623</v>
      </c>
      <c r="K1962" s="7">
        <v>45962</v>
      </c>
    </row>
    <row r="1963" spans="1:11" hidden="1">
      <c r="A1963" t="s">
        <v>39</v>
      </c>
      <c r="B1963" t="s">
        <v>47</v>
      </c>
      <c r="C1963" t="s">
        <v>14</v>
      </c>
      <c r="E1963" t="s">
        <v>9</v>
      </c>
      <c r="F1963" s="1" t="s">
        <v>2</v>
      </c>
      <c r="G1963" s="1">
        <v>45870</v>
      </c>
      <c r="H1963" t="s">
        <v>41</v>
      </c>
      <c r="I1963" s="2">
        <v>1130.02</v>
      </c>
      <c r="J1963" t="s">
        <v>1241</v>
      </c>
      <c r="K1963" s="7">
        <v>45870</v>
      </c>
    </row>
    <row r="1964" spans="1:11" hidden="1">
      <c r="A1964" t="s">
        <v>39</v>
      </c>
      <c r="B1964" t="s">
        <v>63</v>
      </c>
      <c r="C1964" t="s">
        <v>14</v>
      </c>
      <c r="E1964" t="s">
        <v>8</v>
      </c>
      <c r="F1964" s="1" t="s">
        <v>3</v>
      </c>
      <c r="G1964" s="1">
        <v>45977</v>
      </c>
      <c r="H1964" t="s">
        <v>41</v>
      </c>
      <c r="I1964" s="2">
        <v>223890</v>
      </c>
      <c r="J1964" t="s">
        <v>131</v>
      </c>
      <c r="K1964" s="7">
        <v>45962</v>
      </c>
    </row>
    <row r="1965" spans="1:11" hidden="1">
      <c r="A1965" t="s">
        <v>39</v>
      </c>
      <c r="B1965" t="s">
        <v>47</v>
      </c>
      <c r="C1965" t="s">
        <v>14</v>
      </c>
      <c r="E1965" t="s">
        <v>8</v>
      </c>
      <c r="F1965" s="1" t="s">
        <v>3</v>
      </c>
      <c r="G1965" s="1">
        <v>45977</v>
      </c>
      <c r="H1965" t="s">
        <v>41</v>
      </c>
      <c r="I1965" s="2">
        <v>118896</v>
      </c>
      <c r="J1965" t="s">
        <v>52</v>
      </c>
      <c r="K1965" s="7">
        <v>45962</v>
      </c>
    </row>
    <row r="1966" spans="1:11" hidden="1">
      <c r="A1966" t="s">
        <v>39</v>
      </c>
      <c r="B1966" t="s">
        <v>63</v>
      </c>
      <c r="C1966" t="s">
        <v>13</v>
      </c>
      <c r="E1966" t="s">
        <v>8</v>
      </c>
      <c r="F1966" s="1" t="s">
        <v>3</v>
      </c>
      <c r="G1966" s="1">
        <v>45977</v>
      </c>
      <c r="H1966" t="s">
        <v>41</v>
      </c>
      <c r="I1966" s="2">
        <v>94399.99</v>
      </c>
      <c r="J1966" t="s">
        <v>201</v>
      </c>
      <c r="K1966" s="7">
        <v>45962</v>
      </c>
    </row>
    <row r="1967" spans="1:11" hidden="1">
      <c r="A1967" t="s">
        <v>39</v>
      </c>
      <c r="B1967" t="s">
        <v>45</v>
      </c>
      <c r="C1967" t="s">
        <v>14</v>
      </c>
      <c r="E1967" t="s">
        <v>8</v>
      </c>
      <c r="F1967" s="1" t="s">
        <v>3</v>
      </c>
      <c r="G1967" s="1">
        <v>45977</v>
      </c>
      <c r="H1967" t="s">
        <v>41</v>
      </c>
      <c r="I1967" s="2">
        <v>85886</v>
      </c>
      <c r="J1967" t="s">
        <v>282</v>
      </c>
      <c r="K1967" s="7">
        <v>45962</v>
      </c>
    </row>
    <row r="1968" spans="1:11" hidden="1">
      <c r="A1968" t="s">
        <v>39</v>
      </c>
      <c r="B1968" t="s">
        <v>63</v>
      </c>
      <c r="C1968" t="s">
        <v>14</v>
      </c>
      <c r="E1968" t="s">
        <v>8</v>
      </c>
      <c r="F1968" s="1" t="s">
        <v>3</v>
      </c>
      <c r="G1968" s="1">
        <v>45977</v>
      </c>
      <c r="H1968" t="s">
        <v>41</v>
      </c>
      <c r="I1968" s="2">
        <v>76645.899999999994</v>
      </c>
      <c r="J1968" t="s">
        <v>158</v>
      </c>
      <c r="K1968" s="7">
        <v>45962</v>
      </c>
    </row>
    <row r="1969" spans="1:11" hidden="1">
      <c r="A1969" t="s">
        <v>39</v>
      </c>
      <c r="B1969" t="s">
        <v>40</v>
      </c>
      <c r="C1969" t="s">
        <v>14</v>
      </c>
      <c r="E1969" t="s">
        <v>8</v>
      </c>
      <c r="F1969" s="1" t="s">
        <v>3</v>
      </c>
      <c r="G1969" s="1">
        <v>45977</v>
      </c>
      <c r="H1969" t="s">
        <v>41</v>
      </c>
      <c r="I1969" s="2">
        <v>60000</v>
      </c>
      <c r="J1969" t="s">
        <v>98</v>
      </c>
      <c r="K1969" s="7">
        <v>45962</v>
      </c>
    </row>
    <row r="1970" spans="1:11" hidden="1">
      <c r="A1970" t="s">
        <v>39</v>
      </c>
      <c r="B1970" t="s">
        <v>63</v>
      </c>
      <c r="C1970" t="s">
        <v>14</v>
      </c>
      <c r="E1970" t="s">
        <v>8</v>
      </c>
      <c r="F1970" s="1" t="s">
        <v>3</v>
      </c>
      <c r="G1970" s="1">
        <v>45977</v>
      </c>
      <c r="H1970" t="s">
        <v>41</v>
      </c>
      <c r="I1970" s="2">
        <v>47518</v>
      </c>
      <c r="J1970" t="s">
        <v>241</v>
      </c>
      <c r="K1970" s="7">
        <v>45962</v>
      </c>
    </row>
    <row r="1971" spans="1:11" hidden="1">
      <c r="A1971" t="s">
        <v>56</v>
      </c>
      <c r="B1971" t="s">
        <v>40</v>
      </c>
      <c r="C1971" t="s">
        <v>14</v>
      </c>
      <c r="E1971" t="s">
        <v>8</v>
      </c>
      <c r="F1971" s="1" t="s">
        <v>3</v>
      </c>
      <c r="G1971" s="1">
        <v>45977</v>
      </c>
      <c r="H1971" t="s">
        <v>41</v>
      </c>
      <c r="I1971" s="2">
        <v>25000</v>
      </c>
      <c r="J1971" t="s">
        <v>98</v>
      </c>
      <c r="K1971" s="7">
        <v>45962</v>
      </c>
    </row>
    <row r="1972" spans="1:11" hidden="1">
      <c r="A1972" t="s">
        <v>99</v>
      </c>
      <c r="B1972" t="s">
        <v>63</v>
      </c>
      <c r="C1972" t="s">
        <v>14</v>
      </c>
      <c r="E1972" t="s">
        <v>8</v>
      </c>
      <c r="F1972" s="1" t="s">
        <v>3</v>
      </c>
      <c r="G1972" s="1">
        <v>45977</v>
      </c>
      <c r="H1972" t="s">
        <v>41</v>
      </c>
      <c r="I1972" s="2">
        <v>20000</v>
      </c>
      <c r="J1972" t="s">
        <v>646</v>
      </c>
      <c r="K1972" s="7">
        <v>45962</v>
      </c>
    </row>
    <row r="1973" spans="1:11" hidden="1">
      <c r="A1973" t="s">
        <v>39</v>
      </c>
      <c r="B1973" t="s">
        <v>63</v>
      </c>
      <c r="C1973" t="s">
        <v>14</v>
      </c>
      <c r="E1973" t="s">
        <v>8</v>
      </c>
      <c r="F1973" s="1" t="s">
        <v>3</v>
      </c>
      <c r="G1973" s="1">
        <v>45977</v>
      </c>
      <c r="H1973" t="s">
        <v>41</v>
      </c>
      <c r="I1973" s="2">
        <v>24942.09</v>
      </c>
      <c r="J1973" t="s">
        <v>342</v>
      </c>
      <c r="K1973" s="7">
        <v>45962</v>
      </c>
    </row>
    <row r="1974" spans="1:11" hidden="1">
      <c r="A1974" t="s">
        <v>39</v>
      </c>
      <c r="B1974" t="s">
        <v>47</v>
      </c>
      <c r="C1974" t="s">
        <v>13</v>
      </c>
      <c r="E1974" t="s">
        <v>8</v>
      </c>
      <c r="F1974" s="1" t="s">
        <v>3</v>
      </c>
      <c r="G1974" s="1">
        <v>45977</v>
      </c>
      <c r="H1974" t="s">
        <v>41</v>
      </c>
      <c r="I1974" s="2">
        <v>22841.15</v>
      </c>
      <c r="J1974" t="s">
        <v>1242</v>
      </c>
      <c r="K1974" s="7">
        <v>45962</v>
      </c>
    </row>
    <row r="1975" spans="1:11" hidden="1">
      <c r="A1975" t="s">
        <v>39</v>
      </c>
      <c r="B1975" t="s">
        <v>45</v>
      </c>
      <c r="C1975" t="s">
        <v>14</v>
      </c>
      <c r="E1975" t="s">
        <v>8</v>
      </c>
      <c r="F1975" s="1" t="s">
        <v>3</v>
      </c>
      <c r="G1975" s="1">
        <v>45977</v>
      </c>
      <c r="H1975" t="s">
        <v>41</v>
      </c>
      <c r="I1975" s="2">
        <v>21039.14</v>
      </c>
      <c r="J1975" t="s">
        <v>1243</v>
      </c>
      <c r="K1975" s="7">
        <v>45962</v>
      </c>
    </row>
    <row r="1976" spans="1:11" hidden="1">
      <c r="A1976" t="s">
        <v>39</v>
      </c>
      <c r="B1976" t="s">
        <v>63</v>
      </c>
      <c r="C1976" t="s">
        <v>13</v>
      </c>
      <c r="E1976" t="s">
        <v>8</v>
      </c>
      <c r="F1976" s="1" t="s">
        <v>3</v>
      </c>
      <c r="G1976" s="1">
        <v>45977</v>
      </c>
      <c r="H1976" t="s">
        <v>41</v>
      </c>
      <c r="I1976" s="2">
        <v>13475.25</v>
      </c>
      <c r="J1976" t="s">
        <v>1070</v>
      </c>
      <c r="K1976" s="7">
        <v>45962</v>
      </c>
    </row>
    <row r="1977" spans="1:11" hidden="1">
      <c r="A1977" t="s">
        <v>39</v>
      </c>
      <c r="B1977" t="s">
        <v>63</v>
      </c>
      <c r="C1977" t="s">
        <v>14</v>
      </c>
      <c r="E1977" t="s">
        <v>8</v>
      </c>
      <c r="F1977" s="1" t="s">
        <v>3</v>
      </c>
      <c r="G1977" s="1">
        <v>45977</v>
      </c>
      <c r="H1977" t="s">
        <v>41</v>
      </c>
      <c r="I1977" s="2">
        <v>6428.18</v>
      </c>
      <c r="J1977" t="s">
        <v>689</v>
      </c>
      <c r="K1977" s="7">
        <v>45962</v>
      </c>
    </row>
    <row r="1978" spans="1:11" hidden="1">
      <c r="A1978" t="s">
        <v>39</v>
      </c>
      <c r="B1978" t="s">
        <v>63</v>
      </c>
      <c r="C1978" t="s">
        <v>13</v>
      </c>
      <c r="E1978" t="s">
        <v>8</v>
      </c>
      <c r="F1978" s="1" t="s">
        <v>3</v>
      </c>
      <c r="G1978" s="1">
        <v>45977</v>
      </c>
      <c r="H1978" t="s">
        <v>41</v>
      </c>
      <c r="I1978" s="2">
        <v>4701.76</v>
      </c>
      <c r="J1978" t="s">
        <v>157</v>
      </c>
      <c r="K1978" s="7">
        <v>45962</v>
      </c>
    </row>
    <row r="1979" spans="1:11" hidden="1">
      <c r="A1979" t="s">
        <v>39</v>
      </c>
      <c r="B1979" t="s">
        <v>47</v>
      </c>
      <c r="C1979" t="s">
        <v>14</v>
      </c>
      <c r="E1979" t="s">
        <v>8</v>
      </c>
      <c r="F1979" s="1" t="s">
        <v>3</v>
      </c>
      <c r="G1979" s="1">
        <v>45977</v>
      </c>
      <c r="H1979" t="s">
        <v>41</v>
      </c>
      <c r="I1979" s="2">
        <v>3996.94</v>
      </c>
      <c r="J1979" t="s">
        <v>877</v>
      </c>
      <c r="K1979" s="7">
        <v>45962</v>
      </c>
    </row>
    <row r="1980" spans="1:11" hidden="1">
      <c r="A1980" t="s">
        <v>39</v>
      </c>
      <c r="B1980" t="s">
        <v>40</v>
      </c>
      <c r="C1980" t="s">
        <v>14</v>
      </c>
      <c r="E1980" t="s">
        <v>9</v>
      </c>
      <c r="F1980" s="1" t="s">
        <v>3</v>
      </c>
      <c r="G1980" s="1">
        <v>45972</v>
      </c>
      <c r="H1980" t="s">
        <v>41</v>
      </c>
      <c r="I1980" s="2">
        <v>1130</v>
      </c>
      <c r="J1980" s="47" t="s">
        <v>1244</v>
      </c>
      <c r="K1980" s="7">
        <v>45962</v>
      </c>
    </row>
    <row r="1981" spans="1:11" hidden="1">
      <c r="A1981" t="s">
        <v>39</v>
      </c>
      <c r="B1981" t="s">
        <v>45</v>
      </c>
      <c r="C1981" t="s">
        <v>14</v>
      </c>
      <c r="E1981" t="s">
        <v>9</v>
      </c>
      <c r="F1981" s="1" t="s">
        <v>3</v>
      </c>
      <c r="G1981" s="1">
        <v>45940</v>
      </c>
      <c r="H1981" t="s">
        <v>41</v>
      </c>
      <c r="I1981" s="2">
        <v>1124.96</v>
      </c>
      <c r="J1981" t="s">
        <v>1245</v>
      </c>
      <c r="K1981" s="7">
        <v>45931</v>
      </c>
    </row>
    <row r="1982" spans="1:11" hidden="1">
      <c r="A1982" t="s">
        <v>39</v>
      </c>
      <c r="B1982" t="s">
        <v>45</v>
      </c>
      <c r="C1982" t="s">
        <v>14</v>
      </c>
      <c r="E1982" t="s">
        <v>9</v>
      </c>
      <c r="F1982" s="1" t="s">
        <v>3</v>
      </c>
      <c r="G1982" s="1">
        <v>45975</v>
      </c>
      <c r="H1982" t="s">
        <v>41</v>
      </c>
      <c r="I1982" s="2">
        <v>1124.96</v>
      </c>
      <c r="J1982" t="s">
        <v>1246</v>
      </c>
      <c r="K1982" s="7">
        <v>45962</v>
      </c>
    </row>
    <row r="1983" spans="1:11" hidden="1">
      <c r="A1983" t="s">
        <v>39</v>
      </c>
      <c r="B1983" t="s">
        <v>47</v>
      </c>
      <c r="C1983" t="s">
        <v>14</v>
      </c>
      <c r="E1983" t="s">
        <v>9</v>
      </c>
      <c r="F1983" s="1" t="s">
        <v>2</v>
      </c>
      <c r="G1983" s="1">
        <v>45905</v>
      </c>
      <c r="H1983" t="s">
        <v>64</v>
      </c>
      <c r="I1983" s="2">
        <v>1114</v>
      </c>
      <c r="J1983" t="s">
        <v>1233</v>
      </c>
      <c r="K1983" s="7">
        <v>45901</v>
      </c>
    </row>
    <row r="1984" spans="1:11" hidden="1">
      <c r="A1984" t="s">
        <v>39</v>
      </c>
      <c r="B1984" t="s">
        <v>47</v>
      </c>
      <c r="C1984" t="s">
        <v>14</v>
      </c>
      <c r="D1984">
        <v>10027600</v>
      </c>
      <c r="E1984" t="s">
        <v>9</v>
      </c>
      <c r="F1984" s="1" t="s">
        <v>5</v>
      </c>
      <c r="G1984" s="1">
        <v>45922</v>
      </c>
      <c r="H1984" t="s">
        <v>41</v>
      </c>
      <c r="I1984" s="2">
        <v>1114</v>
      </c>
      <c r="J1984" t="s">
        <v>1233</v>
      </c>
      <c r="K1984" s="7">
        <v>45901</v>
      </c>
    </row>
    <row r="1985" spans="1:11" hidden="1">
      <c r="A1985" t="s">
        <v>114</v>
      </c>
      <c r="B1985" t="s">
        <v>63</v>
      </c>
      <c r="C1985" t="s">
        <v>14</v>
      </c>
      <c r="E1985" t="s">
        <v>9</v>
      </c>
      <c r="F1985" s="1" t="s">
        <v>5</v>
      </c>
      <c r="G1985" s="1">
        <v>46014</v>
      </c>
      <c r="H1985" t="s">
        <v>64</v>
      </c>
      <c r="I1985" s="2">
        <f>567357.18/510</f>
        <v>1112.4650588235295</v>
      </c>
      <c r="J1985" t="s">
        <v>1247</v>
      </c>
      <c r="K1985" s="7">
        <v>45992</v>
      </c>
    </row>
    <row r="1986" spans="1:11" hidden="1">
      <c r="A1986" t="s">
        <v>39</v>
      </c>
      <c r="B1986" t="s">
        <v>63</v>
      </c>
      <c r="C1986" t="s">
        <v>124</v>
      </c>
      <c r="D1986">
        <v>10027164</v>
      </c>
      <c r="E1986" t="s">
        <v>9</v>
      </c>
      <c r="F1986" s="1" t="s">
        <v>6</v>
      </c>
      <c r="G1986" s="1">
        <v>45866</v>
      </c>
      <c r="H1986" t="s">
        <v>41</v>
      </c>
      <c r="I1986" s="2">
        <v>1110.4000000000001</v>
      </c>
      <c r="J1986" t="s">
        <v>1248</v>
      </c>
      <c r="K1986" s="7">
        <v>45839</v>
      </c>
    </row>
    <row r="1987" spans="1:11" hidden="1">
      <c r="A1987" t="s">
        <v>39</v>
      </c>
      <c r="B1987" t="s">
        <v>47</v>
      </c>
      <c r="C1987" t="s">
        <v>14</v>
      </c>
      <c r="E1987" t="s">
        <v>9</v>
      </c>
      <c r="F1987" s="1" t="s">
        <v>3</v>
      </c>
      <c r="G1987" s="1">
        <v>45909</v>
      </c>
      <c r="H1987" t="s">
        <v>41</v>
      </c>
      <c r="I1987" s="2">
        <v>1110.25</v>
      </c>
      <c r="J1987" t="s">
        <v>162</v>
      </c>
      <c r="K1987" s="7">
        <v>45901</v>
      </c>
    </row>
    <row r="1988" spans="1:11" hidden="1">
      <c r="A1988" t="s">
        <v>39</v>
      </c>
      <c r="B1988" t="s">
        <v>40</v>
      </c>
      <c r="C1988" t="s">
        <v>14</v>
      </c>
      <c r="E1988" t="s">
        <v>9</v>
      </c>
      <c r="F1988" s="1" t="s">
        <v>2</v>
      </c>
      <c r="G1988" s="1">
        <v>45814</v>
      </c>
      <c r="H1988" t="s">
        <v>64</v>
      </c>
      <c r="I1988" s="2">
        <f>563000/508</f>
        <v>1108.267716535433</v>
      </c>
      <c r="J1988" t="s">
        <v>76</v>
      </c>
      <c r="K1988" s="7">
        <v>45809</v>
      </c>
    </row>
    <row r="1989" spans="1:11" hidden="1">
      <c r="A1989" t="s">
        <v>39</v>
      </c>
      <c r="B1989" t="s">
        <v>40</v>
      </c>
      <c r="C1989" t="s">
        <v>14</v>
      </c>
      <c r="E1989" t="s">
        <v>9</v>
      </c>
      <c r="F1989" s="1" t="s">
        <v>2</v>
      </c>
      <c r="G1989" s="1">
        <v>46033</v>
      </c>
      <c r="H1989" t="s">
        <v>41</v>
      </c>
      <c r="I1989" s="2">
        <v>1105</v>
      </c>
      <c r="J1989" t="s">
        <v>1249</v>
      </c>
      <c r="K1989" s="7">
        <v>46023</v>
      </c>
    </row>
    <row r="1990" spans="1:11" hidden="1">
      <c r="A1990" t="s">
        <v>39</v>
      </c>
      <c r="B1990" t="s">
        <v>40</v>
      </c>
      <c r="C1990" t="s">
        <v>14</v>
      </c>
      <c r="E1990" t="s">
        <v>9</v>
      </c>
      <c r="F1990" s="1" t="s">
        <v>3</v>
      </c>
      <c r="G1990" s="1">
        <v>46034</v>
      </c>
      <c r="H1990" t="s">
        <v>41</v>
      </c>
      <c r="I1990" s="2">
        <v>1105</v>
      </c>
      <c r="J1990" s="47" t="s">
        <v>1250</v>
      </c>
      <c r="K1990" s="7">
        <v>46023</v>
      </c>
    </row>
    <row r="1991" spans="1:11" hidden="1">
      <c r="A1991" t="s">
        <v>56</v>
      </c>
      <c r="B1991" t="s">
        <v>40</v>
      </c>
      <c r="C1991" t="s">
        <v>14</v>
      </c>
      <c r="E1991" t="s">
        <v>9</v>
      </c>
      <c r="F1991" s="1" t="s">
        <v>3</v>
      </c>
      <c r="G1991" s="1">
        <v>46063</v>
      </c>
      <c r="H1991" t="s">
        <v>41</v>
      </c>
      <c r="I1991" s="2">
        <v>279.19</v>
      </c>
      <c r="J1991" t="s">
        <v>1251</v>
      </c>
      <c r="K1991" s="7">
        <v>46054</v>
      </c>
    </row>
    <row r="1992" spans="1:11" hidden="1">
      <c r="A1992" t="s">
        <v>39</v>
      </c>
      <c r="B1992" t="s">
        <v>47</v>
      </c>
      <c r="C1992" t="s">
        <v>14</v>
      </c>
      <c r="E1992" t="s">
        <v>9</v>
      </c>
      <c r="F1992" s="1" t="s">
        <v>2</v>
      </c>
      <c r="G1992" s="1">
        <v>45968</v>
      </c>
      <c r="H1992" t="s">
        <v>41</v>
      </c>
      <c r="I1992" s="2">
        <v>1102.78</v>
      </c>
      <c r="J1992" t="s">
        <v>1252</v>
      </c>
      <c r="K1992" s="7">
        <v>45962</v>
      </c>
    </row>
    <row r="1993" spans="1:11" hidden="1">
      <c r="A1993" t="s">
        <v>39</v>
      </c>
      <c r="B1993" t="s">
        <v>40</v>
      </c>
      <c r="C1993" t="s">
        <v>14</v>
      </c>
      <c r="E1993" t="s">
        <v>9</v>
      </c>
      <c r="F1993" s="1" t="s">
        <v>3</v>
      </c>
      <c r="G1993" s="1">
        <v>45882</v>
      </c>
      <c r="H1993" t="s">
        <v>64</v>
      </c>
      <c r="I1993" s="2">
        <v>1100</v>
      </c>
      <c r="J1993" t="s">
        <v>1253</v>
      </c>
      <c r="K1993" s="7">
        <v>45870</v>
      </c>
    </row>
    <row r="1994" spans="1:11" hidden="1">
      <c r="A1994" t="s">
        <v>39</v>
      </c>
      <c r="B1994" t="s">
        <v>40</v>
      </c>
      <c r="C1994" t="s">
        <v>14</v>
      </c>
      <c r="E1994" t="s">
        <v>9</v>
      </c>
      <c r="F1994" s="1" t="s">
        <v>6</v>
      </c>
      <c r="G1994" s="1">
        <v>45961</v>
      </c>
      <c r="H1994" t="s">
        <v>41</v>
      </c>
      <c r="I1994" s="2">
        <v>1094</v>
      </c>
      <c r="J1994" s="47" t="s">
        <v>1254</v>
      </c>
      <c r="K1994" s="7">
        <v>45931</v>
      </c>
    </row>
    <row r="1995" spans="1:11" hidden="1">
      <c r="A1995" t="s">
        <v>114</v>
      </c>
      <c r="B1995" t="s">
        <v>63</v>
      </c>
      <c r="C1995" t="s">
        <v>14</v>
      </c>
      <c r="E1995" t="s">
        <v>9</v>
      </c>
      <c r="F1995" s="1" t="s">
        <v>5</v>
      </c>
      <c r="G1995" s="1">
        <v>45989</v>
      </c>
      <c r="H1995" t="s">
        <v>41</v>
      </c>
      <c r="I1995" s="2">
        <v>1091.18</v>
      </c>
      <c r="J1995" s="47" t="s">
        <v>720</v>
      </c>
      <c r="K1995" s="7">
        <v>45962</v>
      </c>
    </row>
    <row r="1996" spans="1:11" hidden="1">
      <c r="A1996" t="s">
        <v>39</v>
      </c>
      <c r="B1996" t="s">
        <v>63</v>
      </c>
      <c r="C1996" t="s">
        <v>14</v>
      </c>
      <c r="D1996">
        <v>10026649</v>
      </c>
      <c r="E1996" t="s">
        <v>9</v>
      </c>
      <c r="F1996" s="1" t="s">
        <v>5</v>
      </c>
      <c r="G1996" s="1">
        <v>45799</v>
      </c>
      <c r="H1996" t="s">
        <v>41</v>
      </c>
      <c r="I1996" s="2">
        <v>1085.6099999999999</v>
      </c>
      <c r="J1996" t="s">
        <v>790</v>
      </c>
      <c r="K1996" s="7">
        <v>45778</v>
      </c>
    </row>
    <row r="1997" spans="1:11" hidden="1">
      <c r="A1997" t="s">
        <v>39</v>
      </c>
      <c r="B1997" t="s">
        <v>47</v>
      </c>
      <c r="C1997" t="s">
        <v>13</v>
      </c>
      <c r="E1997" t="s">
        <v>9</v>
      </c>
      <c r="F1997" s="1" t="s">
        <v>6</v>
      </c>
      <c r="G1997" s="1">
        <v>45807</v>
      </c>
      <c r="H1997" t="s">
        <v>41</v>
      </c>
      <c r="I1997" s="2">
        <v>1085.5</v>
      </c>
      <c r="J1997" t="s">
        <v>329</v>
      </c>
      <c r="K1997" s="7">
        <v>45778</v>
      </c>
    </row>
    <row r="1998" spans="1:11" hidden="1">
      <c r="A1998" t="s">
        <v>39</v>
      </c>
      <c r="B1998" t="s">
        <v>47</v>
      </c>
      <c r="C1998" t="s">
        <v>12</v>
      </c>
      <c r="E1998" t="s">
        <v>9</v>
      </c>
      <c r="F1998" s="1" t="s">
        <v>4</v>
      </c>
      <c r="G1998" s="1">
        <v>45981</v>
      </c>
      <c r="H1998" t="s">
        <v>41</v>
      </c>
      <c r="I1998" s="2">
        <v>8760.6200000000008</v>
      </c>
      <c r="J1998" t="s">
        <v>1255</v>
      </c>
      <c r="K1998" s="7">
        <v>45962</v>
      </c>
    </row>
    <row r="1999" spans="1:11" hidden="1">
      <c r="A1999" t="s">
        <v>39</v>
      </c>
      <c r="B1999" t="s">
        <v>47</v>
      </c>
      <c r="C1999" t="s">
        <v>12</v>
      </c>
      <c r="E1999" t="s">
        <v>9</v>
      </c>
      <c r="F1999" s="1" t="s">
        <v>4</v>
      </c>
      <c r="G1999" s="1">
        <v>45981</v>
      </c>
      <c r="H1999" t="s">
        <v>41</v>
      </c>
      <c r="I1999" s="2">
        <v>8760.6200000000008</v>
      </c>
      <c r="J1999" t="s">
        <v>1255</v>
      </c>
      <c r="K1999" s="7">
        <v>45962</v>
      </c>
    </row>
    <row r="2000" spans="1:11" hidden="1">
      <c r="A2000" t="s">
        <v>39</v>
      </c>
      <c r="B2000" t="s">
        <v>40</v>
      </c>
      <c r="C2000" t="s">
        <v>14</v>
      </c>
      <c r="E2000" t="s">
        <v>9</v>
      </c>
      <c r="F2000" s="1" t="s">
        <v>3</v>
      </c>
      <c r="G2000" s="1">
        <v>45822</v>
      </c>
      <c r="H2000" t="s">
        <v>64</v>
      </c>
      <c r="I2000" s="2">
        <f>547102.48/508</f>
        <v>1076.9733858267716</v>
      </c>
      <c r="J2000" t="s">
        <v>1256</v>
      </c>
      <c r="K2000" s="7">
        <v>45809</v>
      </c>
    </row>
    <row r="2001" spans="1:11" hidden="1">
      <c r="A2001" t="s">
        <v>39</v>
      </c>
      <c r="B2001" t="s">
        <v>40</v>
      </c>
      <c r="C2001" t="s">
        <v>14</v>
      </c>
      <c r="E2001" t="s">
        <v>9</v>
      </c>
      <c r="F2001" s="1" t="s">
        <v>4</v>
      </c>
      <c r="G2001" s="1">
        <v>45981</v>
      </c>
      <c r="H2001" t="s">
        <v>41</v>
      </c>
      <c r="I2001" s="2">
        <v>3814.71</v>
      </c>
      <c r="J2001" t="s">
        <v>1257</v>
      </c>
      <c r="K2001" s="7">
        <v>45962</v>
      </c>
    </row>
    <row r="2002" spans="1:11" hidden="1">
      <c r="A2002" t="s">
        <v>39</v>
      </c>
      <c r="B2002" t="s">
        <v>47</v>
      </c>
      <c r="C2002" t="s">
        <v>14</v>
      </c>
      <c r="E2002" t="s">
        <v>9</v>
      </c>
      <c r="F2002" s="1" t="s">
        <v>4</v>
      </c>
      <c r="G2002" s="1">
        <v>45981</v>
      </c>
      <c r="H2002" t="s">
        <v>41</v>
      </c>
      <c r="I2002" s="2">
        <v>3554.36</v>
      </c>
      <c r="J2002" t="s">
        <v>1258</v>
      </c>
      <c r="K2002" s="7">
        <v>45962</v>
      </c>
    </row>
    <row r="2003" spans="1:11" hidden="1">
      <c r="A2003" t="s">
        <v>114</v>
      </c>
      <c r="B2003" t="s">
        <v>63</v>
      </c>
      <c r="C2003" t="s">
        <v>14</v>
      </c>
      <c r="E2003" t="s">
        <v>9</v>
      </c>
      <c r="F2003" s="1" t="s">
        <v>4</v>
      </c>
      <c r="G2003" s="1">
        <v>45981</v>
      </c>
      <c r="H2003" t="s">
        <v>64</v>
      </c>
      <c r="I2003" s="2">
        <f>1408395.93/510</f>
        <v>2761.5606470588232</v>
      </c>
      <c r="J2003" t="s">
        <v>1200</v>
      </c>
      <c r="K2003" s="7">
        <v>45962</v>
      </c>
    </row>
    <row r="2004" spans="1:11" hidden="1">
      <c r="A2004" t="s">
        <v>114</v>
      </c>
      <c r="B2004" t="s">
        <v>63</v>
      </c>
      <c r="C2004" t="s">
        <v>124</v>
      </c>
      <c r="E2004" t="s">
        <v>9</v>
      </c>
      <c r="F2004" s="1" t="s">
        <v>5</v>
      </c>
      <c r="G2004" s="1">
        <v>46014</v>
      </c>
      <c r="H2004" t="s">
        <v>64</v>
      </c>
      <c r="I2004" s="2">
        <f>545462.78/510</f>
        <v>1069.5348627450981</v>
      </c>
      <c r="J2004" t="s">
        <v>334</v>
      </c>
      <c r="K2004" s="7">
        <v>45992</v>
      </c>
    </row>
    <row r="2005" spans="1:11" hidden="1">
      <c r="A2005" t="s">
        <v>114</v>
      </c>
      <c r="B2005" t="s">
        <v>63</v>
      </c>
      <c r="C2005" t="s">
        <v>14</v>
      </c>
      <c r="E2005" t="s">
        <v>9</v>
      </c>
      <c r="F2005" s="1" t="s">
        <v>4</v>
      </c>
      <c r="G2005" s="1">
        <v>45981</v>
      </c>
      <c r="H2005" t="s">
        <v>64</v>
      </c>
      <c r="I2005" s="2">
        <f>1266564.72/510</f>
        <v>2483.4602352941174</v>
      </c>
      <c r="J2005" t="s">
        <v>1095</v>
      </c>
      <c r="K2005" s="7">
        <v>45962</v>
      </c>
    </row>
    <row r="2006" spans="1:11" hidden="1">
      <c r="A2006" t="s">
        <v>39</v>
      </c>
      <c r="B2006" t="s">
        <v>47</v>
      </c>
      <c r="C2006" t="s">
        <v>14</v>
      </c>
      <c r="E2006" t="s">
        <v>9</v>
      </c>
      <c r="F2006" s="1" t="s">
        <v>4</v>
      </c>
      <c r="G2006" s="1">
        <v>45981</v>
      </c>
      <c r="H2006" t="s">
        <v>64</v>
      </c>
      <c r="I2006" s="2">
        <f>1183399.55/510</f>
        <v>2320.3912745098041</v>
      </c>
      <c r="J2006" s="47" t="s">
        <v>1259</v>
      </c>
      <c r="K2006" s="7">
        <v>45962</v>
      </c>
    </row>
    <row r="2007" spans="1:11" hidden="1">
      <c r="A2007" t="s">
        <v>39</v>
      </c>
      <c r="B2007" t="s">
        <v>63</v>
      </c>
      <c r="C2007" t="s">
        <v>14</v>
      </c>
      <c r="E2007" t="s">
        <v>9</v>
      </c>
      <c r="F2007" s="1" t="s">
        <v>5</v>
      </c>
      <c r="G2007" s="1">
        <v>46048</v>
      </c>
      <c r="H2007" t="s">
        <v>41</v>
      </c>
      <c r="I2007" s="2">
        <v>1060.3399999999999</v>
      </c>
      <c r="J2007" t="s">
        <v>1260</v>
      </c>
      <c r="K2007" s="7">
        <v>46023</v>
      </c>
    </row>
    <row r="2008" spans="1:11" hidden="1">
      <c r="A2008" t="s">
        <v>39</v>
      </c>
      <c r="B2008" t="s">
        <v>47</v>
      </c>
      <c r="C2008" t="s">
        <v>14</v>
      </c>
      <c r="E2008" t="s">
        <v>9</v>
      </c>
      <c r="F2008" s="1" t="s">
        <v>5</v>
      </c>
      <c r="G2008" s="1">
        <v>45926</v>
      </c>
      <c r="H2008" t="s">
        <v>41</v>
      </c>
      <c r="I2008" s="2">
        <v>1033.95</v>
      </c>
      <c r="J2008" t="s">
        <v>1252</v>
      </c>
      <c r="K2008" s="7">
        <v>45901</v>
      </c>
    </row>
    <row r="2009" spans="1:11" hidden="1">
      <c r="A2009" t="s">
        <v>39</v>
      </c>
      <c r="B2009" t="s">
        <v>47</v>
      </c>
      <c r="C2009" t="s">
        <v>14</v>
      </c>
      <c r="E2009" t="s">
        <v>9</v>
      </c>
      <c r="F2009" s="1" t="s">
        <v>4</v>
      </c>
      <c r="G2009" s="1">
        <v>45981</v>
      </c>
      <c r="H2009" t="s">
        <v>41</v>
      </c>
      <c r="I2009" s="2">
        <v>1769.22</v>
      </c>
      <c r="J2009" t="s">
        <v>384</v>
      </c>
      <c r="K2009" s="7">
        <v>45962</v>
      </c>
    </row>
    <row r="2010" spans="1:11" hidden="1">
      <c r="A2010" t="s">
        <v>39</v>
      </c>
      <c r="B2010" t="s">
        <v>47</v>
      </c>
      <c r="C2010" t="s">
        <v>14</v>
      </c>
      <c r="E2010" t="s">
        <v>9</v>
      </c>
      <c r="F2010" s="1" t="s">
        <v>4</v>
      </c>
      <c r="G2010" s="1">
        <v>45981</v>
      </c>
      <c r="H2010" t="s">
        <v>41</v>
      </c>
      <c r="I2010" s="2">
        <v>944.45</v>
      </c>
      <c r="J2010" t="s">
        <v>1261</v>
      </c>
      <c r="K2010" s="7">
        <v>45962</v>
      </c>
    </row>
    <row r="2011" spans="1:11" hidden="1">
      <c r="A2011" t="s">
        <v>39</v>
      </c>
      <c r="B2011" t="s">
        <v>63</v>
      </c>
      <c r="C2011" t="s">
        <v>14</v>
      </c>
      <c r="E2011" t="s">
        <v>9</v>
      </c>
      <c r="F2011" s="1" t="s">
        <v>4</v>
      </c>
      <c r="G2011" s="1">
        <v>45981</v>
      </c>
      <c r="H2011" t="s">
        <v>41</v>
      </c>
      <c r="I2011" s="2">
        <v>913.3</v>
      </c>
      <c r="J2011" s="47" t="s">
        <v>283</v>
      </c>
      <c r="K2011" s="7">
        <v>45962</v>
      </c>
    </row>
    <row r="2012" spans="1:11" hidden="1">
      <c r="A2012" t="s">
        <v>39</v>
      </c>
      <c r="B2012" t="s">
        <v>40</v>
      </c>
      <c r="C2012" t="s">
        <v>14</v>
      </c>
      <c r="D2012">
        <v>10027343</v>
      </c>
      <c r="E2012" t="s">
        <v>9</v>
      </c>
      <c r="F2012" s="1" t="s">
        <v>3</v>
      </c>
      <c r="G2012" s="1">
        <v>45883</v>
      </c>
      <c r="H2012" t="s">
        <v>41</v>
      </c>
      <c r="I2012" s="2">
        <v>1026.8800000000001</v>
      </c>
      <c r="J2012" t="s">
        <v>782</v>
      </c>
      <c r="K2012" s="7">
        <v>45870</v>
      </c>
    </row>
    <row r="2013" spans="1:11" hidden="1">
      <c r="A2013" t="s">
        <v>39</v>
      </c>
      <c r="B2013" t="s">
        <v>40</v>
      </c>
      <c r="C2013" t="s">
        <v>14</v>
      </c>
      <c r="D2013">
        <v>10026612</v>
      </c>
      <c r="E2013" t="s">
        <v>9</v>
      </c>
      <c r="F2013" s="1" t="s">
        <v>3</v>
      </c>
      <c r="G2013" s="1">
        <v>45782</v>
      </c>
      <c r="H2013" t="s">
        <v>64</v>
      </c>
      <c r="I2013" s="2">
        <f>520424/508</f>
        <v>1024.4566929133857</v>
      </c>
      <c r="J2013" t="s">
        <v>1262</v>
      </c>
      <c r="K2013" s="7">
        <v>45778</v>
      </c>
    </row>
    <row r="2014" spans="1:11" hidden="1">
      <c r="A2014" t="s">
        <v>39</v>
      </c>
      <c r="B2014" t="s">
        <v>40</v>
      </c>
      <c r="C2014" t="s">
        <v>12</v>
      </c>
      <c r="E2014" t="s">
        <v>9</v>
      </c>
      <c r="F2014" s="1" t="s">
        <v>2</v>
      </c>
      <c r="G2014" s="1">
        <v>45811</v>
      </c>
      <c r="H2014" t="s">
        <v>64</v>
      </c>
      <c r="I2014" s="2">
        <f>520000/508</f>
        <v>1023.6220472440945</v>
      </c>
      <c r="J2014" t="s">
        <v>491</v>
      </c>
      <c r="K2014" s="7">
        <v>45809</v>
      </c>
    </row>
    <row r="2015" spans="1:11" hidden="1">
      <c r="A2015" t="s">
        <v>39</v>
      </c>
      <c r="B2015" t="s">
        <v>40</v>
      </c>
      <c r="C2015" t="s">
        <v>14</v>
      </c>
      <c r="E2015" t="s">
        <v>9</v>
      </c>
      <c r="F2015" s="1" t="s">
        <v>5</v>
      </c>
      <c r="G2015" s="1">
        <v>45796</v>
      </c>
      <c r="H2015" t="s">
        <v>41</v>
      </c>
      <c r="I2015" s="2">
        <v>1021</v>
      </c>
      <c r="J2015" t="s">
        <v>1263</v>
      </c>
      <c r="K2015" s="7">
        <v>45778</v>
      </c>
    </row>
    <row r="2016" spans="1:11" hidden="1">
      <c r="A2016" t="s">
        <v>39</v>
      </c>
      <c r="B2016" t="s">
        <v>40</v>
      </c>
      <c r="C2016" t="s">
        <v>14</v>
      </c>
      <c r="E2016" t="s">
        <v>9</v>
      </c>
      <c r="F2016" s="1" t="s">
        <v>2</v>
      </c>
      <c r="G2016" s="1">
        <v>45996</v>
      </c>
      <c r="H2016" t="s">
        <v>41</v>
      </c>
      <c r="I2016" s="2">
        <v>1020</v>
      </c>
      <c r="J2016" t="s">
        <v>1264</v>
      </c>
      <c r="K2016" s="7">
        <v>45992</v>
      </c>
    </row>
    <row r="2017" spans="1:11" hidden="1">
      <c r="A2017" t="s">
        <v>114</v>
      </c>
      <c r="B2017" t="s">
        <v>63</v>
      </c>
      <c r="C2017" t="s">
        <v>14</v>
      </c>
      <c r="E2017" t="s">
        <v>9</v>
      </c>
      <c r="F2017" s="1" t="s">
        <v>4</v>
      </c>
      <c r="G2017" s="1">
        <v>45981</v>
      </c>
      <c r="H2017" t="s">
        <v>41</v>
      </c>
      <c r="I2017" s="2">
        <v>554.27</v>
      </c>
      <c r="J2017" t="s">
        <v>1265</v>
      </c>
      <c r="K2017" s="7">
        <v>45962</v>
      </c>
    </row>
    <row r="2018" spans="1:11" hidden="1">
      <c r="A2018" t="s">
        <v>39</v>
      </c>
      <c r="B2018" t="s">
        <v>63</v>
      </c>
      <c r="C2018" t="s">
        <v>13</v>
      </c>
      <c r="D2018" s="6">
        <v>10027242</v>
      </c>
      <c r="E2018" t="s">
        <v>9</v>
      </c>
      <c r="F2018" s="1" t="s">
        <v>2</v>
      </c>
      <c r="G2018" s="1">
        <v>45874</v>
      </c>
      <c r="H2018" t="s">
        <v>41</v>
      </c>
      <c r="I2018" s="2">
        <v>1009</v>
      </c>
      <c r="J2018" t="s">
        <v>469</v>
      </c>
      <c r="K2018" s="7">
        <v>45870</v>
      </c>
    </row>
    <row r="2019" spans="1:11" hidden="1">
      <c r="A2019" t="s">
        <v>39</v>
      </c>
      <c r="B2019" t="s">
        <v>40</v>
      </c>
      <c r="C2019" t="s">
        <v>14</v>
      </c>
      <c r="D2019">
        <v>10028414</v>
      </c>
      <c r="E2019" t="s">
        <v>9</v>
      </c>
      <c r="F2019" s="1" t="s">
        <v>5</v>
      </c>
      <c r="G2019" s="1">
        <v>46052</v>
      </c>
      <c r="H2019" t="s">
        <v>64</v>
      </c>
      <c r="I2019" s="2">
        <f>500000/496</f>
        <v>1008.0645161290323</v>
      </c>
      <c r="J2019" t="s">
        <v>1266</v>
      </c>
      <c r="K2019" s="7">
        <v>46023</v>
      </c>
    </row>
    <row r="2020" spans="1:11" hidden="1">
      <c r="A2020" t="s">
        <v>39</v>
      </c>
      <c r="B2020" t="s">
        <v>40</v>
      </c>
      <c r="C2020" t="s">
        <v>14</v>
      </c>
      <c r="D2020">
        <v>10027184</v>
      </c>
      <c r="E2020" t="s">
        <v>9</v>
      </c>
      <c r="F2020" s="1" t="s">
        <v>2</v>
      </c>
      <c r="G2020" s="1">
        <v>45840</v>
      </c>
      <c r="H2020" t="s">
        <v>64</v>
      </c>
      <c r="I2020" s="2">
        <f>512000/508</f>
        <v>1007.8740157480315</v>
      </c>
      <c r="J2020" t="s">
        <v>698</v>
      </c>
      <c r="K2020" s="7">
        <v>45839</v>
      </c>
    </row>
    <row r="2021" spans="1:11" hidden="1">
      <c r="A2021" t="s">
        <v>114</v>
      </c>
      <c r="B2021" t="s">
        <v>63</v>
      </c>
      <c r="C2021" t="s">
        <v>13</v>
      </c>
      <c r="D2021">
        <v>15199</v>
      </c>
      <c r="E2021" t="s">
        <v>9</v>
      </c>
      <c r="F2021" s="1" t="s">
        <v>6</v>
      </c>
      <c r="G2021" s="1">
        <v>45867</v>
      </c>
      <c r="H2021" t="s">
        <v>41</v>
      </c>
      <c r="I2021" s="2">
        <v>1007.81</v>
      </c>
      <c r="J2021" t="s">
        <v>822</v>
      </c>
      <c r="K2021" s="7">
        <v>45839</v>
      </c>
    </row>
    <row r="2022" spans="1:11" hidden="1">
      <c r="A2022" t="s">
        <v>39</v>
      </c>
      <c r="B2022" t="s">
        <v>47</v>
      </c>
      <c r="C2022" t="s">
        <v>14</v>
      </c>
      <c r="E2022" t="s">
        <v>9</v>
      </c>
      <c r="F2022" s="1" t="s">
        <v>3</v>
      </c>
      <c r="G2022" s="1">
        <v>45975</v>
      </c>
      <c r="H2022" t="s">
        <v>41</v>
      </c>
      <c r="I2022" s="2">
        <v>1006.15</v>
      </c>
      <c r="J2022" t="s">
        <v>1135</v>
      </c>
      <c r="K2022" s="7">
        <v>45962</v>
      </c>
    </row>
    <row r="2023" spans="1:11" hidden="1">
      <c r="A2023" t="s">
        <v>39</v>
      </c>
      <c r="B2023" t="s">
        <v>40</v>
      </c>
      <c r="C2023" t="s">
        <v>14</v>
      </c>
      <c r="D2023">
        <v>10026508</v>
      </c>
      <c r="E2023" t="s">
        <v>9</v>
      </c>
      <c r="F2023" s="1" t="s">
        <v>3</v>
      </c>
      <c r="G2023" s="1">
        <v>45785</v>
      </c>
      <c r="H2023" t="s">
        <v>64</v>
      </c>
      <c r="I2023" s="2">
        <f>510430/508</f>
        <v>1004.7834645669292</v>
      </c>
      <c r="J2023" t="s">
        <v>1267</v>
      </c>
      <c r="K2023" s="7">
        <v>45778</v>
      </c>
    </row>
    <row r="2024" spans="1:11" hidden="1">
      <c r="A2024" t="s">
        <v>114</v>
      </c>
      <c r="B2024" t="s">
        <v>63</v>
      </c>
      <c r="C2024" t="s">
        <v>14</v>
      </c>
      <c r="E2024" t="s">
        <v>9</v>
      </c>
      <c r="F2024" s="1" t="s">
        <v>4</v>
      </c>
      <c r="G2024" s="1">
        <v>45981</v>
      </c>
      <c r="H2024" t="s">
        <v>41</v>
      </c>
      <c r="I2024" s="2">
        <v>485.9</v>
      </c>
      <c r="J2024" s="47" t="s">
        <v>1268</v>
      </c>
      <c r="K2024" s="7">
        <v>45962</v>
      </c>
    </row>
    <row r="2025" spans="1:11" hidden="1">
      <c r="A2025" t="s">
        <v>39</v>
      </c>
      <c r="B2025" t="s">
        <v>40</v>
      </c>
      <c r="C2025" t="s">
        <v>14</v>
      </c>
      <c r="E2025" t="s">
        <v>9</v>
      </c>
      <c r="F2025" s="1" t="s">
        <v>4</v>
      </c>
      <c r="G2025" s="1">
        <v>45981</v>
      </c>
      <c r="H2025" t="s">
        <v>41</v>
      </c>
      <c r="I2025" s="2">
        <v>216.3</v>
      </c>
      <c r="J2025" s="47" t="s">
        <v>1269</v>
      </c>
      <c r="K2025" s="7">
        <v>45962</v>
      </c>
    </row>
    <row r="2026" spans="1:11" hidden="1">
      <c r="A2026" t="s">
        <v>39</v>
      </c>
      <c r="B2026" t="s">
        <v>40</v>
      </c>
      <c r="C2026" t="s">
        <v>14</v>
      </c>
      <c r="D2026">
        <v>10026498</v>
      </c>
      <c r="E2026" t="s">
        <v>9</v>
      </c>
      <c r="F2026" t="s">
        <v>2</v>
      </c>
      <c r="G2026" s="1">
        <v>45780</v>
      </c>
      <c r="H2026" t="s">
        <v>41</v>
      </c>
      <c r="I2026" s="2">
        <v>1000</v>
      </c>
      <c r="J2026" t="s">
        <v>96</v>
      </c>
      <c r="K2026" s="7">
        <v>45778</v>
      </c>
    </row>
    <row r="2027" spans="1:11" hidden="1">
      <c r="A2027" t="s">
        <v>39</v>
      </c>
      <c r="B2027" t="s">
        <v>40</v>
      </c>
      <c r="C2027" t="s">
        <v>14</v>
      </c>
      <c r="D2027">
        <v>10026531</v>
      </c>
      <c r="E2027" t="s">
        <v>9</v>
      </c>
      <c r="F2027" s="1" t="s">
        <v>3</v>
      </c>
      <c r="G2027" s="1">
        <v>45785</v>
      </c>
      <c r="H2027" t="s">
        <v>41</v>
      </c>
      <c r="I2027" s="2">
        <v>1000</v>
      </c>
      <c r="J2027" t="s">
        <v>812</v>
      </c>
      <c r="K2027" s="7">
        <v>45778</v>
      </c>
    </row>
    <row r="2028" spans="1:11" hidden="1">
      <c r="A2028" t="s">
        <v>39</v>
      </c>
      <c r="B2028" t="s">
        <v>40</v>
      </c>
      <c r="C2028" t="s">
        <v>14</v>
      </c>
      <c r="D2028">
        <v>10026533</v>
      </c>
      <c r="E2028" t="s">
        <v>9</v>
      </c>
      <c r="F2028" s="1" t="s">
        <v>3</v>
      </c>
      <c r="G2028" s="1">
        <v>45785</v>
      </c>
      <c r="H2028" t="s">
        <v>41</v>
      </c>
      <c r="I2028" s="2">
        <v>1000</v>
      </c>
      <c r="J2028" t="s">
        <v>49</v>
      </c>
      <c r="K2028" s="7">
        <v>45778</v>
      </c>
    </row>
    <row r="2029" spans="1:11" hidden="1">
      <c r="A2029" t="s">
        <v>39</v>
      </c>
      <c r="B2029" t="s">
        <v>40</v>
      </c>
      <c r="C2029" t="s">
        <v>14</v>
      </c>
      <c r="D2029">
        <v>10027977</v>
      </c>
      <c r="E2029" t="s">
        <v>9</v>
      </c>
      <c r="F2029" s="1" t="s">
        <v>4</v>
      </c>
      <c r="G2029" s="1">
        <v>45981</v>
      </c>
      <c r="H2029" t="s">
        <v>41</v>
      </c>
      <c r="I2029" s="2">
        <v>100</v>
      </c>
      <c r="J2029" t="s">
        <v>1270</v>
      </c>
      <c r="K2029" s="7">
        <v>45962</v>
      </c>
    </row>
    <row r="2030" spans="1:11" hidden="1">
      <c r="A2030" t="s">
        <v>39</v>
      </c>
      <c r="B2030" t="s">
        <v>40</v>
      </c>
      <c r="C2030" t="s">
        <v>14</v>
      </c>
      <c r="E2030" t="s">
        <v>9</v>
      </c>
      <c r="F2030" s="1" t="s">
        <v>5</v>
      </c>
      <c r="G2030" s="1">
        <v>45794</v>
      </c>
      <c r="H2030" t="s">
        <v>41</v>
      </c>
      <c r="I2030" s="2">
        <v>1000</v>
      </c>
      <c r="J2030" t="s">
        <v>376</v>
      </c>
      <c r="K2030" s="7">
        <v>45778</v>
      </c>
    </row>
    <row r="2031" spans="1:11" hidden="1">
      <c r="A2031" t="s">
        <v>39</v>
      </c>
      <c r="B2031" t="s">
        <v>40</v>
      </c>
      <c r="C2031" t="s">
        <v>12</v>
      </c>
      <c r="E2031" t="s">
        <v>9</v>
      </c>
      <c r="F2031" s="1" t="s">
        <v>2</v>
      </c>
      <c r="G2031" s="1">
        <v>45810</v>
      </c>
      <c r="H2031" t="s">
        <v>41</v>
      </c>
      <c r="I2031" s="2">
        <v>1000</v>
      </c>
      <c r="J2031" t="s">
        <v>859</v>
      </c>
      <c r="K2031" s="7">
        <v>45809</v>
      </c>
    </row>
    <row r="2032" spans="1:11" hidden="1">
      <c r="A2032" t="s">
        <v>39</v>
      </c>
      <c r="B2032" t="s">
        <v>40</v>
      </c>
      <c r="C2032" t="s">
        <v>14</v>
      </c>
      <c r="E2032" t="s">
        <v>9</v>
      </c>
      <c r="F2032" s="1" t="s">
        <v>2</v>
      </c>
      <c r="G2032" s="1">
        <v>45810</v>
      </c>
      <c r="H2032" t="s">
        <v>41</v>
      </c>
      <c r="I2032" s="2">
        <v>1000</v>
      </c>
      <c r="J2032" t="s">
        <v>491</v>
      </c>
      <c r="K2032" s="7">
        <v>45809</v>
      </c>
    </row>
    <row r="2033" spans="1:11" hidden="1">
      <c r="A2033" t="s">
        <v>39</v>
      </c>
      <c r="B2033" t="s">
        <v>63</v>
      </c>
      <c r="C2033" t="s">
        <v>13</v>
      </c>
      <c r="E2033" t="s">
        <v>9</v>
      </c>
      <c r="F2033" s="1" t="s">
        <v>4</v>
      </c>
      <c r="G2033" s="1">
        <v>45982</v>
      </c>
      <c r="H2033" t="s">
        <v>41</v>
      </c>
      <c r="I2033" s="2">
        <v>100000</v>
      </c>
      <c r="J2033" s="47" t="s">
        <v>842</v>
      </c>
      <c r="K2033" s="7">
        <v>45962</v>
      </c>
    </row>
    <row r="2034" spans="1:11" hidden="1">
      <c r="A2034" t="s">
        <v>39</v>
      </c>
      <c r="B2034" t="s">
        <v>40</v>
      </c>
      <c r="C2034" t="s">
        <v>14</v>
      </c>
      <c r="E2034" t="s">
        <v>9</v>
      </c>
      <c r="F2034" s="1" t="s">
        <v>5</v>
      </c>
      <c r="G2034" s="1">
        <v>45832</v>
      </c>
      <c r="H2034" t="s">
        <v>41</v>
      </c>
      <c r="I2034" s="2">
        <v>1000</v>
      </c>
      <c r="J2034" t="s">
        <v>1271</v>
      </c>
      <c r="K2034" s="7">
        <v>45809</v>
      </c>
    </row>
    <row r="2035" spans="1:11" hidden="1">
      <c r="A2035" t="s">
        <v>39</v>
      </c>
      <c r="B2035" t="s">
        <v>40</v>
      </c>
      <c r="C2035" t="s">
        <v>14</v>
      </c>
      <c r="E2035" t="s">
        <v>9</v>
      </c>
      <c r="F2035" s="1" t="s">
        <v>5</v>
      </c>
      <c r="G2035" s="1">
        <v>45836</v>
      </c>
      <c r="H2035" t="s">
        <v>41</v>
      </c>
      <c r="I2035" s="2">
        <v>1000</v>
      </c>
      <c r="J2035" t="s">
        <v>773</v>
      </c>
      <c r="K2035" s="7">
        <v>45809</v>
      </c>
    </row>
    <row r="2036" spans="1:11" hidden="1">
      <c r="A2036" t="s">
        <v>39</v>
      </c>
      <c r="B2036" t="s">
        <v>40</v>
      </c>
      <c r="C2036" t="s">
        <v>14</v>
      </c>
      <c r="D2036">
        <v>10027185</v>
      </c>
      <c r="E2036" t="s">
        <v>9</v>
      </c>
      <c r="F2036" s="1" t="s">
        <v>5</v>
      </c>
      <c r="G2036" s="1">
        <v>45861</v>
      </c>
      <c r="H2036" t="s">
        <v>41</v>
      </c>
      <c r="I2036" s="2">
        <v>1000</v>
      </c>
      <c r="J2036" t="s">
        <v>1102</v>
      </c>
      <c r="K2036" s="7">
        <v>45839</v>
      </c>
    </row>
    <row r="2037" spans="1:11" hidden="1">
      <c r="A2037" t="s">
        <v>39</v>
      </c>
      <c r="B2037" t="s">
        <v>40</v>
      </c>
      <c r="C2037" t="s">
        <v>14</v>
      </c>
      <c r="D2037">
        <v>10027167</v>
      </c>
      <c r="E2037" t="s">
        <v>9</v>
      </c>
      <c r="F2037" s="1" t="s">
        <v>5</v>
      </c>
      <c r="G2037" s="1">
        <v>45863</v>
      </c>
      <c r="H2037" t="s">
        <v>41</v>
      </c>
      <c r="I2037" s="2">
        <v>1000</v>
      </c>
      <c r="J2037" t="s">
        <v>1272</v>
      </c>
      <c r="K2037" s="7">
        <v>45839</v>
      </c>
    </row>
    <row r="2038" spans="1:11" hidden="1">
      <c r="A2038" t="s">
        <v>39</v>
      </c>
      <c r="B2038" t="s">
        <v>40</v>
      </c>
      <c r="C2038" t="s">
        <v>14</v>
      </c>
      <c r="D2038">
        <v>10027198</v>
      </c>
      <c r="E2038" t="s">
        <v>9</v>
      </c>
      <c r="F2038" s="1" t="s">
        <v>6</v>
      </c>
      <c r="G2038" s="1">
        <v>45867</v>
      </c>
      <c r="H2038" t="s">
        <v>41</v>
      </c>
      <c r="I2038" s="2">
        <v>1000</v>
      </c>
      <c r="J2038" t="s">
        <v>1091</v>
      </c>
      <c r="K2038" s="7">
        <v>45839</v>
      </c>
    </row>
    <row r="2039" spans="1:11" hidden="1">
      <c r="A2039" t="s">
        <v>39</v>
      </c>
      <c r="B2039" t="s">
        <v>40</v>
      </c>
      <c r="C2039" t="s">
        <v>14</v>
      </c>
      <c r="D2039">
        <v>10027235</v>
      </c>
      <c r="E2039" t="s">
        <v>9</v>
      </c>
      <c r="F2039" s="1" t="s">
        <v>2</v>
      </c>
      <c r="G2039" s="1">
        <v>45873</v>
      </c>
      <c r="H2039" t="s">
        <v>41</v>
      </c>
      <c r="I2039" s="2">
        <v>1000</v>
      </c>
      <c r="J2039" t="s">
        <v>743</v>
      </c>
      <c r="K2039" s="7">
        <v>45870</v>
      </c>
    </row>
    <row r="2040" spans="1:11" hidden="1">
      <c r="A2040" t="s">
        <v>39</v>
      </c>
      <c r="B2040" t="s">
        <v>40</v>
      </c>
      <c r="C2040" t="s">
        <v>14</v>
      </c>
      <c r="D2040">
        <v>10027395</v>
      </c>
      <c r="E2040" t="s">
        <v>9</v>
      </c>
      <c r="F2040" s="1" t="s">
        <v>5</v>
      </c>
      <c r="G2040" s="1">
        <v>45895</v>
      </c>
      <c r="H2040" t="s">
        <v>41</v>
      </c>
      <c r="I2040" s="2">
        <v>1000</v>
      </c>
      <c r="J2040" t="s">
        <v>1273</v>
      </c>
      <c r="K2040" s="7">
        <v>45870</v>
      </c>
    </row>
    <row r="2041" spans="1:11" hidden="1">
      <c r="A2041" t="s">
        <v>39</v>
      </c>
      <c r="B2041" t="s">
        <v>40</v>
      </c>
      <c r="C2041" t="s">
        <v>14</v>
      </c>
      <c r="E2041" t="s">
        <v>9</v>
      </c>
      <c r="F2041" s="1" t="s">
        <v>5</v>
      </c>
      <c r="G2041" s="1">
        <v>45898</v>
      </c>
      <c r="H2041" t="s">
        <v>41</v>
      </c>
      <c r="I2041" s="2">
        <v>1000</v>
      </c>
      <c r="J2041" t="s">
        <v>1274</v>
      </c>
      <c r="K2041" s="7">
        <v>45870</v>
      </c>
    </row>
    <row r="2042" spans="1:11" hidden="1">
      <c r="A2042" t="s">
        <v>39</v>
      </c>
      <c r="B2042" t="s">
        <v>40</v>
      </c>
      <c r="C2042" t="s">
        <v>14</v>
      </c>
      <c r="D2042">
        <v>10027413</v>
      </c>
      <c r="E2042" t="s">
        <v>9</v>
      </c>
      <c r="F2042" s="1" t="s">
        <v>5</v>
      </c>
      <c r="G2042" s="1">
        <v>45898</v>
      </c>
      <c r="H2042" t="s">
        <v>41</v>
      </c>
      <c r="I2042" s="2">
        <v>1000</v>
      </c>
      <c r="J2042" t="s">
        <v>724</v>
      </c>
      <c r="K2042" s="7">
        <v>45870</v>
      </c>
    </row>
    <row r="2043" spans="1:11" hidden="1">
      <c r="A2043" t="s">
        <v>39</v>
      </c>
      <c r="B2043" t="s">
        <v>40</v>
      </c>
      <c r="C2043" t="s">
        <v>14</v>
      </c>
      <c r="D2043">
        <v>10027442</v>
      </c>
      <c r="E2043" t="s">
        <v>9</v>
      </c>
      <c r="F2043" s="1" t="s">
        <v>5</v>
      </c>
      <c r="G2043" s="1">
        <v>45899</v>
      </c>
      <c r="H2043" t="s">
        <v>41</v>
      </c>
      <c r="I2043" s="2">
        <v>1000</v>
      </c>
      <c r="J2043" t="s">
        <v>962</v>
      </c>
      <c r="K2043" s="7">
        <v>45870</v>
      </c>
    </row>
    <row r="2044" spans="1:11" hidden="1">
      <c r="A2044" t="s">
        <v>39</v>
      </c>
      <c r="B2044" t="s">
        <v>40</v>
      </c>
      <c r="C2044" t="s">
        <v>12</v>
      </c>
      <c r="E2044" t="s">
        <v>9</v>
      </c>
      <c r="F2044" s="1" t="s">
        <v>2</v>
      </c>
      <c r="G2044" s="1">
        <v>45902</v>
      </c>
      <c r="H2044" t="s">
        <v>41</v>
      </c>
      <c r="I2044" s="2">
        <v>1000</v>
      </c>
      <c r="J2044" t="s">
        <v>1275</v>
      </c>
      <c r="K2044" s="7">
        <v>45901</v>
      </c>
    </row>
    <row r="2045" spans="1:11" hidden="1">
      <c r="A2045" t="s">
        <v>39</v>
      </c>
      <c r="B2045" t="s">
        <v>40</v>
      </c>
      <c r="C2045" t="s">
        <v>14</v>
      </c>
      <c r="E2045" t="s">
        <v>9</v>
      </c>
      <c r="F2045" s="1" t="s">
        <v>2</v>
      </c>
      <c r="G2045" s="1">
        <v>45904</v>
      </c>
      <c r="H2045" t="s">
        <v>41</v>
      </c>
      <c r="I2045" s="2">
        <v>1000</v>
      </c>
      <c r="J2045" t="s">
        <v>1276</v>
      </c>
      <c r="K2045" s="7">
        <v>45901</v>
      </c>
    </row>
    <row r="2046" spans="1:11" hidden="1">
      <c r="A2046" t="s">
        <v>39</v>
      </c>
      <c r="B2046" t="s">
        <v>45</v>
      </c>
      <c r="C2046" t="s">
        <v>14</v>
      </c>
      <c r="E2046" t="s">
        <v>8</v>
      </c>
      <c r="F2046" s="1" t="s">
        <v>4</v>
      </c>
      <c r="G2046" s="1">
        <v>45984</v>
      </c>
      <c r="H2046" t="s">
        <v>41</v>
      </c>
      <c r="I2046" s="2">
        <v>272349.94</v>
      </c>
      <c r="J2046" t="s">
        <v>58</v>
      </c>
      <c r="K2046" s="7">
        <v>45962</v>
      </c>
    </row>
    <row r="2047" spans="1:11" hidden="1">
      <c r="A2047" t="s">
        <v>39</v>
      </c>
      <c r="B2047" t="s">
        <v>47</v>
      </c>
      <c r="C2047" t="s">
        <v>13</v>
      </c>
      <c r="E2047" t="s">
        <v>8</v>
      </c>
      <c r="F2047" s="1" t="s">
        <v>4</v>
      </c>
      <c r="G2047" s="1">
        <v>45984</v>
      </c>
      <c r="H2047" t="s">
        <v>41</v>
      </c>
      <c r="I2047" s="2">
        <v>136569</v>
      </c>
      <c r="J2047" t="s">
        <v>118</v>
      </c>
      <c r="K2047" s="7">
        <v>45962</v>
      </c>
    </row>
    <row r="2048" spans="1:11" hidden="1">
      <c r="A2048" t="s">
        <v>39</v>
      </c>
      <c r="B2048" t="s">
        <v>40</v>
      </c>
      <c r="C2048" t="s">
        <v>14</v>
      </c>
      <c r="E2048" t="s">
        <v>8</v>
      </c>
      <c r="F2048" s="1" t="s">
        <v>4</v>
      </c>
      <c r="G2048" s="1">
        <v>45984</v>
      </c>
      <c r="H2048" t="s">
        <v>41</v>
      </c>
      <c r="I2048" s="2">
        <v>60000</v>
      </c>
      <c r="J2048" t="s">
        <v>98</v>
      </c>
      <c r="K2048" s="7">
        <v>45962</v>
      </c>
    </row>
    <row r="2049" spans="1:11" hidden="1">
      <c r="A2049" t="s">
        <v>39</v>
      </c>
      <c r="B2049" t="s">
        <v>63</v>
      </c>
      <c r="C2049" t="s">
        <v>13</v>
      </c>
      <c r="E2049" t="s">
        <v>8</v>
      </c>
      <c r="F2049" s="1" t="s">
        <v>4</v>
      </c>
      <c r="G2049" s="1">
        <v>45984</v>
      </c>
      <c r="H2049" t="s">
        <v>41</v>
      </c>
      <c r="I2049" s="2">
        <v>50887</v>
      </c>
      <c r="J2049" t="s">
        <v>304</v>
      </c>
      <c r="K2049" s="7">
        <v>45962</v>
      </c>
    </row>
    <row r="2050" spans="1:11" hidden="1">
      <c r="A2050" t="s">
        <v>114</v>
      </c>
      <c r="B2050" t="s">
        <v>63</v>
      </c>
      <c r="C2050" t="s">
        <v>14</v>
      </c>
      <c r="E2050" t="s">
        <v>8</v>
      </c>
      <c r="F2050" s="1" t="s">
        <v>4</v>
      </c>
      <c r="G2050" s="1">
        <v>45984</v>
      </c>
      <c r="H2050" t="s">
        <v>41</v>
      </c>
      <c r="I2050" s="2">
        <v>30710.560000000001</v>
      </c>
      <c r="J2050" t="s">
        <v>1234</v>
      </c>
      <c r="K2050" s="7">
        <v>45962</v>
      </c>
    </row>
    <row r="2051" spans="1:11" hidden="1">
      <c r="A2051" t="s">
        <v>39</v>
      </c>
      <c r="B2051" t="s">
        <v>47</v>
      </c>
      <c r="C2051" t="s">
        <v>14</v>
      </c>
      <c r="E2051" t="s">
        <v>8</v>
      </c>
      <c r="F2051" s="1" t="s">
        <v>4</v>
      </c>
      <c r="G2051" s="1">
        <v>45984</v>
      </c>
      <c r="H2051" t="s">
        <v>41</v>
      </c>
      <c r="I2051" s="2">
        <v>27691.56</v>
      </c>
      <c r="J2051" t="s">
        <v>1277</v>
      </c>
      <c r="K2051" s="7">
        <v>45962</v>
      </c>
    </row>
    <row r="2052" spans="1:11" hidden="1">
      <c r="A2052" t="s">
        <v>56</v>
      </c>
      <c r="B2052" t="s">
        <v>40</v>
      </c>
      <c r="C2052" t="s">
        <v>14</v>
      </c>
      <c r="E2052" t="s">
        <v>8</v>
      </c>
      <c r="F2052" s="1" t="s">
        <v>4</v>
      </c>
      <c r="G2052" s="1">
        <v>45984</v>
      </c>
      <c r="H2052" t="s">
        <v>41</v>
      </c>
      <c r="I2052" s="2">
        <v>25000</v>
      </c>
      <c r="J2052" t="s">
        <v>98</v>
      </c>
      <c r="K2052" s="7">
        <v>45962</v>
      </c>
    </row>
    <row r="2053" spans="1:11" hidden="1">
      <c r="A2053" t="s">
        <v>39</v>
      </c>
      <c r="B2053" t="s">
        <v>47</v>
      </c>
      <c r="C2053" t="s">
        <v>14</v>
      </c>
      <c r="E2053" t="s">
        <v>8</v>
      </c>
      <c r="F2053" s="1" t="s">
        <v>4</v>
      </c>
      <c r="G2053" s="1">
        <v>45984</v>
      </c>
      <c r="H2053" t="s">
        <v>41</v>
      </c>
      <c r="I2053" s="2">
        <v>21895.07</v>
      </c>
      <c r="J2053" t="s">
        <v>462</v>
      </c>
      <c r="K2053" s="7">
        <v>45962</v>
      </c>
    </row>
    <row r="2054" spans="1:11" hidden="1">
      <c r="A2054" t="s">
        <v>114</v>
      </c>
      <c r="B2054" t="s">
        <v>63</v>
      </c>
      <c r="C2054" t="s">
        <v>14</v>
      </c>
      <c r="E2054" t="s">
        <v>8</v>
      </c>
      <c r="F2054" s="1" t="s">
        <v>4</v>
      </c>
      <c r="G2054" s="1">
        <v>45984</v>
      </c>
      <c r="H2054" t="s">
        <v>41</v>
      </c>
      <c r="I2054" s="2">
        <v>17547.150000000001</v>
      </c>
      <c r="J2054" t="s">
        <v>457</v>
      </c>
      <c r="K2054" s="7">
        <v>45962</v>
      </c>
    </row>
    <row r="2055" spans="1:11" hidden="1">
      <c r="A2055" t="s">
        <v>39</v>
      </c>
      <c r="B2055" t="s">
        <v>63</v>
      </c>
      <c r="C2055" t="s">
        <v>14</v>
      </c>
      <c r="E2055" t="s">
        <v>8</v>
      </c>
      <c r="F2055" s="1" t="s">
        <v>4</v>
      </c>
      <c r="G2055" s="1">
        <v>45984</v>
      </c>
      <c r="H2055" t="s">
        <v>41</v>
      </c>
      <c r="I2055" s="2">
        <v>15488.54</v>
      </c>
      <c r="J2055" t="s">
        <v>430</v>
      </c>
      <c r="K2055" s="7">
        <v>45962</v>
      </c>
    </row>
    <row r="2056" spans="1:11" hidden="1">
      <c r="A2056" t="s">
        <v>99</v>
      </c>
      <c r="B2056" t="s">
        <v>63</v>
      </c>
      <c r="C2056" t="s">
        <v>14</v>
      </c>
      <c r="E2056" t="s">
        <v>8</v>
      </c>
      <c r="F2056" s="1" t="s">
        <v>4</v>
      </c>
      <c r="G2056" s="1">
        <v>45984</v>
      </c>
      <c r="H2056" t="s">
        <v>41</v>
      </c>
      <c r="I2056" s="2">
        <v>20000</v>
      </c>
      <c r="J2056" t="s">
        <v>1278</v>
      </c>
      <c r="K2056" s="7">
        <v>45962</v>
      </c>
    </row>
    <row r="2057" spans="1:11" hidden="1">
      <c r="A2057" t="s">
        <v>39</v>
      </c>
      <c r="B2057" t="s">
        <v>63</v>
      </c>
      <c r="C2057" t="s">
        <v>14</v>
      </c>
      <c r="E2057" t="s">
        <v>8</v>
      </c>
      <c r="F2057" s="1" t="s">
        <v>4</v>
      </c>
      <c r="G2057" s="1">
        <v>45984</v>
      </c>
      <c r="H2057" t="s">
        <v>41</v>
      </c>
      <c r="I2057" s="2">
        <v>7317</v>
      </c>
      <c r="J2057" t="s">
        <v>469</v>
      </c>
      <c r="K2057" s="7">
        <v>45962</v>
      </c>
    </row>
    <row r="2058" spans="1:11" hidden="1">
      <c r="A2058" t="s">
        <v>39</v>
      </c>
      <c r="B2058" t="s">
        <v>63</v>
      </c>
      <c r="C2058" t="s">
        <v>14</v>
      </c>
      <c r="E2058" t="s">
        <v>8</v>
      </c>
      <c r="F2058" s="1" t="s">
        <v>4</v>
      </c>
      <c r="G2058" s="1">
        <v>45984</v>
      </c>
      <c r="H2058" t="s">
        <v>41</v>
      </c>
      <c r="I2058" s="2">
        <v>5954.12</v>
      </c>
      <c r="J2058" t="s">
        <v>1279</v>
      </c>
      <c r="K2058" s="7">
        <v>45962</v>
      </c>
    </row>
    <row r="2059" spans="1:11" hidden="1">
      <c r="A2059" t="s">
        <v>39</v>
      </c>
      <c r="B2059" t="s">
        <v>63</v>
      </c>
      <c r="C2059" t="s">
        <v>14</v>
      </c>
      <c r="E2059" t="s">
        <v>8</v>
      </c>
      <c r="F2059" s="1" t="s">
        <v>4</v>
      </c>
      <c r="G2059" s="1">
        <v>45984</v>
      </c>
      <c r="H2059" t="s">
        <v>41</v>
      </c>
      <c r="I2059" s="2">
        <v>4754</v>
      </c>
      <c r="J2059" t="s">
        <v>1069</v>
      </c>
      <c r="K2059" s="7">
        <v>45962</v>
      </c>
    </row>
    <row r="2060" spans="1:11" hidden="1">
      <c r="A2060" t="s">
        <v>39</v>
      </c>
      <c r="B2060" t="s">
        <v>47</v>
      </c>
      <c r="C2060" t="s">
        <v>14</v>
      </c>
      <c r="E2060" t="s">
        <v>8</v>
      </c>
      <c r="F2060" s="1" t="s">
        <v>4</v>
      </c>
      <c r="G2060" s="1">
        <v>45984</v>
      </c>
      <c r="H2060" t="s">
        <v>41</v>
      </c>
      <c r="I2060" s="2">
        <v>3554.36</v>
      </c>
      <c r="J2060" t="s">
        <v>1258</v>
      </c>
      <c r="K2060" s="7">
        <v>45962</v>
      </c>
    </row>
    <row r="2061" spans="1:11" hidden="1">
      <c r="A2061" t="s">
        <v>39</v>
      </c>
      <c r="B2061" t="s">
        <v>40</v>
      </c>
      <c r="C2061" t="s">
        <v>14</v>
      </c>
      <c r="D2061">
        <v>10027525</v>
      </c>
      <c r="E2061" t="s">
        <v>9</v>
      </c>
      <c r="F2061" s="1" t="s">
        <v>2</v>
      </c>
      <c r="G2061" s="1">
        <v>45905</v>
      </c>
      <c r="H2061" t="s">
        <v>41</v>
      </c>
      <c r="I2061" s="2">
        <v>1000</v>
      </c>
      <c r="J2061" t="s">
        <v>676</v>
      </c>
      <c r="K2061" s="7">
        <v>45901</v>
      </c>
    </row>
    <row r="2062" spans="1:11" hidden="1">
      <c r="A2062" t="s">
        <v>39</v>
      </c>
      <c r="B2062" t="s">
        <v>40</v>
      </c>
      <c r="C2062" t="s">
        <v>14</v>
      </c>
      <c r="E2062" t="s">
        <v>9</v>
      </c>
      <c r="F2062" s="54" t="s">
        <v>3</v>
      </c>
      <c r="G2062" s="1">
        <v>45913</v>
      </c>
      <c r="H2062" t="s">
        <v>41</v>
      </c>
      <c r="I2062" s="2">
        <v>1000</v>
      </c>
      <c r="J2062" t="s">
        <v>846</v>
      </c>
      <c r="K2062" s="7">
        <v>45901</v>
      </c>
    </row>
    <row r="2063" spans="1:11" hidden="1">
      <c r="A2063" t="s">
        <v>39</v>
      </c>
      <c r="B2063" t="s">
        <v>45</v>
      </c>
      <c r="C2063" t="s">
        <v>14</v>
      </c>
      <c r="E2063" t="s">
        <v>9</v>
      </c>
      <c r="F2063" s="1" t="s">
        <v>4</v>
      </c>
      <c r="G2063" s="1">
        <v>45982</v>
      </c>
      <c r="H2063" t="s">
        <v>41</v>
      </c>
      <c r="I2063" s="2">
        <v>58095.73</v>
      </c>
      <c r="J2063" t="s">
        <v>255</v>
      </c>
      <c r="K2063" s="7">
        <v>45962</v>
      </c>
    </row>
    <row r="2064" spans="1:11" hidden="1">
      <c r="A2064" t="s">
        <v>114</v>
      </c>
      <c r="B2064" t="s">
        <v>63</v>
      </c>
      <c r="C2064" t="s">
        <v>12</v>
      </c>
      <c r="E2064" t="s">
        <v>9</v>
      </c>
      <c r="F2064" s="1" t="s">
        <v>4</v>
      </c>
      <c r="G2064" s="1">
        <v>45982</v>
      </c>
      <c r="H2064" t="s">
        <v>41</v>
      </c>
      <c r="I2064" s="2">
        <v>54011.92</v>
      </c>
      <c r="J2064" s="47" t="s">
        <v>1280</v>
      </c>
      <c r="K2064" s="7">
        <v>45962</v>
      </c>
    </row>
    <row r="2065" spans="1:11" hidden="1">
      <c r="A2065" t="s">
        <v>39</v>
      </c>
      <c r="B2065" t="s">
        <v>40</v>
      </c>
      <c r="C2065" t="s">
        <v>14</v>
      </c>
      <c r="D2065">
        <v>10027622</v>
      </c>
      <c r="E2065" t="s">
        <v>9</v>
      </c>
      <c r="F2065" s="1" t="s">
        <v>5</v>
      </c>
      <c r="G2065" s="1">
        <v>45925</v>
      </c>
      <c r="H2065" t="s">
        <v>41</v>
      </c>
      <c r="I2065" s="2">
        <v>1000</v>
      </c>
      <c r="J2065" t="s">
        <v>1281</v>
      </c>
      <c r="K2065" s="7">
        <v>45901</v>
      </c>
    </row>
    <row r="2066" spans="1:11" hidden="1">
      <c r="A2066" t="s">
        <v>114</v>
      </c>
      <c r="B2066" t="s">
        <v>63</v>
      </c>
      <c r="C2066" t="s">
        <v>14</v>
      </c>
      <c r="D2066">
        <v>15231</v>
      </c>
      <c r="E2066" t="s">
        <v>9</v>
      </c>
      <c r="F2066" s="1" t="s">
        <v>5</v>
      </c>
      <c r="G2066" s="1">
        <v>45925</v>
      </c>
      <c r="H2066" t="s">
        <v>41</v>
      </c>
      <c r="I2066" s="2">
        <v>1000</v>
      </c>
      <c r="J2066" t="s">
        <v>1132</v>
      </c>
      <c r="K2066" s="7">
        <v>45901</v>
      </c>
    </row>
    <row r="2067" spans="1:11" hidden="1">
      <c r="A2067" t="s">
        <v>39</v>
      </c>
      <c r="B2067" t="s">
        <v>40</v>
      </c>
      <c r="C2067" t="s">
        <v>12</v>
      </c>
      <c r="E2067" t="s">
        <v>9</v>
      </c>
      <c r="F2067" s="1" t="s">
        <v>5</v>
      </c>
      <c r="G2067" s="1">
        <v>45926</v>
      </c>
      <c r="H2067" t="s">
        <v>41</v>
      </c>
      <c r="I2067" s="2">
        <v>1000</v>
      </c>
      <c r="J2067" t="s">
        <v>1282</v>
      </c>
      <c r="K2067" s="7">
        <v>45901</v>
      </c>
    </row>
    <row r="2068" spans="1:11" hidden="1">
      <c r="A2068" t="s">
        <v>39</v>
      </c>
      <c r="B2068" t="s">
        <v>40</v>
      </c>
      <c r="C2068" t="s">
        <v>14</v>
      </c>
      <c r="D2068">
        <v>10027686</v>
      </c>
      <c r="E2068" t="s">
        <v>9</v>
      </c>
      <c r="F2068" s="1" t="s">
        <v>2</v>
      </c>
      <c r="G2068" s="1">
        <v>45931</v>
      </c>
      <c r="H2068" t="s">
        <v>41</v>
      </c>
      <c r="I2068" s="2">
        <v>1000</v>
      </c>
      <c r="J2068" t="s">
        <v>1283</v>
      </c>
      <c r="K2068" s="7">
        <v>45931</v>
      </c>
    </row>
    <row r="2069" spans="1:11" hidden="1">
      <c r="A2069" t="s">
        <v>39</v>
      </c>
      <c r="B2069" t="s">
        <v>40</v>
      </c>
      <c r="C2069" t="s">
        <v>14</v>
      </c>
      <c r="D2069">
        <v>10027688</v>
      </c>
      <c r="E2069" t="s">
        <v>9</v>
      </c>
      <c r="F2069" s="1" t="s">
        <v>2</v>
      </c>
      <c r="G2069" s="1">
        <v>45931</v>
      </c>
      <c r="H2069" t="s">
        <v>41</v>
      </c>
      <c r="I2069" s="2">
        <v>1000</v>
      </c>
      <c r="J2069" t="s">
        <v>1284</v>
      </c>
      <c r="K2069" s="7">
        <v>45931</v>
      </c>
    </row>
    <row r="2070" spans="1:11" hidden="1">
      <c r="A2070" t="s">
        <v>56</v>
      </c>
      <c r="B2070" t="s">
        <v>40</v>
      </c>
      <c r="C2070" t="s">
        <v>12</v>
      </c>
      <c r="E2070" t="s">
        <v>9</v>
      </c>
      <c r="F2070" s="1" t="s">
        <v>3</v>
      </c>
      <c r="G2070" s="1">
        <v>45941</v>
      </c>
      <c r="H2070" t="s">
        <v>41</v>
      </c>
      <c r="I2070" s="2">
        <v>1000</v>
      </c>
      <c r="J2070" t="s">
        <v>1285</v>
      </c>
      <c r="K2070" s="7">
        <v>45931</v>
      </c>
    </row>
    <row r="2071" spans="1:11" hidden="1">
      <c r="A2071" t="s">
        <v>99</v>
      </c>
      <c r="B2071" t="s">
        <v>63</v>
      </c>
      <c r="C2071" t="s">
        <v>14</v>
      </c>
      <c r="E2071" t="s">
        <v>9</v>
      </c>
      <c r="F2071" s="1" t="s">
        <v>4</v>
      </c>
      <c r="G2071" s="1">
        <v>45982</v>
      </c>
      <c r="H2071" t="s">
        <v>41</v>
      </c>
      <c r="I2071" s="2">
        <v>9417.4</v>
      </c>
      <c r="J2071" t="s">
        <v>1278</v>
      </c>
      <c r="K2071" s="7">
        <v>45962</v>
      </c>
    </row>
    <row r="2072" spans="1:11" hidden="1">
      <c r="A2072" t="s">
        <v>39</v>
      </c>
      <c r="B2072" t="s">
        <v>40</v>
      </c>
      <c r="C2072" t="s">
        <v>14</v>
      </c>
      <c r="D2072">
        <v>10027857</v>
      </c>
      <c r="E2072" t="s">
        <v>9</v>
      </c>
      <c r="F2072" s="1" t="s">
        <v>5</v>
      </c>
      <c r="G2072" s="1">
        <v>45955</v>
      </c>
      <c r="H2072" t="s">
        <v>41</v>
      </c>
      <c r="I2072" s="2">
        <v>1000</v>
      </c>
      <c r="J2072" t="s">
        <v>1286</v>
      </c>
      <c r="K2072" s="7">
        <v>45931</v>
      </c>
    </row>
    <row r="2073" spans="1:11" hidden="1">
      <c r="A2073" t="s">
        <v>39</v>
      </c>
      <c r="B2073" t="s">
        <v>40</v>
      </c>
      <c r="C2073" t="s">
        <v>14</v>
      </c>
      <c r="D2073">
        <v>10027878</v>
      </c>
      <c r="E2073" t="s">
        <v>9</v>
      </c>
      <c r="F2073" s="1" t="s">
        <v>6</v>
      </c>
      <c r="G2073" s="1">
        <v>45961</v>
      </c>
      <c r="H2073" t="s">
        <v>41</v>
      </c>
      <c r="I2073" s="2">
        <v>1000</v>
      </c>
      <c r="J2073" t="s">
        <v>467</v>
      </c>
      <c r="K2073" s="7">
        <v>45931</v>
      </c>
    </row>
    <row r="2074" spans="1:11" hidden="1">
      <c r="A2074" t="s">
        <v>39</v>
      </c>
      <c r="B2074" t="s">
        <v>40</v>
      </c>
      <c r="C2074" t="s">
        <v>14</v>
      </c>
      <c r="D2074">
        <v>10027874</v>
      </c>
      <c r="E2074" t="s">
        <v>9</v>
      </c>
      <c r="F2074" s="1" t="s">
        <v>6</v>
      </c>
      <c r="G2074" s="1">
        <v>45961</v>
      </c>
      <c r="H2074" t="s">
        <v>41</v>
      </c>
      <c r="I2074" s="2">
        <v>1000</v>
      </c>
      <c r="J2074" t="s">
        <v>1287</v>
      </c>
      <c r="K2074" s="7">
        <v>45931</v>
      </c>
    </row>
    <row r="2075" spans="1:11" hidden="1">
      <c r="A2075" t="s">
        <v>39</v>
      </c>
      <c r="B2075" t="s">
        <v>40</v>
      </c>
      <c r="C2075" t="s">
        <v>12</v>
      </c>
      <c r="E2075" t="s">
        <v>9</v>
      </c>
      <c r="F2075" s="1" t="s">
        <v>2</v>
      </c>
      <c r="G2075" s="1">
        <v>45968</v>
      </c>
      <c r="H2075" t="s">
        <v>41</v>
      </c>
      <c r="I2075" s="2">
        <v>1000</v>
      </c>
      <c r="J2075" t="s">
        <v>1288</v>
      </c>
      <c r="K2075" s="7">
        <v>45962</v>
      </c>
    </row>
    <row r="2076" spans="1:11" hidden="1">
      <c r="A2076" t="s">
        <v>39</v>
      </c>
      <c r="B2076" t="s">
        <v>45</v>
      </c>
      <c r="C2076" t="s">
        <v>14</v>
      </c>
      <c r="E2076" t="s">
        <v>9</v>
      </c>
      <c r="F2076" s="1" t="s">
        <v>4</v>
      </c>
      <c r="G2076" s="1">
        <v>45982</v>
      </c>
      <c r="H2076" t="s">
        <v>41</v>
      </c>
      <c r="I2076" s="2">
        <v>8636.67</v>
      </c>
      <c r="J2076" t="s">
        <v>1289</v>
      </c>
      <c r="K2076" s="7">
        <v>45962</v>
      </c>
    </row>
    <row r="2077" spans="1:11" hidden="1">
      <c r="A2077" t="s">
        <v>39</v>
      </c>
      <c r="B2077" t="s">
        <v>40</v>
      </c>
      <c r="C2077" t="s">
        <v>14</v>
      </c>
      <c r="E2077" t="s">
        <v>9</v>
      </c>
      <c r="F2077" s="1" t="s">
        <v>5</v>
      </c>
      <c r="G2077" s="1">
        <v>45986</v>
      </c>
      <c r="H2077" t="s">
        <v>41</v>
      </c>
      <c r="I2077" s="2">
        <v>1000</v>
      </c>
      <c r="J2077" t="s">
        <v>1290</v>
      </c>
      <c r="K2077" s="7">
        <v>45962</v>
      </c>
    </row>
    <row r="2078" spans="1:11" hidden="1">
      <c r="A2078" t="s">
        <v>39</v>
      </c>
      <c r="B2078" t="s">
        <v>40</v>
      </c>
      <c r="C2078" t="s">
        <v>14</v>
      </c>
      <c r="E2078" t="s">
        <v>9</v>
      </c>
      <c r="F2078" s="1" t="s">
        <v>5</v>
      </c>
      <c r="G2078" s="1">
        <v>45989</v>
      </c>
      <c r="H2078" t="s">
        <v>41</v>
      </c>
      <c r="I2078" s="2">
        <v>1000</v>
      </c>
      <c r="J2078" s="47" t="s">
        <v>1291</v>
      </c>
      <c r="K2078" s="7">
        <v>45962</v>
      </c>
    </row>
    <row r="2079" spans="1:11" hidden="1">
      <c r="A2079" t="s">
        <v>39</v>
      </c>
      <c r="B2079" t="s">
        <v>40</v>
      </c>
      <c r="C2079" t="s">
        <v>14</v>
      </c>
      <c r="E2079" t="s">
        <v>9</v>
      </c>
      <c r="F2079" s="1" t="s">
        <v>5</v>
      </c>
      <c r="G2079" s="1">
        <v>45989</v>
      </c>
      <c r="H2079" t="s">
        <v>41</v>
      </c>
      <c r="I2079" s="2">
        <v>1000</v>
      </c>
      <c r="J2079" s="47" t="s">
        <v>1292</v>
      </c>
      <c r="K2079" s="7">
        <v>45962</v>
      </c>
    </row>
    <row r="2080" spans="1:11" hidden="1">
      <c r="A2080" t="s">
        <v>39</v>
      </c>
      <c r="B2080" t="s">
        <v>1293</v>
      </c>
      <c r="C2080" t="s">
        <v>14</v>
      </c>
      <c r="D2080">
        <v>10028049</v>
      </c>
      <c r="E2080" t="s">
        <v>9</v>
      </c>
      <c r="F2080" s="1" t="s">
        <v>5</v>
      </c>
      <c r="G2080" s="1">
        <v>45990</v>
      </c>
      <c r="H2080" t="s">
        <v>41</v>
      </c>
      <c r="I2080" s="2">
        <v>1000</v>
      </c>
      <c r="J2080" t="s">
        <v>1294</v>
      </c>
      <c r="K2080" s="7">
        <v>45962</v>
      </c>
    </row>
    <row r="2081" spans="1:11" hidden="1">
      <c r="A2081" t="s">
        <v>39</v>
      </c>
      <c r="B2081" t="s">
        <v>40</v>
      </c>
      <c r="C2081" t="s">
        <v>14</v>
      </c>
      <c r="D2081">
        <v>10028103</v>
      </c>
      <c r="E2081" t="s">
        <v>9</v>
      </c>
      <c r="F2081" s="1" t="s">
        <v>2</v>
      </c>
      <c r="G2081" s="1">
        <v>45995</v>
      </c>
      <c r="H2081" t="s">
        <v>41</v>
      </c>
      <c r="I2081" s="2">
        <v>1000</v>
      </c>
      <c r="J2081" t="s">
        <v>1295</v>
      </c>
      <c r="K2081" s="7">
        <v>45992</v>
      </c>
    </row>
    <row r="2082" spans="1:11" hidden="1">
      <c r="A2082" t="s">
        <v>39</v>
      </c>
      <c r="B2082" t="s">
        <v>40</v>
      </c>
      <c r="C2082" t="s">
        <v>14</v>
      </c>
      <c r="E2082" t="s">
        <v>9</v>
      </c>
      <c r="F2082" s="1" t="s">
        <v>319</v>
      </c>
      <c r="G2082" s="1">
        <v>46003</v>
      </c>
      <c r="H2082" t="s">
        <v>41</v>
      </c>
      <c r="I2082" s="2">
        <v>1000</v>
      </c>
      <c r="J2082" t="s">
        <v>1296</v>
      </c>
      <c r="K2082" s="7">
        <v>45992</v>
      </c>
    </row>
    <row r="2083" spans="1:11" hidden="1">
      <c r="A2083" t="s">
        <v>39</v>
      </c>
      <c r="B2083" t="s">
        <v>40</v>
      </c>
      <c r="C2083" t="s">
        <v>14</v>
      </c>
      <c r="E2083" t="s">
        <v>9</v>
      </c>
      <c r="F2083" s="1" t="s">
        <v>1297</v>
      </c>
      <c r="G2083" s="1">
        <v>46003</v>
      </c>
      <c r="H2083" t="s">
        <v>41</v>
      </c>
      <c r="I2083" s="2">
        <v>1000</v>
      </c>
      <c r="J2083" t="s">
        <v>1298</v>
      </c>
      <c r="K2083" s="7">
        <v>45992</v>
      </c>
    </row>
    <row r="2084" spans="1:11" hidden="1">
      <c r="A2084" t="s">
        <v>39</v>
      </c>
      <c r="B2084" t="s">
        <v>40</v>
      </c>
      <c r="C2084" t="s">
        <v>14</v>
      </c>
      <c r="D2084">
        <v>10028189</v>
      </c>
      <c r="E2084" t="s">
        <v>9</v>
      </c>
      <c r="F2084" s="1" t="s">
        <v>5</v>
      </c>
      <c r="G2084" s="1">
        <v>46013</v>
      </c>
      <c r="H2084" t="s">
        <v>41</v>
      </c>
      <c r="I2084" s="2">
        <v>1000</v>
      </c>
      <c r="J2084" t="s">
        <v>1299</v>
      </c>
      <c r="K2084" s="7">
        <v>45992</v>
      </c>
    </row>
    <row r="2085" spans="1:11" hidden="1">
      <c r="A2085" t="s">
        <v>39</v>
      </c>
      <c r="B2085" t="s">
        <v>40</v>
      </c>
      <c r="C2085" t="s">
        <v>14</v>
      </c>
      <c r="D2085">
        <v>10028186</v>
      </c>
      <c r="E2085" t="s">
        <v>9</v>
      </c>
      <c r="F2085" s="1" t="s">
        <v>5</v>
      </c>
      <c r="G2085" s="1">
        <v>46014</v>
      </c>
      <c r="H2085" t="s">
        <v>41</v>
      </c>
      <c r="I2085" s="2">
        <v>1000</v>
      </c>
      <c r="J2085" t="s">
        <v>1300</v>
      </c>
      <c r="K2085" s="7">
        <v>45992</v>
      </c>
    </row>
    <row r="2086" spans="1:11" hidden="1">
      <c r="A2086" t="s">
        <v>39</v>
      </c>
      <c r="B2086" t="s">
        <v>40</v>
      </c>
      <c r="C2086" t="s">
        <v>14</v>
      </c>
      <c r="D2086">
        <v>10028237</v>
      </c>
      <c r="E2086" t="s">
        <v>9</v>
      </c>
      <c r="F2086" s="1" t="s">
        <v>3</v>
      </c>
      <c r="G2086" s="1">
        <v>46034</v>
      </c>
      <c r="H2086" t="s">
        <v>41</v>
      </c>
      <c r="I2086" s="2">
        <v>1000</v>
      </c>
      <c r="J2086" t="s">
        <v>1301</v>
      </c>
      <c r="K2086" s="7">
        <v>46023</v>
      </c>
    </row>
    <row r="2087" spans="1:11" hidden="1">
      <c r="A2087" t="s">
        <v>39</v>
      </c>
      <c r="B2087" t="s">
        <v>40</v>
      </c>
      <c r="C2087" t="s">
        <v>14</v>
      </c>
      <c r="D2087">
        <v>10028277</v>
      </c>
      <c r="E2087" t="s">
        <v>9</v>
      </c>
      <c r="F2087" s="1" t="s">
        <v>3</v>
      </c>
      <c r="G2087" s="1">
        <v>46035</v>
      </c>
      <c r="H2087" t="s">
        <v>41</v>
      </c>
      <c r="I2087" s="2">
        <v>1000</v>
      </c>
      <c r="J2087" t="s">
        <v>1302</v>
      </c>
      <c r="K2087" s="7">
        <v>46023</v>
      </c>
    </row>
    <row r="2088" spans="1:11" hidden="1">
      <c r="A2088" t="s">
        <v>39</v>
      </c>
      <c r="B2088" t="s">
        <v>63</v>
      </c>
      <c r="C2088" t="s">
        <v>14</v>
      </c>
      <c r="E2088" t="s">
        <v>9</v>
      </c>
      <c r="F2088" s="1" t="s">
        <v>4</v>
      </c>
      <c r="G2088" s="1">
        <v>45982</v>
      </c>
      <c r="H2088" t="s">
        <v>41</v>
      </c>
      <c r="I2088" s="2">
        <v>8530.3700000000008</v>
      </c>
      <c r="J2088" s="47" t="s">
        <v>283</v>
      </c>
      <c r="K2088" s="7">
        <v>45962</v>
      </c>
    </row>
    <row r="2089" spans="1:11" hidden="1">
      <c r="A2089" t="s">
        <v>39</v>
      </c>
      <c r="B2089" t="s">
        <v>144</v>
      </c>
      <c r="C2089" t="s">
        <v>14</v>
      </c>
      <c r="E2089" t="s">
        <v>9</v>
      </c>
      <c r="F2089" s="1" t="s">
        <v>4</v>
      </c>
      <c r="G2089" s="1">
        <v>45982</v>
      </c>
      <c r="H2089" t="s">
        <v>41</v>
      </c>
      <c r="I2089" s="2">
        <v>8530.3700000000008</v>
      </c>
      <c r="J2089" s="47" t="s">
        <v>340</v>
      </c>
      <c r="K2089" s="7">
        <v>45962</v>
      </c>
    </row>
    <row r="2090" spans="1:11" hidden="1">
      <c r="A2090" t="s">
        <v>39</v>
      </c>
      <c r="B2090" t="s">
        <v>40</v>
      </c>
      <c r="C2090" t="s">
        <v>14</v>
      </c>
      <c r="D2090">
        <v>10028380</v>
      </c>
      <c r="E2090" t="s">
        <v>9</v>
      </c>
      <c r="F2090" s="1" t="s">
        <v>5</v>
      </c>
      <c r="G2090" s="1">
        <v>46050</v>
      </c>
      <c r="H2090" t="s">
        <v>41</v>
      </c>
      <c r="I2090" s="2">
        <v>1000</v>
      </c>
      <c r="J2090" t="s">
        <v>1303</v>
      </c>
      <c r="K2090" s="7">
        <v>46023</v>
      </c>
    </row>
    <row r="2091" spans="1:11" hidden="1">
      <c r="A2091" t="s">
        <v>56</v>
      </c>
      <c r="B2091" t="s">
        <v>40</v>
      </c>
      <c r="C2091" t="s">
        <v>14</v>
      </c>
      <c r="D2091">
        <v>10882</v>
      </c>
      <c r="E2091" t="s">
        <v>9</v>
      </c>
      <c r="F2091" s="1" t="s">
        <v>5</v>
      </c>
      <c r="G2091" s="1">
        <v>46050</v>
      </c>
      <c r="H2091" t="s">
        <v>41</v>
      </c>
      <c r="I2091" s="2">
        <v>1000</v>
      </c>
      <c r="J2091" t="s">
        <v>956</v>
      </c>
      <c r="K2091" s="7">
        <v>46023</v>
      </c>
    </row>
    <row r="2092" spans="1:11" hidden="1">
      <c r="A2092" t="s">
        <v>39</v>
      </c>
      <c r="B2092" t="s">
        <v>40</v>
      </c>
      <c r="C2092" t="s">
        <v>14</v>
      </c>
      <c r="D2092">
        <v>10028002</v>
      </c>
      <c r="E2092" t="s">
        <v>9</v>
      </c>
      <c r="F2092" s="1" t="s">
        <v>4</v>
      </c>
      <c r="G2092" s="1">
        <v>45982</v>
      </c>
      <c r="H2092" t="s">
        <v>41</v>
      </c>
      <c r="I2092" s="2">
        <v>8500</v>
      </c>
      <c r="J2092" t="s">
        <v>375</v>
      </c>
      <c r="K2092" s="7">
        <v>45962</v>
      </c>
    </row>
    <row r="2093" spans="1:11" hidden="1">
      <c r="A2093" t="s">
        <v>39</v>
      </c>
      <c r="B2093" t="s">
        <v>47</v>
      </c>
      <c r="C2093" t="s">
        <v>14</v>
      </c>
      <c r="D2093">
        <v>10027193</v>
      </c>
      <c r="E2093" t="s">
        <v>9</v>
      </c>
      <c r="F2093" s="1" t="s">
        <v>6</v>
      </c>
      <c r="G2093" s="1">
        <v>45868</v>
      </c>
      <c r="H2093" t="s">
        <v>41</v>
      </c>
      <c r="I2093" s="2">
        <v>999.59</v>
      </c>
      <c r="J2093" t="s">
        <v>1304</v>
      </c>
      <c r="K2093" s="7">
        <v>45839</v>
      </c>
    </row>
    <row r="2094" spans="1:11" hidden="1">
      <c r="A2094" t="s">
        <v>39</v>
      </c>
      <c r="B2094" t="s">
        <v>40</v>
      </c>
      <c r="C2094" t="s">
        <v>14</v>
      </c>
      <c r="D2094">
        <v>10027895</v>
      </c>
      <c r="E2094" t="s">
        <v>9</v>
      </c>
      <c r="F2094" s="1" t="s">
        <v>2</v>
      </c>
      <c r="G2094" s="1">
        <v>45965</v>
      </c>
      <c r="H2094" t="s">
        <v>64</v>
      </c>
      <c r="I2094" s="2">
        <f>504690/510</f>
        <v>989.58823529411768</v>
      </c>
      <c r="J2094" t="s">
        <v>1103</v>
      </c>
      <c r="K2094" s="7">
        <v>45962</v>
      </c>
    </row>
    <row r="2095" spans="1:11" hidden="1">
      <c r="A2095" t="s">
        <v>39</v>
      </c>
      <c r="B2095" t="s">
        <v>45</v>
      </c>
      <c r="C2095" t="s">
        <v>14</v>
      </c>
      <c r="E2095" t="s">
        <v>9</v>
      </c>
      <c r="F2095" s="1" t="s">
        <v>4</v>
      </c>
      <c r="G2095" s="1">
        <v>45982</v>
      </c>
      <c r="H2095" t="s">
        <v>41</v>
      </c>
      <c r="I2095" s="2">
        <v>8278.1200000000008</v>
      </c>
      <c r="J2095" s="47" t="s">
        <v>1305</v>
      </c>
      <c r="K2095" s="7">
        <v>45962</v>
      </c>
    </row>
    <row r="2096" spans="1:11" hidden="1">
      <c r="A2096" t="s">
        <v>114</v>
      </c>
      <c r="B2096" t="s">
        <v>63</v>
      </c>
      <c r="C2096" t="s">
        <v>13</v>
      </c>
      <c r="D2096">
        <v>15158</v>
      </c>
      <c r="E2096" t="s">
        <v>9</v>
      </c>
      <c r="F2096" s="1" t="s">
        <v>2</v>
      </c>
      <c r="G2096" s="1">
        <v>45810</v>
      </c>
      <c r="H2096" t="s">
        <v>41</v>
      </c>
      <c r="I2096" s="2">
        <v>980.84</v>
      </c>
      <c r="J2096" t="s">
        <v>1306</v>
      </c>
      <c r="K2096" s="7">
        <v>45809</v>
      </c>
    </row>
    <row r="2097" spans="1:11" hidden="1">
      <c r="A2097" t="s">
        <v>39</v>
      </c>
      <c r="B2097" t="s">
        <v>40</v>
      </c>
      <c r="C2097" t="s">
        <v>14</v>
      </c>
      <c r="E2097" t="s">
        <v>9</v>
      </c>
      <c r="F2097" s="1" t="s">
        <v>2</v>
      </c>
      <c r="G2097" s="1">
        <v>45993</v>
      </c>
      <c r="H2097" t="s">
        <v>64</v>
      </c>
      <c r="I2097" s="2">
        <f>500000/510</f>
        <v>980.39215686274508</v>
      </c>
      <c r="J2097" t="s">
        <v>1307</v>
      </c>
      <c r="K2097" s="7">
        <v>45992</v>
      </c>
    </row>
    <row r="2098" spans="1:11" hidden="1">
      <c r="A2098" t="s">
        <v>39</v>
      </c>
      <c r="B2098" t="s">
        <v>40</v>
      </c>
      <c r="C2098" t="s">
        <v>14</v>
      </c>
      <c r="E2098" t="s">
        <v>9</v>
      </c>
      <c r="F2098" s="1" t="s">
        <v>3</v>
      </c>
      <c r="G2098" s="1">
        <v>45910</v>
      </c>
      <c r="H2098" t="s">
        <v>64</v>
      </c>
      <c r="I2098" s="2">
        <f>498000/510</f>
        <v>976.47058823529414</v>
      </c>
      <c r="J2098" t="s">
        <v>1136</v>
      </c>
      <c r="K2098" s="7">
        <v>45901</v>
      </c>
    </row>
    <row r="2099" spans="1:11" hidden="1">
      <c r="A2099" t="s">
        <v>39</v>
      </c>
      <c r="B2099" t="s">
        <v>63</v>
      </c>
      <c r="C2099" t="s">
        <v>12</v>
      </c>
      <c r="E2099" t="s">
        <v>9</v>
      </c>
      <c r="F2099" s="1" t="s">
        <v>2</v>
      </c>
      <c r="G2099" s="1">
        <v>45877</v>
      </c>
      <c r="H2099" t="s">
        <v>64</v>
      </c>
      <c r="I2099" s="2">
        <f>497666.43/510</f>
        <v>975.81652941176469</v>
      </c>
      <c r="J2099" t="s">
        <v>1308</v>
      </c>
      <c r="K2099" s="7">
        <v>45870</v>
      </c>
    </row>
    <row r="2100" spans="1:11" hidden="1">
      <c r="A2100" t="s">
        <v>39</v>
      </c>
      <c r="B2100" t="s">
        <v>47</v>
      </c>
      <c r="C2100" t="s">
        <v>14</v>
      </c>
      <c r="E2100" t="s">
        <v>9</v>
      </c>
      <c r="F2100" s="1" t="s">
        <v>5</v>
      </c>
      <c r="G2100" s="1">
        <v>45985</v>
      </c>
      <c r="H2100" t="s">
        <v>41</v>
      </c>
      <c r="I2100" s="2">
        <v>975.24</v>
      </c>
      <c r="J2100" s="47" t="s">
        <v>1309</v>
      </c>
      <c r="K2100" s="7">
        <v>45962</v>
      </c>
    </row>
    <row r="2101" spans="1:11" hidden="1">
      <c r="A2101" t="s">
        <v>39</v>
      </c>
      <c r="B2101" t="s">
        <v>47</v>
      </c>
      <c r="C2101" t="s">
        <v>14</v>
      </c>
      <c r="E2101" t="s">
        <v>9</v>
      </c>
      <c r="F2101" s="1" t="s">
        <v>4</v>
      </c>
      <c r="G2101" s="1">
        <v>45982</v>
      </c>
      <c r="H2101" t="s">
        <v>41</v>
      </c>
      <c r="I2101" s="2">
        <v>7846.15</v>
      </c>
      <c r="J2101" t="s">
        <v>54</v>
      </c>
      <c r="K2101" s="7">
        <v>45962</v>
      </c>
    </row>
    <row r="2102" spans="1:11" hidden="1">
      <c r="A2102" t="s">
        <v>39</v>
      </c>
      <c r="B2102" t="s">
        <v>45</v>
      </c>
      <c r="C2102" t="s">
        <v>12</v>
      </c>
      <c r="E2102" t="s">
        <v>9</v>
      </c>
      <c r="F2102" s="1" t="s">
        <v>3</v>
      </c>
      <c r="G2102" s="1">
        <v>46064</v>
      </c>
      <c r="H2102" t="s">
        <v>41</v>
      </c>
      <c r="I2102" s="2">
        <v>187838.41</v>
      </c>
      <c r="J2102" s="47" t="s">
        <v>51</v>
      </c>
      <c r="K2102" s="7">
        <v>46054</v>
      </c>
    </row>
    <row r="2103" spans="1:11" hidden="1">
      <c r="A2103" t="s">
        <v>114</v>
      </c>
      <c r="B2103" t="s">
        <v>63</v>
      </c>
      <c r="C2103" t="s">
        <v>12</v>
      </c>
      <c r="D2103">
        <v>15229</v>
      </c>
      <c r="E2103" t="s">
        <v>9</v>
      </c>
      <c r="F2103" s="1" t="s">
        <v>5</v>
      </c>
      <c r="G2103" s="1">
        <v>45926</v>
      </c>
      <c r="H2103" t="s">
        <v>41</v>
      </c>
      <c r="I2103" s="2">
        <v>966.83</v>
      </c>
      <c r="J2103" t="s">
        <v>1310</v>
      </c>
      <c r="K2103" s="7">
        <v>45901</v>
      </c>
    </row>
    <row r="2104" spans="1:11" hidden="1">
      <c r="A2104" t="s">
        <v>39</v>
      </c>
      <c r="B2104" t="s">
        <v>47</v>
      </c>
      <c r="C2104" t="s">
        <v>14</v>
      </c>
      <c r="D2104">
        <v>10027163</v>
      </c>
      <c r="E2104" t="s">
        <v>9</v>
      </c>
      <c r="F2104" s="1" t="s">
        <v>6</v>
      </c>
      <c r="G2104" s="1">
        <v>45866</v>
      </c>
      <c r="H2104" t="s">
        <v>41</v>
      </c>
      <c r="I2104" s="2">
        <v>965.54</v>
      </c>
      <c r="J2104" t="s">
        <v>1160</v>
      </c>
      <c r="K2104" s="7">
        <v>45839</v>
      </c>
    </row>
    <row r="2105" spans="1:11" hidden="1">
      <c r="A2105" t="s">
        <v>39</v>
      </c>
      <c r="B2105" t="s">
        <v>63</v>
      </c>
      <c r="C2105" t="s">
        <v>12</v>
      </c>
      <c r="E2105" t="s">
        <v>9</v>
      </c>
      <c r="F2105" s="1" t="s">
        <v>3</v>
      </c>
      <c r="G2105" s="1">
        <v>46064</v>
      </c>
      <c r="H2105" t="s">
        <v>41</v>
      </c>
      <c r="I2105" s="2">
        <v>43894.9</v>
      </c>
      <c r="J2105" s="47" t="s">
        <v>1311</v>
      </c>
      <c r="K2105" s="7">
        <v>46054</v>
      </c>
    </row>
    <row r="2106" spans="1:11" hidden="1">
      <c r="A2106" t="s">
        <v>39</v>
      </c>
      <c r="B2106" t="s">
        <v>63</v>
      </c>
      <c r="C2106" t="s">
        <v>14</v>
      </c>
      <c r="E2106" t="s">
        <v>9</v>
      </c>
      <c r="F2106" s="1" t="s">
        <v>4</v>
      </c>
      <c r="G2106" s="1">
        <v>45982</v>
      </c>
      <c r="H2106" t="s">
        <v>41</v>
      </c>
      <c r="I2106" s="2">
        <v>6339.12</v>
      </c>
      <c r="J2106" t="s">
        <v>1279</v>
      </c>
      <c r="K2106" s="7">
        <v>45962</v>
      </c>
    </row>
    <row r="2107" spans="1:11" hidden="1">
      <c r="A2107" t="s">
        <v>39</v>
      </c>
      <c r="B2107" t="s">
        <v>47</v>
      </c>
      <c r="C2107" t="s">
        <v>14</v>
      </c>
      <c r="E2107" t="s">
        <v>9</v>
      </c>
      <c r="F2107" s="1" t="s">
        <v>4</v>
      </c>
      <c r="G2107" s="1">
        <v>45982</v>
      </c>
      <c r="H2107" t="s">
        <v>41</v>
      </c>
      <c r="I2107" s="2">
        <v>4353.53</v>
      </c>
      <c r="J2107" t="s">
        <v>842</v>
      </c>
      <c r="K2107" s="7">
        <v>45962</v>
      </c>
    </row>
    <row r="2108" spans="1:11" hidden="1">
      <c r="A2108" t="s">
        <v>39</v>
      </c>
      <c r="B2108" t="s">
        <v>40</v>
      </c>
      <c r="C2108" t="s">
        <v>14</v>
      </c>
      <c r="E2108" t="s">
        <v>9</v>
      </c>
      <c r="F2108" s="1" t="s">
        <v>5</v>
      </c>
      <c r="G2108" s="1">
        <v>45887</v>
      </c>
      <c r="H2108" t="s">
        <v>64</v>
      </c>
      <c r="I2108" s="2">
        <v>954.33</v>
      </c>
      <c r="J2108" t="s">
        <v>1312</v>
      </c>
      <c r="K2108" s="7">
        <v>45870</v>
      </c>
    </row>
    <row r="2109" spans="1:11" hidden="1">
      <c r="A2109" t="s">
        <v>114</v>
      </c>
      <c r="B2109" t="s">
        <v>63</v>
      </c>
      <c r="C2109" t="s">
        <v>12</v>
      </c>
      <c r="D2109">
        <v>15203</v>
      </c>
      <c r="E2109" t="s">
        <v>9</v>
      </c>
      <c r="F2109" s="1" t="s">
        <v>6</v>
      </c>
      <c r="G2109" s="1">
        <v>45869</v>
      </c>
      <c r="H2109" t="s">
        <v>41</v>
      </c>
      <c r="I2109" s="2">
        <v>954.1</v>
      </c>
      <c r="J2109" t="s">
        <v>534</v>
      </c>
      <c r="K2109" s="7">
        <v>45839</v>
      </c>
    </row>
    <row r="2110" spans="1:11" hidden="1">
      <c r="A2110" t="s">
        <v>39</v>
      </c>
      <c r="B2110" t="s">
        <v>47</v>
      </c>
      <c r="C2110" t="s">
        <v>14</v>
      </c>
      <c r="E2110" t="s">
        <v>9</v>
      </c>
      <c r="F2110" s="1" t="s">
        <v>3</v>
      </c>
      <c r="G2110" s="1">
        <v>45937</v>
      </c>
      <c r="H2110" t="s">
        <v>41</v>
      </c>
      <c r="I2110" s="2">
        <v>950.07</v>
      </c>
      <c r="J2110" t="s">
        <v>1313</v>
      </c>
      <c r="K2110" s="7">
        <v>45931</v>
      </c>
    </row>
    <row r="2111" spans="1:11" hidden="1">
      <c r="A2111" t="s">
        <v>39</v>
      </c>
      <c r="B2111" t="s">
        <v>63</v>
      </c>
      <c r="C2111" t="s">
        <v>14</v>
      </c>
      <c r="E2111" t="s">
        <v>9</v>
      </c>
      <c r="F2111" s="1" t="s">
        <v>4</v>
      </c>
      <c r="G2111" s="1">
        <v>45982</v>
      </c>
      <c r="H2111" t="s">
        <v>41</v>
      </c>
      <c r="I2111" s="2">
        <v>4216.96</v>
      </c>
      <c r="J2111" s="47" t="s">
        <v>186</v>
      </c>
      <c r="K2111" s="7">
        <v>45962</v>
      </c>
    </row>
    <row r="2112" spans="1:11" hidden="1">
      <c r="A2112" t="s">
        <v>56</v>
      </c>
      <c r="B2112" t="s">
        <v>40</v>
      </c>
      <c r="C2112" t="s">
        <v>14</v>
      </c>
      <c r="E2112" t="s">
        <v>9</v>
      </c>
      <c r="F2112" s="1" t="s">
        <v>4</v>
      </c>
      <c r="G2112" s="1">
        <v>45982</v>
      </c>
      <c r="H2112" t="s">
        <v>41</v>
      </c>
      <c r="I2112" s="2">
        <v>4200</v>
      </c>
      <c r="J2112" t="s">
        <v>1314</v>
      </c>
      <c r="K2112" s="7">
        <v>45962</v>
      </c>
    </row>
    <row r="2113" spans="1:11" hidden="1">
      <c r="A2113" t="s">
        <v>39</v>
      </c>
      <c r="B2113" t="s">
        <v>40</v>
      </c>
      <c r="C2113" t="s">
        <v>14</v>
      </c>
      <c r="D2113">
        <v>10026528</v>
      </c>
      <c r="E2113" t="s">
        <v>9</v>
      </c>
      <c r="F2113" s="1" t="s">
        <v>3</v>
      </c>
      <c r="G2113" s="1">
        <v>45785</v>
      </c>
      <c r="H2113" t="s">
        <v>41</v>
      </c>
      <c r="I2113">
        <v>945</v>
      </c>
      <c r="J2113" t="s">
        <v>49</v>
      </c>
      <c r="K2113" s="7">
        <v>45778</v>
      </c>
    </row>
    <row r="2114" spans="1:11" hidden="1">
      <c r="A2114" t="s">
        <v>39</v>
      </c>
      <c r="B2114" t="s">
        <v>63</v>
      </c>
      <c r="C2114" t="s">
        <v>13</v>
      </c>
      <c r="E2114" t="s">
        <v>9</v>
      </c>
      <c r="F2114" s="1" t="s">
        <v>4</v>
      </c>
      <c r="G2114" s="1">
        <v>45982</v>
      </c>
      <c r="H2114" t="s">
        <v>41</v>
      </c>
      <c r="I2114" s="2">
        <v>2790.42</v>
      </c>
      <c r="J2114" s="47" t="s">
        <v>543</v>
      </c>
      <c r="K2114" s="7">
        <v>45962</v>
      </c>
    </row>
    <row r="2115" spans="1:11" hidden="1">
      <c r="A2115" t="s">
        <v>39</v>
      </c>
      <c r="B2115" t="s">
        <v>40</v>
      </c>
      <c r="C2115" t="s">
        <v>14</v>
      </c>
      <c r="E2115" t="s">
        <v>9</v>
      </c>
      <c r="F2115" s="1" t="s">
        <v>5</v>
      </c>
      <c r="G2115" s="1">
        <v>45838</v>
      </c>
      <c r="H2115" t="s">
        <v>41</v>
      </c>
      <c r="I2115" s="2">
        <v>939.11</v>
      </c>
      <c r="J2115" t="s">
        <v>1315</v>
      </c>
      <c r="K2115" s="7">
        <v>45809</v>
      </c>
    </row>
    <row r="2116" spans="1:11" hidden="1">
      <c r="A2116" t="s">
        <v>39</v>
      </c>
      <c r="B2116" t="s">
        <v>40</v>
      </c>
      <c r="C2116" t="s">
        <v>14</v>
      </c>
      <c r="E2116" t="s">
        <v>9</v>
      </c>
      <c r="F2116" s="1" t="s">
        <v>5</v>
      </c>
      <c r="G2116" s="1">
        <v>45986</v>
      </c>
      <c r="H2116" t="s">
        <v>41</v>
      </c>
      <c r="I2116" s="2">
        <v>934</v>
      </c>
      <c r="J2116" s="47" t="s">
        <v>1316</v>
      </c>
      <c r="K2116" s="7">
        <v>45962</v>
      </c>
    </row>
    <row r="2117" spans="1:11" hidden="1">
      <c r="A2117" t="s">
        <v>39</v>
      </c>
      <c r="B2117" t="s">
        <v>47</v>
      </c>
      <c r="C2117" t="s">
        <v>14</v>
      </c>
      <c r="E2117" t="s">
        <v>9</v>
      </c>
      <c r="F2117" s="1" t="s">
        <v>5</v>
      </c>
      <c r="G2117" s="1">
        <v>45923</v>
      </c>
      <c r="H2117" t="s">
        <v>41</v>
      </c>
      <c r="I2117" s="2">
        <v>931.96</v>
      </c>
      <c r="J2117" t="s">
        <v>1317</v>
      </c>
      <c r="K2117" s="7">
        <v>45901</v>
      </c>
    </row>
    <row r="2118" spans="1:11" hidden="1">
      <c r="A2118" t="s">
        <v>39</v>
      </c>
      <c r="B2118" t="s">
        <v>47</v>
      </c>
      <c r="C2118" t="s">
        <v>14</v>
      </c>
      <c r="E2118" t="s">
        <v>9</v>
      </c>
      <c r="F2118" s="1" t="s">
        <v>2</v>
      </c>
      <c r="G2118" s="1">
        <v>46028</v>
      </c>
      <c r="H2118" t="s">
        <v>41</v>
      </c>
      <c r="I2118" s="2">
        <v>929.94</v>
      </c>
      <c r="J2118" t="s">
        <v>1318</v>
      </c>
      <c r="K2118" s="7">
        <v>46023</v>
      </c>
    </row>
    <row r="2119" spans="1:11" hidden="1">
      <c r="A2119" t="s">
        <v>114</v>
      </c>
      <c r="B2119" t="s">
        <v>63</v>
      </c>
      <c r="C2119" t="s">
        <v>14</v>
      </c>
      <c r="E2119" t="s">
        <v>9</v>
      </c>
      <c r="F2119" s="1" t="s">
        <v>2</v>
      </c>
      <c r="G2119" s="1">
        <v>45994</v>
      </c>
      <c r="H2119" t="s">
        <v>41</v>
      </c>
      <c r="I2119" s="2">
        <v>928.57</v>
      </c>
      <c r="J2119" t="s">
        <v>191</v>
      </c>
      <c r="K2119" s="7">
        <v>45992</v>
      </c>
    </row>
    <row r="2120" spans="1:11" hidden="1">
      <c r="A2120" t="s">
        <v>114</v>
      </c>
      <c r="B2120" t="s">
        <v>63</v>
      </c>
      <c r="C2120" t="s">
        <v>14</v>
      </c>
      <c r="E2120" t="s">
        <v>9</v>
      </c>
      <c r="F2120" s="1" t="s">
        <v>2</v>
      </c>
      <c r="G2120" s="1">
        <v>45870</v>
      </c>
      <c r="H2120" t="s">
        <v>41</v>
      </c>
      <c r="I2120" s="2">
        <v>925.47</v>
      </c>
      <c r="J2120" t="s">
        <v>1319</v>
      </c>
      <c r="K2120" s="7">
        <v>45870</v>
      </c>
    </row>
    <row r="2121" spans="1:11" hidden="1">
      <c r="A2121" t="s">
        <v>39</v>
      </c>
      <c r="B2121" t="s">
        <v>45</v>
      </c>
      <c r="C2121" t="s">
        <v>14</v>
      </c>
      <c r="E2121" t="s">
        <v>9</v>
      </c>
      <c r="F2121" s="1" t="s">
        <v>5</v>
      </c>
      <c r="G2121" s="1">
        <v>46045</v>
      </c>
      <c r="H2121" t="s">
        <v>41</v>
      </c>
      <c r="I2121" s="2">
        <v>921.81</v>
      </c>
      <c r="J2121" t="s">
        <v>353</v>
      </c>
      <c r="K2121" s="7">
        <v>46023</v>
      </c>
    </row>
    <row r="2122" spans="1:11" hidden="1">
      <c r="A2122" t="s">
        <v>39</v>
      </c>
      <c r="B2122" t="s">
        <v>47</v>
      </c>
      <c r="C2122" t="s">
        <v>14</v>
      </c>
      <c r="E2122" t="s">
        <v>9</v>
      </c>
      <c r="F2122" s="1" t="s">
        <v>4</v>
      </c>
      <c r="G2122" s="1">
        <v>45982</v>
      </c>
      <c r="H2122" t="s">
        <v>41</v>
      </c>
      <c r="I2122" s="2">
        <v>2134.9699999999998</v>
      </c>
      <c r="J2122" s="47" t="s">
        <v>1320</v>
      </c>
      <c r="K2122" s="7">
        <v>45962</v>
      </c>
    </row>
    <row r="2123" spans="1:11" hidden="1">
      <c r="A2123" t="s">
        <v>39</v>
      </c>
      <c r="B2123" t="s">
        <v>47</v>
      </c>
      <c r="C2123" t="s">
        <v>14</v>
      </c>
      <c r="E2123" t="s">
        <v>9</v>
      </c>
      <c r="F2123" s="1" t="s">
        <v>5</v>
      </c>
      <c r="G2123" s="1">
        <v>45894</v>
      </c>
      <c r="H2123" t="s">
        <v>64</v>
      </c>
      <c r="I2123" s="2">
        <v>915</v>
      </c>
      <c r="J2123" t="s">
        <v>1227</v>
      </c>
      <c r="K2123" s="7">
        <v>45870</v>
      </c>
    </row>
    <row r="2124" spans="1:11" hidden="1">
      <c r="A2124" t="s">
        <v>39</v>
      </c>
      <c r="B2124" t="s">
        <v>40</v>
      </c>
      <c r="C2124" t="s">
        <v>14</v>
      </c>
      <c r="E2124" t="s">
        <v>9</v>
      </c>
      <c r="F2124" s="1" t="s">
        <v>4</v>
      </c>
      <c r="G2124" s="1">
        <v>45982</v>
      </c>
      <c r="H2124" t="s">
        <v>41</v>
      </c>
      <c r="I2124" s="2">
        <v>575.4</v>
      </c>
      <c r="J2124" t="s">
        <v>1321</v>
      </c>
      <c r="K2124" s="7">
        <v>45962</v>
      </c>
    </row>
    <row r="2125" spans="1:11" hidden="1">
      <c r="A2125" t="s">
        <v>56</v>
      </c>
      <c r="B2125" t="s">
        <v>40</v>
      </c>
      <c r="C2125" t="s">
        <v>14</v>
      </c>
      <c r="E2125" t="s">
        <v>9</v>
      </c>
      <c r="F2125" s="1" t="s">
        <v>3</v>
      </c>
      <c r="G2125" s="1">
        <v>46064</v>
      </c>
      <c r="H2125" t="s">
        <v>41</v>
      </c>
      <c r="I2125" s="2">
        <v>30000</v>
      </c>
      <c r="J2125" t="s">
        <v>1322</v>
      </c>
      <c r="K2125" s="7">
        <v>46054</v>
      </c>
    </row>
    <row r="2126" spans="1:11" hidden="1">
      <c r="A2126" t="s">
        <v>39</v>
      </c>
      <c r="B2126" t="s">
        <v>40</v>
      </c>
      <c r="C2126" t="s">
        <v>14</v>
      </c>
      <c r="E2126" t="s">
        <v>9</v>
      </c>
      <c r="F2126" s="1" t="s">
        <v>3</v>
      </c>
      <c r="G2126" s="1">
        <v>45883</v>
      </c>
      <c r="H2126" t="s">
        <v>64</v>
      </c>
      <c r="I2126" s="2">
        <v>908.97</v>
      </c>
      <c r="J2126" t="s">
        <v>1323</v>
      </c>
      <c r="K2126" s="7">
        <v>45870</v>
      </c>
    </row>
    <row r="2127" spans="1:11" hidden="1">
      <c r="A2127" t="s">
        <v>39</v>
      </c>
      <c r="B2127" t="s">
        <v>47</v>
      </c>
      <c r="C2127" t="s">
        <v>14</v>
      </c>
      <c r="E2127" t="s">
        <v>9</v>
      </c>
      <c r="F2127" s="1" t="s">
        <v>3</v>
      </c>
      <c r="G2127" s="1">
        <v>46034</v>
      </c>
      <c r="H2127" t="s">
        <v>41</v>
      </c>
      <c r="I2127" s="2">
        <v>903.3</v>
      </c>
      <c r="J2127" t="s">
        <v>1324</v>
      </c>
      <c r="K2127" s="7">
        <v>46023</v>
      </c>
    </row>
    <row r="2128" spans="1:11">
      <c r="A2128" t="s">
        <v>39</v>
      </c>
      <c r="B2128" t="s">
        <v>47</v>
      </c>
      <c r="C2128" t="s">
        <v>14</v>
      </c>
      <c r="E2128" t="s">
        <v>9</v>
      </c>
      <c r="F2128" s="1" t="s">
        <v>3</v>
      </c>
      <c r="G2128" s="1">
        <v>46064</v>
      </c>
      <c r="H2128" t="s">
        <v>41</v>
      </c>
      <c r="I2128" s="2">
        <v>5070.25</v>
      </c>
      <c r="J2128" s="47" t="s">
        <v>1325</v>
      </c>
      <c r="K2128" s="7">
        <v>46054</v>
      </c>
    </row>
    <row r="2129" spans="1:11" hidden="1">
      <c r="A2129" t="s">
        <v>39</v>
      </c>
      <c r="B2129" t="s">
        <v>40</v>
      </c>
      <c r="C2129" t="s">
        <v>14</v>
      </c>
      <c r="D2129">
        <v>10027937</v>
      </c>
      <c r="E2129" t="s">
        <v>9</v>
      </c>
      <c r="F2129" s="1" t="s">
        <v>3</v>
      </c>
      <c r="G2129" s="1">
        <v>45973</v>
      </c>
      <c r="H2129" t="s">
        <v>41</v>
      </c>
      <c r="I2129" s="2">
        <v>901</v>
      </c>
      <c r="J2129" t="s">
        <v>1326</v>
      </c>
      <c r="K2129" s="7">
        <v>45962</v>
      </c>
    </row>
    <row r="2130" spans="1:11" hidden="1">
      <c r="A2130" t="s">
        <v>39</v>
      </c>
      <c r="B2130" t="s">
        <v>45</v>
      </c>
      <c r="C2130" t="s">
        <v>14</v>
      </c>
      <c r="E2130" t="s">
        <v>9</v>
      </c>
      <c r="F2130" s="1" t="s">
        <v>4</v>
      </c>
      <c r="G2130" s="1">
        <v>45982</v>
      </c>
      <c r="H2130" t="s">
        <v>41</v>
      </c>
      <c r="I2130" s="2">
        <v>572.05999999999995</v>
      </c>
      <c r="J2130" t="s">
        <v>1327</v>
      </c>
      <c r="K2130" s="7">
        <v>45962</v>
      </c>
    </row>
    <row r="2131" spans="1:11" hidden="1">
      <c r="A2131" t="s">
        <v>39</v>
      </c>
      <c r="B2131" t="s">
        <v>40</v>
      </c>
      <c r="C2131" t="s">
        <v>14</v>
      </c>
      <c r="D2131">
        <v>10026497</v>
      </c>
      <c r="E2131" t="s">
        <v>9</v>
      </c>
      <c r="F2131" t="s">
        <v>2</v>
      </c>
      <c r="G2131" s="1">
        <v>45780</v>
      </c>
      <c r="H2131" t="s">
        <v>41</v>
      </c>
      <c r="I2131">
        <v>899</v>
      </c>
      <c r="J2131" t="s">
        <v>95</v>
      </c>
      <c r="K2131" s="7">
        <v>45778</v>
      </c>
    </row>
    <row r="2132" spans="1:11" hidden="1">
      <c r="A2132" t="s">
        <v>39</v>
      </c>
      <c r="B2132" t="s">
        <v>40</v>
      </c>
      <c r="C2132" t="s">
        <v>14</v>
      </c>
      <c r="E2132" t="s">
        <v>9</v>
      </c>
      <c r="F2132" s="1" t="s">
        <v>4</v>
      </c>
      <c r="G2132" s="1">
        <v>45982</v>
      </c>
      <c r="H2132" t="s">
        <v>41</v>
      </c>
      <c r="I2132" s="2">
        <v>408</v>
      </c>
      <c r="J2132" s="47" t="s">
        <v>1328</v>
      </c>
      <c r="K2132" s="7">
        <v>45962</v>
      </c>
    </row>
    <row r="2133" spans="1:11" hidden="1">
      <c r="A2133" t="s">
        <v>114</v>
      </c>
      <c r="B2133" t="s">
        <v>63</v>
      </c>
      <c r="C2133" t="s">
        <v>14</v>
      </c>
      <c r="D2133">
        <v>15166</v>
      </c>
      <c r="E2133" t="s">
        <v>9</v>
      </c>
      <c r="F2133" s="1" t="s">
        <v>3</v>
      </c>
      <c r="G2133" s="1">
        <v>45820</v>
      </c>
      <c r="H2133" t="s">
        <v>41</v>
      </c>
      <c r="I2133" s="2">
        <v>896.32</v>
      </c>
      <c r="J2133" t="s">
        <v>1329</v>
      </c>
      <c r="K2133" s="7">
        <v>45809</v>
      </c>
    </row>
    <row r="2134" spans="1:11" hidden="1">
      <c r="A2134" t="s">
        <v>39</v>
      </c>
      <c r="B2134" t="s">
        <v>40</v>
      </c>
      <c r="C2134" t="s">
        <v>14</v>
      </c>
      <c r="E2134" t="s">
        <v>9</v>
      </c>
      <c r="F2134" s="1" t="s">
        <v>5</v>
      </c>
      <c r="G2134" s="1">
        <v>45897</v>
      </c>
      <c r="H2134" t="s">
        <v>64</v>
      </c>
      <c r="I2134" s="2">
        <v>894.4</v>
      </c>
      <c r="J2134" t="s">
        <v>965</v>
      </c>
      <c r="K2134" s="7">
        <v>45870</v>
      </c>
    </row>
    <row r="2135" spans="1:11" hidden="1">
      <c r="A2135" t="s">
        <v>39</v>
      </c>
      <c r="B2135" t="s">
        <v>40</v>
      </c>
      <c r="C2135" t="s">
        <v>14</v>
      </c>
      <c r="E2135" t="s">
        <v>9</v>
      </c>
      <c r="F2135" s="1" t="s">
        <v>5</v>
      </c>
      <c r="G2135" s="1">
        <v>45986</v>
      </c>
      <c r="H2135" t="s">
        <v>41</v>
      </c>
      <c r="I2135" s="2">
        <v>894.4</v>
      </c>
      <c r="J2135" s="47" t="s">
        <v>1330</v>
      </c>
      <c r="K2135" s="7">
        <v>45962</v>
      </c>
    </row>
    <row r="2136" spans="1:11" hidden="1">
      <c r="A2136" t="s">
        <v>39</v>
      </c>
      <c r="B2136" t="s">
        <v>40</v>
      </c>
      <c r="C2136" t="s">
        <v>14</v>
      </c>
      <c r="D2136">
        <v>10027444</v>
      </c>
      <c r="E2136" t="s">
        <v>9</v>
      </c>
      <c r="F2136" s="1" t="s">
        <v>2</v>
      </c>
      <c r="G2136" s="1">
        <v>45901</v>
      </c>
      <c r="H2136" t="s">
        <v>41</v>
      </c>
      <c r="I2136" s="2">
        <v>894</v>
      </c>
      <c r="J2136" t="s">
        <v>1331</v>
      </c>
      <c r="K2136" s="7">
        <v>45901</v>
      </c>
    </row>
    <row r="2137" spans="1:11" hidden="1">
      <c r="A2137" t="s">
        <v>39</v>
      </c>
      <c r="B2137" t="s">
        <v>63</v>
      </c>
      <c r="C2137" t="s">
        <v>14</v>
      </c>
      <c r="E2137" t="s">
        <v>9</v>
      </c>
      <c r="F2137" s="1" t="s">
        <v>5</v>
      </c>
      <c r="G2137" s="1">
        <v>46048</v>
      </c>
      <c r="H2137" t="s">
        <v>41</v>
      </c>
      <c r="I2137" s="2">
        <v>892.7</v>
      </c>
      <c r="J2137" t="s">
        <v>1332</v>
      </c>
      <c r="K2137" s="7">
        <v>46023</v>
      </c>
    </row>
    <row r="2138" spans="1:11" hidden="1">
      <c r="A2138" t="s">
        <v>39</v>
      </c>
      <c r="B2138" t="s">
        <v>47</v>
      </c>
      <c r="C2138" t="s">
        <v>14</v>
      </c>
      <c r="E2138" t="s">
        <v>8</v>
      </c>
      <c r="F2138" s="1" t="s">
        <v>5</v>
      </c>
      <c r="G2138" s="1">
        <v>45991</v>
      </c>
      <c r="H2138" t="s">
        <v>41</v>
      </c>
      <c r="I2138" s="2">
        <v>322674.28999999998</v>
      </c>
      <c r="J2138" t="s">
        <v>371</v>
      </c>
      <c r="K2138" s="7">
        <v>45962</v>
      </c>
    </row>
    <row r="2139" spans="1:11" hidden="1">
      <c r="A2139" t="s">
        <v>39</v>
      </c>
      <c r="B2139" t="s">
        <v>47</v>
      </c>
      <c r="C2139" t="s">
        <v>14</v>
      </c>
      <c r="E2139" t="s">
        <v>8</v>
      </c>
      <c r="F2139" s="1" t="s">
        <v>5</v>
      </c>
      <c r="G2139" s="1">
        <v>45991</v>
      </c>
      <c r="H2139" t="s">
        <v>41</v>
      </c>
      <c r="I2139" s="2">
        <v>114524</v>
      </c>
      <c r="J2139" t="s">
        <v>61</v>
      </c>
      <c r="K2139" s="7">
        <v>45962</v>
      </c>
    </row>
    <row r="2140" spans="1:11" hidden="1">
      <c r="A2140" t="s">
        <v>39</v>
      </c>
      <c r="B2140" t="s">
        <v>40</v>
      </c>
      <c r="C2140" t="s">
        <v>14</v>
      </c>
      <c r="E2140" t="s">
        <v>8</v>
      </c>
      <c r="F2140" s="1" t="s">
        <v>5</v>
      </c>
      <c r="G2140" s="1">
        <v>45991</v>
      </c>
      <c r="H2140" t="s">
        <v>41</v>
      </c>
      <c r="I2140" s="2">
        <v>60000</v>
      </c>
      <c r="J2140" t="s">
        <v>98</v>
      </c>
      <c r="K2140" s="7">
        <v>45962</v>
      </c>
    </row>
    <row r="2141" spans="1:11" hidden="1">
      <c r="A2141" t="s">
        <v>39</v>
      </c>
      <c r="B2141" t="s">
        <v>63</v>
      </c>
      <c r="C2141" t="s">
        <v>14</v>
      </c>
      <c r="E2141" t="s">
        <v>8</v>
      </c>
      <c r="F2141" s="1" t="s">
        <v>5</v>
      </c>
      <c r="G2141" s="1">
        <v>45991</v>
      </c>
      <c r="H2141" t="s">
        <v>41</v>
      </c>
      <c r="I2141" s="2">
        <v>54844.26</v>
      </c>
      <c r="J2141" t="s">
        <v>158</v>
      </c>
      <c r="K2141" s="7">
        <v>45962</v>
      </c>
    </row>
    <row r="2142" spans="1:11" hidden="1">
      <c r="A2142" t="s">
        <v>114</v>
      </c>
      <c r="B2142" t="s">
        <v>63</v>
      </c>
      <c r="C2142" t="s">
        <v>14</v>
      </c>
      <c r="E2142" t="s">
        <v>8</v>
      </c>
      <c r="F2142" s="1" t="s">
        <v>5</v>
      </c>
      <c r="G2142" s="1">
        <v>45991</v>
      </c>
      <c r="H2142" t="s">
        <v>41</v>
      </c>
      <c r="I2142" s="2">
        <v>35265.4</v>
      </c>
      <c r="J2142" t="s">
        <v>191</v>
      </c>
      <c r="K2142" s="7">
        <v>45962</v>
      </c>
    </row>
    <row r="2143" spans="1:11" hidden="1">
      <c r="A2143" t="s">
        <v>39</v>
      </c>
      <c r="B2143" t="s">
        <v>63</v>
      </c>
      <c r="C2143" t="s">
        <v>14</v>
      </c>
      <c r="E2143" t="s">
        <v>8</v>
      </c>
      <c r="F2143" s="1" t="s">
        <v>5</v>
      </c>
      <c r="G2143" s="1">
        <v>45991</v>
      </c>
      <c r="H2143" t="s">
        <v>41</v>
      </c>
      <c r="I2143" s="2">
        <v>32165.15</v>
      </c>
      <c r="J2143" t="s">
        <v>595</v>
      </c>
      <c r="K2143" s="7">
        <v>45962</v>
      </c>
    </row>
    <row r="2144" spans="1:11" hidden="1">
      <c r="A2144" t="s">
        <v>56</v>
      </c>
      <c r="B2144" t="s">
        <v>40</v>
      </c>
      <c r="C2144" t="s">
        <v>14</v>
      </c>
      <c r="E2144" t="s">
        <v>8</v>
      </c>
      <c r="F2144" s="1" t="s">
        <v>5</v>
      </c>
      <c r="G2144" s="1">
        <v>45991</v>
      </c>
      <c r="H2144" t="s">
        <v>41</v>
      </c>
      <c r="I2144" s="2">
        <v>25000</v>
      </c>
      <c r="J2144" t="s">
        <v>98</v>
      </c>
      <c r="K2144" s="7">
        <v>45962</v>
      </c>
    </row>
    <row r="2145" spans="1:11" hidden="1">
      <c r="A2145" t="s">
        <v>114</v>
      </c>
      <c r="B2145" t="s">
        <v>63</v>
      </c>
      <c r="C2145" t="s">
        <v>13</v>
      </c>
      <c r="E2145" t="s">
        <v>8</v>
      </c>
      <c r="F2145" s="1" t="s">
        <v>5</v>
      </c>
      <c r="G2145" s="1">
        <v>45991</v>
      </c>
      <c r="H2145" t="s">
        <v>41</v>
      </c>
      <c r="I2145" s="2">
        <v>8555</v>
      </c>
      <c r="J2145" t="s">
        <v>1333</v>
      </c>
      <c r="K2145" s="7">
        <v>45962</v>
      </c>
    </row>
    <row r="2146" spans="1:11" hidden="1">
      <c r="A2146" t="s">
        <v>39</v>
      </c>
      <c r="B2146" t="s">
        <v>63</v>
      </c>
      <c r="C2146" t="s">
        <v>13</v>
      </c>
      <c r="E2146" t="s">
        <v>8</v>
      </c>
      <c r="F2146" s="1" t="s">
        <v>5</v>
      </c>
      <c r="G2146" s="1">
        <v>45991</v>
      </c>
      <c r="H2146" t="s">
        <v>41</v>
      </c>
      <c r="I2146" s="2">
        <v>6254.31</v>
      </c>
      <c r="J2146" t="s">
        <v>1334</v>
      </c>
      <c r="K2146" s="7">
        <v>45962</v>
      </c>
    </row>
    <row r="2147" spans="1:11" hidden="1">
      <c r="A2147" t="s">
        <v>114</v>
      </c>
      <c r="B2147" t="s">
        <v>63</v>
      </c>
      <c r="C2147" t="s">
        <v>13</v>
      </c>
      <c r="E2147" t="s">
        <v>8</v>
      </c>
      <c r="F2147" s="1" t="s">
        <v>5</v>
      </c>
      <c r="G2147" s="1">
        <v>45991</v>
      </c>
      <c r="H2147" t="s">
        <v>41</v>
      </c>
      <c r="I2147" s="2">
        <v>6012.5</v>
      </c>
      <c r="J2147" t="s">
        <v>534</v>
      </c>
      <c r="K2147" s="7">
        <v>45962</v>
      </c>
    </row>
    <row r="2148" spans="1:11" hidden="1">
      <c r="A2148" t="s">
        <v>99</v>
      </c>
      <c r="B2148" t="s">
        <v>63</v>
      </c>
      <c r="C2148" t="s">
        <v>14</v>
      </c>
      <c r="E2148" t="s">
        <v>8</v>
      </c>
      <c r="F2148" s="1" t="s">
        <v>5</v>
      </c>
      <c r="G2148" s="1">
        <v>45991</v>
      </c>
      <c r="H2148" t="s">
        <v>41</v>
      </c>
      <c r="I2148" s="2">
        <v>20000</v>
      </c>
      <c r="J2148" t="s">
        <v>258</v>
      </c>
      <c r="K2148" s="7">
        <v>45962</v>
      </c>
    </row>
    <row r="2149" spans="1:11" hidden="1">
      <c r="A2149" t="s">
        <v>39</v>
      </c>
      <c r="B2149" t="s">
        <v>47</v>
      </c>
      <c r="C2149" t="s">
        <v>14</v>
      </c>
      <c r="E2149" t="s">
        <v>8</v>
      </c>
      <c r="F2149" s="1" t="s">
        <v>5</v>
      </c>
      <c r="G2149" s="1">
        <v>45991</v>
      </c>
      <c r="H2149" t="s">
        <v>41</v>
      </c>
      <c r="I2149" s="2">
        <v>5024</v>
      </c>
      <c r="J2149" t="s">
        <v>767</v>
      </c>
      <c r="K2149" s="7">
        <v>45962</v>
      </c>
    </row>
    <row r="2150" spans="1:11" hidden="1">
      <c r="A2150" t="s">
        <v>39</v>
      </c>
      <c r="B2150" t="s">
        <v>40</v>
      </c>
      <c r="C2150" t="s">
        <v>14</v>
      </c>
      <c r="E2150" t="s">
        <v>9</v>
      </c>
      <c r="F2150" s="1" t="s">
        <v>4</v>
      </c>
      <c r="G2150" s="1">
        <v>45982</v>
      </c>
      <c r="H2150" t="s">
        <v>41</v>
      </c>
      <c r="I2150" s="2">
        <v>396.73</v>
      </c>
      <c r="J2150" t="s">
        <v>1335</v>
      </c>
      <c r="K2150" s="7">
        <v>45962</v>
      </c>
    </row>
    <row r="2151" spans="1:11" hidden="1">
      <c r="A2151" t="s">
        <v>39</v>
      </c>
      <c r="B2151" t="s">
        <v>63</v>
      </c>
      <c r="C2151" t="s">
        <v>14</v>
      </c>
      <c r="E2151" t="s">
        <v>9</v>
      </c>
      <c r="F2151" s="1" t="s">
        <v>2</v>
      </c>
      <c r="G2151" s="1">
        <v>45995</v>
      </c>
      <c r="H2151" t="s">
        <v>64</v>
      </c>
      <c r="I2151" s="2">
        <f>453288.57/510</f>
        <v>888.80111764705885</v>
      </c>
      <c r="J2151" t="s">
        <v>1031</v>
      </c>
      <c r="K2151" s="7">
        <v>45992</v>
      </c>
    </row>
    <row r="2152" spans="1:11" hidden="1">
      <c r="A2152" t="s">
        <v>39</v>
      </c>
      <c r="B2152" t="s">
        <v>40</v>
      </c>
      <c r="C2152" t="s">
        <v>14</v>
      </c>
      <c r="E2152" t="s">
        <v>9</v>
      </c>
      <c r="F2152" s="1" t="s">
        <v>2</v>
      </c>
      <c r="G2152" s="1">
        <v>45814</v>
      </c>
      <c r="H2152" t="s">
        <v>41</v>
      </c>
      <c r="I2152" s="2">
        <v>888</v>
      </c>
      <c r="J2152" t="s">
        <v>1336</v>
      </c>
      <c r="K2152" s="7">
        <v>45809</v>
      </c>
    </row>
    <row r="2153" spans="1:11" hidden="1">
      <c r="A2153" t="s">
        <v>39</v>
      </c>
      <c r="B2153" t="s">
        <v>47</v>
      </c>
      <c r="C2153" t="s">
        <v>14</v>
      </c>
      <c r="E2153" t="s">
        <v>9</v>
      </c>
      <c r="F2153" s="1" t="s">
        <v>3</v>
      </c>
      <c r="G2153" s="1">
        <v>46003</v>
      </c>
      <c r="H2153" t="s">
        <v>41</v>
      </c>
      <c r="I2153" s="2">
        <v>876.26</v>
      </c>
      <c r="J2153" t="s">
        <v>1337</v>
      </c>
      <c r="K2153" s="7">
        <v>45992</v>
      </c>
    </row>
    <row r="2154" spans="1:11" hidden="1">
      <c r="A2154" t="s">
        <v>39</v>
      </c>
      <c r="B2154" t="s">
        <v>40</v>
      </c>
      <c r="C2154" t="s">
        <v>14</v>
      </c>
      <c r="D2154">
        <v>10028498</v>
      </c>
      <c r="E2154" t="s">
        <v>9</v>
      </c>
      <c r="F2154" s="1" t="s">
        <v>3</v>
      </c>
      <c r="G2154" s="1">
        <v>46064</v>
      </c>
      <c r="H2154" t="s">
        <v>41</v>
      </c>
      <c r="I2154" s="2">
        <v>1818</v>
      </c>
      <c r="J2154" t="s">
        <v>1338</v>
      </c>
      <c r="K2154" s="7">
        <v>46054</v>
      </c>
    </row>
    <row r="2155" spans="1:11" hidden="1">
      <c r="A2155" t="s">
        <v>39</v>
      </c>
      <c r="B2155" t="s">
        <v>47</v>
      </c>
      <c r="C2155" t="s">
        <v>14</v>
      </c>
      <c r="E2155" t="s">
        <v>9</v>
      </c>
      <c r="F2155" s="1" t="s">
        <v>2</v>
      </c>
      <c r="G2155" s="1">
        <v>45967</v>
      </c>
      <c r="H2155" t="s">
        <v>41</v>
      </c>
      <c r="I2155" s="2">
        <v>870.89</v>
      </c>
      <c r="J2155" t="s">
        <v>1339</v>
      </c>
      <c r="K2155" s="7">
        <v>45962</v>
      </c>
    </row>
    <row r="2156" spans="1:11" hidden="1">
      <c r="A2156" t="s">
        <v>39</v>
      </c>
      <c r="B2156" t="s">
        <v>47</v>
      </c>
      <c r="C2156" t="s">
        <v>14</v>
      </c>
      <c r="E2156" t="s">
        <v>9</v>
      </c>
      <c r="F2156" s="1" t="s">
        <v>2</v>
      </c>
      <c r="G2156" s="1">
        <v>45994</v>
      </c>
      <c r="H2156" t="s">
        <v>41</v>
      </c>
      <c r="I2156" s="2">
        <v>870.89</v>
      </c>
      <c r="J2156" s="47" t="s">
        <v>1340</v>
      </c>
      <c r="K2156" s="7">
        <v>45992</v>
      </c>
    </row>
    <row r="2157" spans="1:11" hidden="1">
      <c r="A2157" t="s">
        <v>39</v>
      </c>
      <c r="B2157" t="s">
        <v>63</v>
      </c>
      <c r="C2157" t="s">
        <v>14</v>
      </c>
      <c r="E2157" t="s">
        <v>9</v>
      </c>
      <c r="F2157" s="1" t="s">
        <v>4</v>
      </c>
      <c r="G2157" s="1">
        <v>45982</v>
      </c>
      <c r="H2157" t="s">
        <v>41</v>
      </c>
      <c r="I2157" s="2">
        <v>270</v>
      </c>
      <c r="J2157" s="47" t="s">
        <v>1341</v>
      </c>
      <c r="K2157" s="7">
        <v>45962</v>
      </c>
    </row>
    <row r="2158" spans="1:11" hidden="1">
      <c r="A2158" t="s">
        <v>39</v>
      </c>
      <c r="B2158" t="s">
        <v>63</v>
      </c>
      <c r="C2158" t="s">
        <v>12</v>
      </c>
      <c r="D2158" t="s">
        <v>1342</v>
      </c>
      <c r="E2158" t="s">
        <v>9</v>
      </c>
      <c r="F2158" s="1" t="s">
        <v>6</v>
      </c>
      <c r="G2158" s="1">
        <v>45869</v>
      </c>
      <c r="H2158" t="s">
        <v>64</v>
      </c>
      <c r="I2158" s="2">
        <f>441822.24/508</f>
        <v>869.72881889763778</v>
      </c>
      <c r="J2158" t="s">
        <v>1343</v>
      </c>
      <c r="K2158" s="7">
        <v>45839</v>
      </c>
    </row>
    <row r="2159" spans="1:11" hidden="1">
      <c r="A2159" t="s">
        <v>114</v>
      </c>
      <c r="B2159" t="s">
        <v>63</v>
      </c>
      <c r="C2159" t="s">
        <v>13</v>
      </c>
      <c r="D2159">
        <v>15158</v>
      </c>
      <c r="E2159" t="s">
        <v>9</v>
      </c>
      <c r="F2159" s="1" t="s">
        <v>2</v>
      </c>
      <c r="G2159" s="1">
        <v>45810</v>
      </c>
      <c r="H2159" t="s">
        <v>41</v>
      </c>
      <c r="I2159" s="2">
        <v>868.76</v>
      </c>
      <c r="J2159" t="s">
        <v>1306</v>
      </c>
      <c r="K2159" s="7">
        <v>45809</v>
      </c>
    </row>
    <row r="2160" spans="1:11" hidden="1">
      <c r="A2160" t="s">
        <v>39</v>
      </c>
      <c r="B2160" t="s">
        <v>47</v>
      </c>
      <c r="C2160" t="s">
        <v>14</v>
      </c>
      <c r="D2160">
        <v>10027134</v>
      </c>
      <c r="E2160" t="s">
        <v>9</v>
      </c>
      <c r="F2160" s="1" t="s">
        <v>3</v>
      </c>
      <c r="G2160" s="1">
        <v>45848</v>
      </c>
      <c r="H2160" t="s">
        <v>41</v>
      </c>
      <c r="I2160" s="2">
        <v>865.73</v>
      </c>
      <c r="J2160" t="s">
        <v>1344</v>
      </c>
      <c r="K2160" s="7">
        <v>45839</v>
      </c>
    </row>
    <row r="2161" spans="1:11" hidden="1">
      <c r="A2161" t="s">
        <v>1345</v>
      </c>
      <c r="B2161" t="s">
        <v>63</v>
      </c>
      <c r="C2161" t="s">
        <v>14</v>
      </c>
      <c r="E2161" t="s">
        <v>9</v>
      </c>
      <c r="F2161" s="1" t="s">
        <v>4</v>
      </c>
      <c r="G2161" s="1">
        <v>46006</v>
      </c>
      <c r="H2161" t="s">
        <v>41</v>
      </c>
      <c r="I2161" s="2">
        <v>9391</v>
      </c>
      <c r="J2161" t="s">
        <v>1346</v>
      </c>
      <c r="K2161" s="7">
        <v>45992</v>
      </c>
    </row>
    <row r="2162" spans="1:11" hidden="1">
      <c r="A2162" t="s">
        <v>39</v>
      </c>
      <c r="B2162" t="s">
        <v>40</v>
      </c>
      <c r="C2162" t="s">
        <v>14</v>
      </c>
      <c r="E2162" t="s">
        <v>9</v>
      </c>
      <c r="F2162" s="1" t="s">
        <v>5</v>
      </c>
      <c r="G2162" s="1">
        <v>45834</v>
      </c>
      <c r="H2162" t="s">
        <v>41</v>
      </c>
      <c r="I2162" s="2">
        <v>865</v>
      </c>
      <c r="J2162" t="s">
        <v>1347</v>
      </c>
      <c r="K2162" s="7">
        <v>45809</v>
      </c>
    </row>
    <row r="2163" spans="1:11" hidden="1">
      <c r="A2163" t="s">
        <v>39</v>
      </c>
      <c r="B2163" t="s">
        <v>40</v>
      </c>
      <c r="C2163" t="s">
        <v>14</v>
      </c>
      <c r="E2163" t="s">
        <v>9</v>
      </c>
      <c r="F2163" s="1" t="s">
        <v>5</v>
      </c>
      <c r="G2163" s="1">
        <v>45897</v>
      </c>
      <c r="H2163" t="s">
        <v>64</v>
      </c>
      <c r="I2163" s="2">
        <v>860.61</v>
      </c>
      <c r="J2163" t="s">
        <v>1348</v>
      </c>
      <c r="K2163" s="7">
        <v>45870</v>
      </c>
    </row>
    <row r="2164" spans="1:11" hidden="1">
      <c r="A2164" t="s">
        <v>39</v>
      </c>
      <c r="B2164" t="s">
        <v>45</v>
      </c>
      <c r="C2164" t="s">
        <v>14</v>
      </c>
      <c r="D2164">
        <v>10027683</v>
      </c>
      <c r="E2164" t="s">
        <v>9</v>
      </c>
      <c r="F2164" s="1" t="s">
        <v>5</v>
      </c>
      <c r="G2164" s="1">
        <v>45922</v>
      </c>
      <c r="H2164" t="s">
        <v>41</v>
      </c>
      <c r="I2164" s="2">
        <v>860.61</v>
      </c>
      <c r="J2164" t="s">
        <v>1349</v>
      </c>
      <c r="K2164" s="7">
        <v>45901</v>
      </c>
    </row>
    <row r="2165" spans="1:11" hidden="1">
      <c r="A2165" t="s">
        <v>39</v>
      </c>
      <c r="B2165" t="s">
        <v>40</v>
      </c>
      <c r="C2165" t="s">
        <v>14</v>
      </c>
      <c r="D2165">
        <v>10026510</v>
      </c>
      <c r="E2165" t="s">
        <v>9</v>
      </c>
      <c r="F2165" s="1" t="s">
        <v>3</v>
      </c>
      <c r="G2165" s="1">
        <v>45783</v>
      </c>
      <c r="H2165" t="s">
        <v>41</v>
      </c>
      <c r="I2165">
        <v>860.14</v>
      </c>
      <c r="J2165" t="s">
        <v>1350</v>
      </c>
      <c r="K2165" s="7">
        <v>45778</v>
      </c>
    </row>
    <row r="2166" spans="1:11" hidden="1">
      <c r="A2166" t="s">
        <v>39</v>
      </c>
      <c r="B2166" t="s">
        <v>63</v>
      </c>
      <c r="C2166" t="s">
        <v>14</v>
      </c>
      <c r="E2166" t="s">
        <v>9</v>
      </c>
      <c r="F2166" s="1" t="s">
        <v>5</v>
      </c>
      <c r="G2166" s="1">
        <v>45985</v>
      </c>
      <c r="H2166" t="s">
        <v>64</v>
      </c>
      <c r="I2166" s="2">
        <f>438109.99/510</f>
        <v>859.03919607843136</v>
      </c>
      <c r="J2166" s="47" t="s">
        <v>283</v>
      </c>
      <c r="K2166" s="7">
        <v>45962</v>
      </c>
    </row>
    <row r="2167" spans="1:11" hidden="1">
      <c r="A2167" t="s">
        <v>39</v>
      </c>
      <c r="B2167" t="s">
        <v>40</v>
      </c>
      <c r="C2167" t="s">
        <v>14</v>
      </c>
      <c r="E2167" t="s">
        <v>9</v>
      </c>
      <c r="F2167" s="1" t="s">
        <v>3</v>
      </c>
      <c r="G2167" s="1">
        <v>46064</v>
      </c>
      <c r="H2167" t="s">
        <v>41</v>
      </c>
      <c r="I2167" s="2">
        <v>1270</v>
      </c>
      <c r="J2167" t="s">
        <v>1351</v>
      </c>
      <c r="K2167" s="7">
        <v>46054</v>
      </c>
    </row>
    <row r="2168" spans="1:11" hidden="1">
      <c r="A2168" t="s">
        <v>114</v>
      </c>
      <c r="B2168" t="s">
        <v>63</v>
      </c>
      <c r="C2168" t="s">
        <v>14</v>
      </c>
      <c r="E2168" t="s">
        <v>9</v>
      </c>
      <c r="F2168" s="1" t="s">
        <v>5</v>
      </c>
      <c r="G2168" s="1">
        <v>46013</v>
      </c>
      <c r="H2168" t="s">
        <v>41</v>
      </c>
      <c r="I2168" s="2">
        <v>858.8</v>
      </c>
      <c r="J2168" t="s">
        <v>1352</v>
      </c>
      <c r="K2168" s="7">
        <v>45992</v>
      </c>
    </row>
    <row r="2169" spans="1:11" hidden="1">
      <c r="A2169" t="s">
        <v>39</v>
      </c>
      <c r="B2169" t="s">
        <v>45</v>
      </c>
      <c r="C2169" t="s">
        <v>14</v>
      </c>
      <c r="D2169">
        <v>10027061</v>
      </c>
      <c r="E2169" t="s">
        <v>9</v>
      </c>
      <c r="F2169" s="1" t="s">
        <v>3</v>
      </c>
      <c r="G2169" s="1">
        <v>45842</v>
      </c>
      <c r="H2169" t="s">
        <v>41</v>
      </c>
      <c r="I2169" s="2">
        <v>850.57</v>
      </c>
      <c r="J2169" t="s">
        <v>81</v>
      </c>
      <c r="K2169" s="7">
        <v>45839</v>
      </c>
    </row>
    <row r="2170" spans="1:11" hidden="1">
      <c r="A2170" t="s">
        <v>39</v>
      </c>
      <c r="B2170" t="s">
        <v>47</v>
      </c>
      <c r="C2170" t="s">
        <v>14</v>
      </c>
      <c r="D2170">
        <v>10027004</v>
      </c>
      <c r="E2170" t="s">
        <v>9</v>
      </c>
      <c r="F2170" s="1" t="s">
        <v>2</v>
      </c>
      <c r="G2170" s="1">
        <v>45841</v>
      </c>
      <c r="H2170" t="s">
        <v>41</v>
      </c>
      <c r="I2170" s="2">
        <v>848.81</v>
      </c>
      <c r="J2170" t="s">
        <v>264</v>
      </c>
      <c r="K2170" s="7">
        <v>45839</v>
      </c>
    </row>
    <row r="2171" spans="1:11" hidden="1">
      <c r="A2171" t="s">
        <v>39</v>
      </c>
      <c r="B2171" t="s">
        <v>40</v>
      </c>
      <c r="C2171" t="s">
        <v>14</v>
      </c>
      <c r="E2171" t="s">
        <v>9</v>
      </c>
      <c r="F2171" s="1" t="s">
        <v>2</v>
      </c>
      <c r="G2171" s="1">
        <v>46029</v>
      </c>
      <c r="H2171" t="s">
        <v>41</v>
      </c>
      <c r="I2171" s="2">
        <v>836.81</v>
      </c>
      <c r="J2171" t="s">
        <v>1353</v>
      </c>
      <c r="K2171" s="7">
        <v>46023</v>
      </c>
    </row>
    <row r="2172" spans="1:11" hidden="1">
      <c r="A2172" t="s">
        <v>39</v>
      </c>
      <c r="B2172" t="s">
        <v>40</v>
      </c>
      <c r="C2172" t="s">
        <v>14</v>
      </c>
      <c r="D2172">
        <v>10027224</v>
      </c>
      <c r="E2172" t="s">
        <v>9</v>
      </c>
      <c r="F2172" s="1" t="s">
        <v>2</v>
      </c>
      <c r="G2172" s="1">
        <v>45870</v>
      </c>
      <c r="H2172" t="s">
        <v>41</v>
      </c>
      <c r="I2172" s="2">
        <v>836.79</v>
      </c>
      <c r="J2172" t="s">
        <v>1354</v>
      </c>
      <c r="K2172" s="7">
        <v>45870</v>
      </c>
    </row>
    <row r="2173" spans="1:11" hidden="1">
      <c r="A2173" t="s">
        <v>39</v>
      </c>
      <c r="B2173" t="s">
        <v>40</v>
      </c>
      <c r="C2173" t="s">
        <v>14</v>
      </c>
      <c r="E2173" t="s">
        <v>9</v>
      </c>
      <c r="F2173" s="1" t="s">
        <v>3</v>
      </c>
      <c r="G2173" s="1">
        <v>45912</v>
      </c>
      <c r="H2173" t="s">
        <v>41</v>
      </c>
      <c r="I2173" s="2">
        <v>836</v>
      </c>
      <c r="J2173" t="s">
        <v>1355</v>
      </c>
      <c r="K2173" s="7">
        <v>45901</v>
      </c>
    </row>
    <row r="2174" spans="1:11" hidden="1">
      <c r="A2174" t="s">
        <v>114</v>
      </c>
      <c r="B2174" t="s">
        <v>63</v>
      </c>
      <c r="C2174" t="s">
        <v>14</v>
      </c>
      <c r="E2174" t="s">
        <v>9</v>
      </c>
      <c r="F2174" s="1" t="s">
        <v>2</v>
      </c>
      <c r="G2174" s="1">
        <v>45967</v>
      </c>
      <c r="H2174" t="s">
        <v>64</v>
      </c>
      <c r="I2174" s="2">
        <f>426173.72/510</f>
        <v>835.63474509803916</v>
      </c>
      <c r="J2174" t="s">
        <v>1356</v>
      </c>
      <c r="K2174" s="7">
        <v>45962</v>
      </c>
    </row>
    <row r="2175" spans="1:11" hidden="1">
      <c r="A2175" t="s">
        <v>39</v>
      </c>
      <c r="B2175" t="s">
        <v>47</v>
      </c>
      <c r="C2175" t="s">
        <v>14</v>
      </c>
      <c r="E2175" t="s">
        <v>9</v>
      </c>
      <c r="F2175" s="1" t="s">
        <v>4</v>
      </c>
      <c r="G2175" s="1">
        <v>46006</v>
      </c>
      <c r="H2175" t="s">
        <v>41</v>
      </c>
      <c r="I2175" s="2">
        <v>7702.21</v>
      </c>
      <c r="J2175" t="s">
        <v>1357</v>
      </c>
      <c r="K2175" s="7">
        <v>45992</v>
      </c>
    </row>
    <row r="2176" spans="1:11" hidden="1">
      <c r="A2176" t="s">
        <v>39</v>
      </c>
      <c r="B2176" t="s">
        <v>63</v>
      </c>
      <c r="C2176" t="s">
        <v>14</v>
      </c>
      <c r="D2176">
        <v>10027277</v>
      </c>
      <c r="E2176" t="s">
        <v>9</v>
      </c>
      <c r="F2176" s="1" t="s">
        <v>2</v>
      </c>
      <c r="G2176" s="1">
        <v>45877</v>
      </c>
      <c r="H2176" t="s">
        <v>41</v>
      </c>
      <c r="I2176" s="2">
        <v>817.15</v>
      </c>
      <c r="J2176" t="s">
        <v>151</v>
      </c>
      <c r="K2176" s="7">
        <v>45870</v>
      </c>
    </row>
    <row r="2177" spans="1:11" hidden="1">
      <c r="A2177" t="s">
        <v>39</v>
      </c>
      <c r="B2177" t="s">
        <v>63</v>
      </c>
      <c r="C2177" t="s">
        <v>13</v>
      </c>
      <c r="E2177" t="s">
        <v>9</v>
      </c>
      <c r="F2177" s="1" t="s">
        <v>4</v>
      </c>
      <c r="G2177" s="1">
        <v>46006</v>
      </c>
      <c r="H2177" t="s">
        <v>41</v>
      </c>
      <c r="I2177" s="2">
        <v>6237.81</v>
      </c>
      <c r="J2177" t="s">
        <v>886</v>
      </c>
      <c r="K2177" s="7">
        <v>45992</v>
      </c>
    </row>
    <row r="2178" spans="1:11" hidden="1">
      <c r="A2178" t="s">
        <v>39</v>
      </c>
      <c r="B2178" t="s">
        <v>406</v>
      </c>
      <c r="C2178" t="s">
        <v>14</v>
      </c>
      <c r="E2178" t="s">
        <v>9</v>
      </c>
      <c r="F2178" s="1" t="s">
        <v>5</v>
      </c>
      <c r="G2178" s="1">
        <v>45985</v>
      </c>
      <c r="H2178" t="s">
        <v>41</v>
      </c>
      <c r="I2178" s="2">
        <v>812.93</v>
      </c>
      <c r="J2178" s="47" t="s">
        <v>671</v>
      </c>
      <c r="K2178" s="7">
        <v>45962</v>
      </c>
    </row>
    <row r="2179" spans="1:11" hidden="1">
      <c r="A2179" t="s">
        <v>39</v>
      </c>
      <c r="B2179" t="s">
        <v>406</v>
      </c>
      <c r="C2179" t="s">
        <v>14</v>
      </c>
      <c r="E2179" t="s">
        <v>9</v>
      </c>
      <c r="F2179" s="1" t="s">
        <v>5</v>
      </c>
      <c r="G2179" s="1">
        <v>46015</v>
      </c>
      <c r="H2179" t="s">
        <v>41</v>
      </c>
      <c r="I2179" s="2">
        <v>812.93</v>
      </c>
      <c r="J2179" t="s">
        <v>671</v>
      </c>
      <c r="K2179" s="7">
        <v>45992</v>
      </c>
    </row>
    <row r="2180" spans="1:11" hidden="1">
      <c r="A2180" t="s">
        <v>39</v>
      </c>
      <c r="B2180" t="s">
        <v>47</v>
      </c>
      <c r="C2180" t="s">
        <v>14</v>
      </c>
      <c r="E2180" t="s">
        <v>9</v>
      </c>
      <c r="F2180" s="1" t="s">
        <v>3</v>
      </c>
      <c r="G2180" s="1">
        <v>45912</v>
      </c>
      <c r="H2180" t="s">
        <v>64</v>
      </c>
      <c r="I2180" s="2">
        <f>414381.12/510</f>
        <v>812.51199999999994</v>
      </c>
      <c r="J2180" t="s">
        <v>1358</v>
      </c>
      <c r="K2180" s="7">
        <v>45901</v>
      </c>
    </row>
    <row r="2181" spans="1:11" hidden="1">
      <c r="A2181" t="s">
        <v>39</v>
      </c>
      <c r="B2181" t="s">
        <v>45</v>
      </c>
      <c r="C2181" t="s">
        <v>14</v>
      </c>
      <c r="E2181" t="s">
        <v>9</v>
      </c>
      <c r="F2181" s="1" t="s">
        <v>3</v>
      </c>
      <c r="G2181" s="1">
        <v>45941</v>
      </c>
      <c r="H2181" t="s">
        <v>41</v>
      </c>
      <c r="I2181" s="2">
        <v>812.2</v>
      </c>
      <c r="J2181" t="s">
        <v>1359</v>
      </c>
      <c r="K2181" s="7">
        <v>45931</v>
      </c>
    </row>
    <row r="2182" spans="1:11" hidden="1">
      <c r="A2182" t="s">
        <v>39</v>
      </c>
      <c r="B2182" t="s">
        <v>47</v>
      </c>
      <c r="C2182" t="s">
        <v>14</v>
      </c>
      <c r="D2182">
        <v>10027620</v>
      </c>
      <c r="E2182" t="s">
        <v>9</v>
      </c>
      <c r="F2182" s="1" t="s">
        <v>5</v>
      </c>
      <c r="G2182" s="1">
        <v>45925</v>
      </c>
      <c r="H2182" t="s">
        <v>41</v>
      </c>
      <c r="I2182" s="2">
        <v>805.19</v>
      </c>
      <c r="J2182" t="s">
        <v>1360</v>
      </c>
      <c r="K2182" s="7">
        <v>45901</v>
      </c>
    </row>
    <row r="2183" spans="1:11" hidden="1">
      <c r="A2183" t="s">
        <v>39</v>
      </c>
      <c r="B2183" t="s">
        <v>40</v>
      </c>
      <c r="C2183" t="s">
        <v>14</v>
      </c>
      <c r="E2183" t="s">
        <v>9</v>
      </c>
      <c r="F2183" s="1" t="s">
        <v>3</v>
      </c>
      <c r="G2183" s="1">
        <v>46064</v>
      </c>
      <c r="H2183" t="s">
        <v>41</v>
      </c>
      <c r="I2183" s="2">
        <v>1270</v>
      </c>
      <c r="J2183" t="s">
        <v>1361</v>
      </c>
      <c r="K2183" s="7">
        <v>46054</v>
      </c>
    </row>
    <row r="2184" spans="1:11" hidden="1">
      <c r="A2184" t="s">
        <v>39</v>
      </c>
      <c r="B2184" t="s">
        <v>40</v>
      </c>
      <c r="C2184" t="s">
        <v>14</v>
      </c>
      <c r="D2184">
        <v>10027139</v>
      </c>
      <c r="E2184" t="s">
        <v>9</v>
      </c>
      <c r="F2184" s="1" t="s">
        <v>5</v>
      </c>
      <c r="G2184" s="1">
        <v>45860</v>
      </c>
      <c r="H2184" t="s">
        <v>41</v>
      </c>
      <c r="I2184" s="2">
        <v>800</v>
      </c>
      <c r="J2184" t="s">
        <v>1103</v>
      </c>
      <c r="K2184" s="7">
        <v>45839</v>
      </c>
    </row>
    <row r="2185" spans="1:11" hidden="1">
      <c r="A2185" t="s">
        <v>114</v>
      </c>
      <c r="B2185" t="s">
        <v>63</v>
      </c>
      <c r="C2185" t="s">
        <v>14</v>
      </c>
      <c r="D2185">
        <v>15202</v>
      </c>
      <c r="E2185" t="s">
        <v>9</v>
      </c>
      <c r="F2185" s="1" t="s">
        <v>6</v>
      </c>
      <c r="G2185" s="1">
        <v>45869</v>
      </c>
      <c r="H2185" t="s">
        <v>41</v>
      </c>
      <c r="I2185" s="2">
        <v>800</v>
      </c>
      <c r="J2185" t="s">
        <v>1362</v>
      </c>
      <c r="K2185" s="7">
        <v>45839</v>
      </c>
    </row>
    <row r="2186" spans="1:11" hidden="1">
      <c r="A2186" t="s">
        <v>39</v>
      </c>
      <c r="B2186" t="s">
        <v>40</v>
      </c>
      <c r="C2186" t="s">
        <v>14</v>
      </c>
      <c r="D2186">
        <v>10027258</v>
      </c>
      <c r="E2186" t="s">
        <v>9</v>
      </c>
      <c r="F2186" s="1" t="s">
        <v>2</v>
      </c>
      <c r="G2186" s="1">
        <v>45876</v>
      </c>
      <c r="H2186" t="s">
        <v>41</v>
      </c>
      <c r="I2186" s="2">
        <v>800</v>
      </c>
      <c r="J2186" t="s">
        <v>1363</v>
      </c>
      <c r="K2186" s="7">
        <v>45870</v>
      </c>
    </row>
    <row r="2187" spans="1:11" hidden="1">
      <c r="A2187" t="s">
        <v>56</v>
      </c>
      <c r="B2187" t="s">
        <v>40</v>
      </c>
      <c r="C2187" t="s">
        <v>14</v>
      </c>
      <c r="E2187" t="s">
        <v>9</v>
      </c>
      <c r="F2187" s="1" t="s">
        <v>3</v>
      </c>
      <c r="G2187" s="1">
        <v>45911</v>
      </c>
      <c r="H2187" t="s">
        <v>41</v>
      </c>
      <c r="I2187" s="2">
        <v>800</v>
      </c>
      <c r="J2187" s="47" t="s">
        <v>283</v>
      </c>
      <c r="K2187" s="7">
        <v>45901</v>
      </c>
    </row>
    <row r="2188" spans="1:11" hidden="1">
      <c r="A2188" t="s">
        <v>56</v>
      </c>
      <c r="B2188" t="s">
        <v>40</v>
      </c>
      <c r="C2188" t="s">
        <v>14</v>
      </c>
      <c r="E2188" t="s">
        <v>9</v>
      </c>
      <c r="F2188" s="1" t="s">
        <v>3</v>
      </c>
      <c r="G2188" s="1">
        <v>45911</v>
      </c>
      <c r="H2188" t="s">
        <v>41</v>
      </c>
      <c r="I2188" s="2">
        <v>800</v>
      </c>
      <c r="J2188" t="s">
        <v>1364</v>
      </c>
      <c r="K2188" s="7">
        <v>45901</v>
      </c>
    </row>
    <row r="2189" spans="1:11" hidden="1">
      <c r="A2189" t="s">
        <v>39</v>
      </c>
      <c r="B2189" t="s">
        <v>40</v>
      </c>
      <c r="C2189" t="s">
        <v>14</v>
      </c>
      <c r="E2189" t="s">
        <v>9</v>
      </c>
      <c r="F2189" s="1" t="s">
        <v>3</v>
      </c>
      <c r="G2189" s="1">
        <v>45938</v>
      </c>
      <c r="H2189" t="s">
        <v>41</v>
      </c>
      <c r="I2189" s="2">
        <v>800</v>
      </c>
      <c r="J2189" s="47" t="s">
        <v>1365</v>
      </c>
      <c r="K2189" s="7">
        <v>45931</v>
      </c>
    </row>
    <row r="2190" spans="1:11" hidden="1">
      <c r="A2190" t="s">
        <v>56</v>
      </c>
      <c r="B2190" t="s">
        <v>40</v>
      </c>
      <c r="C2190" t="s">
        <v>14</v>
      </c>
      <c r="D2190">
        <v>10823</v>
      </c>
      <c r="E2190" t="s">
        <v>9</v>
      </c>
      <c r="F2190" s="1" t="s">
        <v>3</v>
      </c>
      <c r="G2190" s="1">
        <v>45973</v>
      </c>
      <c r="H2190" t="s">
        <v>41</v>
      </c>
      <c r="I2190" s="2">
        <v>800</v>
      </c>
      <c r="J2190" t="s">
        <v>1100</v>
      </c>
      <c r="K2190" s="7">
        <v>45962</v>
      </c>
    </row>
    <row r="2191" spans="1:11" hidden="1">
      <c r="A2191" t="s">
        <v>39</v>
      </c>
      <c r="B2191" t="s">
        <v>63</v>
      </c>
      <c r="C2191" t="s">
        <v>14</v>
      </c>
      <c r="E2191" t="s">
        <v>9</v>
      </c>
      <c r="F2191" s="1" t="s">
        <v>4</v>
      </c>
      <c r="G2191" s="1">
        <v>46006</v>
      </c>
      <c r="H2191" t="s">
        <v>41</v>
      </c>
      <c r="I2191" s="2">
        <v>6039.32</v>
      </c>
      <c r="J2191" s="47" t="s">
        <v>1366</v>
      </c>
      <c r="K2191" s="7">
        <v>45992</v>
      </c>
    </row>
    <row r="2192" spans="1:11" hidden="1">
      <c r="A2192" t="s">
        <v>39</v>
      </c>
      <c r="B2192" t="s">
        <v>40</v>
      </c>
      <c r="C2192" t="s">
        <v>14</v>
      </c>
      <c r="E2192" t="s">
        <v>9</v>
      </c>
      <c r="F2192" s="1" t="s">
        <v>3</v>
      </c>
      <c r="G2192" s="1">
        <v>45911</v>
      </c>
      <c r="H2192" t="s">
        <v>41</v>
      </c>
      <c r="I2192" s="2">
        <v>794.85</v>
      </c>
      <c r="J2192" t="s">
        <v>1367</v>
      </c>
      <c r="K2192" s="7">
        <v>45901</v>
      </c>
    </row>
    <row r="2193" spans="1:11" hidden="1">
      <c r="A2193" t="s">
        <v>39</v>
      </c>
      <c r="B2193" t="s">
        <v>40</v>
      </c>
      <c r="C2193" t="s">
        <v>14</v>
      </c>
      <c r="E2193" t="s">
        <v>9</v>
      </c>
      <c r="F2193" s="1" t="s">
        <v>3</v>
      </c>
      <c r="G2193" s="1">
        <v>45911</v>
      </c>
      <c r="H2193" t="s">
        <v>41</v>
      </c>
      <c r="I2193" s="2">
        <v>794.85</v>
      </c>
      <c r="J2193" t="s">
        <v>1368</v>
      </c>
      <c r="K2193" s="7">
        <v>45901</v>
      </c>
    </row>
    <row r="2194" spans="1:11" hidden="1">
      <c r="A2194" t="s">
        <v>39</v>
      </c>
      <c r="B2194" t="s">
        <v>40</v>
      </c>
      <c r="C2194" t="s">
        <v>14</v>
      </c>
      <c r="D2194">
        <v>10027148</v>
      </c>
      <c r="E2194" t="s">
        <v>9</v>
      </c>
      <c r="F2194" s="1" t="s">
        <v>5</v>
      </c>
      <c r="G2194" s="1">
        <v>45862</v>
      </c>
      <c r="H2194" t="s">
        <v>64</v>
      </c>
      <c r="I2194" s="2">
        <f>403032/508</f>
        <v>793.37007874015751</v>
      </c>
      <c r="J2194" t="s">
        <v>1369</v>
      </c>
      <c r="K2194" s="7">
        <v>45839</v>
      </c>
    </row>
    <row r="2195" spans="1:11" hidden="1">
      <c r="A2195" t="s">
        <v>56</v>
      </c>
      <c r="B2195" t="s">
        <v>40</v>
      </c>
      <c r="C2195" t="s">
        <v>14</v>
      </c>
      <c r="D2195">
        <v>10822</v>
      </c>
      <c r="E2195" t="s">
        <v>9</v>
      </c>
      <c r="F2195" s="1" t="s">
        <v>2</v>
      </c>
      <c r="G2195" s="1">
        <v>45968</v>
      </c>
      <c r="H2195" t="s">
        <v>41</v>
      </c>
      <c r="I2195" s="2">
        <v>793</v>
      </c>
      <c r="J2195" t="s">
        <v>683</v>
      </c>
      <c r="K2195" s="7">
        <v>45962</v>
      </c>
    </row>
    <row r="2196" spans="1:11" hidden="1">
      <c r="A2196" t="s">
        <v>114</v>
      </c>
      <c r="B2196" t="s">
        <v>63</v>
      </c>
      <c r="C2196" t="s">
        <v>14</v>
      </c>
      <c r="D2196">
        <v>15181</v>
      </c>
      <c r="E2196" t="s">
        <v>9</v>
      </c>
      <c r="F2196" s="1" t="s">
        <v>3</v>
      </c>
      <c r="G2196" s="1">
        <v>45849</v>
      </c>
      <c r="H2196" t="s">
        <v>41</v>
      </c>
      <c r="I2196" s="2">
        <v>791</v>
      </c>
      <c r="J2196" t="s">
        <v>1370</v>
      </c>
      <c r="K2196" s="7">
        <v>45839</v>
      </c>
    </row>
    <row r="2197" spans="1:11" hidden="1">
      <c r="A2197" t="s">
        <v>39</v>
      </c>
      <c r="B2197" t="s">
        <v>40</v>
      </c>
      <c r="C2197" t="s">
        <v>14</v>
      </c>
      <c r="E2197" t="s">
        <v>9</v>
      </c>
      <c r="F2197" s="1" t="s">
        <v>3</v>
      </c>
      <c r="G2197" s="1">
        <v>46064</v>
      </c>
      <c r="H2197" t="s">
        <v>41</v>
      </c>
      <c r="I2197" s="2">
        <v>300</v>
      </c>
      <c r="J2197" s="47" t="s">
        <v>1371</v>
      </c>
      <c r="K2197" s="7">
        <v>46054</v>
      </c>
    </row>
    <row r="2198" spans="1:11" hidden="1">
      <c r="A2198" t="s">
        <v>39</v>
      </c>
      <c r="B2198" t="s">
        <v>40</v>
      </c>
      <c r="C2198" t="s">
        <v>14</v>
      </c>
      <c r="E2198" t="s">
        <v>9</v>
      </c>
      <c r="F2198" s="1" t="s">
        <v>319</v>
      </c>
      <c r="G2198" s="1">
        <v>46003</v>
      </c>
      <c r="H2198" t="s">
        <v>41</v>
      </c>
      <c r="I2198" s="2">
        <v>789</v>
      </c>
      <c r="J2198" t="s">
        <v>1372</v>
      </c>
      <c r="K2198" s="7">
        <v>45992</v>
      </c>
    </row>
    <row r="2199" spans="1:11" hidden="1">
      <c r="A2199" t="s">
        <v>39</v>
      </c>
      <c r="B2199" t="s">
        <v>40</v>
      </c>
      <c r="C2199" t="s">
        <v>14</v>
      </c>
      <c r="D2199">
        <v>10026503</v>
      </c>
      <c r="E2199" t="s">
        <v>9</v>
      </c>
      <c r="F2199" s="1" t="s">
        <v>3</v>
      </c>
      <c r="G2199" s="1">
        <v>45784</v>
      </c>
      <c r="H2199" t="s">
        <v>41</v>
      </c>
      <c r="I2199">
        <v>781</v>
      </c>
      <c r="J2199" t="s">
        <v>1373</v>
      </c>
      <c r="K2199" s="7">
        <v>45778</v>
      </c>
    </row>
    <row r="2200" spans="1:11" hidden="1">
      <c r="A2200" t="s">
        <v>39</v>
      </c>
      <c r="B2200" t="s">
        <v>63</v>
      </c>
      <c r="C2200" t="s">
        <v>14</v>
      </c>
      <c r="E2200" t="s">
        <v>9</v>
      </c>
      <c r="F2200" s="1" t="s">
        <v>4</v>
      </c>
      <c r="G2200" s="1">
        <v>46006</v>
      </c>
      <c r="H2200" t="s">
        <v>64</v>
      </c>
      <c r="I2200" s="2">
        <f>3020392.36/510</f>
        <v>5922.3379607843135</v>
      </c>
      <c r="J2200" t="s">
        <v>1374</v>
      </c>
      <c r="K2200" s="7">
        <v>45992</v>
      </c>
    </row>
    <row r="2201" spans="1:11" hidden="1">
      <c r="A2201" t="s">
        <v>39</v>
      </c>
      <c r="B2201" t="s">
        <v>40</v>
      </c>
      <c r="C2201" t="s">
        <v>14</v>
      </c>
      <c r="E2201" t="s">
        <v>9</v>
      </c>
      <c r="F2201" s="1" t="s">
        <v>2</v>
      </c>
      <c r="G2201" s="1">
        <v>45870</v>
      </c>
      <c r="H2201" t="s">
        <v>41</v>
      </c>
      <c r="I2201" s="2">
        <v>776</v>
      </c>
      <c r="J2201" t="s">
        <v>1375</v>
      </c>
      <c r="K2201" s="7">
        <v>45870</v>
      </c>
    </row>
    <row r="2202" spans="1:11" hidden="1">
      <c r="A2202" t="s">
        <v>39</v>
      </c>
      <c r="B2202" t="s">
        <v>40</v>
      </c>
      <c r="C2202" t="s">
        <v>14</v>
      </c>
      <c r="D2202">
        <v>10026537</v>
      </c>
      <c r="E2202" t="s">
        <v>9</v>
      </c>
      <c r="F2202" t="s">
        <v>2</v>
      </c>
      <c r="G2202" s="1">
        <v>45778</v>
      </c>
      <c r="H2202" t="s">
        <v>41</v>
      </c>
      <c r="I2202">
        <v>770</v>
      </c>
      <c r="J2202" t="s">
        <v>1376</v>
      </c>
      <c r="K2202" s="7">
        <v>45778</v>
      </c>
    </row>
    <row r="2203" spans="1:11" hidden="1">
      <c r="A2203" t="s">
        <v>39</v>
      </c>
      <c r="B2203" t="s">
        <v>40</v>
      </c>
      <c r="C2203" t="s">
        <v>14</v>
      </c>
      <c r="E2203" t="s">
        <v>9</v>
      </c>
      <c r="F2203" s="1" t="s">
        <v>5</v>
      </c>
      <c r="G2203" s="1">
        <v>45831</v>
      </c>
      <c r="H2203" t="s">
        <v>41</v>
      </c>
      <c r="I2203" s="2">
        <v>759.84</v>
      </c>
      <c r="J2203" t="s">
        <v>1377</v>
      </c>
      <c r="K2203" s="7">
        <v>45809</v>
      </c>
    </row>
    <row r="2204" spans="1:11" hidden="1">
      <c r="A2204" t="s">
        <v>114</v>
      </c>
      <c r="B2204" t="s">
        <v>63</v>
      </c>
      <c r="C2204" t="s">
        <v>14</v>
      </c>
      <c r="E2204" t="s">
        <v>9</v>
      </c>
      <c r="F2204" s="1" t="s">
        <v>4</v>
      </c>
      <c r="G2204" s="1">
        <v>46006</v>
      </c>
      <c r="H2204" t="s">
        <v>41</v>
      </c>
      <c r="I2204" s="2">
        <v>4435.96</v>
      </c>
      <c r="J2204" t="s">
        <v>796</v>
      </c>
      <c r="K2204" s="7">
        <v>45992</v>
      </c>
    </row>
    <row r="2205" spans="1:11" hidden="1">
      <c r="A2205" t="s">
        <v>39</v>
      </c>
      <c r="B2205" t="s">
        <v>47</v>
      </c>
      <c r="C2205" t="s">
        <v>14</v>
      </c>
      <c r="E2205" t="s">
        <v>9</v>
      </c>
      <c r="F2205" s="1" t="s">
        <v>4</v>
      </c>
      <c r="G2205" s="1">
        <v>46006</v>
      </c>
      <c r="H2205" t="s">
        <v>41</v>
      </c>
      <c r="I2205" s="2">
        <v>1564.62</v>
      </c>
      <c r="J2205" t="s">
        <v>1378</v>
      </c>
      <c r="K2205" s="7">
        <v>45992</v>
      </c>
    </row>
    <row r="2206" spans="1:11" hidden="1">
      <c r="A2206" t="s">
        <v>39</v>
      </c>
      <c r="B2206" t="s">
        <v>47</v>
      </c>
      <c r="C2206" t="s">
        <v>12</v>
      </c>
      <c r="D2206">
        <v>10026798</v>
      </c>
      <c r="E2206" t="s">
        <v>9</v>
      </c>
      <c r="F2206" s="1" t="s">
        <v>3</v>
      </c>
      <c r="G2206" s="1">
        <v>45818</v>
      </c>
      <c r="H2206" t="s">
        <v>41</v>
      </c>
      <c r="I2206" s="2">
        <v>747.94</v>
      </c>
      <c r="J2206" t="s">
        <v>442</v>
      </c>
      <c r="K2206" s="7">
        <v>45809</v>
      </c>
    </row>
    <row r="2207" spans="1:11" hidden="1">
      <c r="A2207" t="s">
        <v>39</v>
      </c>
      <c r="B2207" t="s">
        <v>47</v>
      </c>
      <c r="C2207" t="s">
        <v>14</v>
      </c>
      <c r="E2207" t="s">
        <v>9</v>
      </c>
      <c r="F2207" s="1" t="s">
        <v>4</v>
      </c>
      <c r="G2207" s="1">
        <v>46006</v>
      </c>
      <c r="H2207" t="s">
        <v>41</v>
      </c>
      <c r="I2207" s="2">
        <v>1077.6300000000001</v>
      </c>
      <c r="J2207" t="s">
        <v>1379</v>
      </c>
      <c r="K2207" s="7">
        <v>45992</v>
      </c>
    </row>
    <row r="2208" spans="1:11" hidden="1">
      <c r="A2208" t="s">
        <v>39</v>
      </c>
      <c r="B2208" t="s">
        <v>40</v>
      </c>
      <c r="C2208" t="s">
        <v>14</v>
      </c>
      <c r="E2208" t="s">
        <v>9</v>
      </c>
      <c r="F2208" s="1" t="s">
        <v>3</v>
      </c>
      <c r="G2208" s="1">
        <v>46003</v>
      </c>
      <c r="H2208" t="s">
        <v>41</v>
      </c>
      <c r="I2208" s="2">
        <v>743</v>
      </c>
      <c r="J2208" s="47" t="s">
        <v>1380</v>
      </c>
      <c r="K2208" s="7">
        <v>45992</v>
      </c>
    </row>
    <row r="2209" spans="1:11" hidden="1">
      <c r="A2209" t="s">
        <v>39</v>
      </c>
      <c r="B2209" t="s">
        <v>40</v>
      </c>
      <c r="C2209" t="s">
        <v>14</v>
      </c>
      <c r="E2209" t="s">
        <v>9</v>
      </c>
      <c r="F2209" s="1" t="s">
        <v>3</v>
      </c>
      <c r="G2209" s="1">
        <v>46038</v>
      </c>
      <c r="H2209" t="s">
        <v>41</v>
      </c>
      <c r="I2209" s="2">
        <v>743</v>
      </c>
      <c r="J2209" t="s">
        <v>1381</v>
      </c>
      <c r="K2209" s="7">
        <v>46023</v>
      </c>
    </row>
    <row r="2210" spans="1:11" hidden="1">
      <c r="A2210" t="s">
        <v>39</v>
      </c>
      <c r="B2210" t="s">
        <v>40</v>
      </c>
      <c r="C2210" t="s">
        <v>14</v>
      </c>
      <c r="E2210" t="s">
        <v>9</v>
      </c>
      <c r="F2210" s="1" t="s">
        <v>4</v>
      </c>
      <c r="G2210" s="1">
        <v>46006</v>
      </c>
      <c r="H2210" t="s">
        <v>41</v>
      </c>
      <c r="I2210" s="2">
        <v>945.78</v>
      </c>
      <c r="J2210" s="47" t="s">
        <v>1382</v>
      </c>
      <c r="K2210" s="7">
        <v>45992</v>
      </c>
    </row>
    <row r="2211" spans="1:11" hidden="1">
      <c r="A2211" t="s">
        <v>39</v>
      </c>
      <c r="B2211" t="s">
        <v>40</v>
      </c>
      <c r="C2211" t="s">
        <v>14</v>
      </c>
      <c r="E2211" t="s">
        <v>9</v>
      </c>
      <c r="F2211" s="1" t="s">
        <v>3</v>
      </c>
      <c r="G2211" s="1">
        <v>46034</v>
      </c>
      <c r="H2211" t="s">
        <v>41</v>
      </c>
      <c r="I2211" s="2">
        <v>740</v>
      </c>
      <c r="J2211" t="s">
        <v>925</v>
      </c>
      <c r="K2211" s="7">
        <v>46023</v>
      </c>
    </row>
    <row r="2212" spans="1:11" hidden="1">
      <c r="A2212" t="s">
        <v>39</v>
      </c>
      <c r="B2212" t="s">
        <v>47</v>
      </c>
      <c r="C2212" t="s">
        <v>14</v>
      </c>
      <c r="E2212" t="s">
        <v>9</v>
      </c>
      <c r="F2212" s="1" t="s">
        <v>5</v>
      </c>
      <c r="G2212" s="1">
        <v>45987</v>
      </c>
      <c r="H2212" t="s">
        <v>41</v>
      </c>
      <c r="I2212" s="2">
        <v>737.62</v>
      </c>
      <c r="J2212" s="47" t="s">
        <v>1383</v>
      </c>
      <c r="K2212" s="7">
        <v>45962</v>
      </c>
    </row>
    <row r="2213" spans="1:11" hidden="1">
      <c r="A2213" t="s">
        <v>39</v>
      </c>
      <c r="B2213" t="s">
        <v>40</v>
      </c>
      <c r="C2213" t="s">
        <v>14</v>
      </c>
      <c r="E2213" t="s">
        <v>9</v>
      </c>
      <c r="F2213" s="1" t="s">
        <v>5</v>
      </c>
      <c r="G2213" s="1">
        <v>45897</v>
      </c>
      <c r="H2213" t="s">
        <v>64</v>
      </c>
      <c r="I2213" s="2">
        <f>375255.235/510</f>
        <v>735.79457843137254</v>
      </c>
      <c r="J2213" t="s">
        <v>1384</v>
      </c>
      <c r="K2213" s="7">
        <v>45870</v>
      </c>
    </row>
    <row r="2214" spans="1:11" hidden="1">
      <c r="A2214" t="s">
        <v>56</v>
      </c>
      <c r="B2214" t="s">
        <v>40</v>
      </c>
      <c r="C2214" t="s">
        <v>14</v>
      </c>
      <c r="E2214" t="s">
        <v>9</v>
      </c>
      <c r="F2214" s="1" t="s">
        <v>2</v>
      </c>
      <c r="G2214" s="1">
        <v>45870</v>
      </c>
      <c r="H2214" t="s">
        <v>41</v>
      </c>
      <c r="I2214" s="2">
        <v>728</v>
      </c>
      <c r="J2214" t="s">
        <v>1385</v>
      </c>
      <c r="K2214" s="7">
        <v>45870</v>
      </c>
    </row>
    <row r="2215" spans="1:11" hidden="1">
      <c r="A2215" t="s">
        <v>39</v>
      </c>
      <c r="B2215" t="s">
        <v>40</v>
      </c>
      <c r="C2215" t="s">
        <v>14</v>
      </c>
      <c r="E2215" t="s">
        <v>9</v>
      </c>
      <c r="F2215" s="1" t="s">
        <v>4</v>
      </c>
      <c r="G2215" s="1">
        <v>46006</v>
      </c>
      <c r="H2215" t="s">
        <v>41</v>
      </c>
      <c r="I2215" s="2">
        <v>528</v>
      </c>
      <c r="J2215" t="s">
        <v>1386</v>
      </c>
      <c r="K2215" s="7">
        <v>45992</v>
      </c>
    </row>
    <row r="2216" spans="1:11" hidden="1">
      <c r="A2216" t="s">
        <v>39</v>
      </c>
      <c r="B2216" t="s">
        <v>45</v>
      </c>
      <c r="C2216" t="s">
        <v>13</v>
      </c>
      <c r="E2216" t="s">
        <v>9</v>
      </c>
      <c r="F2216" s="1" t="s">
        <v>3</v>
      </c>
      <c r="G2216" s="1">
        <v>46065</v>
      </c>
      <c r="H2216" t="s">
        <v>41</v>
      </c>
      <c r="I2216" s="2">
        <v>46109.23</v>
      </c>
      <c r="J2216" s="47" t="s">
        <v>1387</v>
      </c>
      <c r="K2216" s="7">
        <v>46054</v>
      </c>
    </row>
    <row r="2217" spans="1:11" hidden="1">
      <c r="A2217" t="s">
        <v>114</v>
      </c>
      <c r="B2217" t="s">
        <v>63</v>
      </c>
      <c r="C2217" t="s">
        <v>14</v>
      </c>
      <c r="E2217" t="s">
        <v>9</v>
      </c>
      <c r="F2217" s="1" t="s">
        <v>3</v>
      </c>
      <c r="G2217" s="1">
        <v>45912</v>
      </c>
      <c r="H2217" t="s">
        <v>41</v>
      </c>
      <c r="I2217" s="2">
        <v>708.74</v>
      </c>
      <c r="J2217" t="s">
        <v>1388</v>
      </c>
      <c r="K2217" s="7">
        <v>45901</v>
      </c>
    </row>
    <row r="2218" spans="1:11" hidden="1">
      <c r="A2218" t="s">
        <v>39</v>
      </c>
      <c r="B2218" t="s">
        <v>40</v>
      </c>
      <c r="C2218" t="s">
        <v>14</v>
      </c>
      <c r="E2218" t="s">
        <v>9</v>
      </c>
      <c r="F2218" s="1" t="s">
        <v>4</v>
      </c>
      <c r="G2218" s="1">
        <v>46006</v>
      </c>
      <c r="H2218" t="s">
        <v>41</v>
      </c>
      <c r="I2218" s="2">
        <v>429.8</v>
      </c>
      <c r="J2218" s="47" t="s">
        <v>1389</v>
      </c>
      <c r="K2218" s="7">
        <v>45992</v>
      </c>
    </row>
    <row r="2219" spans="1:11" hidden="1">
      <c r="A2219" t="s">
        <v>39</v>
      </c>
      <c r="B2219" t="s">
        <v>40</v>
      </c>
      <c r="C2219" t="s">
        <v>14</v>
      </c>
      <c r="E2219" t="s">
        <v>9</v>
      </c>
      <c r="F2219" s="1" t="s">
        <v>5</v>
      </c>
      <c r="G2219" s="1">
        <v>45891</v>
      </c>
      <c r="H2219" t="s">
        <v>64</v>
      </c>
      <c r="I2219" s="2">
        <v>706</v>
      </c>
      <c r="J2219" t="s">
        <v>1390</v>
      </c>
      <c r="K2219" s="7">
        <v>45870</v>
      </c>
    </row>
    <row r="2220" spans="1:11" hidden="1">
      <c r="A2220" t="s">
        <v>39</v>
      </c>
      <c r="B2220" t="s">
        <v>40</v>
      </c>
      <c r="C2220" t="s">
        <v>14</v>
      </c>
      <c r="E2220" t="s">
        <v>9</v>
      </c>
      <c r="F2220" s="1" t="s">
        <v>2</v>
      </c>
      <c r="G2220" s="1">
        <v>46030</v>
      </c>
      <c r="H2220" t="s">
        <v>41</v>
      </c>
      <c r="I2220" s="2">
        <v>706</v>
      </c>
      <c r="J2220" s="47" t="s">
        <v>1391</v>
      </c>
      <c r="K2220" s="7">
        <v>46023</v>
      </c>
    </row>
    <row r="2221" spans="1:11" hidden="1">
      <c r="A2221" t="s">
        <v>114</v>
      </c>
      <c r="B2221" t="s">
        <v>63</v>
      </c>
      <c r="C2221" t="s">
        <v>12</v>
      </c>
      <c r="D2221">
        <v>15150</v>
      </c>
      <c r="E2221" t="s">
        <v>9</v>
      </c>
      <c r="F2221" s="1" t="s">
        <v>5</v>
      </c>
      <c r="G2221" s="1">
        <v>45796</v>
      </c>
      <c r="H2221" t="s">
        <v>41</v>
      </c>
      <c r="I2221" s="2">
        <v>700</v>
      </c>
      <c r="J2221" t="s">
        <v>350</v>
      </c>
      <c r="K2221" s="7">
        <v>45778</v>
      </c>
    </row>
    <row r="2222" spans="1:11" hidden="1">
      <c r="A2222" t="s">
        <v>39</v>
      </c>
      <c r="B2222" t="s">
        <v>40</v>
      </c>
      <c r="C2222" t="s">
        <v>14</v>
      </c>
      <c r="E2222" t="s">
        <v>9</v>
      </c>
      <c r="F2222" s="1" t="s">
        <v>4</v>
      </c>
      <c r="G2222" s="1">
        <v>46006</v>
      </c>
      <c r="H2222" t="s">
        <v>41</v>
      </c>
      <c r="I2222" s="2">
        <v>367.52</v>
      </c>
      <c r="J2222" s="47" t="s">
        <v>1392</v>
      </c>
      <c r="K2222" s="7">
        <v>45992</v>
      </c>
    </row>
    <row r="2223" spans="1:11" hidden="1">
      <c r="A2223" t="s">
        <v>39</v>
      </c>
      <c r="B2223" t="s">
        <v>40</v>
      </c>
      <c r="C2223" t="s">
        <v>12</v>
      </c>
      <c r="E2223" t="s">
        <v>9</v>
      </c>
      <c r="F2223" s="1" t="s">
        <v>3</v>
      </c>
      <c r="G2223" s="1">
        <v>45820</v>
      </c>
      <c r="H2223" t="s">
        <v>41</v>
      </c>
      <c r="I2223" s="2">
        <v>694</v>
      </c>
      <c r="J2223" t="s">
        <v>1393</v>
      </c>
      <c r="K2223" s="7">
        <v>45809</v>
      </c>
    </row>
    <row r="2224" spans="1:11" hidden="1">
      <c r="A2224" t="s">
        <v>39</v>
      </c>
      <c r="B2224" t="s">
        <v>40</v>
      </c>
      <c r="C2224" t="s">
        <v>14</v>
      </c>
      <c r="E2224" t="s">
        <v>9</v>
      </c>
      <c r="F2224" s="1" t="s">
        <v>2</v>
      </c>
      <c r="G2224" s="1">
        <v>45870</v>
      </c>
      <c r="H2224" t="s">
        <v>41</v>
      </c>
      <c r="I2224" s="2">
        <v>694</v>
      </c>
      <c r="J2224" t="s">
        <v>1394</v>
      </c>
      <c r="K2224" s="7">
        <v>45870</v>
      </c>
    </row>
    <row r="2225" spans="1:11" hidden="1">
      <c r="A2225" t="s">
        <v>39</v>
      </c>
      <c r="B2225" t="s">
        <v>40</v>
      </c>
      <c r="C2225" t="s">
        <v>14</v>
      </c>
      <c r="E2225" t="s">
        <v>9</v>
      </c>
      <c r="F2225" s="1" t="s">
        <v>3</v>
      </c>
      <c r="G2225" s="1">
        <v>45977</v>
      </c>
      <c r="H2225" t="s">
        <v>41</v>
      </c>
      <c r="I2225" s="2">
        <v>691.13</v>
      </c>
      <c r="J2225" s="47" t="s">
        <v>1395</v>
      </c>
      <c r="K2225" s="7">
        <v>45962</v>
      </c>
    </row>
    <row r="2226" spans="1:11" hidden="1">
      <c r="A2226" t="s">
        <v>39</v>
      </c>
      <c r="B2226" t="s">
        <v>40</v>
      </c>
      <c r="C2226" t="s">
        <v>14</v>
      </c>
      <c r="E2226" t="s">
        <v>9</v>
      </c>
      <c r="F2226" s="1" t="s">
        <v>5</v>
      </c>
      <c r="G2226" s="1">
        <v>45922</v>
      </c>
      <c r="H2226" t="s">
        <v>41</v>
      </c>
      <c r="I2226" s="2">
        <v>691.11</v>
      </c>
      <c r="J2226" t="s">
        <v>1396</v>
      </c>
      <c r="K2226" s="7">
        <v>45901</v>
      </c>
    </row>
    <row r="2227" spans="1:11" hidden="1">
      <c r="A2227" t="s">
        <v>39</v>
      </c>
      <c r="B2227" t="s">
        <v>47</v>
      </c>
      <c r="C2227" t="s">
        <v>14</v>
      </c>
      <c r="D2227">
        <v>10028259</v>
      </c>
      <c r="E2227" t="s">
        <v>9</v>
      </c>
      <c r="F2227" s="1" t="s">
        <v>3</v>
      </c>
      <c r="G2227" s="1">
        <v>46034</v>
      </c>
      <c r="H2227" t="s">
        <v>41</v>
      </c>
      <c r="I2227" s="2">
        <v>689.08</v>
      </c>
      <c r="J2227" t="s">
        <v>1397</v>
      </c>
      <c r="K2227" s="7">
        <v>46023</v>
      </c>
    </row>
    <row r="2228" spans="1:11" hidden="1">
      <c r="A2228" t="s">
        <v>39</v>
      </c>
      <c r="B2228" t="s">
        <v>40</v>
      </c>
      <c r="C2228" t="s">
        <v>14</v>
      </c>
      <c r="E2228" t="s">
        <v>9</v>
      </c>
      <c r="F2228" s="1" t="s">
        <v>4</v>
      </c>
      <c r="G2228" s="1">
        <v>46006</v>
      </c>
      <c r="H2228" t="s">
        <v>41</v>
      </c>
      <c r="I2228" s="2">
        <v>220.51</v>
      </c>
      <c r="J2228" s="47" t="s">
        <v>1398</v>
      </c>
      <c r="K2228" s="7">
        <v>45992</v>
      </c>
    </row>
    <row r="2229" spans="1:11" hidden="1">
      <c r="A2229" t="s">
        <v>39</v>
      </c>
      <c r="B2229" t="s">
        <v>40</v>
      </c>
      <c r="C2229" t="s">
        <v>14</v>
      </c>
      <c r="E2229" t="s">
        <v>9</v>
      </c>
      <c r="F2229" s="1" t="s">
        <v>4</v>
      </c>
      <c r="G2229" s="1">
        <v>46006</v>
      </c>
      <c r="H2229" t="s">
        <v>41</v>
      </c>
      <c r="I2229" s="2">
        <v>79.099999999999994</v>
      </c>
      <c r="J2229" s="47" t="s">
        <v>1399</v>
      </c>
      <c r="K2229" s="7">
        <v>45992</v>
      </c>
    </row>
    <row r="2230" spans="1:11" hidden="1">
      <c r="A2230" t="s">
        <v>39</v>
      </c>
      <c r="B2230" t="s">
        <v>47</v>
      </c>
      <c r="C2230" t="s">
        <v>14</v>
      </c>
      <c r="D2230">
        <v>10026776</v>
      </c>
      <c r="E2230" t="s">
        <v>9</v>
      </c>
      <c r="F2230" s="1" t="s">
        <v>3</v>
      </c>
      <c r="G2230" s="1">
        <v>45817</v>
      </c>
      <c r="H2230" t="s">
        <v>41</v>
      </c>
      <c r="I2230" s="2">
        <v>678</v>
      </c>
      <c r="J2230" t="s">
        <v>1400</v>
      </c>
      <c r="K2230" s="7">
        <v>45809</v>
      </c>
    </row>
    <row r="2231" spans="1:11" hidden="1">
      <c r="A2231" t="s">
        <v>39</v>
      </c>
      <c r="B2231" t="s">
        <v>63</v>
      </c>
      <c r="C2231" t="s">
        <v>14</v>
      </c>
      <c r="E2231" t="s">
        <v>9</v>
      </c>
      <c r="F2231" s="1" t="s">
        <v>5</v>
      </c>
      <c r="G2231" s="1">
        <v>45951</v>
      </c>
      <c r="H2231" t="s">
        <v>41</v>
      </c>
      <c r="I2231" s="2">
        <v>678</v>
      </c>
      <c r="J2231" s="47" t="s">
        <v>884</v>
      </c>
      <c r="K2231" s="7">
        <v>45931</v>
      </c>
    </row>
    <row r="2232" spans="1:11" hidden="1">
      <c r="A2232" t="s">
        <v>39</v>
      </c>
      <c r="B2232" t="s">
        <v>406</v>
      </c>
      <c r="C2232" t="s">
        <v>14</v>
      </c>
      <c r="E2232" t="s">
        <v>9</v>
      </c>
      <c r="F2232" s="1" t="s">
        <v>4</v>
      </c>
      <c r="G2232" s="1">
        <v>46007</v>
      </c>
      <c r="H2232" t="s">
        <v>41</v>
      </c>
      <c r="I2232" s="2">
        <v>14817.38</v>
      </c>
      <c r="J2232" t="s">
        <v>1401</v>
      </c>
      <c r="K2232" s="7">
        <v>45992</v>
      </c>
    </row>
    <row r="2233" spans="1:11" hidden="1">
      <c r="A2233" t="s">
        <v>39</v>
      </c>
      <c r="B2233" t="s">
        <v>63</v>
      </c>
      <c r="C2233" t="s">
        <v>14</v>
      </c>
      <c r="E2233" t="s">
        <v>9</v>
      </c>
      <c r="F2233" s="1" t="s">
        <v>4</v>
      </c>
      <c r="G2233" s="1">
        <v>46007</v>
      </c>
      <c r="H2233" t="s">
        <v>64</v>
      </c>
      <c r="I2233" s="2">
        <f>5630614.6/510</f>
        <v>11040.420784313725</v>
      </c>
      <c r="J2233" t="s">
        <v>425</v>
      </c>
      <c r="K2233" s="7">
        <v>45992</v>
      </c>
    </row>
    <row r="2234" spans="1:11" hidden="1">
      <c r="A2234" t="s">
        <v>39</v>
      </c>
      <c r="B2234" t="s">
        <v>40</v>
      </c>
      <c r="C2234" t="s">
        <v>14</v>
      </c>
      <c r="E2234" t="s">
        <v>9</v>
      </c>
      <c r="F2234" s="1" t="s">
        <v>5</v>
      </c>
      <c r="G2234" s="1">
        <v>45951</v>
      </c>
      <c r="H2234" t="s">
        <v>41</v>
      </c>
      <c r="I2234" s="2">
        <v>673</v>
      </c>
      <c r="J2234" t="s">
        <v>1402</v>
      </c>
      <c r="K2234" s="7">
        <v>45931</v>
      </c>
    </row>
    <row r="2235" spans="1:11" hidden="1">
      <c r="A2235" t="s">
        <v>39</v>
      </c>
      <c r="B2235" t="s">
        <v>47</v>
      </c>
      <c r="C2235" t="s">
        <v>14</v>
      </c>
      <c r="D2235">
        <v>10026711</v>
      </c>
      <c r="E2235" t="s">
        <v>9</v>
      </c>
      <c r="F2235" s="1" t="s">
        <v>6</v>
      </c>
      <c r="G2235" s="1">
        <v>45805</v>
      </c>
      <c r="H2235" t="s">
        <v>41</v>
      </c>
      <c r="I2235" s="2">
        <v>671.87</v>
      </c>
      <c r="J2235" t="s">
        <v>1304</v>
      </c>
      <c r="K2235" s="7">
        <v>45778</v>
      </c>
    </row>
    <row r="2236" spans="1:11" hidden="1">
      <c r="A2236" t="s">
        <v>114</v>
      </c>
      <c r="B2236" t="s">
        <v>63</v>
      </c>
      <c r="C2236" t="s">
        <v>14</v>
      </c>
      <c r="E2236" t="s">
        <v>9</v>
      </c>
      <c r="F2236" s="1" t="s">
        <v>4</v>
      </c>
      <c r="G2236" s="1">
        <v>46007</v>
      </c>
      <c r="H2236" t="s">
        <v>41</v>
      </c>
      <c r="I2236" s="2">
        <v>7378.23</v>
      </c>
      <c r="J2236" t="s">
        <v>249</v>
      </c>
      <c r="K2236" s="7">
        <v>45992</v>
      </c>
    </row>
    <row r="2237" spans="1:11" hidden="1">
      <c r="A2237" t="s">
        <v>39</v>
      </c>
      <c r="B2237" t="s">
        <v>63</v>
      </c>
      <c r="C2237" t="s">
        <v>13</v>
      </c>
      <c r="E2237" t="s">
        <v>9</v>
      </c>
      <c r="F2237" s="1" t="s">
        <v>3</v>
      </c>
      <c r="G2237" s="1">
        <v>46065</v>
      </c>
      <c r="H2237" t="s">
        <v>41</v>
      </c>
      <c r="I2237" s="2">
        <v>21843.3</v>
      </c>
      <c r="J2237" s="47" t="s">
        <v>241</v>
      </c>
      <c r="K2237" s="7">
        <v>46054</v>
      </c>
    </row>
    <row r="2238" spans="1:11">
      <c r="A2238" t="s">
        <v>39</v>
      </c>
      <c r="B2238" t="s">
        <v>47</v>
      </c>
      <c r="C2238" t="s">
        <v>12</v>
      </c>
      <c r="E2238" t="s">
        <v>9</v>
      </c>
      <c r="F2238" s="1" t="s">
        <v>3</v>
      </c>
      <c r="G2238" s="1">
        <v>46065</v>
      </c>
      <c r="H2238" t="s">
        <v>41</v>
      </c>
      <c r="I2238" s="2">
        <v>18924.34</v>
      </c>
      <c r="J2238" s="47" t="s">
        <v>241</v>
      </c>
      <c r="K2238" s="7">
        <v>46054</v>
      </c>
    </row>
    <row r="2239" spans="1:11" hidden="1">
      <c r="A2239" t="s">
        <v>39</v>
      </c>
      <c r="B2239" t="s">
        <v>40</v>
      </c>
      <c r="C2239" t="s">
        <v>14</v>
      </c>
      <c r="E2239" t="s">
        <v>9</v>
      </c>
      <c r="F2239" s="1" t="s">
        <v>4</v>
      </c>
      <c r="G2239" s="1">
        <v>46007</v>
      </c>
      <c r="H2239" t="s">
        <v>41</v>
      </c>
      <c r="I2239" s="2">
        <v>4323</v>
      </c>
      <c r="J2239" s="47" t="s">
        <v>1403</v>
      </c>
      <c r="K2239" s="7">
        <v>45992</v>
      </c>
    </row>
    <row r="2240" spans="1:11" hidden="1">
      <c r="A2240" t="s">
        <v>39</v>
      </c>
      <c r="B2240" t="s">
        <v>63</v>
      </c>
      <c r="C2240" t="s">
        <v>14</v>
      </c>
      <c r="E2240" t="s">
        <v>9</v>
      </c>
      <c r="F2240" s="1" t="s">
        <v>3</v>
      </c>
      <c r="G2240" s="1">
        <v>46065</v>
      </c>
      <c r="H2240" t="s">
        <v>41</v>
      </c>
      <c r="I2240" s="2">
        <v>13805.69</v>
      </c>
      <c r="J2240" s="47" t="s">
        <v>283</v>
      </c>
      <c r="K2240" s="7">
        <v>46054</v>
      </c>
    </row>
    <row r="2241" spans="1:11" hidden="1">
      <c r="A2241" t="s">
        <v>39</v>
      </c>
      <c r="B2241" t="s">
        <v>40</v>
      </c>
      <c r="C2241" t="s">
        <v>14</v>
      </c>
      <c r="E2241" t="s">
        <v>9</v>
      </c>
      <c r="F2241" s="1" t="s">
        <v>5</v>
      </c>
      <c r="G2241" s="1">
        <v>45900</v>
      </c>
      <c r="H2241" t="s">
        <v>41</v>
      </c>
      <c r="I2241" s="2">
        <v>657.37</v>
      </c>
      <c r="J2241" t="s">
        <v>1404</v>
      </c>
      <c r="K2241" s="7">
        <v>45870</v>
      </c>
    </row>
    <row r="2242" spans="1:11" hidden="1">
      <c r="A2242" t="s">
        <v>39</v>
      </c>
      <c r="B2242" t="s">
        <v>63</v>
      </c>
      <c r="C2242" t="s">
        <v>12</v>
      </c>
      <c r="E2242" t="s">
        <v>9</v>
      </c>
      <c r="F2242" s="1" t="s">
        <v>3</v>
      </c>
      <c r="G2242" s="1">
        <v>46065</v>
      </c>
      <c r="H2242" t="s">
        <v>41</v>
      </c>
      <c r="I2242" s="2">
        <v>8954.6</v>
      </c>
      <c r="J2242" s="47" t="s">
        <v>1405</v>
      </c>
      <c r="K2242" s="7">
        <v>46054</v>
      </c>
    </row>
    <row r="2243" spans="1:11" hidden="1">
      <c r="A2243" t="s">
        <v>39</v>
      </c>
      <c r="B2243" t="s">
        <v>40</v>
      </c>
      <c r="C2243" t="s">
        <v>14</v>
      </c>
      <c r="E2243" t="s">
        <v>9</v>
      </c>
      <c r="F2243" s="1" t="s">
        <v>2</v>
      </c>
      <c r="G2243" s="1">
        <v>45812</v>
      </c>
      <c r="H2243" t="s">
        <v>41</v>
      </c>
      <c r="I2243" s="2">
        <v>657</v>
      </c>
      <c r="J2243" t="s">
        <v>1406</v>
      </c>
      <c r="K2243" s="7">
        <v>45809</v>
      </c>
    </row>
    <row r="2244" spans="1:11" hidden="1">
      <c r="A2244" t="s">
        <v>39</v>
      </c>
      <c r="B2244" t="s">
        <v>63</v>
      </c>
      <c r="C2244" t="s">
        <v>14</v>
      </c>
      <c r="E2244" t="s">
        <v>9</v>
      </c>
      <c r="F2244" s="1" t="s">
        <v>4</v>
      </c>
      <c r="G2244" s="1">
        <v>46007</v>
      </c>
      <c r="H2244" t="s">
        <v>41</v>
      </c>
      <c r="I2244" s="2">
        <v>2466.54</v>
      </c>
      <c r="J2244" t="s">
        <v>1407</v>
      </c>
      <c r="K2244" s="7">
        <v>45992</v>
      </c>
    </row>
    <row r="2245" spans="1:11" hidden="1">
      <c r="A2245" t="s">
        <v>39</v>
      </c>
      <c r="B2245" t="s">
        <v>45</v>
      </c>
      <c r="C2245" t="s">
        <v>13</v>
      </c>
      <c r="E2245" t="s">
        <v>9</v>
      </c>
      <c r="F2245" s="1" t="s">
        <v>3</v>
      </c>
      <c r="G2245" s="1">
        <v>46065</v>
      </c>
      <c r="H2245" t="s">
        <v>41</v>
      </c>
      <c r="I2245" s="2">
        <v>7483.86</v>
      </c>
      <c r="J2245" s="47" t="s">
        <v>1408</v>
      </c>
      <c r="K2245" s="7">
        <v>46054</v>
      </c>
    </row>
    <row r="2246" spans="1:11" hidden="1">
      <c r="A2246" t="s">
        <v>39</v>
      </c>
      <c r="B2246" t="s">
        <v>40</v>
      </c>
      <c r="C2246" t="s">
        <v>14</v>
      </c>
      <c r="E2246" t="s">
        <v>9</v>
      </c>
      <c r="F2246" s="1" t="s">
        <v>5</v>
      </c>
      <c r="G2246" s="1">
        <v>45988</v>
      </c>
      <c r="H2246" t="s">
        <v>64</v>
      </c>
      <c r="I2246" s="2">
        <f>335000/510</f>
        <v>656.86274509803923</v>
      </c>
      <c r="J2246" s="47" t="s">
        <v>1409</v>
      </c>
      <c r="K2246" s="7">
        <v>45962</v>
      </c>
    </row>
    <row r="2247" spans="1:11" hidden="1">
      <c r="A2247" t="s">
        <v>39</v>
      </c>
      <c r="B2247" t="s">
        <v>40</v>
      </c>
      <c r="C2247" t="s">
        <v>14</v>
      </c>
      <c r="E2247" t="s">
        <v>9</v>
      </c>
      <c r="F2247" s="1" t="s">
        <v>2</v>
      </c>
      <c r="G2247" s="1">
        <v>45993</v>
      </c>
      <c r="H2247" t="s">
        <v>64</v>
      </c>
      <c r="I2247" s="2">
        <f>335000/510</f>
        <v>656.86274509803923</v>
      </c>
      <c r="J2247" s="47" t="s">
        <v>1409</v>
      </c>
      <c r="K2247" s="7">
        <v>45992</v>
      </c>
    </row>
    <row r="2248" spans="1:11" hidden="1">
      <c r="A2248" t="s">
        <v>56</v>
      </c>
      <c r="B2248" t="s">
        <v>40</v>
      </c>
      <c r="C2248" t="s">
        <v>14</v>
      </c>
      <c r="E2248" t="s">
        <v>9</v>
      </c>
      <c r="F2248" s="1" t="s">
        <v>4</v>
      </c>
      <c r="G2248" s="1">
        <v>46007</v>
      </c>
      <c r="H2248" t="s">
        <v>41</v>
      </c>
      <c r="I2248" s="2">
        <v>2000</v>
      </c>
      <c r="J2248" t="s">
        <v>1410</v>
      </c>
      <c r="K2248" s="7">
        <v>45992</v>
      </c>
    </row>
    <row r="2249" spans="1:11" hidden="1">
      <c r="A2249" t="s">
        <v>39</v>
      </c>
      <c r="B2249" t="s">
        <v>40</v>
      </c>
      <c r="C2249" t="s">
        <v>14</v>
      </c>
      <c r="E2249" t="s">
        <v>9</v>
      </c>
      <c r="F2249" s="1" t="s">
        <v>4</v>
      </c>
      <c r="G2249" s="1">
        <v>46007</v>
      </c>
      <c r="H2249" t="s">
        <v>41</v>
      </c>
      <c r="I2249" s="2">
        <v>1305</v>
      </c>
      <c r="J2249" s="47" t="s">
        <v>1411</v>
      </c>
      <c r="K2249" s="7">
        <v>45992</v>
      </c>
    </row>
    <row r="2250" spans="1:11" hidden="1">
      <c r="A2250" t="s">
        <v>39</v>
      </c>
      <c r="B2250" t="s">
        <v>40</v>
      </c>
      <c r="C2250" t="s">
        <v>14</v>
      </c>
      <c r="E2250" t="s">
        <v>9</v>
      </c>
      <c r="F2250" s="1" t="s">
        <v>4</v>
      </c>
      <c r="G2250" s="1">
        <v>46007</v>
      </c>
      <c r="H2250" t="s">
        <v>41</v>
      </c>
      <c r="I2250" s="2">
        <v>1074</v>
      </c>
      <c r="J2250" s="47" t="s">
        <v>1412</v>
      </c>
      <c r="K2250" s="7">
        <v>45992</v>
      </c>
    </row>
    <row r="2251" spans="1:11" hidden="1">
      <c r="A2251" t="s">
        <v>39</v>
      </c>
      <c r="B2251" t="s">
        <v>40</v>
      </c>
      <c r="C2251" t="s">
        <v>14</v>
      </c>
      <c r="E2251" t="s">
        <v>9</v>
      </c>
      <c r="F2251" s="1" t="s">
        <v>5</v>
      </c>
      <c r="G2251" s="1">
        <v>45988</v>
      </c>
      <c r="H2251" t="s">
        <v>64</v>
      </c>
      <c r="I2251" s="2">
        <f>328250/510</f>
        <v>643.62745098039215</v>
      </c>
      <c r="J2251" s="47" t="s">
        <v>1413</v>
      </c>
      <c r="K2251" s="7">
        <v>45962</v>
      </c>
    </row>
    <row r="2252" spans="1:11" hidden="1">
      <c r="A2252" t="s">
        <v>56</v>
      </c>
      <c r="B2252" t="s">
        <v>40</v>
      </c>
      <c r="C2252" t="s">
        <v>14</v>
      </c>
      <c r="E2252" t="s">
        <v>9</v>
      </c>
      <c r="F2252" s="1" t="s">
        <v>4</v>
      </c>
      <c r="G2252" s="1">
        <v>46007</v>
      </c>
      <c r="H2252" t="s">
        <v>41</v>
      </c>
      <c r="I2252" s="2">
        <v>573.08000000000004</v>
      </c>
      <c r="J2252" s="47" t="s">
        <v>1414</v>
      </c>
      <c r="K2252" s="7">
        <v>45992</v>
      </c>
    </row>
    <row r="2253" spans="1:11" hidden="1">
      <c r="A2253" t="s">
        <v>39</v>
      </c>
      <c r="B2253" t="s">
        <v>40</v>
      </c>
      <c r="C2253" t="s">
        <v>14</v>
      </c>
      <c r="D2253">
        <v>10026496</v>
      </c>
      <c r="E2253" t="s">
        <v>9</v>
      </c>
      <c r="F2253" t="s">
        <v>2</v>
      </c>
      <c r="G2253" s="1">
        <v>45779</v>
      </c>
      <c r="H2253" t="s">
        <v>41</v>
      </c>
      <c r="I2253">
        <v>630</v>
      </c>
      <c r="J2253" t="s">
        <v>79</v>
      </c>
      <c r="K2253" s="7">
        <v>45778</v>
      </c>
    </row>
    <row r="2254" spans="1:11" hidden="1">
      <c r="A2254" t="s">
        <v>39</v>
      </c>
      <c r="B2254" t="s">
        <v>40</v>
      </c>
      <c r="C2254" t="s">
        <v>14</v>
      </c>
      <c r="E2254" t="s">
        <v>9</v>
      </c>
      <c r="F2254" s="1" t="s">
        <v>4</v>
      </c>
      <c r="G2254" s="1">
        <v>46007</v>
      </c>
      <c r="H2254" t="s">
        <v>41</v>
      </c>
      <c r="I2254" s="2">
        <v>331</v>
      </c>
      <c r="J2254" s="47" t="s">
        <v>1415</v>
      </c>
      <c r="K2254" s="7">
        <v>45992</v>
      </c>
    </row>
    <row r="2255" spans="1:11" hidden="1">
      <c r="A2255" t="s">
        <v>114</v>
      </c>
      <c r="B2255" t="s">
        <v>63</v>
      </c>
      <c r="C2255" t="s">
        <v>14</v>
      </c>
      <c r="E2255" t="s">
        <v>9</v>
      </c>
      <c r="F2255" s="1" t="s">
        <v>4</v>
      </c>
      <c r="G2255" s="1">
        <v>46008</v>
      </c>
      <c r="H2255" t="s">
        <v>41</v>
      </c>
      <c r="I2255" s="2">
        <v>31383.55</v>
      </c>
      <c r="J2255" t="s">
        <v>1416</v>
      </c>
      <c r="K2255" s="7">
        <v>45992</v>
      </c>
    </row>
    <row r="2256" spans="1:11" hidden="1">
      <c r="A2256" t="s">
        <v>56</v>
      </c>
      <c r="B2256" t="s">
        <v>40</v>
      </c>
      <c r="C2256" t="s">
        <v>14</v>
      </c>
      <c r="E2256" t="s">
        <v>9</v>
      </c>
      <c r="F2256" s="1" t="s">
        <v>4</v>
      </c>
      <c r="G2256" s="1">
        <v>46008</v>
      </c>
      <c r="H2256" t="s">
        <v>41</v>
      </c>
      <c r="I2256" s="2">
        <v>26436.080000000002</v>
      </c>
      <c r="J2256" t="s">
        <v>1417</v>
      </c>
      <c r="K2256" s="7">
        <v>45992</v>
      </c>
    </row>
    <row r="2257" spans="1:11" hidden="1">
      <c r="A2257" t="s">
        <v>114</v>
      </c>
      <c r="B2257" t="s">
        <v>63</v>
      </c>
      <c r="C2257" t="s">
        <v>12</v>
      </c>
      <c r="E2257" t="s">
        <v>9</v>
      </c>
      <c r="F2257" s="1" t="s">
        <v>2</v>
      </c>
      <c r="G2257" s="1">
        <v>45877</v>
      </c>
      <c r="H2257" t="s">
        <v>41</v>
      </c>
      <c r="I2257" s="2">
        <v>616.98</v>
      </c>
      <c r="J2257" t="s">
        <v>1319</v>
      </c>
      <c r="K2257" s="7">
        <v>45870</v>
      </c>
    </row>
    <row r="2258" spans="1:11" hidden="1">
      <c r="A2258" t="s">
        <v>39</v>
      </c>
      <c r="B2258" t="s">
        <v>40</v>
      </c>
      <c r="C2258" t="s">
        <v>14</v>
      </c>
      <c r="E2258" t="s">
        <v>9</v>
      </c>
      <c r="F2258" s="1" t="s">
        <v>5</v>
      </c>
      <c r="G2258" s="1">
        <v>45799</v>
      </c>
      <c r="H2258" t="s">
        <v>41</v>
      </c>
      <c r="I2258" s="2">
        <v>616.5</v>
      </c>
      <c r="J2258" t="s">
        <v>1418</v>
      </c>
      <c r="K2258" s="7">
        <v>45778</v>
      </c>
    </row>
    <row r="2259" spans="1:11" hidden="1">
      <c r="A2259" t="s">
        <v>39</v>
      </c>
      <c r="B2259" t="s">
        <v>63</v>
      </c>
      <c r="C2259" t="s">
        <v>14</v>
      </c>
      <c r="E2259" t="s">
        <v>9</v>
      </c>
      <c r="F2259" s="1" t="s">
        <v>4</v>
      </c>
      <c r="G2259" s="1">
        <v>46008</v>
      </c>
      <c r="H2259" t="s">
        <v>41</v>
      </c>
      <c r="I2259" s="2">
        <v>11495.02</v>
      </c>
      <c r="J2259" t="s">
        <v>1419</v>
      </c>
      <c r="K2259" s="7">
        <v>45992</v>
      </c>
    </row>
    <row r="2260" spans="1:11" hidden="1">
      <c r="A2260" t="s">
        <v>39</v>
      </c>
      <c r="B2260" t="s">
        <v>40</v>
      </c>
      <c r="C2260" t="s">
        <v>14</v>
      </c>
      <c r="D2260">
        <v>10028142</v>
      </c>
      <c r="E2260" t="s">
        <v>9</v>
      </c>
      <c r="F2260" s="1" t="s">
        <v>4</v>
      </c>
      <c r="G2260" s="1">
        <v>46008</v>
      </c>
      <c r="H2260" t="s">
        <v>64</v>
      </c>
      <c r="I2260" s="2">
        <f>2100000/510</f>
        <v>4117.6470588235297</v>
      </c>
      <c r="J2260" s="47" t="s">
        <v>1294</v>
      </c>
      <c r="K2260" s="61">
        <v>45992</v>
      </c>
    </row>
    <row r="2261" spans="1:11" hidden="1">
      <c r="A2261" t="s">
        <v>39</v>
      </c>
      <c r="B2261" t="s">
        <v>40</v>
      </c>
      <c r="C2261" t="s">
        <v>14</v>
      </c>
      <c r="D2261">
        <v>10027021</v>
      </c>
      <c r="E2261" t="s">
        <v>9</v>
      </c>
      <c r="F2261" s="1" t="s">
        <v>3</v>
      </c>
      <c r="G2261" s="1">
        <v>45844</v>
      </c>
      <c r="H2261" t="s">
        <v>41</v>
      </c>
      <c r="I2261" s="2">
        <v>607.63</v>
      </c>
      <c r="J2261" t="s">
        <v>1420</v>
      </c>
      <c r="K2261" s="7">
        <v>45839</v>
      </c>
    </row>
    <row r="2262" spans="1:11" hidden="1">
      <c r="A2262" t="s">
        <v>114</v>
      </c>
      <c r="B2262" t="s">
        <v>63</v>
      </c>
      <c r="C2262" t="s">
        <v>13</v>
      </c>
      <c r="D2262">
        <v>15172</v>
      </c>
      <c r="E2262" t="s">
        <v>9</v>
      </c>
      <c r="F2262" s="1" t="s">
        <v>5</v>
      </c>
      <c r="G2262" s="1">
        <v>45831</v>
      </c>
      <c r="H2262" t="s">
        <v>41</v>
      </c>
      <c r="I2262" s="2">
        <v>605</v>
      </c>
      <c r="J2262" t="s">
        <v>486</v>
      </c>
      <c r="K2262" s="7">
        <v>45809</v>
      </c>
    </row>
    <row r="2263" spans="1:11" hidden="1">
      <c r="A2263" t="s">
        <v>39</v>
      </c>
      <c r="B2263" t="s">
        <v>40</v>
      </c>
      <c r="C2263" t="s">
        <v>14</v>
      </c>
      <c r="E2263" t="s">
        <v>9</v>
      </c>
      <c r="F2263" s="1" t="s">
        <v>5</v>
      </c>
      <c r="G2263" s="1">
        <v>45951</v>
      </c>
      <c r="H2263" t="s">
        <v>41</v>
      </c>
      <c r="I2263" s="2">
        <v>602.02</v>
      </c>
      <c r="J2263" t="s">
        <v>1036</v>
      </c>
      <c r="K2263" s="7">
        <v>45931</v>
      </c>
    </row>
    <row r="2264" spans="1:11" hidden="1">
      <c r="A2264" t="s">
        <v>39</v>
      </c>
      <c r="B2264" t="s">
        <v>40</v>
      </c>
      <c r="C2264" t="s">
        <v>14</v>
      </c>
      <c r="E2264" t="s">
        <v>9</v>
      </c>
      <c r="F2264" s="1" t="s">
        <v>3</v>
      </c>
      <c r="G2264" s="1">
        <v>45909</v>
      </c>
      <c r="H2264" t="s">
        <v>41</v>
      </c>
      <c r="I2264" s="2">
        <v>602</v>
      </c>
      <c r="J2264" t="s">
        <v>1421</v>
      </c>
      <c r="K2264" s="7">
        <v>45901</v>
      </c>
    </row>
    <row r="2265" spans="1:11" hidden="1">
      <c r="A2265" t="s">
        <v>39</v>
      </c>
      <c r="B2265" t="s">
        <v>45</v>
      </c>
      <c r="C2265" t="s">
        <v>14</v>
      </c>
      <c r="D2265">
        <v>10027254</v>
      </c>
      <c r="E2265" t="s">
        <v>9</v>
      </c>
      <c r="F2265" s="1" t="s">
        <v>2</v>
      </c>
      <c r="G2265" s="1">
        <v>45876</v>
      </c>
      <c r="H2265" t="s">
        <v>41</v>
      </c>
      <c r="I2265" s="2">
        <v>601.73</v>
      </c>
      <c r="J2265" t="s">
        <v>1422</v>
      </c>
      <c r="K2265" s="7">
        <v>45870</v>
      </c>
    </row>
    <row r="2266" spans="1:11" hidden="1">
      <c r="A2266" t="s">
        <v>39</v>
      </c>
      <c r="B2266" t="s">
        <v>40</v>
      </c>
      <c r="C2266" t="s">
        <v>14</v>
      </c>
      <c r="E2266" t="s">
        <v>9</v>
      </c>
      <c r="F2266" s="1" t="s">
        <v>5</v>
      </c>
      <c r="G2266" s="1">
        <v>45801</v>
      </c>
      <c r="H2266" t="s">
        <v>41</v>
      </c>
      <c r="I2266" s="2">
        <f>305613.88/508</f>
        <v>601.60212598425198</v>
      </c>
      <c r="J2266" t="s">
        <v>1423</v>
      </c>
      <c r="K2266" s="7">
        <v>45778</v>
      </c>
    </row>
    <row r="2267" spans="1:11" hidden="1">
      <c r="A2267" t="s">
        <v>114</v>
      </c>
      <c r="B2267" t="s">
        <v>63</v>
      </c>
      <c r="C2267" t="s">
        <v>14</v>
      </c>
      <c r="D2267" s="6">
        <v>15204</v>
      </c>
      <c r="E2267" t="s">
        <v>9</v>
      </c>
      <c r="F2267" s="1" t="s">
        <v>2</v>
      </c>
      <c r="G2267" s="1">
        <v>45876</v>
      </c>
      <c r="H2267" t="s">
        <v>41</v>
      </c>
      <c r="I2267" s="2">
        <v>601.22</v>
      </c>
      <c r="J2267" t="s">
        <v>1234</v>
      </c>
      <c r="K2267" s="7">
        <v>45870</v>
      </c>
    </row>
    <row r="2268" spans="1:11" hidden="1">
      <c r="A2268" t="s">
        <v>56</v>
      </c>
      <c r="B2268" t="s">
        <v>40</v>
      </c>
      <c r="C2268" t="s">
        <v>14</v>
      </c>
      <c r="D2268">
        <v>10764</v>
      </c>
      <c r="E2268" t="s">
        <v>9</v>
      </c>
      <c r="F2268" s="1" t="s">
        <v>3</v>
      </c>
      <c r="G2268" s="1">
        <v>45883</v>
      </c>
      <c r="H2268" t="s">
        <v>41</v>
      </c>
      <c r="I2268" s="2">
        <v>600</v>
      </c>
      <c r="J2268" t="s">
        <v>423</v>
      </c>
      <c r="K2268" s="7">
        <v>45870</v>
      </c>
    </row>
    <row r="2269" spans="1:11" hidden="1">
      <c r="A2269" t="s">
        <v>39</v>
      </c>
      <c r="B2269" t="s">
        <v>63</v>
      </c>
      <c r="C2269" t="s">
        <v>14</v>
      </c>
      <c r="E2269" t="s">
        <v>9</v>
      </c>
      <c r="F2269" s="1" t="s">
        <v>5</v>
      </c>
      <c r="G2269" s="1">
        <v>45954</v>
      </c>
      <c r="H2269" t="s">
        <v>41</v>
      </c>
      <c r="I2269" s="2">
        <v>600</v>
      </c>
      <c r="J2269" t="s">
        <v>679</v>
      </c>
      <c r="K2269" s="7">
        <v>45931</v>
      </c>
    </row>
    <row r="2270" spans="1:11" hidden="1">
      <c r="A2270" t="s">
        <v>39</v>
      </c>
      <c r="B2270" t="s">
        <v>40</v>
      </c>
      <c r="C2270" t="s">
        <v>14</v>
      </c>
      <c r="E2270" t="s">
        <v>9</v>
      </c>
      <c r="F2270" s="1" t="s">
        <v>5</v>
      </c>
      <c r="G2270" s="1">
        <v>46052</v>
      </c>
      <c r="H2270" t="s">
        <v>41</v>
      </c>
      <c r="I2270" s="2">
        <v>600</v>
      </c>
      <c r="J2270" t="s">
        <v>1424</v>
      </c>
      <c r="K2270" s="7">
        <v>46023</v>
      </c>
    </row>
    <row r="2271" spans="1:11" hidden="1">
      <c r="A2271" t="s">
        <v>39</v>
      </c>
      <c r="B2271" t="s">
        <v>40</v>
      </c>
      <c r="C2271" t="s">
        <v>14</v>
      </c>
      <c r="E2271" t="s">
        <v>9</v>
      </c>
      <c r="F2271" s="1" t="s">
        <v>5</v>
      </c>
      <c r="G2271" s="1">
        <v>45835</v>
      </c>
      <c r="H2271" t="s">
        <v>64</v>
      </c>
      <c r="I2271" s="2">
        <f>304790.32/508</f>
        <v>599.98094488188974</v>
      </c>
      <c r="J2271" t="s">
        <v>1425</v>
      </c>
      <c r="K2271" s="7">
        <v>45809</v>
      </c>
    </row>
    <row r="2272" spans="1:11" hidden="1">
      <c r="A2272" t="s">
        <v>39</v>
      </c>
      <c r="B2272" t="s">
        <v>40</v>
      </c>
      <c r="C2272" t="s">
        <v>14</v>
      </c>
      <c r="E2272" t="s">
        <v>9</v>
      </c>
      <c r="F2272" s="1" t="s">
        <v>5</v>
      </c>
      <c r="G2272" s="1">
        <v>45951</v>
      </c>
      <c r="H2272" t="s">
        <v>41</v>
      </c>
      <c r="I2272" s="2">
        <v>597</v>
      </c>
      <c r="J2272" t="s">
        <v>1426</v>
      </c>
      <c r="K2272" s="7">
        <v>45931</v>
      </c>
    </row>
    <row r="2273" spans="1:11" hidden="1">
      <c r="A2273" t="s">
        <v>39</v>
      </c>
      <c r="B2273" t="s">
        <v>40</v>
      </c>
      <c r="C2273" t="s">
        <v>14</v>
      </c>
      <c r="E2273" t="s">
        <v>9</v>
      </c>
      <c r="F2273" s="1" t="s">
        <v>5</v>
      </c>
      <c r="G2273" s="1">
        <v>45952</v>
      </c>
      <c r="H2273" t="s">
        <v>41</v>
      </c>
      <c r="I2273" s="2">
        <v>597</v>
      </c>
      <c r="J2273" t="s">
        <v>1427</v>
      </c>
      <c r="K2273" s="7">
        <v>45931</v>
      </c>
    </row>
    <row r="2274" spans="1:11" hidden="1">
      <c r="A2274" t="s">
        <v>39</v>
      </c>
      <c r="B2274" t="s">
        <v>47</v>
      </c>
      <c r="C2274" t="s">
        <v>14</v>
      </c>
      <c r="D2274">
        <v>10027687</v>
      </c>
      <c r="E2274" t="s">
        <v>9</v>
      </c>
      <c r="F2274" s="1" t="s">
        <v>2</v>
      </c>
      <c r="G2274" s="1">
        <v>45931</v>
      </c>
      <c r="H2274" t="s">
        <v>41</v>
      </c>
      <c r="I2274" s="2">
        <v>594.91</v>
      </c>
      <c r="J2274" t="s">
        <v>1428</v>
      </c>
      <c r="K2274" s="7">
        <v>45931</v>
      </c>
    </row>
    <row r="2275" spans="1:11" hidden="1">
      <c r="A2275" t="s">
        <v>39</v>
      </c>
      <c r="B2275" t="s">
        <v>40</v>
      </c>
      <c r="C2275" t="s">
        <v>14</v>
      </c>
      <c r="E2275" t="s">
        <v>9</v>
      </c>
      <c r="F2275" s="1" t="s">
        <v>2</v>
      </c>
      <c r="G2275" s="1">
        <v>45994</v>
      </c>
      <c r="H2275" t="s">
        <v>64</v>
      </c>
      <c r="I2275" s="2">
        <f>297615/510</f>
        <v>583.55882352941171</v>
      </c>
      <c r="J2275" s="47" t="s">
        <v>1429</v>
      </c>
      <c r="K2275" s="7">
        <v>45992</v>
      </c>
    </row>
    <row r="2276" spans="1:11" hidden="1">
      <c r="A2276" t="s">
        <v>39</v>
      </c>
      <c r="B2276" t="s">
        <v>63</v>
      </c>
      <c r="C2276" t="s">
        <v>14</v>
      </c>
      <c r="E2276" t="s">
        <v>9</v>
      </c>
      <c r="F2276" s="1" t="s">
        <v>5</v>
      </c>
      <c r="G2276" s="1">
        <v>46049</v>
      </c>
      <c r="H2276" t="s">
        <v>64</v>
      </c>
      <c r="I2276" s="2">
        <f>288971.03/496</f>
        <v>582.60288306451616</v>
      </c>
      <c r="J2276" t="s">
        <v>65</v>
      </c>
      <c r="K2276" s="7">
        <v>46023</v>
      </c>
    </row>
    <row r="2277" spans="1:11" hidden="1">
      <c r="A2277" t="s">
        <v>39</v>
      </c>
      <c r="B2277" t="s">
        <v>63</v>
      </c>
      <c r="C2277" t="s">
        <v>14</v>
      </c>
      <c r="E2277" t="s">
        <v>9</v>
      </c>
      <c r="F2277" s="1" t="s">
        <v>5</v>
      </c>
      <c r="G2277" s="1">
        <v>46050</v>
      </c>
      <c r="H2277" t="s">
        <v>64</v>
      </c>
      <c r="I2277" s="2">
        <f>288971.03/496</f>
        <v>582.60288306451616</v>
      </c>
      <c r="J2277" t="s">
        <v>65</v>
      </c>
      <c r="K2277" s="7">
        <v>46023</v>
      </c>
    </row>
    <row r="2278" spans="1:11" hidden="1">
      <c r="A2278" t="s">
        <v>56</v>
      </c>
      <c r="B2278" t="s">
        <v>40</v>
      </c>
      <c r="C2278" t="s">
        <v>14</v>
      </c>
      <c r="E2278" t="s">
        <v>9</v>
      </c>
      <c r="F2278" s="1" t="s">
        <v>2</v>
      </c>
      <c r="G2278" s="1">
        <v>46032</v>
      </c>
      <c r="H2278" t="s">
        <v>41</v>
      </c>
      <c r="I2278" s="2">
        <v>577.29</v>
      </c>
      <c r="J2278" t="s">
        <v>1430</v>
      </c>
      <c r="K2278" s="7">
        <v>46023</v>
      </c>
    </row>
    <row r="2279" spans="1:11" hidden="1">
      <c r="A2279" t="s">
        <v>114</v>
      </c>
      <c r="B2279" t="s">
        <v>63</v>
      </c>
      <c r="C2279" t="s">
        <v>14</v>
      </c>
      <c r="D2279">
        <v>15226</v>
      </c>
      <c r="E2279" t="s">
        <v>9</v>
      </c>
      <c r="F2279" s="1" t="s">
        <v>2</v>
      </c>
      <c r="G2279" s="1">
        <v>45905</v>
      </c>
      <c r="H2279" t="s">
        <v>41</v>
      </c>
      <c r="I2279" s="2">
        <v>576.88</v>
      </c>
      <c r="J2279" t="s">
        <v>1431</v>
      </c>
      <c r="K2279" s="7">
        <v>45901</v>
      </c>
    </row>
    <row r="2280" spans="1:11" hidden="1">
      <c r="A2280" t="s">
        <v>39</v>
      </c>
      <c r="B2280" t="s">
        <v>40</v>
      </c>
      <c r="C2280" t="s">
        <v>14</v>
      </c>
      <c r="E2280" t="s">
        <v>9</v>
      </c>
      <c r="F2280" s="1" t="s">
        <v>2</v>
      </c>
      <c r="G2280" s="1">
        <v>46031</v>
      </c>
      <c r="H2280" t="s">
        <v>41</v>
      </c>
      <c r="I2280" s="2">
        <v>576</v>
      </c>
      <c r="J2280" s="47" t="s">
        <v>1432</v>
      </c>
      <c r="K2280" s="7">
        <v>46023</v>
      </c>
    </row>
    <row r="2281" spans="1:11" hidden="1">
      <c r="A2281" t="s">
        <v>39</v>
      </c>
      <c r="B2281" t="s">
        <v>40</v>
      </c>
      <c r="C2281" t="s">
        <v>14</v>
      </c>
      <c r="E2281" t="s">
        <v>9</v>
      </c>
      <c r="F2281" s="1" t="s">
        <v>4</v>
      </c>
      <c r="G2281" s="1">
        <v>46008</v>
      </c>
      <c r="H2281" t="s">
        <v>41</v>
      </c>
      <c r="I2281" s="2">
        <v>3324</v>
      </c>
      <c r="J2281" s="47" t="s">
        <v>1433</v>
      </c>
      <c r="K2281" s="7">
        <v>45992</v>
      </c>
    </row>
    <row r="2282" spans="1:11" hidden="1">
      <c r="A2282" t="s">
        <v>56</v>
      </c>
      <c r="B2282" t="s">
        <v>40</v>
      </c>
      <c r="C2282" t="s">
        <v>14</v>
      </c>
      <c r="E2282" t="s">
        <v>9</v>
      </c>
      <c r="F2282" s="1" t="s">
        <v>4</v>
      </c>
      <c r="G2282" s="1">
        <v>46008</v>
      </c>
      <c r="H2282" t="s">
        <v>41</v>
      </c>
      <c r="I2282" s="2">
        <v>3000</v>
      </c>
      <c r="J2282" t="s">
        <v>570</v>
      </c>
      <c r="K2282" s="7">
        <v>45992</v>
      </c>
    </row>
    <row r="2283" spans="1:11" hidden="1">
      <c r="A2283" t="s">
        <v>114</v>
      </c>
      <c r="B2283" t="s">
        <v>63</v>
      </c>
      <c r="C2283" t="s">
        <v>14</v>
      </c>
      <c r="D2283">
        <v>15237</v>
      </c>
      <c r="E2283" t="s">
        <v>9</v>
      </c>
      <c r="F2283" s="1" t="s">
        <v>2</v>
      </c>
      <c r="G2283" s="1">
        <v>45932</v>
      </c>
      <c r="H2283" t="s">
        <v>41</v>
      </c>
      <c r="I2283" s="2">
        <v>572.91</v>
      </c>
      <c r="J2283" t="s">
        <v>534</v>
      </c>
      <c r="K2283" s="7">
        <v>45931</v>
      </c>
    </row>
    <row r="2284" spans="1:11" hidden="1">
      <c r="A2284" t="s">
        <v>39</v>
      </c>
      <c r="B2284" t="s">
        <v>63</v>
      </c>
      <c r="C2284" t="s">
        <v>14</v>
      </c>
      <c r="E2284" t="s">
        <v>9</v>
      </c>
      <c r="F2284" s="1" t="s">
        <v>4</v>
      </c>
      <c r="G2284" s="1">
        <v>46008</v>
      </c>
      <c r="H2284" t="s">
        <v>41</v>
      </c>
      <c r="I2284" s="2">
        <v>2833.54</v>
      </c>
      <c r="J2284" t="s">
        <v>538</v>
      </c>
      <c r="K2284" s="7">
        <v>45992</v>
      </c>
    </row>
    <row r="2285" spans="1:11" hidden="1">
      <c r="A2285" t="s">
        <v>39</v>
      </c>
      <c r="B2285" t="s">
        <v>47</v>
      </c>
      <c r="C2285" t="s">
        <v>14</v>
      </c>
      <c r="E2285" t="s">
        <v>9</v>
      </c>
      <c r="F2285" s="1" t="s">
        <v>4</v>
      </c>
      <c r="G2285" s="1">
        <v>46008</v>
      </c>
      <c r="H2285" t="s">
        <v>41</v>
      </c>
      <c r="I2285" s="2">
        <v>2036.12</v>
      </c>
      <c r="J2285" t="s">
        <v>1434</v>
      </c>
      <c r="K2285" s="7">
        <v>45992</v>
      </c>
    </row>
    <row r="2286" spans="1:11" hidden="1">
      <c r="A2286" t="s">
        <v>39</v>
      </c>
      <c r="B2286" t="s">
        <v>40</v>
      </c>
      <c r="C2286" t="s">
        <v>14</v>
      </c>
      <c r="D2286">
        <v>10027429</v>
      </c>
      <c r="E2286" t="s">
        <v>9</v>
      </c>
      <c r="F2286" s="1" t="s">
        <v>5</v>
      </c>
      <c r="G2286" s="1">
        <v>45899</v>
      </c>
      <c r="H2286" t="s">
        <v>64</v>
      </c>
      <c r="I2286" s="2">
        <f>291291/510</f>
        <v>571.15882352941173</v>
      </c>
      <c r="J2286" t="s">
        <v>1435</v>
      </c>
      <c r="K2286" s="7">
        <v>45870</v>
      </c>
    </row>
    <row r="2287" spans="1:11" hidden="1">
      <c r="A2287" t="s">
        <v>39</v>
      </c>
      <c r="B2287" t="s">
        <v>1293</v>
      </c>
      <c r="C2287" t="s">
        <v>14</v>
      </c>
      <c r="D2287">
        <v>10027416</v>
      </c>
      <c r="E2287" t="s">
        <v>9</v>
      </c>
      <c r="F2287" s="1" t="s">
        <v>5</v>
      </c>
      <c r="G2287" s="1">
        <v>45898</v>
      </c>
      <c r="H2287" t="s">
        <v>41</v>
      </c>
      <c r="I2287" s="2">
        <v>571</v>
      </c>
      <c r="J2287" t="s">
        <v>1436</v>
      </c>
      <c r="K2287" s="7">
        <v>45870</v>
      </c>
    </row>
    <row r="2288" spans="1:11" hidden="1">
      <c r="A2288" t="s">
        <v>39</v>
      </c>
      <c r="B2288" t="s">
        <v>40</v>
      </c>
      <c r="C2288" t="s">
        <v>14</v>
      </c>
      <c r="E2288" t="s">
        <v>9</v>
      </c>
      <c r="F2288" s="1" t="s">
        <v>5</v>
      </c>
      <c r="G2288" s="1">
        <v>45951</v>
      </c>
      <c r="H2288" t="s">
        <v>41</v>
      </c>
      <c r="I2288" s="2">
        <v>571</v>
      </c>
      <c r="J2288" s="47" t="s">
        <v>1437</v>
      </c>
      <c r="K2288" s="7">
        <v>45931</v>
      </c>
    </row>
    <row r="2289" spans="1:11" hidden="1">
      <c r="A2289" t="s">
        <v>39</v>
      </c>
      <c r="B2289" t="s">
        <v>40</v>
      </c>
      <c r="C2289" t="s">
        <v>14</v>
      </c>
      <c r="E2289" t="s">
        <v>9</v>
      </c>
      <c r="F2289" s="1" t="s">
        <v>6</v>
      </c>
      <c r="G2289" s="1">
        <v>46020</v>
      </c>
      <c r="H2289" t="s">
        <v>41</v>
      </c>
      <c r="I2289" s="2">
        <v>571</v>
      </c>
      <c r="J2289" s="47" t="s">
        <v>1438</v>
      </c>
      <c r="K2289" s="7">
        <v>45992</v>
      </c>
    </row>
    <row r="2290" spans="1:11" hidden="1">
      <c r="A2290" t="s">
        <v>39</v>
      </c>
      <c r="B2290" t="s">
        <v>40</v>
      </c>
      <c r="C2290" t="s">
        <v>14</v>
      </c>
      <c r="D2290">
        <v>10028226</v>
      </c>
      <c r="E2290" t="s">
        <v>9</v>
      </c>
      <c r="F2290" s="1" t="s">
        <v>3</v>
      </c>
      <c r="G2290" s="1">
        <v>46034</v>
      </c>
      <c r="H2290" t="s">
        <v>41</v>
      </c>
      <c r="I2290" s="2">
        <v>571</v>
      </c>
      <c r="J2290" t="s">
        <v>1439</v>
      </c>
      <c r="K2290" s="7">
        <v>46023</v>
      </c>
    </row>
    <row r="2291" spans="1:11" hidden="1">
      <c r="A2291" t="s">
        <v>39</v>
      </c>
      <c r="B2291" t="s">
        <v>47</v>
      </c>
      <c r="C2291" t="s">
        <v>14</v>
      </c>
      <c r="E2291" t="s">
        <v>9</v>
      </c>
      <c r="F2291" s="1" t="s">
        <v>4</v>
      </c>
      <c r="G2291" s="1">
        <v>46008</v>
      </c>
      <c r="H2291" t="s">
        <v>41</v>
      </c>
      <c r="I2291" s="2">
        <v>1669.72</v>
      </c>
      <c r="J2291" t="s">
        <v>136</v>
      </c>
      <c r="K2291" s="7">
        <v>45992</v>
      </c>
    </row>
    <row r="2292" spans="1:11" hidden="1">
      <c r="A2292" t="s">
        <v>39</v>
      </c>
      <c r="B2292" t="s">
        <v>40</v>
      </c>
      <c r="C2292" t="s">
        <v>14</v>
      </c>
      <c r="E2292" t="s">
        <v>9</v>
      </c>
      <c r="F2292" s="1" t="s">
        <v>3</v>
      </c>
      <c r="G2292" s="1">
        <v>45975</v>
      </c>
      <c r="H2292" t="s">
        <v>41</v>
      </c>
      <c r="I2292" s="2">
        <v>567</v>
      </c>
      <c r="J2292" t="s">
        <v>1440</v>
      </c>
      <c r="K2292" s="7">
        <v>45962</v>
      </c>
    </row>
    <row r="2293" spans="1:11" hidden="1">
      <c r="A2293" t="s">
        <v>39</v>
      </c>
      <c r="B2293" t="s">
        <v>63</v>
      </c>
      <c r="C2293" t="s">
        <v>14</v>
      </c>
      <c r="E2293" t="s">
        <v>9</v>
      </c>
      <c r="F2293" s="1" t="s">
        <v>4</v>
      </c>
      <c r="G2293" s="1">
        <v>46008</v>
      </c>
      <c r="H2293" t="s">
        <v>41</v>
      </c>
      <c r="I2293" s="2">
        <v>1235.26</v>
      </c>
      <c r="J2293" t="s">
        <v>436</v>
      </c>
      <c r="K2293" s="7">
        <v>45992</v>
      </c>
    </row>
    <row r="2294" spans="1:11" hidden="1">
      <c r="A2294" t="s">
        <v>39</v>
      </c>
      <c r="B2294" t="s">
        <v>40</v>
      </c>
      <c r="C2294" t="s">
        <v>14</v>
      </c>
      <c r="E2294" t="s">
        <v>9</v>
      </c>
      <c r="F2294" s="1" t="s">
        <v>3</v>
      </c>
      <c r="G2294" s="1">
        <v>46031</v>
      </c>
      <c r="H2294" t="s">
        <v>41</v>
      </c>
      <c r="I2294" s="2">
        <v>565.21</v>
      </c>
      <c r="J2294" s="47" t="s">
        <v>1441</v>
      </c>
      <c r="K2294" s="7">
        <v>46023</v>
      </c>
    </row>
    <row r="2295" spans="1:11" hidden="1">
      <c r="A2295" t="s">
        <v>39</v>
      </c>
      <c r="B2295" t="s">
        <v>45</v>
      </c>
      <c r="C2295" t="s">
        <v>14</v>
      </c>
      <c r="D2295">
        <v>10026726</v>
      </c>
      <c r="E2295" t="s">
        <v>9</v>
      </c>
      <c r="F2295" s="1" t="s">
        <v>6</v>
      </c>
      <c r="G2295" s="1">
        <v>45807</v>
      </c>
      <c r="H2295" t="s">
        <v>41</v>
      </c>
      <c r="I2295" s="2">
        <v>565</v>
      </c>
      <c r="J2295" t="s">
        <v>1442</v>
      </c>
      <c r="K2295" s="7">
        <v>45778</v>
      </c>
    </row>
    <row r="2296" spans="1:11" hidden="1">
      <c r="A2296" t="s">
        <v>39</v>
      </c>
      <c r="B2296" t="s">
        <v>47</v>
      </c>
      <c r="C2296" t="s">
        <v>14</v>
      </c>
      <c r="D2296">
        <v>10026801</v>
      </c>
      <c r="E2296" t="s">
        <v>9</v>
      </c>
      <c r="F2296" s="1" t="s">
        <v>3</v>
      </c>
      <c r="G2296" s="1">
        <v>45820</v>
      </c>
      <c r="H2296" t="s">
        <v>41</v>
      </c>
      <c r="I2296" s="2">
        <v>565</v>
      </c>
      <c r="J2296" t="s">
        <v>880</v>
      </c>
      <c r="K2296" s="7">
        <v>45809</v>
      </c>
    </row>
    <row r="2297" spans="1:11" hidden="1">
      <c r="A2297" t="s">
        <v>39</v>
      </c>
      <c r="B2297" t="s">
        <v>40</v>
      </c>
      <c r="C2297" t="s">
        <v>14</v>
      </c>
      <c r="E2297" t="s">
        <v>9</v>
      </c>
      <c r="F2297" s="1" t="s">
        <v>5</v>
      </c>
      <c r="G2297" s="1">
        <v>45927</v>
      </c>
      <c r="H2297" t="s">
        <v>41</v>
      </c>
      <c r="I2297" s="2">
        <v>560</v>
      </c>
      <c r="J2297" t="s">
        <v>1443</v>
      </c>
      <c r="K2297" s="7">
        <v>45901</v>
      </c>
    </row>
    <row r="2298" spans="1:11" hidden="1">
      <c r="A2298" t="s">
        <v>39</v>
      </c>
      <c r="B2298" t="s">
        <v>40</v>
      </c>
      <c r="C2298" t="s">
        <v>14</v>
      </c>
      <c r="E2298" t="s">
        <v>9</v>
      </c>
      <c r="F2298" s="1" t="s">
        <v>5</v>
      </c>
      <c r="G2298" s="1">
        <v>45922</v>
      </c>
      <c r="H2298" t="s">
        <v>41</v>
      </c>
      <c r="I2298" s="2">
        <v>559.35</v>
      </c>
      <c r="J2298" t="s">
        <v>1444</v>
      </c>
      <c r="K2298" s="7">
        <v>45901</v>
      </c>
    </row>
    <row r="2299" spans="1:11" hidden="1">
      <c r="A2299" t="s">
        <v>114</v>
      </c>
      <c r="B2299" t="s">
        <v>63</v>
      </c>
      <c r="C2299" t="s">
        <v>14</v>
      </c>
      <c r="E2299" t="s">
        <v>9</v>
      </c>
      <c r="F2299" s="1" t="s">
        <v>1445</v>
      </c>
      <c r="G2299" s="1">
        <v>46008</v>
      </c>
      <c r="H2299" t="s">
        <v>41</v>
      </c>
      <c r="I2299" s="2">
        <v>959.47</v>
      </c>
      <c r="J2299" t="s">
        <v>1446</v>
      </c>
      <c r="K2299" s="7">
        <v>45992</v>
      </c>
    </row>
    <row r="2300" spans="1:11" hidden="1">
      <c r="A2300" t="s">
        <v>39</v>
      </c>
      <c r="B2300" t="s">
        <v>63</v>
      </c>
      <c r="C2300" t="s">
        <v>14</v>
      </c>
      <c r="E2300" t="s">
        <v>9</v>
      </c>
      <c r="F2300" s="1" t="s">
        <v>3</v>
      </c>
      <c r="G2300" s="1">
        <v>46037</v>
      </c>
      <c r="H2300" t="s">
        <v>41</v>
      </c>
      <c r="I2300" s="2">
        <v>554.83000000000004</v>
      </c>
      <c r="J2300" t="s">
        <v>1260</v>
      </c>
      <c r="K2300" s="7">
        <v>46023</v>
      </c>
    </row>
    <row r="2301" spans="1:11" hidden="1">
      <c r="A2301" t="s">
        <v>39</v>
      </c>
      <c r="B2301" t="s">
        <v>63</v>
      </c>
      <c r="C2301" t="s">
        <v>13</v>
      </c>
      <c r="E2301" t="s">
        <v>9</v>
      </c>
      <c r="F2301" s="1" t="s">
        <v>4</v>
      </c>
      <c r="G2301" s="1">
        <v>46008</v>
      </c>
      <c r="H2301" t="s">
        <v>41</v>
      </c>
      <c r="I2301" s="2">
        <v>678</v>
      </c>
      <c r="J2301" t="s">
        <v>517</v>
      </c>
      <c r="K2301" s="7">
        <v>45992</v>
      </c>
    </row>
    <row r="2302" spans="1:11" hidden="1">
      <c r="A2302" t="s">
        <v>39</v>
      </c>
      <c r="B2302" t="s">
        <v>45</v>
      </c>
      <c r="C2302" t="s">
        <v>14</v>
      </c>
      <c r="E2302" t="s">
        <v>9</v>
      </c>
      <c r="F2302" s="1" t="s">
        <v>5</v>
      </c>
      <c r="G2302" s="1">
        <v>46052</v>
      </c>
      <c r="H2302" t="s">
        <v>41</v>
      </c>
      <c r="I2302" s="2">
        <v>553.09</v>
      </c>
      <c r="J2302" t="s">
        <v>1447</v>
      </c>
      <c r="K2302" s="7">
        <v>46023</v>
      </c>
    </row>
    <row r="2303" spans="1:11" hidden="1">
      <c r="A2303" t="s">
        <v>39</v>
      </c>
      <c r="B2303" t="s">
        <v>63</v>
      </c>
      <c r="C2303" t="s">
        <v>13</v>
      </c>
      <c r="E2303" t="s">
        <v>9</v>
      </c>
      <c r="F2303" s="1" t="s">
        <v>5</v>
      </c>
      <c r="G2303" s="1">
        <v>45833</v>
      </c>
      <c r="H2303" t="s">
        <v>41</v>
      </c>
      <c r="I2303" s="2">
        <v>551.4</v>
      </c>
      <c r="J2303" t="s">
        <v>1448</v>
      </c>
      <c r="K2303" s="7">
        <v>45809</v>
      </c>
    </row>
    <row r="2304" spans="1:11" hidden="1">
      <c r="A2304" t="s">
        <v>39</v>
      </c>
      <c r="B2304" t="s">
        <v>40</v>
      </c>
      <c r="C2304" t="s">
        <v>14</v>
      </c>
      <c r="D2304">
        <v>10027151</v>
      </c>
      <c r="E2304" t="s">
        <v>9</v>
      </c>
      <c r="F2304" s="1" t="s">
        <v>5</v>
      </c>
      <c r="G2304" s="1">
        <v>45862</v>
      </c>
      <c r="H2304" t="s">
        <v>64</v>
      </c>
      <c r="I2304" s="2">
        <f>280000/508</f>
        <v>551.18110236220468</v>
      </c>
      <c r="J2304" t="s">
        <v>1369</v>
      </c>
      <c r="K2304" s="7">
        <v>45839</v>
      </c>
    </row>
    <row r="2305" spans="1:11" hidden="1">
      <c r="A2305" t="s">
        <v>39</v>
      </c>
      <c r="B2305" t="s">
        <v>40</v>
      </c>
      <c r="C2305" t="s">
        <v>14</v>
      </c>
      <c r="D2305">
        <v>10026527</v>
      </c>
      <c r="E2305" t="s">
        <v>9</v>
      </c>
      <c r="F2305" t="s">
        <v>2</v>
      </c>
      <c r="G2305" s="1">
        <v>45778</v>
      </c>
      <c r="H2305" t="s">
        <v>41</v>
      </c>
      <c r="I2305">
        <v>550</v>
      </c>
      <c r="J2305" t="s">
        <v>1449</v>
      </c>
      <c r="K2305" s="7">
        <v>45778</v>
      </c>
    </row>
    <row r="2306" spans="1:11" hidden="1">
      <c r="A2306" t="s">
        <v>39</v>
      </c>
      <c r="B2306" t="s">
        <v>40</v>
      </c>
      <c r="C2306" t="s">
        <v>14</v>
      </c>
      <c r="E2306" t="s">
        <v>9</v>
      </c>
      <c r="F2306" s="1" t="s">
        <v>3</v>
      </c>
      <c r="G2306" s="1">
        <v>45817</v>
      </c>
      <c r="H2306" t="s">
        <v>41</v>
      </c>
      <c r="I2306" s="2">
        <v>550</v>
      </c>
      <c r="J2306" t="s">
        <v>1450</v>
      </c>
      <c r="K2306" s="7">
        <v>45809</v>
      </c>
    </row>
    <row r="2307" spans="1:11" hidden="1">
      <c r="A2307" t="s">
        <v>39</v>
      </c>
      <c r="B2307" t="s">
        <v>40</v>
      </c>
      <c r="C2307" t="s">
        <v>14</v>
      </c>
      <c r="E2307" t="s">
        <v>9</v>
      </c>
      <c r="F2307" s="1" t="s">
        <v>6</v>
      </c>
      <c r="G2307" s="1">
        <v>46020</v>
      </c>
      <c r="H2307" t="s">
        <v>41</v>
      </c>
      <c r="I2307" s="2">
        <f>280000/510</f>
        <v>549.01960784313724</v>
      </c>
      <c r="J2307" s="47" t="s">
        <v>1451</v>
      </c>
      <c r="K2307" s="7">
        <v>45992</v>
      </c>
    </row>
    <row r="2308" spans="1:11" hidden="1">
      <c r="A2308" t="s">
        <v>39</v>
      </c>
      <c r="B2308" t="s">
        <v>40</v>
      </c>
      <c r="C2308" t="s">
        <v>14</v>
      </c>
      <c r="E2308" t="s">
        <v>9</v>
      </c>
      <c r="F2308" s="1" t="s">
        <v>2</v>
      </c>
      <c r="G2308" s="1">
        <v>45839</v>
      </c>
      <c r="H2308" t="s">
        <v>41</v>
      </c>
      <c r="I2308" s="2">
        <v>547.5</v>
      </c>
      <c r="J2308" t="s">
        <v>1452</v>
      </c>
      <c r="K2308" s="7">
        <v>45839</v>
      </c>
    </row>
    <row r="2309" spans="1:11" hidden="1">
      <c r="A2309" t="s">
        <v>39</v>
      </c>
      <c r="B2309" t="s">
        <v>40</v>
      </c>
      <c r="C2309" t="s">
        <v>14</v>
      </c>
      <c r="E2309" t="s">
        <v>9</v>
      </c>
      <c r="F2309" s="1" t="s">
        <v>5</v>
      </c>
      <c r="G2309" s="1">
        <v>45801</v>
      </c>
      <c r="H2309" t="s">
        <v>41</v>
      </c>
      <c r="I2309" s="2">
        <v>546.75</v>
      </c>
      <c r="J2309" t="s">
        <v>1453</v>
      </c>
      <c r="K2309" s="7">
        <v>45778</v>
      </c>
    </row>
    <row r="2310" spans="1:11" hidden="1">
      <c r="A2310" t="s">
        <v>39</v>
      </c>
      <c r="B2310" t="s">
        <v>63</v>
      </c>
      <c r="C2310" t="s">
        <v>14</v>
      </c>
      <c r="E2310" t="s">
        <v>9</v>
      </c>
      <c r="F2310" s="1" t="s">
        <v>5</v>
      </c>
      <c r="G2310" s="1">
        <v>45989</v>
      </c>
      <c r="H2310" t="s">
        <v>41</v>
      </c>
      <c r="I2310" s="2">
        <v>546</v>
      </c>
      <c r="J2310" s="47" t="s">
        <v>283</v>
      </c>
      <c r="K2310" s="7">
        <v>45962</v>
      </c>
    </row>
    <row r="2311" spans="1:11" hidden="1">
      <c r="A2311" t="s">
        <v>39</v>
      </c>
      <c r="B2311" t="s">
        <v>40</v>
      </c>
      <c r="C2311" t="s">
        <v>14</v>
      </c>
      <c r="E2311" t="s">
        <v>9</v>
      </c>
      <c r="F2311" s="1" t="s">
        <v>3</v>
      </c>
      <c r="G2311" s="1">
        <v>46065</v>
      </c>
      <c r="H2311" t="s">
        <v>41</v>
      </c>
      <c r="I2311" s="2">
        <v>5600</v>
      </c>
      <c r="J2311" t="s">
        <v>1454</v>
      </c>
      <c r="K2311" s="7">
        <v>46054</v>
      </c>
    </row>
    <row r="2312" spans="1:11" hidden="1">
      <c r="A2312" t="s">
        <v>39</v>
      </c>
      <c r="B2312" t="s">
        <v>63</v>
      </c>
      <c r="C2312" t="s">
        <v>14</v>
      </c>
      <c r="E2312" t="s">
        <v>9</v>
      </c>
      <c r="F2312" s="1" t="s">
        <v>2</v>
      </c>
      <c r="G2312" s="1">
        <v>46029</v>
      </c>
      <c r="H2312" t="s">
        <v>41</v>
      </c>
      <c r="I2312" s="2">
        <v>542.4</v>
      </c>
      <c r="J2312" t="s">
        <v>1455</v>
      </c>
      <c r="K2312" s="7">
        <v>46023</v>
      </c>
    </row>
    <row r="2313" spans="1:11">
      <c r="A2313" t="s">
        <v>39</v>
      </c>
      <c r="B2313" t="s">
        <v>47</v>
      </c>
      <c r="C2313" t="s">
        <v>14</v>
      </c>
      <c r="E2313" t="s">
        <v>9</v>
      </c>
      <c r="F2313" s="1" t="s">
        <v>3</v>
      </c>
      <c r="G2313" s="1">
        <v>46065</v>
      </c>
      <c r="H2313" t="s">
        <v>41</v>
      </c>
      <c r="I2313" s="2">
        <v>3740.75</v>
      </c>
      <c r="J2313" s="47" t="s">
        <v>1456</v>
      </c>
      <c r="K2313" s="7">
        <v>46054</v>
      </c>
    </row>
    <row r="2314" spans="1:11" hidden="1">
      <c r="A2314" t="s">
        <v>39</v>
      </c>
      <c r="B2314" t="s">
        <v>47</v>
      </c>
      <c r="C2314" t="s">
        <v>14</v>
      </c>
      <c r="E2314" t="s">
        <v>9</v>
      </c>
      <c r="F2314" s="1" t="s">
        <v>6</v>
      </c>
      <c r="G2314" s="1">
        <v>45960</v>
      </c>
      <c r="H2314" t="s">
        <v>41</v>
      </c>
      <c r="I2314" s="2">
        <v>538.46</v>
      </c>
      <c r="J2314" s="47" t="s">
        <v>54</v>
      </c>
      <c r="K2314" s="7">
        <v>45931</v>
      </c>
    </row>
    <row r="2315" spans="1:11" hidden="1">
      <c r="A2315" t="s">
        <v>39</v>
      </c>
      <c r="B2315" t="s">
        <v>40</v>
      </c>
      <c r="C2315" t="s">
        <v>14</v>
      </c>
      <c r="E2315" t="s">
        <v>9</v>
      </c>
      <c r="F2315" s="1" t="s">
        <v>4</v>
      </c>
      <c r="G2315" s="1">
        <v>46008</v>
      </c>
      <c r="H2315" t="s">
        <v>41</v>
      </c>
      <c r="I2315" s="2">
        <v>650</v>
      </c>
      <c r="J2315" t="s">
        <v>1457</v>
      </c>
      <c r="K2315" s="7">
        <v>45992</v>
      </c>
    </row>
    <row r="2316" spans="1:11" hidden="1">
      <c r="A2316" t="s">
        <v>39</v>
      </c>
      <c r="B2316" t="s">
        <v>40</v>
      </c>
      <c r="C2316" t="s">
        <v>14</v>
      </c>
      <c r="E2316" t="s">
        <v>9</v>
      </c>
      <c r="F2316" s="1" t="s">
        <v>5</v>
      </c>
      <c r="G2316" s="1">
        <v>45834</v>
      </c>
      <c r="H2316" t="s">
        <v>41</v>
      </c>
      <c r="I2316" s="2">
        <v>536</v>
      </c>
      <c r="J2316" t="s">
        <v>1458</v>
      </c>
      <c r="K2316" s="7">
        <v>45809</v>
      </c>
    </row>
    <row r="2317" spans="1:11" hidden="1">
      <c r="A2317" t="s">
        <v>39</v>
      </c>
      <c r="B2317" t="s">
        <v>40</v>
      </c>
      <c r="C2317" t="s">
        <v>14</v>
      </c>
      <c r="D2317">
        <v>10027032</v>
      </c>
      <c r="E2317" t="s">
        <v>9</v>
      </c>
      <c r="F2317" s="1" t="s">
        <v>3</v>
      </c>
      <c r="G2317" s="1">
        <v>45845</v>
      </c>
      <c r="H2317" t="s">
        <v>41</v>
      </c>
      <c r="I2317" s="2">
        <v>536</v>
      </c>
      <c r="J2317" t="s">
        <v>1459</v>
      </c>
      <c r="K2317" s="7">
        <v>45839</v>
      </c>
    </row>
    <row r="2318" spans="1:11" hidden="1">
      <c r="A2318" t="s">
        <v>39</v>
      </c>
      <c r="B2318" t="s">
        <v>40</v>
      </c>
      <c r="C2318" t="s">
        <v>14</v>
      </c>
      <c r="D2318">
        <v>10026551</v>
      </c>
      <c r="E2318" t="s">
        <v>9</v>
      </c>
      <c r="F2318" s="1" t="s">
        <v>3</v>
      </c>
      <c r="G2318" s="1">
        <v>45787</v>
      </c>
      <c r="H2318" t="s">
        <v>41</v>
      </c>
      <c r="I2318" s="2">
        <v>535.79</v>
      </c>
      <c r="J2318" t="s">
        <v>1460</v>
      </c>
      <c r="K2318" s="7">
        <v>45778</v>
      </c>
    </row>
    <row r="2319" spans="1:11" hidden="1">
      <c r="A2319" t="s">
        <v>39</v>
      </c>
      <c r="B2319" t="s">
        <v>40</v>
      </c>
      <c r="C2319" t="s">
        <v>14</v>
      </c>
      <c r="E2319" t="s">
        <v>9</v>
      </c>
      <c r="F2319" s="1" t="s">
        <v>5</v>
      </c>
      <c r="G2319" s="1">
        <v>45797</v>
      </c>
      <c r="H2319" t="s">
        <v>41</v>
      </c>
      <c r="I2319" s="2">
        <v>535.79</v>
      </c>
      <c r="J2319" t="s">
        <v>1461</v>
      </c>
      <c r="K2319" s="7">
        <v>45778</v>
      </c>
    </row>
    <row r="2320" spans="1:11" hidden="1">
      <c r="A2320" t="s">
        <v>39</v>
      </c>
      <c r="B2320" t="s">
        <v>40</v>
      </c>
      <c r="C2320" t="s">
        <v>14</v>
      </c>
      <c r="E2320" t="s">
        <v>9</v>
      </c>
      <c r="F2320" s="1" t="s">
        <v>3</v>
      </c>
      <c r="G2320" s="1">
        <v>45999</v>
      </c>
      <c r="H2320" t="s">
        <v>41</v>
      </c>
      <c r="I2320" s="2">
        <v>528</v>
      </c>
      <c r="J2320" s="47" t="s">
        <v>1462</v>
      </c>
      <c r="K2320" s="7">
        <v>45992</v>
      </c>
    </row>
    <row r="2321" spans="1:11" hidden="1">
      <c r="A2321" t="s">
        <v>114</v>
      </c>
      <c r="B2321" t="s">
        <v>63</v>
      </c>
      <c r="C2321" t="s">
        <v>14</v>
      </c>
      <c r="E2321" t="s">
        <v>9</v>
      </c>
      <c r="F2321" s="1" t="s">
        <v>4</v>
      </c>
      <c r="G2321" s="1">
        <v>46008</v>
      </c>
      <c r="H2321" t="s">
        <v>41</v>
      </c>
      <c r="I2321" s="2">
        <v>558.79</v>
      </c>
      <c r="J2321" t="s">
        <v>517</v>
      </c>
      <c r="K2321" s="7">
        <v>45992</v>
      </c>
    </row>
    <row r="2322" spans="1:11" hidden="1">
      <c r="A2322" t="s">
        <v>39</v>
      </c>
      <c r="B2322" t="s">
        <v>40</v>
      </c>
      <c r="C2322" t="s">
        <v>14</v>
      </c>
      <c r="E2322" t="s">
        <v>9</v>
      </c>
      <c r="F2322" s="1" t="s">
        <v>6</v>
      </c>
      <c r="G2322" s="1">
        <v>46021</v>
      </c>
      <c r="H2322" t="s">
        <v>41</v>
      </c>
      <c r="I2322" s="2">
        <v>528</v>
      </c>
      <c r="J2322" s="47" t="s">
        <v>1463</v>
      </c>
      <c r="K2322" s="7">
        <v>45992</v>
      </c>
    </row>
    <row r="2323" spans="1:11" hidden="1">
      <c r="A2323" t="s">
        <v>39</v>
      </c>
      <c r="B2323" t="s">
        <v>40</v>
      </c>
      <c r="C2323" t="s">
        <v>14</v>
      </c>
      <c r="E2323" t="s">
        <v>9</v>
      </c>
      <c r="F2323" s="1" t="s">
        <v>2</v>
      </c>
      <c r="G2323" s="1">
        <v>46027</v>
      </c>
      <c r="H2323" t="s">
        <v>41</v>
      </c>
      <c r="I2323" s="2">
        <v>528</v>
      </c>
      <c r="J2323" t="s">
        <v>1464</v>
      </c>
      <c r="K2323" s="7">
        <v>46023</v>
      </c>
    </row>
    <row r="2324" spans="1:11" hidden="1">
      <c r="A2324" t="s">
        <v>39</v>
      </c>
      <c r="B2324" t="s">
        <v>40</v>
      </c>
      <c r="C2324" t="s">
        <v>14</v>
      </c>
      <c r="E2324" t="s">
        <v>9</v>
      </c>
      <c r="F2324" s="1" t="s">
        <v>2</v>
      </c>
      <c r="G2324" s="1">
        <v>46030</v>
      </c>
      <c r="H2324" t="s">
        <v>41</v>
      </c>
      <c r="I2324" s="2">
        <v>528</v>
      </c>
      <c r="J2324" s="47" t="s">
        <v>1465</v>
      </c>
      <c r="K2324" s="7">
        <v>46023</v>
      </c>
    </row>
    <row r="2325" spans="1:11" hidden="1">
      <c r="A2325" t="s">
        <v>39</v>
      </c>
      <c r="B2325" t="s">
        <v>47</v>
      </c>
      <c r="C2325" t="s">
        <v>14</v>
      </c>
      <c r="E2325" t="s">
        <v>9</v>
      </c>
      <c r="F2325" s="1" t="s">
        <v>3</v>
      </c>
      <c r="G2325" s="1">
        <v>45972</v>
      </c>
      <c r="H2325" t="s">
        <v>41</v>
      </c>
      <c r="I2325" s="2">
        <v>527.94000000000005</v>
      </c>
      <c r="J2325" t="s">
        <v>1466</v>
      </c>
      <c r="K2325" s="7">
        <v>45962</v>
      </c>
    </row>
    <row r="2326" spans="1:11" hidden="1">
      <c r="A2326" t="s">
        <v>39</v>
      </c>
      <c r="B2326" t="s">
        <v>40</v>
      </c>
      <c r="C2326" t="s">
        <v>14</v>
      </c>
      <c r="E2326" t="s">
        <v>9</v>
      </c>
      <c r="F2326" s="1" t="s">
        <v>2</v>
      </c>
      <c r="G2326" s="1">
        <v>46029</v>
      </c>
      <c r="H2326" t="s">
        <v>41</v>
      </c>
      <c r="I2326" s="2">
        <v>525.24</v>
      </c>
      <c r="J2326" s="47" t="s">
        <v>1467</v>
      </c>
      <c r="K2326" s="7">
        <v>46023</v>
      </c>
    </row>
    <row r="2327" spans="1:11" hidden="1">
      <c r="A2327" t="s">
        <v>39</v>
      </c>
      <c r="B2327" t="s">
        <v>45</v>
      </c>
      <c r="C2327" t="s">
        <v>13</v>
      </c>
      <c r="E2327" t="s">
        <v>9</v>
      </c>
      <c r="F2327" s="1" t="s">
        <v>4</v>
      </c>
      <c r="G2327" s="1">
        <v>46009</v>
      </c>
      <c r="H2327" t="s">
        <v>41</v>
      </c>
      <c r="I2327" s="2">
        <v>125800.21</v>
      </c>
      <c r="J2327" t="s">
        <v>1468</v>
      </c>
      <c r="K2327" s="7">
        <v>45992</v>
      </c>
    </row>
    <row r="2328" spans="1:11" hidden="1">
      <c r="A2328" t="s">
        <v>39</v>
      </c>
      <c r="B2328" t="s">
        <v>40</v>
      </c>
      <c r="C2328" t="s">
        <v>14</v>
      </c>
      <c r="D2328">
        <v>10027596</v>
      </c>
      <c r="E2328" t="s">
        <v>9</v>
      </c>
      <c r="F2328" s="1" t="s">
        <v>5</v>
      </c>
      <c r="G2328" s="1">
        <v>45922</v>
      </c>
      <c r="H2328" t="s">
        <v>41</v>
      </c>
      <c r="I2328" s="2">
        <v>525</v>
      </c>
      <c r="J2328" t="s">
        <v>1469</v>
      </c>
      <c r="K2328" s="7">
        <v>45901</v>
      </c>
    </row>
    <row r="2329" spans="1:11" hidden="1">
      <c r="A2329" t="s">
        <v>114</v>
      </c>
      <c r="B2329" t="s">
        <v>63</v>
      </c>
      <c r="C2329" t="s">
        <v>14</v>
      </c>
      <c r="E2329" t="s">
        <v>9</v>
      </c>
      <c r="F2329" s="1" t="s">
        <v>3</v>
      </c>
      <c r="G2329" s="1">
        <v>46065</v>
      </c>
      <c r="H2329" t="s">
        <v>41</v>
      </c>
      <c r="I2329" s="2">
        <v>858.92</v>
      </c>
      <c r="J2329" s="47" t="s">
        <v>1470</v>
      </c>
      <c r="K2329" s="7">
        <v>46054</v>
      </c>
    </row>
    <row r="2330" spans="1:11" hidden="1">
      <c r="A2330" t="s">
        <v>39</v>
      </c>
      <c r="B2330" t="s">
        <v>40</v>
      </c>
      <c r="C2330" t="s">
        <v>14</v>
      </c>
      <c r="E2330" t="s">
        <v>9</v>
      </c>
      <c r="F2330" s="1" t="s">
        <v>3</v>
      </c>
      <c r="G2330" s="1">
        <v>46065</v>
      </c>
      <c r="H2330" t="s">
        <v>41</v>
      </c>
      <c r="I2330" s="2">
        <v>658</v>
      </c>
      <c r="J2330" s="47" t="s">
        <v>1471</v>
      </c>
      <c r="K2330" s="7">
        <v>46054</v>
      </c>
    </row>
    <row r="2331" spans="1:11" hidden="1">
      <c r="A2331" t="s">
        <v>39</v>
      </c>
      <c r="B2331" t="s">
        <v>47</v>
      </c>
      <c r="C2331" t="s">
        <v>13</v>
      </c>
      <c r="E2331" t="s">
        <v>9</v>
      </c>
      <c r="F2331" s="1" t="s">
        <v>4</v>
      </c>
      <c r="G2331" s="1">
        <v>46009</v>
      </c>
      <c r="H2331" t="s">
        <v>41</v>
      </c>
      <c r="I2331" s="2">
        <v>30795</v>
      </c>
      <c r="J2331" t="s">
        <v>664</v>
      </c>
      <c r="K2331" s="7">
        <v>45992</v>
      </c>
    </row>
    <row r="2332" spans="1:11" hidden="1">
      <c r="A2332" t="s">
        <v>39</v>
      </c>
      <c r="B2332" t="s">
        <v>40</v>
      </c>
      <c r="C2332" t="s">
        <v>14</v>
      </c>
      <c r="E2332" t="s">
        <v>9</v>
      </c>
      <c r="F2332" s="1" t="s">
        <v>3</v>
      </c>
      <c r="G2332" s="1">
        <v>46065</v>
      </c>
      <c r="H2332" t="s">
        <v>41</v>
      </c>
      <c r="I2332" s="2">
        <v>657</v>
      </c>
      <c r="J2332" s="47" t="s">
        <v>1472</v>
      </c>
      <c r="K2332" s="7">
        <v>46054</v>
      </c>
    </row>
    <row r="2333" spans="1:11" hidden="1">
      <c r="A2333" t="s">
        <v>39</v>
      </c>
      <c r="B2333" t="s">
        <v>40</v>
      </c>
      <c r="C2333" t="s">
        <v>14</v>
      </c>
      <c r="E2333" t="s">
        <v>9</v>
      </c>
      <c r="F2333" s="1" t="s">
        <v>2</v>
      </c>
      <c r="G2333" s="1">
        <v>45996</v>
      </c>
      <c r="H2333" t="s">
        <v>41</v>
      </c>
      <c r="I2333" s="2">
        <v>522</v>
      </c>
      <c r="J2333" s="47" t="s">
        <v>1473</v>
      </c>
      <c r="K2333" s="7">
        <v>45992</v>
      </c>
    </row>
    <row r="2334" spans="1:11" hidden="1">
      <c r="A2334" t="s">
        <v>39</v>
      </c>
      <c r="B2334" t="s">
        <v>40</v>
      </c>
      <c r="C2334" t="s">
        <v>14</v>
      </c>
      <c r="D2334">
        <v>10028317</v>
      </c>
      <c r="E2334" t="s">
        <v>9</v>
      </c>
      <c r="F2334" s="1" t="s">
        <v>3</v>
      </c>
      <c r="G2334" s="1">
        <v>46038</v>
      </c>
      <c r="H2334" t="s">
        <v>41</v>
      </c>
      <c r="I2334" s="2">
        <v>522</v>
      </c>
      <c r="J2334" t="s">
        <v>1474</v>
      </c>
      <c r="K2334" s="7">
        <v>46023</v>
      </c>
    </row>
    <row r="2335" spans="1:11" hidden="1">
      <c r="A2335" t="s">
        <v>39</v>
      </c>
      <c r="B2335" t="s">
        <v>40</v>
      </c>
      <c r="C2335" t="s">
        <v>14</v>
      </c>
      <c r="D2335">
        <v>10028379</v>
      </c>
      <c r="E2335" t="s">
        <v>9</v>
      </c>
      <c r="F2335" s="1" t="s">
        <v>5</v>
      </c>
      <c r="G2335" s="1">
        <v>46050</v>
      </c>
      <c r="H2335" t="s">
        <v>41</v>
      </c>
      <c r="I2335" s="2">
        <v>522</v>
      </c>
      <c r="J2335" t="s">
        <v>514</v>
      </c>
      <c r="K2335" s="7">
        <v>46023</v>
      </c>
    </row>
    <row r="2336" spans="1:11" hidden="1">
      <c r="A2336" t="s">
        <v>39</v>
      </c>
      <c r="B2336" t="s">
        <v>63</v>
      </c>
      <c r="C2336" t="s">
        <v>14</v>
      </c>
      <c r="E2336" t="s">
        <v>9</v>
      </c>
      <c r="F2336" s="1" t="s">
        <v>2</v>
      </c>
      <c r="G2336" s="1">
        <v>46024</v>
      </c>
      <c r="H2336" t="s">
        <v>41</v>
      </c>
      <c r="I2336" s="2">
        <v>519.62</v>
      </c>
      <c r="J2336" t="s">
        <v>696</v>
      </c>
      <c r="K2336" s="7">
        <v>46023</v>
      </c>
    </row>
    <row r="2337" spans="1:12" hidden="1">
      <c r="A2337" t="s">
        <v>39</v>
      </c>
      <c r="B2337" t="s">
        <v>40</v>
      </c>
      <c r="C2337" t="s">
        <v>14</v>
      </c>
      <c r="D2337">
        <v>10027499</v>
      </c>
      <c r="E2337" t="s">
        <v>9</v>
      </c>
      <c r="F2337" s="1" t="s">
        <v>2</v>
      </c>
      <c r="G2337" s="1">
        <v>45906</v>
      </c>
      <c r="H2337" t="s">
        <v>41</v>
      </c>
      <c r="I2337" s="2">
        <v>516</v>
      </c>
      <c r="J2337" t="s">
        <v>1475</v>
      </c>
      <c r="K2337" s="7">
        <v>45901</v>
      </c>
    </row>
    <row r="2338" spans="1:12" hidden="1">
      <c r="A2338" t="s">
        <v>39</v>
      </c>
      <c r="B2338" t="s">
        <v>47</v>
      </c>
      <c r="C2338" t="s">
        <v>14</v>
      </c>
      <c r="D2338">
        <v>10026766</v>
      </c>
      <c r="E2338" t="s">
        <v>9</v>
      </c>
      <c r="F2338" s="1" t="s">
        <v>2</v>
      </c>
      <c r="G2338" s="1">
        <v>45813</v>
      </c>
      <c r="H2338" t="s">
        <v>41</v>
      </c>
      <c r="I2338" s="2">
        <v>514.73</v>
      </c>
      <c r="J2338" t="s">
        <v>817</v>
      </c>
      <c r="K2338" s="7">
        <v>45809</v>
      </c>
    </row>
    <row r="2339" spans="1:12" hidden="1">
      <c r="A2339" t="s">
        <v>56</v>
      </c>
      <c r="B2339" t="s">
        <v>40</v>
      </c>
      <c r="C2339" t="s">
        <v>14</v>
      </c>
      <c r="E2339" t="s">
        <v>9</v>
      </c>
      <c r="F2339" s="1" t="s">
        <v>2</v>
      </c>
      <c r="G2339" s="1">
        <v>46029</v>
      </c>
      <c r="H2339" t="s">
        <v>41</v>
      </c>
      <c r="I2339" s="2">
        <v>514</v>
      </c>
      <c r="J2339" t="s">
        <v>1476</v>
      </c>
      <c r="K2339" s="7">
        <v>46023</v>
      </c>
    </row>
    <row r="2340" spans="1:12" hidden="1">
      <c r="A2340" t="s">
        <v>39</v>
      </c>
      <c r="B2340" t="s">
        <v>47</v>
      </c>
      <c r="C2340" t="s">
        <v>14</v>
      </c>
      <c r="E2340" t="s">
        <v>9</v>
      </c>
      <c r="F2340" s="1" t="s">
        <v>3</v>
      </c>
      <c r="G2340" s="1">
        <v>46003</v>
      </c>
      <c r="H2340" t="s">
        <v>41</v>
      </c>
      <c r="I2340" s="2">
        <v>512.25</v>
      </c>
      <c r="J2340" t="s">
        <v>1477</v>
      </c>
      <c r="K2340" s="7">
        <v>45992</v>
      </c>
    </row>
    <row r="2341" spans="1:12" hidden="1">
      <c r="A2341" t="s">
        <v>39</v>
      </c>
      <c r="B2341" t="s">
        <v>63</v>
      </c>
      <c r="C2341" t="s">
        <v>124</v>
      </c>
      <c r="E2341" t="s">
        <v>9</v>
      </c>
      <c r="F2341" s="1" t="s">
        <v>5</v>
      </c>
      <c r="G2341" s="1">
        <v>46014</v>
      </c>
      <c r="H2341" t="s">
        <v>64</v>
      </c>
      <c r="I2341" s="2">
        <f>260699.29/510</f>
        <v>511.17507843137258</v>
      </c>
      <c r="J2341" t="s">
        <v>334</v>
      </c>
      <c r="K2341" s="7">
        <v>45992</v>
      </c>
    </row>
    <row r="2342" spans="1:12" hidden="1">
      <c r="A2342" t="s">
        <v>39</v>
      </c>
      <c r="B2342" t="s">
        <v>63</v>
      </c>
      <c r="C2342" t="s">
        <v>14</v>
      </c>
      <c r="E2342" t="s">
        <v>9</v>
      </c>
      <c r="F2342" s="1" t="s">
        <v>4</v>
      </c>
      <c r="G2342" s="1">
        <v>46009</v>
      </c>
      <c r="H2342" t="s">
        <v>64</v>
      </c>
      <c r="I2342" s="2">
        <f>11325411.03/510</f>
        <v>22206.688294117645</v>
      </c>
      <c r="J2342" t="s">
        <v>1478</v>
      </c>
      <c r="K2342" s="7">
        <v>45992</v>
      </c>
    </row>
    <row r="2343" spans="1:12" hidden="1">
      <c r="A2343" t="s">
        <v>114</v>
      </c>
      <c r="B2343" t="s">
        <v>63</v>
      </c>
      <c r="C2343" t="s">
        <v>14</v>
      </c>
      <c r="E2343" t="s">
        <v>8</v>
      </c>
      <c r="F2343" s="1" t="s">
        <v>2</v>
      </c>
      <c r="G2343" s="1"/>
      <c r="H2343" t="s">
        <v>41</v>
      </c>
      <c r="I2343" s="2">
        <v>53753.18</v>
      </c>
      <c r="J2343" t="s">
        <v>215</v>
      </c>
      <c r="K2343" s="7">
        <v>45809</v>
      </c>
      <c r="L2343" t="s">
        <v>84</v>
      </c>
    </row>
    <row r="2344" spans="1:12" hidden="1">
      <c r="A2344" t="s">
        <v>99</v>
      </c>
      <c r="B2344" t="s">
        <v>63</v>
      </c>
      <c r="C2344" t="s">
        <v>14</v>
      </c>
      <c r="E2344" t="s">
        <v>8</v>
      </c>
      <c r="F2344" s="1" t="s">
        <v>2</v>
      </c>
      <c r="G2344" s="1"/>
      <c r="H2344" t="s">
        <v>41</v>
      </c>
      <c r="I2344" s="2">
        <v>20000</v>
      </c>
      <c r="J2344" t="s">
        <v>1479</v>
      </c>
      <c r="K2344" s="7">
        <v>45809</v>
      </c>
      <c r="L2344" t="s">
        <v>84</v>
      </c>
    </row>
    <row r="2345" spans="1:12" hidden="1">
      <c r="A2345" t="s">
        <v>114</v>
      </c>
      <c r="B2345" t="s">
        <v>63</v>
      </c>
      <c r="C2345" t="s">
        <v>14</v>
      </c>
      <c r="E2345" t="s">
        <v>8</v>
      </c>
      <c r="F2345" s="1" t="s">
        <v>2</v>
      </c>
      <c r="G2345" s="1"/>
      <c r="H2345" t="s">
        <v>41</v>
      </c>
      <c r="I2345" s="2">
        <v>14162.79</v>
      </c>
      <c r="J2345" t="s">
        <v>486</v>
      </c>
      <c r="K2345" s="7">
        <v>45809</v>
      </c>
      <c r="L2345" t="s">
        <v>43</v>
      </c>
    </row>
    <row r="2346" spans="1:12" hidden="1">
      <c r="A2346" t="s">
        <v>114</v>
      </c>
      <c r="B2346" t="s">
        <v>63</v>
      </c>
      <c r="C2346" t="s">
        <v>14</v>
      </c>
      <c r="E2346" t="s">
        <v>8</v>
      </c>
      <c r="F2346" s="1" t="s">
        <v>2</v>
      </c>
      <c r="G2346" s="1"/>
      <c r="H2346" t="s">
        <v>41</v>
      </c>
      <c r="I2346" s="2">
        <v>8940</v>
      </c>
      <c r="J2346" t="s">
        <v>618</v>
      </c>
      <c r="K2346" s="7">
        <v>45809</v>
      </c>
      <c r="L2346" t="s">
        <v>84</v>
      </c>
    </row>
    <row r="2347" spans="1:12" hidden="1">
      <c r="A2347" t="s">
        <v>39</v>
      </c>
      <c r="B2347" t="s">
        <v>63</v>
      </c>
      <c r="C2347" t="s">
        <v>14</v>
      </c>
      <c r="E2347" t="s">
        <v>8</v>
      </c>
      <c r="F2347" s="1" t="s">
        <v>2</v>
      </c>
      <c r="G2347" s="1"/>
      <c r="H2347" t="s">
        <v>41</v>
      </c>
      <c r="I2347" s="2">
        <v>7845.14</v>
      </c>
      <c r="J2347" t="s">
        <v>632</v>
      </c>
      <c r="K2347" s="7">
        <v>45809</v>
      </c>
      <c r="L2347" t="s">
        <v>43</v>
      </c>
    </row>
    <row r="2348" spans="1:12" hidden="1">
      <c r="A2348" t="s">
        <v>39</v>
      </c>
      <c r="B2348" t="s">
        <v>63</v>
      </c>
      <c r="C2348" t="s">
        <v>14</v>
      </c>
      <c r="E2348" t="s">
        <v>8</v>
      </c>
      <c r="F2348" s="1" t="s">
        <v>2</v>
      </c>
      <c r="G2348" s="1"/>
      <c r="H2348" t="s">
        <v>41</v>
      </c>
      <c r="I2348" s="2">
        <v>6771.03</v>
      </c>
      <c r="J2348" t="s">
        <v>677</v>
      </c>
      <c r="K2348" s="7">
        <v>45809</v>
      </c>
      <c r="L2348" t="s">
        <v>84</v>
      </c>
    </row>
    <row r="2349" spans="1:12" hidden="1">
      <c r="A2349" t="s">
        <v>39</v>
      </c>
      <c r="B2349" t="s">
        <v>63</v>
      </c>
      <c r="C2349" t="s">
        <v>14</v>
      </c>
      <c r="E2349" t="s">
        <v>8</v>
      </c>
      <c r="F2349" s="1" t="s">
        <v>2</v>
      </c>
      <c r="G2349" s="1"/>
      <c r="H2349" t="s">
        <v>41</v>
      </c>
      <c r="I2349" s="2">
        <v>6231.58</v>
      </c>
      <c r="J2349" t="s">
        <v>149</v>
      </c>
      <c r="K2349" s="7">
        <v>45809</v>
      </c>
      <c r="L2349" t="s">
        <v>84</v>
      </c>
    </row>
    <row r="2350" spans="1:12" hidden="1">
      <c r="A2350" t="s">
        <v>39</v>
      </c>
      <c r="B2350" t="s">
        <v>63</v>
      </c>
      <c r="C2350" t="s">
        <v>13</v>
      </c>
      <c r="E2350" t="s">
        <v>8</v>
      </c>
      <c r="F2350" s="1" t="s">
        <v>2</v>
      </c>
      <c r="G2350" s="1"/>
      <c r="H2350" t="s">
        <v>41</v>
      </c>
      <c r="I2350" s="2">
        <v>5364.38</v>
      </c>
      <c r="J2350" t="s">
        <v>160</v>
      </c>
      <c r="K2350" s="7">
        <v>45809</v>
      </c>
      <c r="L2350" t="s">
        <v>84</v>
      </c>
    </row>
    <row r="2351" spans="1:12" hidden="1">
      <c r="A2351" t="s">
        <v>114</v>
      </c>
      <c r="B2351" t="s">
        <v>63</v>
      </c>
      <c r="C2351" t="s">
        <v>14</v>
      </c>
      <c r="E2351" t="s">
        <v>8</v>
      </c>
      <c r="F2351" s="1" t="s">
        <v>2</v>
      </c>
      <c r="G2351" s="1"/>
      <c r="H2351" t="s">
        <v>41</v>
      </c>
      <c r="I2351" s="2">
        <v>4453.04</v>
      </c>
      <c r="J2351" t="s">
        <v>835</v>
      </c>
      <c r="K2351" s="7">
        <v>45809</v>
      </c>
      <c r="L2351" t="s">
        <v>43</v>
      </c>
    </row>
    <row r="2352" spans="1:12" hidden="1">
      <c r="A2352" t="s">
        <v>39</v>
      </c>
      <c r="B2352" t="s">
        <v>63</v>
      </c>
      <c r="C2352" t="s">
        <v>13</v>
      </c>
      <c r="E2352" t="s">
        <v>8</v>
      </c>
      <c r="F2352" s="1" t="s">
        <v>2</v>
      </c>
      <c r="G2352" s="1"/>
      <c r="H2352" t="s">
        <v>41</v>
      </c>
      <c r="I2352" s="2">
        <v>3618.7</v>
      </c>
      <c r="J2352" t="s">
        <v>790</v>
      </c>
      <c r="K2352" s="7">
        <v>45809</v>
      </c>
      <c r="L2352" t="s">
        <v>84</v>
      </c>
    </row>
    <row r="2353" spans="1:12" hidden="1">
      <c r="A2353" t="s">
        <v>39</v>
      </c>
      <c r="B2353" t="s">
        <v>63</v>
      </c>
      <c r="C2353" t="s">
        <v>124</v>
      </c>
      <c r="E2353" t="s">
        <v>8</v>
      </c>
      <c r="F2353" s="1" t="s">
        <v>2</v>
      </c>
      <c r="G2353" s="1"/>
      <c r="H2353" t="s">
        <v>41</v>
      </c>
      <c r="I2353" s="2">
        <v>3369.42</v>
      </c>
      <c r="J2353" t="s">
        <v>635</v>
      </c>
      <c r="K2353" s="7">
        <v>45809</v>
      </c>
      <c r="L2353" t="s">
        <v>84</v>
      </c>
    </row>
    <row r="2354" spans="1:12" hidden="1">
      <c r="A2354" t="s">
        <v>39</v>
      </c>
      <c r="B2354" t="s">
        <v>63</v>
      </c>
      <c r="C2354" t="s">
        <v>124</v>
      </c>
      <c r="E2354" t="s">
        <v>8</v>
      </c>
      <c r="F2354" s="1" t="s">
        <v>2</v>
      </c>
      <c r="G2354" s="1"/>
      <c r="H2354" t="s">
        <v>41</v>
      </c>
      <c r="I2354" s="2">
        <v>2203.5</v>
      </c>
      <c r="J2354" t="s">
        <v>344</v>
      </c>
      <c r="K2354" s="7">
        <v>45809</v>
      </c>
      <c r="L2354" t="s">
        <v>43</v>
      </c>
    </row>
    <row r="2355" spans="1:12" hidden="1">
      <c r="A2355" t="s">
        <v>39</v>
      </c>
      <c r="B2355" t="s">
        <v>45</v>
      </c>
      <c r="C2355" t="s">
        <v>12</v>
      </c>
      <c r="E2355" t="s">
        <v>8</v>
      </c>
      <c r="F2355" s="1" t="s">
        <v>2</v>
      </c>
      <c r="G2355" s="1"/>
      <c r="H2355" t="s">
        <v>41</v>
      </c>
      <c r="I2355" s="2">
        <v>8203.64</v>
      </c>
      <c r="J2355" t="s">
        <v>80</v>
      </c>
      <c r="K2355" s="7">
        <v>45809</v>
      </c>
      <c r="L2355" t="s">
        <v>84</v>
      </c>
    </row>
    <row r="2356" spans="1:12" hidden="1">
      <c r="A2356" t="s">
        <v>114</v>
      </c>
      <c r="B2356" t="s">
        <v>63</v>
      </c>
      <c r="C2356" t="s">
        <v>13</v>
      </c>
      <c r="E2356" t="s">
        <v>8</v>
      </c>
      <c r="F2356" s="1" t="s">
        <v>2</v>
      </c>
      <c r="G2356" s="1"/>
      <c r="H2356" t="s">
        <v>41</v>
      </c>
      <c r="I2356" s="2">
        <v>2167.6999999999998</v>
      </c>
      <c r="J2356" t="s">
        <v>190</v>
      </c>
      <c r="K2356" s="7">
        <v>45809</v>
      </c>
      <c r="L2356" t="s">
        <v>84</v>
      </c>
    </row>
    <row r="2357" spans="1:12">
      <c r="A2357" t="s">
        <v>39</v>
      </c>
      <c r="B2357" t="s">
        <v>47</v>
      </c>
      <c r="C2357" t="s">
        <v>13</v>
      </c>
      <c r="E2357" t="s">
        <v>8</v>
      </c>
      <c r="F2357" s="1" t="s">
        <v>2</v>
      </c>
      <c r="G2357" s="1"/>
      <c r="H2357" t="s">
        <v>41</v>
      </c>
      <c r="I2357" s="2">
        <v>19533.77</v>
      </c>
      <c r="J2357" t="s">
        <v>371</v>
      </c>
      <c r="K2357" s="7">
        <v>45809</v>
      </c>
      <c r="L2357" t="s">
        <v>43</v>
      </c>
    </row>
    <row r="2358" spans="1:12" hidden="1">
      <c r="A2358" t="s">
        <v>39</v>
      </c>
      <c r="B2358" t="s">
        <v>63</v>
      </c>
      <c r="C2358" t="s">
        <v>13</v>
      </c>
      <c r="E2358" t="s">
        <v>8</v>
      </c>
      <c r="F2358" s="1" t="s">
        <v>2</v>
      </c>
      <c r="G2358" s="1"/>
      <c r="H2358" t="s">
        <v>41</v>
      </c>
      <c r="I2358" s="2">
        <v>1098.71</v>
      </c>
      <c r="J2358" t="s">
        <v>238</v>
      </c>
      <c r="K2358" s="7">
        <v>45809</v>
      </c>
      <c r="L2358" t="s">
        <v>84</v>
      </c>
    </row>
    <row r="2359" spans="1:12" hidden="1">
      <c r="A2359" t="s">
        <v>114</v>
      </c>
      <c r="B2359" t="s">
        <v>63</v>
      </c>
      <c r="C2359" t="s">
        <v>13</v>
      </c>
      <c r="E2359" t="s">
        <v>8</v>
      </c>
      <c r="F2359" s="1" t="s">
        <v>2</v>
      </c>
      <c r="G2359" s="1"/>
      <c r="H2359" t="s">
        <v>41</v>
      </c>
      <c r="I2359" s="2">
        <v>980.84</v>
      </c>
      <c r="J2359" t="s">
        <v>1306</v>
      </c>
      <c r="K2359" s="7">
        <v>45809</v>
      </c>
      <c r="L2359" t="s">
        <v>43</v>
      </c>
    </row>
    <row r="2360" spans="1:12" hidden="1">
      <c r="A2360" t="s">
        <v>39</v>
      </c>
      <c r="B2360" t="s">
        <v>40</v>
      </c>
      <c r="C2360" t="s">
        <v>12</v>
      </c>
      <c r="E2360" t="s">
        <v>8</v>
      </c>
      <c r="F2360" s="1" t="s">
        <v>2</v>
      </c>
      <c r="G2360" s="1"/>
      <c r="H2360" t="s">
        <v>41</v>
      </c>
      <c r="I2360" s="2">
        <v>15937</v>
      </c>
      <c r="J2360" t="s">
        <v>98</v>
      </c>
      <c r="K2360" s="7">
        <v>45809</v>
      </c>
    </row>
    <row r="2361" spans="1:12" hidden="1">
      <c r="A2361" t="s">
        <v>56</v>
      </c>
      <c r="B2361" t="s">
        <v>40</v>
      </c>
      <c r="C2361" t="s">
        <v>14</v>
      </c>
      <c r="E2361" t="s">
        <v>8</v>
      </c>
      <c r="F2361" s="1" t="s">
        <v>2</v>
      </c>
      <c r="G2361" s="1"/>
      <c r="H2361" t="s">
        <v>41</v>
      </c>
      <c r="I2361" s="2">
        <v>15625</v>
      </c>
      <c r="J2361" t="s">
        <v>98</v>
      </c>
      <c r="K2361" s="7">
        <v>45809</v>
      </c>
    </row>
    <row r="2362" spans="1:12" hidden="1">
      <c r="A2362" t="s">
        <v>39</v>
      </c>
      <c r="B2362" t="s">
        <v>40</v>
      </c>
      <c r="C2362" t="s">
        <v>14</v>
      </c>
      <c r="E2362" t="s">
        <v>8</v>
      </c>
      <c r="F2362" s="1" t="s">
        <v>2</v>
      </c>
      <c r="G2362" s="1"/>
      <c r="H2362" t="s">
        <v>41</v>
      </c>
      <c r="I2362" s="2">
        <v>89687</v>
      </c>
      <c r="J2362" t="s">
        <v>98</v>
      </c>
      <c r="K2362" s="7">
        <v>45809</v>
      </c>
    </row>
    <row r="2363" spans="1:12" hidden="1">
      <c r="A2363" t="s">
        <v>56</v>
      </c>
      <c r="B2363" t="s">
        <v>40</v>
      </c>
      <c r="C2363" t="s">
        <v>12</v>
      </c>
      <c r="E2363" t="s">
        <v>8</v>
      </c>
      <c r="F2363" s="1" t="s">
        <v>2</v>
      </c>
      <c r="G2363" s="1"/>
      <c r="H2363" t="s">
        <v>41</v>
      </c>
      <c r="I2363" s="2">
        <v>3000</v>
      </c>
      <c r="J2363" t="s">
        <v>98</v>
      </c>
      <c r="K2363" s="7">
        <v>45809</v>
      </c>
      <c r="L2363" t="s">
        <v>43</v>
      </c>
    </row>
    <row r="2364" spans="1:12" hidden="1">
      <c r="A2364" t="s">
        <v>39</v>
      </c>
      <c r="B2364" t="s">
        <v>45</v>
      </c>
      <c r="C2364" t="s">
        <v>14</v>
      </c>
      <c r="E2364" t="s">
        <v>8</v>
      </c>
      <c r="F2364" s="1" t="s">
        <v>2</v>
      </c>
      <c r="G2364" s="1"/>
      <c r="H2364" t="s">
        <v>41</v>
      </c>
      <c r="I2364" s="2">
        <v>21978.26</v>
      </c>
      <c r="J2364" t="s">
        <v>213</v>
      </c>
      <c r="K2364" s="7">
        <v>45809</v>
      </c>
      <c r="L2364" t="s">
        <v>43</v>
      </c>
    </row>
    <row r="2365" spans="1:12">
      <c r="A2365" t="s">
        <v>39</v>
      </c>
      <c r="B2365" t="s">
        <v>47</v>
      </c>
      <c r="C2365" t="s">
        <v>13</v>
      </c>
      <c r="E2365" t="s">
        <v>8</v>
      </c>
      <c r="F2365" s="1" t="s">
        <v>2</v>
      </c>
      <c r="G2365" s="1"/>
      <c r="H2365" t="s">
        <v>41</v>
      </c>
      <c r="I2365" s="2">
        <v>7191.65</v>
      </c>
      <c r="J2365" t="s">
        <v>135</v>
      </c>
      <c r="K2365" s="7">
        <v>45809</v>
      </c>
      <c r="L2365" t="s">
        <v>43</v>
      </c>
    </row>
    <row r="2366" spans="1:12">
      <c r="A2366" t="s">
        <v>39</v>
      </c>
      <c r="B2366" t="s">
        <v>47</v>
      </c>
      <c r="C2366" t="s">
        <v>13</v>
      </c>
      <c r="E2366" t="s">
        <v>8</v>
      </c>
      <c r="F2366" s="1" t="s">
        <v>2</v>
      </c>
      <c r="G2366" s="1"/>
      <c r="H2366" t="s">
        <v>41</v>
      </c>
      <c r="I2366" s="2">
        <v>3338.62</v>
      </c>
      <c r="J2366" t="s">
        <v>135</v>
      </c>
      <c r="K2366" s="7">
        <v>45809</v>
      </c>
      <c r="L2366" t="s">
        <v>43</v>
      </c>
    </row>
    <row r="2367" spans="1:12">
      <c r="A2367" t="s">
        <v>39</v>
      </c>
      <c r="B2367" t="s">
        <v>47</v>
      </c>
      <c r="C2367" t="s">
        <v>13</v>
      </c>
      <c r="E2367" t="s">
        <v>8</v>
      </c>
      <c r="F2367" s="1" t="s">
        <v>2</v>
      </c>
      <c r="G2367" s="1"/>
      <c r="H2367" t="s">
        <v>41</v>
      </c>
      <c r="I2367" s="2">
        <v>11147.9</v>
      </c>
      <c r="J2367" t="s">
        <v>135</v>
      </c>
      <c r="K2367" s="7">
        <v>45809</v>
      </c>
      <c r="L2367" t="s">
        <v>43</v>
      </c>
    </row>
    <row r="2368" spans="1:12">
      <c r="A2368" t="s">
        <v>39</v>
      </c>
      <c r="B2368" t="s">
        <v>47</v>
      </c>
      <c r="C2368" t="s">
        <v>13</v>
      </c>
      <c r="E2368" t="s">
        <v>8</v>
      </c>
      <c r="F2368" s="1" t="s">
        <v>2</v>
      </c>
      <c r="G2368" s="1"/>
      <c r="H2368" t="s">
        <v>41</v>
      </c>
      <c r="I2368" s="2">
        <v>11433.41</v>
      </c>
      <c r="J2368" t="s">
        <v>135</v>
      </c>
      <c r="K2368" s="7">
        <v>45809</v>
      </c>
      <c r="L2368" t="s">
        <v>43</v>
      </c>
    </row>
    <row r="2369" spans="1:12" hidden="1">
      <c r="A2369" t="s">
        <v>114</v>
      </c>
      <c r="B2369" t="s">
        <v>63</v>
      </c>
      <c r="C2369" t="s">
        <v>13</v>
      </c>
      <c r="E2369" t="s">
        <v>8</v>
      </c>
      <c r="F2369" s="1" t="s">
        <v>2</v>
      </c>
      <c r="G2369" s="1"/>
      <c r="H2369" t="s">
        <v>41</v>
      </c>
      <c r="I2369" s="2">
        <v>868.76</v>
      </c>
      <c r="J2369" t="s">
        <v>1306</v>
      </c>
      <c r="K2369" s="7">
        <v>45809</v>
      </c>
      <c r="L2369" t="s">
        <v>43</v>
      </c>
    </row>
    <row r="2370" spans="1:12" hidden="1">
      <c r="A2370" t="s">
        <v>39</v>
      </c>
      <c r="B2370" t="s">
        <v>63</v>
      </c>
      <c r="C2370" t="s">
        <v>13</v>
      </c>
      <c r="E2370" t="s">
        <v>8</v>
      </c>
      <c r="F2370" s="1" t="s">
        <v>2</v>
      </c>
      <c r="G2370" s="1"/>
      <c r="H2370" t="s">
        <v>41</v>
      </c>
      <c r="I2370" s="2">
        <v>845.82</v>
      </c>
      <c r="J2370" t="s">
        <v>356</v>
      </c>
      <c r="K2370" s="7">
        <v>45809</v>
      </c>
      <c r="L2370" t="s">
        <v>84</v>
      </c>
    </row>
    <row r="2371" spans="1:12" hidden="1">
      <c r="A2371" t="s">
        <v>39</v>
      </c>
      <c r="B2371" t="s">
        <v>45</v>
      </c>
      <c r="C2371" t="s">
        <v>13</v>
      </c>
      <c r="E2371" t="s">
        <v>8</v>
      </c>
      <c r="F2371" s="1" t="s">
        <v>2</v>
      </c>
      <c r="G2371" s="1"/>
      <c r="H2371" t="s">
        <v>41</v>
      </c>
      <c r="I2371" s="2">
        <v>40000</v>
      </c>
      <c r="J2371" t="s">
        <v>300</v>
      </c>
      <c r="K2371" s="7">
        <v>45809</v>
      </c>
      <c r="L2371" t="s">
        <v>84</v>
      </c>
    </row>
    <row r="2372" spans="1:12" hidden="1">
      <c r="A2372" t="s">
        <v>39</v>
      </c>
      <c r="B2372" t="s">
        <v>45</v>
      </c>
      <c r="C2372" t="s">
        <v>12</v>
      </c>
      <c r="E2372" t="s">
        <v>8</v>
      </c>
      <c r="F2372" s="1" t="s">
        <v>2</v>
      </c>
      <c r="G2372" s="1"/>
      <c r="H2372" t="s">
        <v>41</v>
      </c>
      <c r="I2372" s="2">
        <v>111000</v>
      </c>
      <c r="J2372" t="s">
        <v>300</v>
      </c>
      <c r="K2372" s="7">
        <v>45809</v>
      </c>
      <c r="L2372" t="s">
        <v>84</v>
      </c>
    </row>
    <row r="2373" spans="1:12" hidden="1">
      <c r="A2373" t="s">
        <v>114</v>
      </c>
      <c r="B2373" t="s">
        <v>63</v>
      </c>
      <c r="C2373" t="s">
        <v>13</v>
      </c>
      <c r="E2373" t="s">
        <v>8</v>
      </c>
      <c r="F2373" s="1" t="s">
        <v>2</v>
      </c>
      <c r="G2373" s="1"/>
      <c r="H2373" t="s">
        <v>41</v>
      </c>
      <c r="I2373" s="2">
        <v>727.26</v>
      </c>
      <c r="J2373" t="s">
        <v>269</v>
      </c>
      <c r="K2373" s="7">
        <v>45809</v>
      </c>
      <c r="L2373" t="s">
        <v>84</v>
      </c>
    </row>
    <row r="2374" spans="1:12" hidden="1">
      <c r="A2374" t="s">
        <v>114</v>
      </c>
      <c r="B2374" t="s">
        <v>63</v>
      </c>
      <c r="C2374" t="s">
        <v>13</v>
      </c>
      <c r="E2374" t="s">
        <v>8</v>
      </c>
      <c r="F2374" s="1" t="s">
        <v>2</v>
      </c>
      <c r="G2374" s="1"/>
      <c r="H2374" t="s">
        <v>41</v>
      </c>
      <c r="I2374" s="2">
        <v>197.04</v>
      </c>
      <c r="J2374" t="s">
        <v>443</v>
      </c>
      <c r="K2374" s="7">
        <v>45809</v>
      </c>
      <c r="L2374" t="s">
        <v>43</v>
      </c>
    </row>
    <row r="2375" spans="1:12" hidden="1">
      <c r="A2375" t="s">
        <v>39</v>
      </c>
      <c r="B2375" t="s">
        <v>45</v>
      </c>
      <c r="C2375" t="s">
        <v>14</v>
      </c>
      <c r="E2375" t="s">
        <v>8</v>
      </c>
      <c r="F2375" s="1" t="s">
        <v>2</v>
      </c>
      <c r="G2375" s="1"/>
      <c r="H2375" t="s">
        <v>41</v>
      </c>
      <c r="I2375" s="2">
        <v>50000</v>
      </c>
      <c r="J2375" t="s">
        <v>197</v>
      </c>
      <c r="K2375" s="7">
        <v>45809</v>
      </c>
      <c r="L2375" t="s">
        <v>43</v>
      </c>
    </row>
    <row r="2376" spans="1:12" hidden="1">
      <c r="A2376" t="s">
        <v>56</v>
      </c>
      <c r="B2376" t="s">
        <v>40</v>
      </c>
      <c r="C2376" t="s">
        <v>13</v>
      </c>
      <c r="E2376" t="s">
        <v>8</v>
      </c>
      <c r="F2376" s="1" t="s">
        <v>2</v>
      </c>
      <c r="G2376" s="1"/>
      <c r="H2376" t="s">
        <v>41</v>
      </c>
      <c r="I2376" s="2">
        <v>3000</v>
      </c>
      <c r="J2376" t="s">
        <v>1480</v>
      </c>
      <c r="K2376" s="7">
        <v>45809</v>
      </c>
      <c r="L2376" t="s">
        <v>84</v>
      </c>
    </row>
    <row r="2377" spans="1:12" hidden="1">
      <c r="A2377" t="s">
        <v>56</v>
      </c>
      <c r="B2377" t="s">
        <v>40</v>
      </c>
      <c r="C2377" t="s">
        <v>13</v>
      </c>
      <c r="E2377" t="s">
        <v>8</v>
      </c>
      <c r="F2377" s="1" t="s">
        <v>2</v>
      </c>
      <c r="G2377" s="1"/>
      <c r="H2377" t="s">
        <v>41</v>
      </c>
      <c r="I2377" s="2">
        <v>51000</v>
      </c>
      <c r="J2377" t="s">
        <v>1481</v>
      </c>
      <c r="K2377" s="7">
        <v>45839</v>
      </c>
    </row>
    <row r="2378" spans="1:12">
      <c r="A2378" t="s">
        <v>39</v>
      </c>
      <c r="B2378" t="s">
        <v>47</v>
      </c>
      <c r="C2378" t="s">
        <v>14</v>
      </c>
      <c r="E2378" t="s">
        <v>8</v>
      </c>
      <c r="F2378" s="1" t="s">
        <v>2</v>
      </c>
      <c r="G2378" s="1"/>
      <c r="H2378" t="s">
        <v>41</v>
      </c>
      <c r="I2378" s="2">
        <v>7401.97</v>
      </c>
      <c r="J2378" t="s">
        <v>596</v>
      </c>
      <c r="K2378" s="7">
        <v>45839</v>
      </c>
    </row>
    <row r="2379" spans="1:12">
      <c r="A2379" t="s">
        <v>39</v>
      </c>
      <c r="B2379" t="s">
        <v>47</v>
      </c>
      <c r="C2379" t="s">
        <v>14</v>
      </c>
      <c r="E2379" t="s">
        <v>8</v>
      </c>
      <c r="F2379" s="1" t="s">
        <v>2</v>
      </c>
      <c r="G2379" s="1"/>
      <c r="H2379" t="s">
        <v>41</v>
      </c>
      <c r="I2379" s="2">
        <v>2201.3000000000002</v>
      </c>
      <c r="J2379" t="s">
        <v>596</v>
      </c>
      <c r="K2379" s="7">
        <v>45839</v>
      </c>
    </row>
    <row r="2380" spans="1:12" hidden="1">
      <c r="A2380" t="s">
        <v>39</v>
      </c>
      <c r="B2380" t="s">
        <v>45</v>
      </c>
      <c r="C2380" t="s">
        <v>14</v>
      </c>
      <c r="E2380" t="s">
        <v>8</v>
      </c>
      <c r="F2380" s="1" t="s">
        <v>2</v>
      </c>
      <c r="G2380" s="1"/>
      <c r="H2380" t="s">
        <v>41</v>
      </c>
      <c r="I2380" s="2">
        <v>84872.36</v>
      </c>
      <c r="J2380" t="s">
        <v>72</v>
      </c>
      <c r="K2380" s="7">
        <v>45839</v>
      </c>
    </row>
    <row r="2381" spans="1:12" hidden="1">
      <c r="A2381" t="s">
        <v>39</v>
      </c>
      <c r="B2381" t="s">
        <v>45</v>
      </c>
      <c r="C2381" t="s">
        <v>14</v>
      </c>
      <c r="E2381" t="s">
        <v>8</v>
      </c>
      <c r="F2381" s="1" t="s">
        <v>2</v>
      </c>
      <c r="G2381" s="1"/>
      <c r="H2381" t="s">
        <v>41</v>
      </c>
      <c r="I2381" s="2">
        <v>58630.03</v>
      </c>
      <c r="J2381" t="s">
        <v>91</v>
      </c>
      <c r="K2381" s="7">
        <v>45839</v>
      </c>
    </row>
    <row r="2382" spans="1:12" hidden="1">
      <c r="A2382" t="s">
        <v>99</v>
      </c>
      <c r="B2382" t="s">
        <v>63</v>
      </c>
      <c r="C2382" t="s">
        <v>14</v>
      </c>
      <c r="E2382" t="s">
        <v>8</v>
      </c>
      <c r="F2382" s="1" t="s">
        <v>2</v>
      </c>
      <c r="G2382" s="1"/>
      <c r="H2382" t="s">
        <v>41</v>
      </c>
      <c r="I2382" s="2">
        <v>20000</v>
      </c>
      <c r="J2382" t="s">
        <v>1482</v>
      </c>
      <c r="K2382" s="7">
        <v>45839</v>
      </c>
    </row>
    <row r="2383" spans="1:12" hidden="1">
      <c r="A2383" t="s">
        <v>39</v>
      </c>
      <c r="B2383" t="s">
        <v>63</v>
      </c>
      <c r="C2383" t="s">
        <v>13</v>
      </c>
      <c r="E2383" t="s">
        <v>8</v>
      </c>
      <c r="F2383" s="1" t="s">
        <v>2</v>
      </c>
      <c r="G2383" s="1"/>
      <c r="H2383" t="s">
        <v>41</v>
      </c>
      <c r="I2383" s="2">
        <v>20462</v>
      </c>
      <c r="J2383" t="s">
        <v>157</v>
      </c>
      <c r="K2383" s="7">
        <v>45839</v>
      </c>
    </row>
    <row r="2384" spans="1:12" hidden="1">
      <c r="A2384" t="s">
        <v>39</v>
      </c>
      <c r="B2384" t="s">
        <v>63</v>
      </c>
      <c r="C2384" t="s">
        <v>13</v>
      </c>
      <c r="E2384" t="s">
        <v>8</v>
      </c>
      <c r="F2384" s="1" t="s">
        <v>2</v>
      </c>
      <c r="G2384" s="1"/>
      <c r="H2384" t="s">
        <v>41</v>
      </c>
      <c r="I2384" s="2">
        <v>15520.43</v>
      </c>
      <c r="J2384" t="s">
        <v>601</v>
      </c>
      <c r="K2384" s="7">
        <v>45839</v>
      </c>
    </row>
    <row r="2385" spans="1:11" hidden="1">
      <c r="A2385" t="s">
        <v>39</v>
      </c>
      <c r="B2385" t="s">
        <v>63</v>
      </c>
      <c r="C2385" t="s">
        <v>13</v>
      </c>
      <c r="E2385" t="s">
        <v>8</v>
      </c>
      <c r="F2385" s="1" t="s">
        <v>2</v>
      </c>
      <c r="G2385" s="1"/>
      <c r="H2385" t="s">
        <v>41</v>
      </c>
      <c r="I2385" s="2">
        <v>1502.9</v>
      </c>
      <c r="J2385" t="s">
        <v>1142</v>
      </c>
      <c r="K2385" s="7">
        <v>45839</v>
      </c>
    </row>
    <row r="2386" spans="1:11" hidden="1">
      <c r="A2386" t="s">
        <v>39</v>
      </c>
      <c r="B2386" t="s">
        <v>63</v>
      </c>
      <c r="C2386" t="s">
        <v>13</v>
      </c>
      <c r="E2386" t="s">
        <v>8</v>
      </c>
      <c r="F2386" s="1" t="s">
        <v>2</v>
      </c>
      <c r="G2386" s="1"/>
      <c r="H2386" t="s">
        <v>41</v>
      </c>
      <c r="I2386" s="2">
        <v>1398.23</v>
      </c>
      <c r="J2386" t="s">
        <v>1483</v>
      </c>
      <c r="K2386" s="7">
        <v>45839</v>
      </c>
    </row>
    <row r="2387" spans="1:11" hidden="1">
      <c r="A2387" t="s">
        <v>39</v>
      </c>
      <c r="B2387" t="s">
        <v>63</v>
      </c>
      <c r="C2387" t="s">
        <v>124</v>
      </c>
      <c r="E2387" t="s">
        <v>8</v>
      </c>
      <c r="F2387" s="1" t="s">
        <v>2</v>
      </c>
      <c r="G2387" s="1"/>
      <c r="H2387" t="s">
        <v>41</v>
      </c>
      <c r="I2387" s="2">
        <v>1546.04</v>
      </c>
      <c r="J2387" t="s">
        <v>588</v>
      </c>
      <c r="K2387" s="7">
        <v>45839</v>
      </c>
    </row>
    <row r="2388" spans="1:11" hidden="1">
      <c r="A2388" t="s">
        <v>39</v>
      </c>
      <c r="B2388" t="s">
        <v>63</v>
      </c>
      <c r="C2388" t="s">
        <v>124</v>
      </c>
      <c r="E2388" t="s">
        <v>8</v>
      </c>
      <c r="F2388" s="1" t="s">
        <v>2</v>
      </c>
      <c r="G2388" s="1"/>
      <c r="H2388" t="s">
        <v>41</v>
      </c>
      <c r="I2388" s="2">
        <v>42582.98</v>
      </c>
      <c r="J2388" t="s">
        <v>225</v>
      </c>
      <c r="K2388" s="7">
        <v>45839</v>
      </c>
    </row>
    <row r="2389" spans="1:11" hidden="1">
      <c r="A2389" t="s">
        <v>39</v>
      </c>
      <c r="B2389" t="s">
        <v>63</v>
      </c>
      <c r="C2389" t="s">
        <v>124</v>
      </c>
      <c r="E2389" t="s">
        <v>8</v>
      </c>
      <c r="F2389" s="1" t="s">
        <v>2</v>
      </c>
      <c r="G2389" s="1"/>
      <c r="H2389" t="s">
        <v>41</v>
      </c>
      <c r="I2389" s="2">
        <v>29175.360000000001</v>
      </c>
      <c r="J2389" t="s">
        <v>225</v>
      </c>
      <c r="K2389" s="7">
        <v>45839</v>
      </c>
    </row>
    <row r="2390" spans="1:11" hidden="1">
      <c r="A2390" t="s">
        <v>39</v>
      </c>
      <c r="B2390" t="s">
        <v>63</v>
      </c>
      <c r="C2390" t="s">
        <v>124</v>
      </c>
      <c r="E2390" t="s">
        <v>8</v>
      </c>
      <c r="F2390" s="1" t="s">
        <v>2</v>
      </c>
      <c r="G2390" s="1"/>
      <c r="H2390" t="s">
        <v>41</v>
      </c>
      <c r="I2390" s="2">
        <v>13411.8</v>
      </c>
      <c r="J2390" t="s">
        <v>225</v>
      </c>
      <c r="K2390" s="7">
        <v>45839</v>
      </c>
    </row>
    <row r="2391" spans="1:11" hidden="1">
      <c r="A2391" t="s">
        <v>39</v>
      </c>
      <c r="B2391" t="s">
        <v>63</v>
      </c>
      <c r="C2391" t="s">
        <v>124</v>
      </c>
      <c r="E2391" t="s">
        <v>8</v>
      </c>
      <c r="F2391" s="1" t="s">
        <v>2</v>
      </c>
      <c r="G2391" s="1"/>
      <c r="H2391" t="s">
        <v>41</v>
      </c>
      <c r="I2391" s="2">
        <v>4721.08</v>
      </c>
      <c r="J2391" t="s">
        <v>225</v>
      </c>
      <c r="K2391" s="7">
        <v>45839</v>
      </c>
    </row>
    <row r="2392" spans="1:11" hidden="1">
      <c r="A2392" t="s">
        <v>39</v>
      </c>
      <c r="B2392" t="s">
        <v>63</v>
      </c>
      <c r="C2392" t="s">
        <v>124</v>
      </c>
      <c r="E2392" t="s">
        <v>8</v>
      </c>
      <c r="F2392" s="1" t="s">
        <v>2</v>
      </c>
      <c r="G2392" s="1"/>
      <c r="H2392" t="s">
        <v>41</v>
      </c>
      <c r="I2392" s="2">
        <v>1603.06</v>
      </c>
      <c r="J2392" t="s">
        <v>225</v>
      </c>
      <c r="K2392" s="7">
        <v>45839</v>
      </c>
    </row>
    <row r="2393" spans="1:11" hidden="1">
      <c r="A2393" t="s">
        <v>114</v>
      </c>
      <c r="B2393" t="s">
        <v>63</v>
      </c>
      <c r="C2393" t="s">
        <v>13</v>
      </c>
      <c r="E2393" t="s">
        <v>8</v>
      </c>
      <c r="F2393" s="1" t="s">
        <v>2</v>
      </c>
      <c r="G2393" s="1"/>
      <c r="H2393" t="s">
        <v>41</v>
      </c>
      <c r="I2393" s="2">
        <v>5000</v>
      </c>
      <c r="J2393" t="s">
        <v>156</v>
      </c>
      <c r="K2393" s="7">
        <v>45839</v>
      </c>
    </row>
    <row r="2394" spans="1:11" hidden="1">
      <c r="A2394" t="s">
        <v>114</v>
      </c>
      <c r="B2394" t="s">
        <v>63</v>
      </c>
      <c r="C2394" t="s">
        <v>14</v>
      </c>
      <c r="E2394" t="s">
        <v>8</v>
      </c>
      <c r="F2394" s="1" t="s">
        <v>2</v>
      </c>
      <c r="G2394" s="1"/>
      <c r="H2394" t="s">
        <v>41</v>
      </c>
      <c r="I2394" s="2">
        <v>6684.12</v>
      </c>
      <c r="J2394" t="s">
        <v>682</v>
      </c>
      <c r="K2394" s="7">
        <v>45839</v>
      </c>
    </row>
    <row r="2395" spans="1:11" hidden="1">
      <c r="A2395" t="s">
        <v>114</v>
      </c>
      <c r="B2395" t="s">
        <v>63</v>
      </c>
      <c r="C2395" t="s">
        <v>14</v>
      </c>
      <c r="E2395" t="s">
        <v>8</v>
      </c>
      <c r="F2395" s="1" t="s">
        <v>2</v>
      </c>
      <c r="G2395" s="1"/>
      <c r="H2395" t="s">
        <v>41</v>
      </c>
      <c r="I2395" s="2">
        <v>3414.58</v>
      </c>
      <c r="J2395" t="s">
        <v>913</v>
      </c>
      <c r="K2395" s="7">
        <v>45839</v>
      </c>
    </row>
    <row r="2396" spans="1:11" hidden="1">
      <c r="A2396" t="s">
        <v>114</v>
      </c>
      <c r="B2396" t="s">
        <v>63</v>
      </c>
      <c r="C2396" t="s">
        <v>14</v>
      </c>
      <c r="E2396" t="s">
        <v>8</v>
      </c>
      <c r="F2396" s="1" t="s">
        <v>2</v>
      </c>
      <c r="G2396" s="1"/>
      <c r="H2396" t="s">
        <v>41</v>
      </c>
      <c r="I2396">
        <v>205.72</v>
      </c>
      <c r="J2396" t="s">
        <v>190</v>
      </c>
      <c r="K2396" s="7">
        <v>45839</v>
      </c>
    </row>
    <row r="2397" spans="1:11" hidden="1">
      <c r="A2397" t="s">
        <v>114</v>
      </c>
      <c r="B2397" t="s">
        <v>63</v>
      </c>
      <c r="C2397" t="s">
        <v>14</v>
      </c>
      <c r="E2397" t="s">
        <v>8</v>
      </c>
      <c r="F2397" s="1" t="s">
        <v>2</v>
      </c>
      <c r="G2397" s="1"/>
      <c r="H2397" t="s">
        <v>41</v>
      </c>
      <c r="I2397" s="2">
        <v>14442.48</v>
      </c>
      <c r="J2397" t="s">
        <v>457</v>
      </c>
      <c r="K2397" s="7">
        <v>45839</v>
      </c>
    </row>
    <row r="2398" spans="1:11" hidden="1">
      <c r="A2398" t="s">
        <v>39</v>
      </c>
      <c r="B2398" t="s">
        <v>63</v>
      </c>
      <c r="C2398" t="s">
        <v>13</v>
      </c>
      <c r="E2398" t="s">
        <v>8</v>
      </c>
      <c r="F2398" s="1" t="s">
        <v>2</v>
      </c>
      <c r="G2398" s="1"/>
      <c r="H2398" t="s">
        <v>41</v>
      </c>
      <c r="I2398" s="2">
        <v>2671.98</v>
      </c>
      <c r="J2398" t="s">
        <v>160</v>
      </c>
      <c r="K2398" s="7">
        <v>45839</v>
      </c>
    </row>
    <row r="2399" spans="1:11" hidden="1">
      <c r="A2399" t="s">
        <v>39</v>
      </c>
      <c r="B2399" t="s">
        <v>45</v>
      </c>
      <c r="C2399" t="s">
        <v>14</v>
      </c>
      <c r="E2399" t="s">
        <v>8</v>
      </c>
      <c r="F2399" s="1" t="s">
        <v>2</v>
      </c>
      <c r="G2399" s="1"/>
      <c r="H2399" t="s">
        <v>41</v>
      </c>
      <c r="I2399" s="2">
        <v>14309.19</v>
      </c>
      <c r="J2399" t="s">
        <v>805</v>
      </c>
      <c r="K2399" s="7">
        <v>45839</v>
      </c>
    </row>
    <row r="2400" spans="1:11" hidden="1">
      <c r="A2400" t="s">
        <v>39</v>
      </c>
      <c r="B2400" t="s">
        <v>63</v>
      </c>
      <c r="C2400" t="s">
        <v>13</v>
      </c>
      <c r="E2400" t="s">
        <v>8</v>
      </c>
      <c r="F2400" t="s">
        <v>2</v>
      </c>
      <c r="G2400" s="1"/>
      <c r="H2400" t="s">
        <v>41</v>
      </c>
      <c r="I2400" s="2">
        <v>25000</v>
      </c>
      <c r="J2400" t="s">
        <v>201</v>
      </c>
      <c r="K2400" s="7">
        <v>45901</v>
      </c>
    </row>
    <row r="2401" spans="1:11" hidden="1">
      <c r="A2401" t="s">
        <v>39</v>
      </c>
      <c r="B2401" t="s">
        <v>63</v>
      </c>
      <c r="C2401" t="s">
        <v>14</v>
      </c>
      <c r="E2401" t="s">
        <v>8</v>
      </c>
      <c r="F2401" t="s">
        <v>2</v>
      </c>
      <c r="G2401" s="1"/>
      <c r="H2401" t="s">
        <v>41</v>
      </c>
      <c r="I2401" s="2">
        <v>20000</v>
      </c>
      <c r="J2401" t="s">
        <v>1484</v>
      </c>
      <c r="K2401" s="7">
        <v>45901</v>
      </c>
    </row>
    <row r="2402" spans="1:11" hidden="1">
      <c r="A2402" t="s">
        <v>39</v>
      </c>
      <c r="B2402" t="s">
        <v>40</v>
      </c>
      <c r="C2402" t="s">
        <v>14</v>
      </c>
      <c r="E2402" t="s">
        <v>8</v>
      </c>
      <c r="F2402" s="1" t="s">
        <v>2</v>
      </c>
      <c r="G2402" s="1"/>
      <c r="H2402" t="s">
        <v>41</v>
      </c>
      <c r="I2402" s="2">
        <v>60000</v>
      </c>
      <c r="J2402" t="s">
        <v>98</v>
      </c>
      <c r="K2402" s="7">
        <v>45901</v>
      </c>
    </row>
    <row r="2403" spans="1:11">
      <c r="A2403" t="s">
        <v>39</v>
      </c>
      <c r="B2403" t="s">
        <v>47</v>
      </c>
      <c r="C2403" t="s">
        <v>14</v>
      </c>
      <c r="E2403" t="s">
        <v>8</v>
      </c>
      <c r="F2403" s="1" t="s">
        <v>2</v>
      </c>
      <c r="G2403" s="1"/>
      <c r="H2403" t="s">
        <v>41</v>
      </c>
      <c r="I2403" s="2">
        <v>39546.9</v>
      </c>
      <c r="J2403" t="s">
        <v>862</v>
      </c>
      <c r="K2403" s="7">
        <v>45901</v>
      </c>
    </row>
    <row r="2404" spans="1:11">
      <c r="A2404" t="s">
        <v>39</v>
      </c>
      <c r="B2404" t="s">
        <v>47</v>
      </c>
      <c r="C2404" t="s">
        <v>14</v>
      </c>
      <c r="E2404" t="s">
        <v>8</v>
      </c>
      <c r="F2404" s="1" t="s">
        <v>2</v>
      </c>
      <c r="G2404" s="1"/>
      <c r="H2404" t="s">
        <v>41</v>
      </c>
      <c r="I2404" s="2">
        <v>15891</v>
      </c>
      <c r="J2404" t="s">
        <v>329</v>
      </c>
      <c r="K2404" s="7">
        <v>45901</v>
      </c>
    </row>
    <row r="2405" spans="1:11">
      <c r="A2405" t="s">
        <v>39</v>
      </c>
      <c r="B2405" t="s">
        <v>47</v>
      </c>
      <c r="C2405" t="s">
        <v>14</v>
      </c>
      <c r="E2405" t="s">
        <v>8</v>
      </c>
      <c r="F2405" s="1" t="s">
        <v>2</v>
      </c>
      <c r="G2405" s="1"/>
      <c r="H2405" t="s">
        <v>41</v>
      </c>
      <c r="I2405" s="2">
        <v>17984.259999999998</v>
      </c>
      <c r="J2405" t="s">
        <v>185</v>
      </c>
      <c r="K2405" s="7">
        <v>45901</v>
      </c>
    </row>
    <row r="2406" spans="1:11">
      <c r="A2406" t="s">
        <v>39</v>
      </c>
      <c r="B2406" t="s">
        <v>47</v>
      </c>
      <c r="C2406" t="s">
        <v>14</v>
      </c>
      <c r="E2406" t="s">
        <v>8</v>
      </c>
      <c r="F2406" s="1" t="s">
        <v>2</v>
      </c>
      <c r="G2406" s="1"/>
      <c r="H2406" t="s">
        <v>41</v>
      </c>
      <c r="I2406" s="2">
        <v>5128.2</v>
      </c>
      <c r="J2406" t="s">
        <v>328</v>
      </c>
      <c r="K2406" s="7">
        <v>45901</v>
      </c>
    </row>
    <row r="2407" spans="1:11">
      <c r="A2407" t="s">
        <v>39</v>
      </c>
      <c r="B2407" t="s">
        <v>47</v>
      </c>
      <c r="C2407" t="s">
        <v>12</v>
      </c>
      <c r="E2407" t="s">
        <v>8</v>
      </c>
      <c r="F2407" s="1" t="s">
        <v>2</v>
      </c>
      <c r="G2407" s="1"/>
      <c r="H2407" t="s">
        <v>41</v>
      </c>
      <c r="I2407" s="2">
        <v>119000</v>
      </c>
      <c r="J2407" t="s">
        <v>1485</v>
      </c>
      <c r="K2407" s="7">
        <v>45901</v>
      </c>
    </row>
    <row r="2408" spans="1:11" hidden="1">
      <c r="A2408" t="s">
        <v>39</v>
      </c>
      <c r="B2408" t="s">
        <v>63</v>
      </c>
      <c r="C2408" t="s">
        <v>14</v>
      </c>
      <c r="E2408" t="s">
        <v>8</v>
      </c>
      <c r="F2408" t="s">
        <v>2</v>
      </c>
      <c r="G2408" s="1"/>
      <c r="H2408" t="s">
        <v>41</v>
      </c>
      <c r="I2408" s="2">
        <v>8970</v>
      </c>
      <c r="J2408" t="s">
        <v>541</v>
      </c>
      <c r="K2408" s="7">
        <v>45901</v>
      </c>
    </row>
    <row r="2409" spans="1:11" hidden="1">
      <c r="A2409" t="s">
        <v>39</v>
      </c>
      <c r="B2409" t="s">
        <v>45</v>
      </c>
      <c r="C2409" t="s">
        <v>12</v>
      </c>
      <c r="E2409" t="s">
        <v>8</v>
      </c>
      <c r="F2409" s="1" t="s">
        <v>2</v>
      </c>
      <c r="G2409" s="1"/>
      <c r="H2409" t="s">
        <v>41</v>
      </c>
      <c r="I2409" s="2">
        <v>333000</v>
      </c>
      <c r="J2409" s="47" t="s">
        <v>1486</v>
      </c>
      <c r="K2409" s="7">
        <v>45901</v>
      </c>
    </row>
    <row r="2410" spans="1:11" hidden="1">
      <c r="A2410" t="s">
        <v>39</v>
      </c>
      <c r="B2410" t="s">
        <v>45</v>
      </c>
      <c r="C2410" t="s">
        <v>12</v>
      </c>
      <c r="E2410" t="s">
        <v>8</v>
      </c>
      <c r="F2410" s="1" t="s">
        <v>2</v>
      </c>
      <c r="G2410" s="1"/>
      <c r="H2410" t="s">
        <v>41</v>
      </c>
      <c r="I2410" s="2">
        <v>105000</v>
      </c>
      <c r="J2410" s="47" t="s">
        <v>1487</v>
      </c>
      <c r="K2410" s="7">
        <v>45901</v>
      </c>
    </row>
    <row r="2411" spans="1:11" hidden="1">
      <c r="A2411" t="s">
        <v>39</v>
      </c>
      <c r="B2411" t="s">
        <v>45</v>
      </c>
      <c r="C2411" t="s">
        <v>14</v>
      </c>
      <c r="E2411" t="s">
        <v>8</v>
      </c>
      <c r="F2411" s="1" t="s">
        <v>2</v>
      </c>
      <c r="G2411" s="1"/>
      <c r="H2411" t="s">
        <v>41</v>
      </c>
      <c r="I2411" s="2">
        <v>36850</v>
      </c>
      <c r="J2411" s="47" t="s">
        <v>247</v>
      </c>
      <c r="K2411" s="7">
        <v>45901</v>
      </c>
    </row>
    <row r="2412" spans="1:11" hidden="1">
      <c r="A2412" t="s">
        <v>39</v>
      </c>
      <c r="B2412" t="s">
        <v>40</v>
      </c>
      <c r="C2412" t="s">
        <v>14</v>
      </c>
      <c r="E2412" t="s">
        <v>8</v>
      </c>
      <c r="F2412" s="1" t="s">
        <v>2</v>
      </c>
      <c r="G2412" s="1"/>
      <c r="H2412" t="s">
        <v>41</v>
      </c>
      <c r="I2412" s="2">
        <v>60000</v>
      </c>
      <c r="J2412" t="s">
        <v>1488</v>
      </c>
      <c r="K2412" s="7">
        <v>45992</v>
      </c>
    </row>
    <row r="2413" spans="1:11" hidden="1">
      <c r="A2413" t="s">
        <v>56</v>
      </c>
      <c r="B2413" t="s">
        <v>40</v>
      </c>
      <c r="C2413" t="s">
        <v>14</v>
      </c>
      <c r="E2413" t="s">
        <v>8</v>
      </c>
      <c r="F2413" s="1" t="s">
        <v>2</v>
      </c>
      <c r="G2413" s="1"/>
      <c r="H2413" t="s">
        <v>41</v>
      </c>
      <c r="I2413" s="2">
        <v>25000</v>
      </c>
      <c r="J2413" t="s">
        <v>1489</v>
      </c>
      <c r="K2413" s="7">
        <v>45992</v>
      </c>
    </row>
    <row r="2414" spans="1:11" hidden="1">
      <c r="A2414" t="s">
        <v>39</v>
      </c>
      <c r="B2414" t="s">
        <v>63</v>
      </c>
      <c r="C2414" t="s">
        <v>14</v>
      </c>
      <c r="E2414" t="s">
        <v>8</v>
      </c>
      <c r="F2414" s="1" t="s">
        <v>2</v>
      </c>
      <c r="G2414" s="1"/>
      <c r="H2414" t="s">
        <v>41</v>
      </c>
      <c r="I2414" s="2">
        <v>66000</v>
      </c>
      <c r="J2414" t="s">
        <v>158</v>
      </c>
      <c r="K2414" s="7">
        <v>45992</v>
      </c>
    </row>
    <row r="2415" spans="1:11" hidden="1">
      <c r="A2415" t="s">
        <v>39</v>
      </c>
      <c r="B2415" t="s">
        <v>63</v>
      </c>
      <c r="C2415" t="s">
        <v>14</v>
      </c>
      <c r="E2415" t="s">
        <v>8</v>
      </c>
      <c r="F2415" s="1" t="s">
        <v>2</v>
      </c>
      <c r="G2415" s="1"/>
      <c r="H2415" t="s">
        <v>41</v>
      </c>
      <c r="I2415" s="2">
        <v>54844.26</v>
      </c>
      <c r="J2415" t="s">
        <v>158</v>
      </c>
      <c r="K2415" s="7">
        <v>45992</v>
      </c>
    </row>
    <row r="2416" spans="1:11" hidden="1">
      <c r="A2416" t="s">
        <v>114</v>
      </c>
      <c r="B2416" t="s">
        <v>63</v>
      </c>
      <c r="C2416" t="s">
        <v>13</v>
      </c>
      <c r="E2416" t="s">
        <v>8</v>
      </c>
      <c r="F2416" s="1" t="s">
        <v>2</v>
      </c>
      <c r="G2416" s="1"/>
      <c r="H2416" t="s">
        <v>41</v>
      </c>
      <c r="I2416" s="2">
        <v>17547.150000000001</v>
      </c>
      <c r="J2416" t="s">
        <v>457</v>
      </c>
      <c r="K2416" s="7">
        <v>45992</v>
      </c>
    </row>
    <row r="2417" spans="1:12" hidden="1">
      <c r="A2417" t="s">
        <v>114</v>
      </c>
      <c r="B2417" t="s">
        <v>63</v>
      </c>
      <c r="C2417" t="s">
        <v>14</v>
      </c>
      <c r="E2417" t="s">
        <v>8</v>
      </c>
      <c r="F2417" s="1" t="s">
        <v>2</v>
      </c>
      <c r="G2417" s="1"/>
      <c r="H2417" t="s">
        <v>41</v>
      </c>
      <c r="I2417" s="2">
        <v>35265.4</v>
      </c>
      <c r="J2417" t="s">
        <v>191</v>
      </c>
      <c r="K2417" s="7">
        <v>45992</v>
      </c>
    </row>
    <row r="2418" spans="1:12" hidden="1">
      <c r="A2418" t="s">
        <v>99</v>
      </c>
      <c r="B2418" t="s">
        <v>63</v>
      </c>
      <c r="C2418" t="s">
        <v>14</v>
      </c>
      <c r="E2418" t="s">
        <v>8</v>
      </c>
      <c r="F2418" s="1" t="s">
        <v>2</v>
      </c>
      <c r="G2418" s="1"/>
      <c r="H2418" t="s">
        <v>41</v>
      </c>
      <c r="I2418" s="2">
        <v>20000</v>
      </c>
      <c r="J2418" t="s">
        <v>1490</v>
      </c>
      <c r="K2418" s="7">
        <v>45992</v>
      </c>
    </row>
    <row r="2419" spans="1:12">
      <c r="A2419" t="s">
        <v>39</v>
      </c>
      <c r="B2419" t="s">
        <v>47</v>
      </c>
      <c r="C2419" t="s">
        <v>13</v>
      </c>
      <c r="E2419" t="s">
        <v>8</v>
      </c>
      <c r="F2419" s="1" t="s">
        <v>2</v>
      </c>
      <c r="G2419" s="1"/>
      <c r="H2419" t="s">
        <v>41</v>
      </c>
      <c r="I2419" s="2">
        <v>22841.15</v>
      </c>
      <c r="J2419" t="s">
        <v>1242</v>
      </c>
      <c r="K2419" s="7">
        <v>45992</v>
      </c>
    </row>
    <row r="2420" spans="1:12" hidden="1">
      <c r="A2420" t="s">
        <v>39</v>
      </c>
      <c r="B2420" t="s">
        <v>45</v>
      </c>
      <c r="C2420" t="s">
        <v>12</v>
      </c>
      <c r="E2420" t="s">
        <v>8</v>
      </c>
      <c r="F2420" s="1" t="s">
        <v>2</v>
      </c>
      <c r="G2420" s="1"/>
      <c r="H2420" t="s">
        <v>41</v>
      </c>
      <c r="I2420" s="2">
        <v>239622</v>
      </c>
      <c r="J2420" t="s">
        <v>1491</v>
      </c>
      <c r="K2420" s="7">
        <v>45992</v>
      </c>
    </row>
    <row r="2421" spans="1:12" hidden="1">
      <c r="A2421" t="s">
        <v>39</v>
      </c>
      <c r="B2421" t="s">
        <v>63</v>
      </c>
      <c r="C2421" t="s">
        <v>124</v>
      </c>
      <c r="E2421" t="s">
        <v>8</v>
      </c>
      <c r="F2421" s="1" t="s">
        <v>3</v>
      </c>
      <c r="G2421" s="1"/>
      <c r="H2421" t="s">
        <v>41</v>
      </c>
      <c r="I2421" s="2">
        <v>27861</v>
      </c>
      <c r="J2421" t="s">
        <v>294</v>
      </c>
      <c r="K2421" s="7">
        <v>45809</v>
      </c>
      <c r="L2421" t="s">
        <v>43</v>
      </c>
    </row>
    <row r="2422" spans="1:12" hidden="1">
      <c r="A2422" t="s">
        <v>99</v>
      </c>
      <c r="B2422" t="s">
        <v>63</v>
      </c>
      <c r="C2422" t="s">
        <v>14</v>
      </c>
      <c r="E2422" t="s">
        <v>8</v>
      </c>
      <c r="F2422" s="1" t="s">
        <v>3</v>
      </c>
      <c r="G2422" s="1"/>
      <c r="H2422" t="s">
        <v>41</v>
      </c>
      <c r="I2422" s="2">
        <v>20000</v>
      </c>
      <c r="J2422" t="s">
        <v>1492</v>
      </c>
      <c r="K2422" s="7">
        <v>45809</v>
      </c>
      <c r="L2422" t="s">
        <v>43</v>
      </c>
    </row>
    <row r="2423" spans="1:12" hidden="1">
      <c r="A2423" t="s">
        <v>39</v>
      </c>
      <c r="B2423" t="s">
        <v>63</v>
      </c>
      <c r="C2423" t="s">
        <v>13</v>
      </c>
      <c r="E2423" t="s">
        <v>8</v>
      </c>
      <c r="F2423" s="1" t="s">
        <v>3</v>
      </c>
      <c r="G2423" s="1"/>
      <c r="H2423" t="s">
        <v>41</v>
      </c>
      <c r="I2423" s="2">
        <v>19814.439999999999</v>
      </c>
      <c r="J2423" t="s">
        <v>158</v>
      </c>
      <c r="K2423" s="7">
        <v>45809</v>
      </c>
      <c r="L2423" t="s">
        <v>84</v>
      </c>
    </row>
    <row r="2424" spans="1:12" hidden="1">
      <c r="A2424" t="s">
        <v>39</v>
      </c>
      <c r="B2424" t="s">
        <v>63</v>
      </c>
      <c r="C2424" t="s">
        <v>13</v>
      </c>
      <c r="E2424" t="s">
        <v>8</v>
      </c>
      <c r="F2424" s="1" t="s">
        <v>3</v>
      </c>
      <c r="G2424" s="1"/>
      <c r="H2424" t="s">
        <v>41</v>
      </c>
      <c r="I2424" s="2">
        <v>10732.63</v>
      </c>
      <c r="J2424" t="s">
        <v>525</v>
      </c>
      <c r="K2424" s="7">
        <v>45809</v>
      </c>
      <c r="L2424" t="s">
        <v>43</v>
      </c>
    </row>
    <row r="2425" spans="1:12" hidden="1">
      <c r="A2425" t="s">
        <v>114</v>
      </c>
      <c r="B2425" t="s">
        <v>63</v>
      </c>
      <c r="C2425" t="s">
        <v>14</v>
      </c>
      <c r="E2425" t="s">
        <v>8</v>
      </c>
      <c r="F2425" s="1" t="s">
        <v>3</v>
      </c>
      <c r="G2425" s="1"/>
      <c r="H2425" t="s">
        <v>41</v>
      </c>
      <c r="I2425" s="2">
        <v>8625.4500000000007</v>
      </c>
      <c r="J2425" t="s">
        <v>254</v>
      </c>
      <c r="K2425" s="7">
        <v>45809</v>
      </c>
      <c r="L2425" t="s">
        <v>43</v>
      </c>
    </row>
    <row r="2426" spans="1:12" hidden="1">
      <c r="A2426" t="s">
        <v>114</v>
      </c>
      <c r="B2426" t="s">
        <v>63</v>
      </c>
      <c r="C2426" t="s">
        <v>14</v>
      </c>
      <c r="E2426" t="s">
        <v>8</v>
      </c>
      <c r="F2426" s="1" t="s">
        <v>3</v>
      </c>
      <c r="G2426" s="1"/>
      <c r="H2426" t="s">
        <v>41</v>
      </c>
      <c r="I2426" s="2">
        <v>8625.4500000000007</v>
      </c>
      <c r="J2426" t="s">
        <v>254</v>
      </c>
      <c r="K2426" s="7">
        <v>45809</v>
      </c>
      <c r="L2426" t="s">
        <v>43</v>
      </c>
    </row>
    <row r="2427" spans="1:12" hidden="1">
      <c r="A2427" t="s">
        <v>39</v>
      </c>
      <c r="B2427" t="s">
        <v>63</v>
      </c>
      <c r="C2427" t="s">
        <v>14</v>
      </c>
      <c r="E2427" t="s">
        <v>8</v>
      </c>
      <c r="F2427" s="1" t="s">
        <v>3</v>
      </c>
      <c r="G2427" s="1"/>
      <c r="H2427" t="s">
        <v>41</v>
      </c>
      <c r="I2427" s="2">
        <v>7417.04</v>
      </c>
      <c r="J2427" t="s">
        <v>650</v>
      </c>
      <c r="K2427" s="7">
        <v>45809</v>
      </c>
      <c r="L2427" t="s">
        <v>84</v>
      </c>
    </row>
    <row r="2428" spans="1:12" hidden="1">
      <c r="A2428" t="s">
        <v>114</v>
      </c>
      <c r="B2428" t="s">
        <v>63</v>
      </c>
      <c r="C2428" t="s">
        <v>14</v>
      </c>
      <c r="E2428" t="s">
        <v>8</v>
      </c>
      <c r="F2428" s="1" t="s">
        <v>3</v>
      </c>
      <c r="G2428" s="1"/>
      <c r="H2428" t="s">
        <v>41</v>
      </c>
      <c r="I2428" s="2">
        <v>3450.19</v>
      </c>
      <c r="J2428" t="s">
        <v>254</v>
      </c>
      <c r="K2428" s="7">
        <v>45809</v>
      </c>
      <c r="L2428" t="s">
        <v>43</v>
      </c>
    </row>
    <row r="2429" spans="1:12" hidden="1">
      <c r="A2429" t="s">
        <v>39</v>
      </c>
      <c r="B2429" t="s">
        <v>63</v>
      </c>
      <c r="C2429" t="s">
        <v>14</v>
      </c>
      <c r="E2429" t="s">
        <v>8</v>
      </c>
      <c r="F2429" s="1" t="s">
        <v>3</v>
      </c>
      <c r="G2429" s="1"/>
      <c r="H2429" t="s">
        <v>41</v>
      </c>
      <c r="I2429" s="2">
        <v>3210</v>
      </c>
      <c r="J2429" t="s">
        <v>576</v>
      </c>
      <c r="K2429" s="7">
        <v>45809</v>
      </c>
      <c r="L2429" t="s">
        <v>43</v>
      </c>
    </row>
    <row r="2430" spans="1:12" hidden="1">
      <c r="A2430" t="s">
        <v>39</v>
      </c>
      <c r="B2430" t="s">
        <v>63</v>
      </c>
      <c r="C2430" t="s">
        <v>13</v>
      </c>
      <c r="E2430" t="s">
        <v>8</v>
      </c>
      <c r="F2430" s="1" t="s">
        <v>3</v>
      </c>
      <c r="G2430" s="1"/>
      <c r="H2430" t="s">
        <v>41</v>
      </c>
      <c r="I2430" s="2">
        <v>2255.5</v>
      </c>
      <c r="J2430" t="s">
        <v>149</v>
      </c>
      <c r="K2430" s="7">
        <v>45809</v>
      </c>
      <c r="L2430" t="s">
        <v>84</v>
      </c>
    </row>
    <row r="2431" spans="1:12" hidden="1">
      <c r="A2431" t="s">
        <v>56</v>
      </c>
      <c r="B2431" t="s">
        <v>40</v>
      </c>
      <c r="C2431" t="s">
        <v>12</v>
      </c>
      <c r="E2431" t="s">
        <v>8</v>
      </c>
      <c r="F2431" s="1" t="s">
        <v>3</v>
      </c>
      <c r="G2431" s="1"/>
      <c r="H2431" t="s">
        <v>41</v>
      </c>
      <c r="I2431" s="2">
        <v>2000</v>
      </c>
      <c r="J2431" t="s">
        <v>98</v>
      </c>
      <c r="K2431" s="7">
        <v>45809</v>
      </c>
      <c r="L2431" t="s">
        <v>84</v>
      </c>
    </row>
    <row r="2432" spans="1:12" hidden="1">
      <c r="A2432" t="s">
        <v>39</v>
      </c>
      <c r="B2432" t="s">
        <v>40</v>
      </c>
      <c r="C2432" t="s">
        <v>12</v>
      </c>
      <c r="E2432" t="s">
        <v>8</v>
      </c>
      <c r="F2432" s="1" t="s">
        <v>3</v>
      </c>
      <c r="G2432" s="1"/>
      <c r="H2432" t="s">
        <v>41</v>
      </c>
      <c r="I2432" s="2">
        <v>14025</v>
      </c>
      <c r="J2432" t="s">
        <v>98</v>
      </c>
      <c r="K2432" s="7">
        <v>45809</v>
      </c>
      <c r="L2432" t="s">
        <v>84</v>
      </c>
    </row>
    <row r="2433" spans="1:12" hidden="1">
      <c r="A2433" t="s">
        <v>56</v>
      </c>
      <c r="B2433" t="s">
        <v>40</v>
      </c>
      <c r="C2433" t="s">
        <v>14</v>
      </c>
      <c r="E2433" t="s">
        <v>8</v>
      </c>
      <c r="F2433" s="1" t="s">
        <v>3</v>
      </c>
      <c r="G2433" s="1"/>
      <c r="H2433" t="s">
        <v>41</v>
      </c>
      <c r="I2433" s="2">
        <v>13750</v>
      </c>
      <c r="J2433" t="s">
        <v>98</v>
      </c>
      <c r="K2433" s="7">
        <v>45809</v>
      </c>
      <c r="L2433" t="s">
        <v>43</v>
      </c>
    </row>
    <row r="2434" spans="1:12" hidden="1">
      <c r="A2434" t="s">
        <v>39</v>
      </c>
      <c r="B2434" t="s">
        <v>40</v>
      </c>
      <c r="C2434" t="s">
        <v>14</v>
      </c>
      <c r="E2434" t="s">
        <v>8</v>
      </c>
      <c r="F2434" s="1" t="s">
        <v>3</v>
      </c>
      <c r="G2434" s="1"/>
      <c r="H2434" t="s">
        <v>41</v>
      </c>
      <c r="I2434" s="2">
        <v>80125</v>
      </c>
      <c r="J2434" t="s">
        <v>98</v>
      </c>
      <c r="K2434" s="7">
        <v>45809</v>
      </c>
      <c r="L2434" t="s">
        <v>84</v>
      </c>
    </row>
    <row r="2435" spans="1:12">
      <c r="A2435" t="s">
        <v>39</v>
      </c>
      <c r="B2435" t="s">
        <v>47</v>
      </c>
      <c r="C2435" t="s">
        <v>14</v>
      </c>
      <c r="E2435" t="s">
        <v>8</v>
      </c>
      <c r="F2435" s="1" t="s">
        <v>3</v>
      </c>
      <c r="G2435" s="1"/>
      <c r="H2435" t="s">
        <v>41</v>
      </c>
      <c r="I2435" s="2">
        <v>2370.0700000000002</v>
      </c>
      <c r="J2435" t="s">
        <v>204</v>
      </c>
      <c r="K2435" s="7">
        <v>45809</v>
      </c>
      <c r="L2435" t="s">
        <v>84</v>
      </c>
    </row>
    <row r="2436" spans="1:12" hidden="1">
      <c r="A2436" t="s">
        <v>39</v>
      </c>
      <c r="B2436" t="s">
        <v>45</v>
      </c>
      <c r="C2436" t="s">
        <v>14</v>
      </c>
      <c r="E2436" t="s">
        <v>8</v>
      </c>
      <c r="F2436" s="1" t="s">
        <v>3</v>
      </c>
      <c r="G2436" s="1"/>
      <c r="H2436" t="s">
        <v>41</v>
      </c>
      <c r="I2436" s="2">
        <v>20000</v>
      </c>
      <c r="J2436" t="s">
        <v>300</v>
      </c>
      <c r="K2436" s="7">
        <v>45809</v>
      </c>
      <c r="L2436" t="s">
        <v>43</v>
      </c>
    </row>
    <row r="2437" spans="1:12">
      <c r="A2437" t="s">
        <v>39</v>
      </c>
      <c r="B2437" t="s">
        <v>47</v>
      </c>
      <c r="C2437" t="s">
        <v>14</v>
      </c>
      <c r="E2437" t="s">
        <v>8</v>
      </c>
      <c r="F2437" s="1" t="s">
        <v>3</v>
      </c>
      <c r="G2437" s="1"/>
      <c r="H2437" t="s">
        <v>41</v>
      </c>
      <c r="I2437" s="2">
        <v>848.81</v>
      </c>
      <c r="J2437" t="s">
        <v>264</v>
      </c>
      <c r="K2437" s="7">
        <v>45809</v>
      </c>
      <c r="L2437" t="s">
        <v>84</v>
      </c>
    </row>
    <row r="2438" spans="1:12">
      <c r="A2438" t="s">
        <v>39</v>
      </c>
      <c r="B2438" t="s">
        <v>47</v>
      </c>
      <c r="C2438" t="s">
        <v>14</v>
      </c>
      <c r="E2438" t="s">
        <v>8</v>
      </c>
      <c r="F2438" s="1" t="s">
        <v>3</v>
      </c>
      <c r="G2438" s="1"/>
      <c r="H2438" t="s">
        <v>41</v>
      </c>
      <c r="I2438" s="2">
        <v>383.71</v>
      </c>
      <c r="J2438" t="s">
        <v>1493</v>
      </c>
      <c r="K2438" s="7">
        <v>45809</v>
      </c>
      <c r="L2438" t="s">
        <v>84</v>
      </c>
    </row>
    <row r="2439" spans="1:12">
      <c r="A2439" t="s">
        <v>39</v>
      </c>
      <c r="B2439" t="s">
        <v>47</v>
      </c>
      <c r="C2439" t="s">
        <v>14</v>
      </c>
      <c r="E2439" t="s">
        <v>8</v>
      </c>
      <c r="F2439" s="1" t="s">
        <v>3</v>
      </c>
      <c r="G2439" s="1"/>
      <c r="H2439" t="s">
        <v>41</v>
      </c>
      <c r="I2439" s="2">
        <v>1944.66</v>
      </c>
      <c r="J2439" t="s">
        <v>478</v>
      </c>
      <c r="K2439" s="7">
        <v>45809</v>
      </c>
      <c r="L2439" t="s">
        <v>84</v>
      </c>
    </row>
    <row r="2440" spans="1:12">
      <c r="A2440" t="s">
        <v>39</v>
      </c>
      <c r="B2440" t="s">
        <v>47</v>
      </c>
      <c r="C2440" t="s">
        <v>14</v>
      </c>
      <c r="E2440" t="s">
        <v>8</v>
      </c>
      <c r="F2440" s="1" t="s">
        <v>3</v>
      </c>
      <c r="G2440" s="1"/>
      <c r="H2440" t="s">
        <v>41</v>
      </c>
      <c r="I2440" s="2">
        <v>16143.77</v>
      </c>
      <c r="J2440" t="s">
        <v>422</v>
      </c>
      <c r="K2440" s="7">
        <v>45809</v>
      </c>
      <c r="L2440" t="s">
        <v>43</v>
      </c>
    </row>
    <row r="2441" spans="1:12">
      <c r="A2441" t="s">
        <v>39</v>
      </c>
      <c r="B2441" t="s">
        <v>47</v>
      </c>
      <c r="C2441" t="s">
        <v>13</v>
      </c>
      <c r="E2441" t="s">
        <v>8</v>
      </c>
      <c r="F2441" s="1" t="s">
        <v>3</v>
      </c>
      <c r="G2441" s="1"/>
      <c r="H2441" t="s">
        <v>41</v>
      </c>
      <c r="I2441" s="2">
        <v>200</v>
      </c>
      <c r="J2441" t="s">
        <v>329</v>
      </c>
      <c r="K2441" s="7">
        <v>45809</v>
      </c>
      <c r="L2441" t="s">
        <v>84</v>
      </c>
    </row>
    <row r="2442" spans="1:12">
      <c r="A2442" t="s">
        <v>39</v>
      </c>
      <c r="B2442" t="s">
        <v>47</v>
      </c>
      <c r="C2442" t="s">
        <v>14</v>
      </c>
      <c r="E2442" t="s">
        <v>8</v>
      </c>
      <c r="F2442" s="1" t="s">
        <v>3</v>
      </c>
      <c r="G2442" s="1"/>
      <c r="H2442" t="s">
        <v>41</v>
      </c>
      <c r="I2442" s="2">
        <v>245.13</v>
      </c>
      <c r="J2442" t="s">
        <v>1101</v>
      </c>
      <c r="K2442" s="7">
        <v>45809</v>
      </c>
      <c r="L2442" t="s">
        <v>84</v>
      </c>
    </row>
    <row r="2443" spans="1:12">
      <c r="A2443" t="s">
        <v>39</v>
      </c>
      <c r="B2443" t="s">
        <v>47</v>
      </c>
      <c r="C2443" t="s">
        <v>14</v>
      </c>
      <c r="E2443" t="s">
        <v>8</v>
      </c>
      <c r="F2443" s="1" t="s">
        <v>3</v>
      </c>
      <c r="G2443" s="1"/>
      <c r="H2443" t="s">
        <v>41</v>
      </c>
      <c r="I2443" s="2">
        <v>88805.81</v>
      </c>
      <c r="J2443" t="s">
        <v>185</v>
      </c>
      <c r="K2443" s="7">
        <v>45839</v>
      </c>
    </row>
    <row r="2444" spans="1:12">
      <c r="A2444" t="s">
        <v>39</v>
      </c>
      <c r="B2444" t="s">
        <v>47</v>
      </c>
      <c r="C2444" t="s">
        <v>14</v>
      </c>
      <c r="E2444" t="s">
        <v>8</v>
      </c>
      <c r="F2444" s="1" t="s">
        <v>3</v>
      </c>
      <c r="G2444" s="1"/>
      <c r="H2444" t="s">
        <v>41</v>
      </c>
      <c r="I2444" s="2">
        <v>5479.55</v>
      </c>
      <c r="J2444" t="s">
        <v>371</v>
      </c>
      <c r="K2444" s="7">
        <v>45839</v>
      </c>
    </row>
    <row r="2445" spans="1:12" hidden="1">
      <c r="A2445" t="s">
        <v>39</v>
      </c>
      <c r="B2445" t="s">
        <v>45</v>
      </c>
      <c r="C2445" t="s">
        <v>12</v>
      </c>
      <c r="E2445" t="s">
        <v>8</v>
      </c>
      <c r="F2445" s="1" t="s">
        <v>3</v>
      </c>
      <c r="G2445" s="1"/>
      <c r="H2445" t="s">
        <v>41</v>
      </c>
      <c r="I2445" s="2">
        <v>46109.22</v>
      </c>
      <c r="J2445" t="s">
        <v>708</v>
      </c>
      <c r="K2445" s="7">
        <v>45839</v>
      </c>
    </row>
    <row r="2446" spans="1:12" hidden="1">
      <c r="A2446" t="s">
        <v>39</v>
      </c>
      <c r="B2446" t="s">
        <v>45</v>
      </c>
      <c r="C2446" t="s">
        <v>13</v>
      </c>
      <c r="E2446" t="s">
        <v>8</v>
      </c>
      <c r="F2446" s="1" t="s">
        <v>3</v>
      </c>
      <c r="G2446" s="1"/>
      <c r="H2446" t="s">
        <v>41</v>
      </c>
      <c r="I2446" s="2">
        <v>19513.990000000002</v>
      </c>
      <c r="J2446" t="s">
        <v>378</v>
      </c>
      <c r="K2446" s="7">
        <v>45839</v>
      </c>
    </row>
    <row r="2447" spans="1:12" hidden="1">
      <c r="A2447" t="s">
        <v>39</v>
      </c>
      <c r="B2447" t="s">
        <v>45</v>
      </c>
      <c r="C2447" t="s">
        <v>13</v>
      </c>
      <c r="E2447" t="s">
        <v>8</v>
      </c>
      <c r="F2447" s="1" t="s">
        <v>3</v>
      </c>
      <c r="G2447" s="1"/>
      <c r="H2447" t="s">
        <v>41</v>
      </c>
      <c r="I2447" s="2">
        <v>11787.33</v>
      </c>
      <c r="J2447" t="s">
        <v>217</v>
      </c>
      <c r="K2447" s="7">
        <v>45839</v>
      </c>
    </row>
    <row r="2448" spans="1:12">
      <c r="A2448" t="s">
        <v>39</v>
      </c>
      <c r="B2448" t="s">
        <v>47</v>
      </c>
      <c r="C2448" t="s">
        <v>14</v>
      </c>
      <c r="E2448" t="s">
        <v>8</v>
      </c>
      <c r="F2448" s="1" t="s">
        <v>3</v>
      </c>
      <c r="G2448" s="1"/>
      <c r="H2448" t="s">
        <v>41</v>
      </c>
      <c r="I2448" s="2">
        <v>205045.77</v>
      </c>
      <c r="J2448" t="s">
        <v>772</v>
      </c>
      <c r="K2448" s="7">
        <v>45839</v>
      </c>
    </row>
    <row r="2449" spans="1:11" hidden="1">
      <c r="A2449" t="s">
        <v>99</v>
      </c>
      <c r="B2449" t="s">
        <v>63</v>
      </c>
      <c r="C2449" t="s">
        <v>14</v>
      </c>
      <c r="E2449" t="s">
        <v>8</v>
      </c>
      <c r="F2449" s="1" t="s">
        <v>3</v>
      </c>
      <c r="G2449" s="1"/>
      <c r="H2449" t="s">
        <v>41</v>
      </c>
      <c r="I2449" s="2">
        <v>20000</v>
      </c>
      <c r="J2449" t="s">
        <v>1494</v>
      </c>
      <c r="K2449" s="7">
        <v>45839</v>
      </c>
    </row>
    <row r="2450" spans="1:11" hidden="1">
      <c r="A2450" t="s">
        <v>39</v>
      </c>
      <c r="B2450" t="s">
        <v>63</v>
      </c>
      <c r="C2450" t="s">
        <v>13</v>
      </c>
      <c r="E2450" t="s">
        <v>8</v>
      </c>
      <c r="F2450" s="1" t="s">
        <v>3</v>
      </c>
      <c r="G2450" s="1"/>
      <c r="H2450" t="s">
        <v>41</v>
      </c>
      <c r="I2450" s="2">
        <v>9695.56</v>
      </c>
      <c r="J2450" t="s">
        <v>821</v>
      </c>
      <c r="K2450" s="7">
        <v>45839</v>
      </c>
    </row>
    <row r="2451" spans="1:11" hidden="1">
      <c r="A2451" t="s">
        <v>39</v>
      </c>
      <c r="B2451" t="s">
        <v>63</v>
      </c>
      <c r="C2451" t="s">
        <v>124</v>
      </c>
      <c r="E2451" t="s">
        <v>8</v>
      </c>
      <c r="F2451" s="1" t="s">
        <v>3</v>
      </c>
      <c r="G2451" s="1"/>
      <c r="H2451" t="s">
        <v>41</v>
      </c>
      <c r="I2451" s="2">
        <v>1799.95</v>
      </c>
      <c r="J2451" t="s">
        <v>1107</v>
      </c>
      <c r="K2451" s="7">
        <v>45839</v>
      </c>
    </row>
    <row r="2452" spans="1:11" hidden="1">
      <c r="A2452" t="s">
        <v>39</v>
      </c>
      <c r="B2452" t="s">
        <v>63</v>
      </c>
      <c r="C2452" t="s">
        <v>14</v>
      </c>
      <c r="E2452" t="s">
        <v>8</v>
      </c>
      <c r="F2452" s="1" t="s">
        <v>3</v>
      </c>
      <c r="G2452" s="1"/>
      <c r="H2452" t="s">
        <v>41</v>
      </c>
      <c r="I2452" s="2">
        <v>3595.42</v>
      </c>
      <c r="J2452" t="s">
        <v>635</v>
      </c>
      <c r="K2452" s="7">
        <v>45839</v>
      </c>
    </row>
    <row r="2453" spans="1:11" hidden="1">
      <c r="A2453" t="s">
        <v>114</v>
      </c>
      <c r="B2453" t="s">
        <v>63</v>
      </c>
      <c r="C2453" t="s">
        <v>13</v>
      </c>
      <c r="E2453" t="s">
        <v>8</v>
      </c>
      <c r="F2453" s="1" t="s">
        <v>3</v>
      </c>
      <c r="G2453" s="1"/>
      <c r="H2453" t="s">
        <v>41</v>
      </c>
      <c r="I2453" s="2">
        <v>1164.0999999999999</v>
      </c>
      <c r="J2453" t="s">
        <v>1247</v>
      </c>
      <c r="K2453" s="7">
        <v>45839</v>
      </c>
    </row>
    <row r="2454" spans="1:11" hidden="1">
      <c r="A2454" t="s">
        <v>114</v>
      </c>
      <c r="B2454" t="s">
        <v>63</v>
      </c>
      <c r="C2454" t="s">
        <v>14</v>
      </c>
      <c r="E2454" t="s">
        <v>8</v>
      </c>
      <c r="F2454" s="1" t="s">
        <v>3</v>
      </c>
      <c r="G2454" s="1"/>
      <c r="H2454" t="s">
        <v>41</v>
      </c>
      <c r="I2454" s="2">
        <v>8400.92</v>
      </c>
      <c r="J2454" t="s">
        <v>254</v>
      </c>
      <c r="K2454" s="7">
        <v>45839</v>
      </c>
    </row>
    <row r="2455" spans="1:11" hidden="1">
      <c r="A2455" t="s">
        <v>114</v>
      </c>
      <c r="B2455" t="s">
        <v>63</v>
      </c>
      <c r="C2455" t="s">
        <v>14</v>
      </c>
      <c r="E2455" t="s">
        <v>8</v>
      </c>
      <c r="F2455" s="1" t="s">
        <v>3</v>
      </c>
      <c r="G2455" s="1"/>
      <c r="H2455" t="s">
        <v>41</v>
      </c>
      <c r="I2455" s="2">
        <v>2831.84</v>
      </c>
      <c r="J2455" t="s">
        <v>254</v>
      </c>
      <c r="K2455" s="7">
        <v>45839</v>
      </c>
    </row>
    <row r="2456" spans="1:11" hidden="1">
      <c r="A2456" t="s">
        <v>114</v>
      </c>
      <c r="B2456" t="s">
        <v>63</v>
      </c>
      <c r="C2456" t="s">
        <v>14</v>
      </c>
      <c r="E2456" t="s">
        <v>8</v>
      </c>
      <c r="F2456" s="1" t="s">
        <v>3</v>
      </c>
      <c r="G2456" s="1"/>
      <c r="H2456" t="s">
        <v>41</v>
      </c>
      <c r="I2456" s="2">
        <v>10255.629999999999</v>
      </c>
      <c r="J2456" t="s">
        <v>541</v>
      </c>
      <c r="K2456" s="7">
        <v>45839</v>
      </c>
    </row>
    <row r="2457" spans="1:11" hidden="1">
      <c r="A2457" t="s">
        <v>114</v>
      </c>
      <c r="B2457" t="s">
        <v>63</v>
      </c>
      <c r="C2457" t="s">
        <v>14</v>
      </c>
      <c r="E2457" t="s">
        <v>8</v>
      </c>
      <c r="F2457" s="1" t="s">
        <v>3</v>
      </c>
      <c r="G2457" s="1"/>
      <c r="H2457" t="s">
        <v>41</v>
      </c>
      <c r="I2457" s="2">
        <v>2279.0300000000002</v>
      </c>
      <c r="J2457" t="s">
        <v>541</v>
      </c>
      <c r="K2457" s="7">
        <v>45839</v>
      </c>
    </row>
    <row r="2458" spans="1:11" hidden="1">
      <c r="A2458" t="s">
        <v>114</v>
      </c>
      <c r="B2458" t="s">
        <v>63</v>
      </c>
      <c r="C2458" t="s">
        <v>12</v>
      </c>
      <c r="E2458" t="s">
        <v>8</v>
      </c>
      <c r="F2458" s="1" t="s">
        <v>3</v>
      </c>
      <c r="G2458" s="1"/>
      <c r="H2458" t="s">
        <v>41</v>
      </c>
      <c r="I2458" s="2">
        <v>47149</v>
      </c>
      <c r="J2458" t="s">
        <v>1495</v>
      </c>
      <c r="K2458" s="7">
        <v>45839</v>
      </c>
    </row>
    <row r="2459" spans="1:11" hidden="1">
      <c r="A2459" t="s">
        <v>39</v>
      </c>
      <c r="B2459" t="s">
        <v>45</v>
      </c>
      <c r="C2459" t="s">
        <v>14</v>
      </c>
      <c r="E2459" t="s">
        <v>8</v>
      </c>
      <c r="F2459" s="1" t="s">
        <v>3</v>
      </c>
      <c r="G2459" s="1"/>
      <c r="H2459" t="s">
        <v>41</v>
      </c>
      <c r="I2459" s="2">
        <v>12152.58</v>
      </c>
      <c r="J2459" t="s">
        <v>378</v>
      </c>
      <c r="K2459" s="7">
        <v>45839</v>
      </c>
    </row>
    <row r="2460" spans="1:11" hidden="1">
      <c r="A2460" t="s">
        <v>114</v>
      </c>
      <c r="B2460" t="s">
        <v>63</v>
      </c>
      <c r="C2460" t="s">
        <v>13</v>
      </c>
      <c r="E2460" t="s">
        <v>8</v>
      </c>
      <c r="F2460" t="s">
        <v>3</v>
      </c>
      <c r="G2460" s="1"/>
      <c r="H2460" t="s">
        <v>41</v>
      </c>
      <c r="I2460" s="2">
        <v>62962.07</v>
      </c>
      <c r="J2460" t="s">
        <v>425</v>
      </c>
      <c r="K2460" s="7">
        <v>45901</v>
      </c>
    </row>
    <row r="2461" spans="1:11" hidden="1">
      <c r="A2461" t="s">
        <v>39</v>
      </c>
      <c r="B2461" t="s">
        <v>63</v>
      </c>
      <c r="C2461" t="s">
        <v>14</v>
      </c>
      <c r="E2461" t="s">
        <v>8</v>
      </c>
      <c r="F2461" t="s">
        <v>3</v>
      </c>
      <c r="G2461" s="1"/>
      <c r="H2461" t="s">
        <v>41</v>
      </c>
      <c r="I2461" s="2">
        <v>25000</v>
      </c>
      <c r="J2461" t="s">
        <v>201</v>
      </c>
      <c r="K2461" s="7">
        <v>45901</v>
      </c>
    </row>
    <row r="2462" spans="1:11" hidden="1">
      <c r="A2462" t="s">
        <v>39</v>
      </c>
      <c r="B2462" t="s">
        <v>63</v>
      </c>
      <c r="C2462" t="s">
        <v>14</v>
      </c>
      <c r="E2462" t="s">
        <v>8</v>
      </c>
      <c r="F2462" t="s">
        <v>3</v>
      </c>
      <c r="G2462" s="1"/>
      <c r="H2462" t="s">
        <v>41</v>
      </c>
      <c r="I2462" s="2">
        <v>20000</v>
      </c>
      <c r="J2462" t="s">
        <v>1496</v>
      </c>
      <c r="K2462" s="7">
        <v>45901</v>
      </c>
    </row>
    <row r="2463" spans="1:11" hidden="1">
      <c r="A2463" t="s">
        <v>39</v>
      </c>
      <c r="B2463" t="s">
        <v>40</v>
      </c>
      <c r="C2463" t="s">
        <v>14</v>
      </c>
      <c r="E2463" t="s">
        <v>8</v>
      </c>
      <c r="F2463" s="1" t="s">
        <v>3</v>
      </c>
      <c r="G2463" s="1"/>
      <c r="H2463" t="s">
        <v>41</v>
      </c>
      <c r="I2463" s="2">
        <v>60000</v>
      </c>
      <c r="J2463" t="s">
        <v>98</v>
      </c>
      <c r="K2463" s="7">
        <v>45901</v>
      </c>
    </row>
    <row r="2464" spans="1:11">
      <c r="A2464" t="s">
        <v>39</v>
      </c>
      <c r="B2464" t="s">
        <v>47</v>
      </c>
      <c r="C2464" t="s">
        <v>12</v>
      </c>
      <c r="E2464" t="s">
        <v>8</v>
      </c>
      <c r="F2464" s="1" t="s">
        <v>3</v>
      </c>
      <c r="G2464" s="1"/>
      <c r="H2464" t="s">
        <v>41</v>
      </c>
      <c r="I2464" s="2">
        <v>47250</v>
      </c>
      <c r="J2464" t="s">
        <v>764</v>
      </c>
      <c r="K2464" s="7">
        <v>45901</v>
      </c>
    </row>
    <row r="2465" spans="1:12">
      <c r="A2465" t="s">
        <v>39</v>
      </c>
      <c r="B2465" t="s">
        <v>47</v>
      </c>
      <c r="C2465" t="s">
        <v>14</v>
      </c>
      <c r="E2465" t="s">
        <v>8</v>
      </c>
      <c r="F2465" s="1" t="s">
        <v>3</v>
      </c>
      <c r="G2465" s="1"/>
      <c r="H2465" t="s">
        <v>41</v>
      </c>
      <c r="I2465" s="2">
        <v>164036</v>
      </c>
      <c r="J2465" t="s">
        <v>1497</v>
      </c>
      <c r="K2465" s="7">
        <v>45901</v>
      </c>
    </row>
    <row r="2466" spans="1:12">
      <c r="A2466" t="s">
        <v>39</v>
      </c>
      <c r="B2466" t="s">
        <v>47</v>
      </c>
      <c r="C2466" t="s">
        <v>14</v>
      </c>
      <c r="E2466" t="s">
        <v>8</v>
      </c>
      <c r="F2466" s="1" t="s">
        <v>3</v>
      </c>
      <c r="G2466" s="1"/>
      <c r="H2466" t="s">
        <v>41</v>
      </c>
      <c r="I2466" s="2">
        <v>85751.95</v>
      </c>
      <c r="J2466" t="s">
        <v>975</v>
      </c>
      <c r="K2466" s="7">
        <v>45901</v>
      </c>
    </row>
    <row r="2467" spans="1:12" hidden="1">
      <c r="A2467" t="s">
        <v>39</v>
      </c>
      <c r="B2467" t="s">
        <v>40</v>
      </c>
      <c r="C2467" t="s">
        <v>14</v>
      </c>
      <c r="E2467" t="s">
        <v>8</v>
      </c>
      <c r="F2467" s="1" t="s">
        <v>3</v>
      </c>
      <c r="G2467" s="1"/>
      <c r="H2467" t="s">
        <v>41</v>
      </c>
      <c r="I2467" s="2">
        <v>60000</v>
      </c>
      <c r="J2467" t="s">
        <v>1488</v>
      </c>
      <c r="K2467" s="7">
        <v>45992</v>
      </c>
    </row>
    <row r="2468" spans="1:12" hidden="1">
      <c r="A2468" t="s">
        <v>56</v>
      </c>
      <c r="B2468" t="s">
        <v>40</v>
      </c>
      <c r="C2468" t="s">
        <v>14</v>
      </c>
      <c r="E2468" t="s">
        <v>8</v>
      </c>
      <c r="F2468" s="1" t="s">
        <v>3</v>
      </c>
      <c r="G2468" s="1"/>
      <c r="H2468" t="s">
        <v>41</v>
      </c>
      <c r="I2468" s="2">
        <v>25000</v>
      </c>
      <c r="J2468" t="s">
        <v>1489</v>
      </c>
      <c r="K2468" s="7">
        <v>45992</v>
      </c>
    </row>
    <row r="2469" spans="1:12" hidden="1">
      <c r="A2469" t="s">
        <v>39</v>
      </c>
      <c r="B2469" t="s">
        <v>63</v>
      </c>
      <c r="C2469" t="s">
        <v>14</v>
      </c>
      <c r="E2469" t="s">
        <v>8</v>
      </c>
      <c r="F2469" s="1" t="s">
        <v>3</v>
      </c>
      <c r="G2469" s="1"/>
      <c r="H2469" t="s">
        <v>41</v>
      </c>
      <c r="I2469" s="2">
        <v>43152.799999999996</v>
      </c>
      <c r="J2469" t="s">
        <v>749</v>
      </c>
      <c r="K2469" s="7">
        <v>45992</v>
      </c>
    </row>
    <row r="2470" spans="1:12" hidden="1">
      <c r="A2470" t="s">
        <v>39</v>
      </c>
      <c r="B2470" t="s">
        <v>63</v>
      </c>
      <c r="C2470" t="s">
        <v>14</v>
      </c>
      <c r="E2470" t="s">
        <v>8</v>
      </c>
      <c r="F2470" s="1" t="s">
        <v>3</v>
      </c>
      <c r="G2470" s="1"/>
      <c r="H2470" t="s">
        <v>41</v>
      </c>
      <c r="I2470" s="2">
        <v>8555</v>
      </c>
      <c r="J2470" t="s">
        <v>1333</v>
      </c>
      <c r="K2470" s="7">
        <v>45992</v>
      </c>
    </row>
    <row r="2471" spans="1:12" hidden="1">
      <c r="A2471" t="s">
        <v>39</v>
      </c>
      <c r="B2471" t="s">
        <v>63</v>
      </c>
      <c r="C2471" t="s">
        <v>13</v>
      </c>
      <c r="E2471" t="s">
        <v>8</v>
      </c>
      <c r="F2471" s="1" t="s">
        <v>3</v>
      </c>
      <c r="G2471" s="1"/>
      <c r="H2471" t="s">
        <v>41</v>
      </c>
      <c r="I2471" s="2">
        <v>25000</v>
      </c>
      <c r="J2471" t="s">
        <v>201</v>
      </c>
      <c r="K2471" s="7">
        <v>45992</v>
      </c>
    </row>
    <row r="2472" spans="1:12" hidden="1">
      <c r="A2472" t="s">
        <v>99</v>
      </c>
      <c r="B2472" t="s">
        <v>63</v>
      </c>
      <c r="C2472" t="s">
        <v>14</v>
      </c>
      <c r="E2472" t="s">
        <v>8</v>
      </c>
      <c r="F2472" s="1" t="s">
        <v>3</v>
      </c>
      <c r="G2472" s="1"/>
      <c r="H2472" t="s">
        <v>41</v>
      </c>
      <c r="I2472" s="2">
        <v>20000</v>
      </c>
      <c r="J2472" t="s">
        <v>1490</v>
      </c>
      <c r="K2472" s="7">
        <v>45992</v>
      </c>
    </row>
    <row r="2473" spans="1:12">
      <c r="A2473" t="s">
        <v>39</v>
      </c>
      <c r="B2473" t="s">
        <v>47</v>
      </c>
      <c r="C2473" t="s">
        <v>13</v>
      </c>
      <c r="E2473" t="s">
        <v>8</v>
      </c>
      <c r="F2473" s="1" t="s">
        <v>3</v>
      </c>
      <c r="G2473" s="1"/>
      <c r="H2473" t="s">
        <v>41</v>
      </c>
      <c r="I2473" s="2">
        <v>21895.07</v>
      </c>
      <c r="J2473" t="s">
        <v>462</v>
      </c>
      <c r="K2473" s="7">
        <v>45992</v>
      </c>
    </row>
    <row r="2474" spans="1:12">
      <c r="A2474" t="s">
        <v>39</v>
      </c>
      <c r="B2474" t="s">
        <v>47</v>
      </c>
      <c r="C2474" t="s">
        <v>14</v>
      </c>
      <c r="E2474" t="s">
        <v>8</v>
      </c>
      <c r="F2474" s="1" t="s">
        <v>3</v>
      </c>
      <c r="G2474" s="1"/>
      <c r="H2474" t="s">
        <v>41</v>
      </c>
      <c r="I2474" s="2">
        <v>118896</v>
      </c>
      <c r="J2474" t="s">
        <v>52</v>
      </c>
      <c r="K2474" s="7">
        <v>45992</v>
      </c>
    </row>
    <row r="2475" spans="1:12">
      <c r="A2475" t="s">
        <v>39</v>
      </c>
      <c r="B2475" t="s">
        <v>47</v>
      </c>
      <c r="C2475" t="s">
        <v>14</v>
      </c>
      <c r="E2475" t="s">
        <v>8</v>
      </c>
      <c r="F2475" s="1" t="s">
        <v>3</v>
      </c>
      <c r="G2475" s="1"/>
      <c r="H2475" t="s">
        <v>41</v>
      </c>
      <c r="I2475" s="2">
        <v>114524</v>
      </c>
      <c r="J2475" t="s">
        <v>61</v>
      </c>
      <c r="K2475" s="7">
        <v>45992</v>
      </c>
    </row>
    <row r="2476" spans="1:12">
      <c r="A2476" t="s">
        <v>39</v>
      </c>
      <c r="B2476" t="s">
        <v>47</v>
      </c>
      <c r="C2476" t="s">
        <v>13</v>
      </c>
      <c r="E2476" t="s">
        <v>8</v>
      </c>
      <c r="F2476" s="1" t="s">
        <v>3</v>
      </c>
      <c r="G2476" s="1"/>
      <c r="H2476" t="s">
        <v>41</v>
      </c>
      <c r="I2476" s="2">
        <v>33569</v>
      </c>
      <c r="J2476" t="s">
        <v>118</v>
      </c>
      <c r="K2476" s="7">
        <v>45992</v>
      </c>
    </row>
    <row r="2477" spans="1:12" hidden="1">
      <c r="A2477" t="s">
        <v>39</v>
      </c>
      <c r="B2477" t="s">
        <v>45</v>
      </c>
      <c r="C2477" t="s">
        <v>13</v>
      </c>
      <c r="E2477" t="s">
        <v>8</v>
      </c>
      <c r="F2477" s="1" t="s">
        <v>3</v>
      </c>
      <c r="G2477" s="1"/>
      <c r="H2477" t="s">
        <v>41</v>
      </c>
      <c r="I2477" s="2">
        <v>173016.82</v>
      </c>
      <c r="J2477" t="s">
        <v>461</v>
      </c>
      <c r="K2477" s="7">
        <v>45992</v>
      </c>
    </row>
    <row r="2478" spans="1:12">
      <c r="A2478" t="s">
        <v>39</v>
      </c>
      <c r="B2478" t="s">
        <v>47</v>
      </c>
      <c r="C2478" t="s">
        <v>14</v>
      </c>
      <c r="E2478" t="s">
        <v>8</v>
      </c>
      <c r="F2478" s="1" t="s">
        <v>3</v>
      </c>
      <c r="G2478" s="1"/>
      <c r="H2478" t="s">
        <v>41</v>
      </c>
      <c r="I2478" s="2">
        <v>16389</v>
      </c>
      <c r="J2478" t="s">
        <v>414</v>
      </c>
      <c r="K2478" s="7">
        <v>45992</v>
      </c>
    </row>
    <row r="2479" spans="1:12" hidden="1">
      <c r="A2479" t="s">
        <v>114</v>
      </c>
      <c r="B2479" t="s">
        <v>63</v>
      </c>
      <c r="C2479" t="s">
        <v>14</v>
      </c>
      <c r="E2479" t="s">
        <v>8</v>
      </c>
      <c r="F2479" s="1" t="s">
        <v>4</v>
      </c>
      <c r="G2479" s="1"/>
      <c r="H2479" t="s">
        <v>41</v>
      </c>
      <c r="I2479" s="2">
        <v>35576.93</v>
      </c>
      <c r="J2479" t="s">
        <v>254</v>
      </c>
      <c r="K2479" s="7">
        <v>45809</v>
      </c>
      <c r="L2479" t="s">
        <v>43</v>
      </c>
    </row>
    <row r="2480" spans="1:12" hidden="1">
      <c r="A2480" t="s">
        <v>39</v>
      </c>
      <c r="B2480" t="s">
        <v>63</v>
      </c>
      <c r="C2480" t="s">
        <v>14</v>
      </c>
      <c r="E2480" t="s">
        <v>8</v>
      </c>
      <c r="F2480" s="1" t="s">
        <v>4</v>
      </c>
      <c r="G2480" s="1"/>
      <c r="H2480" t="s">
        <v>41</v>
      </c>
      <c r="I2480" s="2">
        <v>34262.85</v>
      </c>
      <c r="J2480" t="s">
        <v>268</v>
      </c>
      <c r="K2480" s="7">
        <v>45809</v>
      </c>
      <c r="L2480" t="s">
        <v>43</v>
      </c>
    </row>
    <row r="2481" spans="1:12" hidden="1">
      <c r="A2481" t="s">
        <v>39</v>
      </c>
      <c r="B2481" t="s">
        <v>63</v>
      </c>
      <c r="C2481" t="s">
        <v>13</v>
      </c>
      <c r="E2481" t="s">
        <v>8</v>
      </c>
      <c r="F2481" s="1" t="s">
        <v>4</v>
      </c>
      <c r="G2481" s="1"/>
      <c r="H2481" t="s">
        <v>41</v>
      </c>
      <c r="I2481" s="2">
        <v>22736.54</v>
      </c>
      <c r="J2481" t="s">
        <v>157</v>
      </c>
      <c r="K2481" s="7">
        <v>45809</v>
      </c>
    </row>
    <row r="2482" spans="1:12" hidden="1">
      <c r="A2482" t="s">
        <v>99</v>
      </c>
      <c r="B2482" t="s">
        <v>63</v>
      </c>
      <c r="C2482" t="s">
        <v>14</v>
      </c>
      <c r="E2482" t="s">
        <v>8</v>
      </c>
      <c r="F2482" s="1" t="s">
        <v>4</v>
      </c>
      <c r="G2482" s="1"/>
      <c r="H2482" t="s">
        <v>41</v>
      </c>
      <c r="I2482" s="2">
        <v>20000</v>
      </c>
      <c r="J2482" t="s">
        <v>1498</v>
      </c>
      <c r="K2482" s="7">
        <v>45809</v>
      </c>
    </row>
    <row r="2483" spans="1:12" hidden="1">
      <c r="A2483" t="s">
        <v>39</v>
      </c>
      <c r="B2483" t="s">
        <v>63</v>
      </c>
      <c r="C2483" t="s">
        <v>14</v>
      </c>
      <c r="E2483" t="s">
        <v>8</v>
      </c>
      <c r="F2483" s="1" t="s">
        <v>4</v>
      </c>
      <c r="G2483" s="1"/>
      <c r="H2483" t="s">
        <v>41</v>
      </c>
      <c r="I2483" s="2">
        <v>15520.43</v>
      </c>
      <c r="J2483" t="s">
        <v>601</v>
      </c>
      <c r="K2483" s="7">
        <v>45809</v>
      </c>
    </row>
    <row r="2484" spans="1:12" hidden="1">
      <c r="A2484" t="s">
        <v>39</v>
      </c>
      <c r="B2484" t="s">
        <v>63</v>
      </c>
      <c r="C2484" t="s">
        <v>14</v>
      </c>
      <c r="E2484" t="s">
        <v>8</v>
      </c>
      <c r="F2484" s="1" t="s">
        <v>4</v>
      </c>
      <c r="G2484" s="1"/>
      <c r="H2484" t="s">
        <v>41</v>
      </c>
      <c r="I2484" s="2">
        <v>12887.31</v>
      </c>
      <c r="J2484" t="s">
        <v>461</v>
      </c>
      <c r="K2484" s="7">
        <v>45809</v>
      </c>
    </row>
    <row r="2485" spans="1:12" hidden="1">
      <c r="A2485" t="s">
        <v>39</v>
      </c>
      <c r="B2485" t="s">
        <v>63</v>
      </c>
      <c r="C2485" t="s">
        <v>14</v>
      </c>
      <c r="E2485" t="s">
        <v>8</v>
      </c>
      <c r="F2485" s="1" t="s">
        <v>4</v>
      </c>
      <c r="G2485" s="1"/>
      <c r="H2485" t="s">
        <v>41</v>
      </c>
      <c r="I2485" s="2">
        <v>12491.51</v>
      </c>
      <c r="J2485" t="s">
        <v>149</v>
      </c>
      <c r="K2485" s="7">
        <v>45809</v>
      </c>
      <c r="L2485" t="s">
        <v>43</v>
      </c>
    </row>
    <row r="2486" spans="1:12" hidden="1">
      <c r="A2486" t="s">
        <v>114</v>
      </c>
      <c r="B2486" t="s">
        <v>63</v>
      </c>
      <c r="C2486" t="s">
        <v>14</v>
      </c>
      <c r="E2486" t="s">
        <v>8</v>
      </c>
      <c r="F2486" s="1" t="s">
        <v>4</v>
      </c>
      <c r="G2486" s="1"/>
      <c r="H2486" t="s">
        <v>41</v>
      </c>
      <c r="I2486" s="2">
        <v>10699.45</v>
      </c>
      <c r="J2486" t="s">
        <v>472</v>
      </c>
      <c r="K2486" s="7">
        <v>45809</v>
      </c>
    </row>
    <row r="2487" spans="1:12">
      <c r="A2487" t="s">
        <v>39</v>
      </c>
      <c r="B2487" t="s">
        <v>47</v>
      </c>
      <c r="C2487" t="s">
        <v>14</v>
      </c>
      <c r="E2487" t="s">
        <v>8</v>
      </c>
      <c r="F2487" s="1" t="s">
        <v>4</v>
      </c>
      <c r="G2487" s="1"/>
      <c r="H2487" t="s">
        <v>41</v>
      </c>
      <c r="I2487" s="2">
        <v>8661.1299999999992</v>
      </c>
      <c r="J2487" t="s">
        <v>1499</v>
      </c>
      <c r="K2487" s="7">
        <v>45809</v>
      </c>
      <c r="L2487" t="s">
        <v>43</v>
      </c>
    </row>
    <row r="2488" spans="1:12" hidden="1">
      <c r="A2488" t="s">
        <v>39</v>
      </c>
      <c r="B2488" t="s">
        <v>45</v>
      </c>
      <c r="C2488" t="s">
        <v>13</v>
      </c>
      <c r="E2488" t="s">
        <v>8</v>
      </c>
      <c r="F2488" s="1" t="s">
        <v>4</v>
      </c>
      <c r="G2488" s="1"/>
      <c r="H2488" t="s">
        <v>41</v>
      </c>
      <c r="I2488" s="2">
        <v>65703.81</v>
      </c>
      <c r="J2488" t="s">
        <v>378</v>
      </c>
      <c r="K2488" s="7">
        <v>45809</v>
      </c>
    </row>
    <row r="2489" spans="1:12">
      <c r="A2489" t="s">
        <v>39</v>
      </c>
      <c r="B2489" t="s">
        <v>47</v>
      </c>
      <c r="C2489" t="s">
        <v>14</v>
      </c>
      <c r="E2489" t="s">
        <v>8</v>
      </c>
      <c r="F2489" s="1" t="s">
        <v>4</v>
      </c>
      <c r="G2489" s="1"/>
      <c r="H2489" t="s">
        <v>41</v>
      </c>
      <c r="I2489" s="2">
        <v>3250.26</v>
      </c>
      <c r="J2489" t="s">
        <v>167</v>
      </c>
      <c r="K2489" s="7">
        <v>45809</v>
      </c>
    </row>
    <row r="2490" spans="1:12" hidden="1">
      <c r="A2490" t="s">
        <v>39</v>
      </c>
      <c r="B2490" t="s">
        <v>63</v>
      </c>
      <c r="C2490" t="s">
        <v>13</v>
      </c>
      <c r="E2490" t="s">
        <v>8</v>
      </c>
      <c r="F2490" s="1" t="s">
        <v>4</v>
      </c>
      <c r="G2490" s="1"/>
      <c r="H2490" t="s">
        <v>41</v>
      </c>
      <c r="I2490" s="2">
        <v>4953.6400000000003</v>
      </c>
      <c r="J2490" t="s">
        <v>237</v>
      </c>
      <c r="K2490" s="7">
        <v>45809</v>
      </c>
    </row>
    <row r="2491" spans="1:12" hidden="1">
      <c r="A2491" t="s">
        <v>114</v>
      </c>
      <c r="B2491" t="s">
        <v>63</v>
      </c>
      <c r="C2491" t="s">
        <v>14</v>
      </c>
      <c r="E2491" t="s">
        <v>8</v>
      </c>
      <c r="F2491" s="1" t="s">
        <v>4</v>
      </c>
      <c r="G2491" s="1"/>
      <c r="H2491" t="s">
        <v>41</v>
      </c>
      <c r="I2491" s="2">
        <v>4382.63</v>
      </c>
      <c r="J2491" t="s">
        <v>254</v>
      </c>
      <c r="K2491" s="7">
        <v>45809</v>
      </c>
      <c r="L2491" t="s">
        <v>43</v>
      </c>
    </row>
    <row r="2492" spans="1:12" hidden="1">
      <c r="A2492" t="s">
        <v>56</v>
      </c>
      <c r="B2492" t="s">
        <v>40</v>
      </c>
      <c r="C2492" t="s">
        <v>12</v>
      </c>
      <c r="E2492" t="s">
        <v>8</v>
      </c>
      <c r="F2492" s="1" t="s">
        <v>4</v>
      </c>
      <c r="G2492" s="1"/>
      <c r="H2492" t="s">
        <v>41</v>
      </c>
      <c r="I2492" s="2">
        <v>3000</v>
      </c>
      <c r="J2492" t="s">
        <v>98</v>
      </c>
      <c r="K2492" s="7">
        <v>45809</v>
      </c>
    </row>
    <row r="2493" spans="1:12" hidden="1">
      <c r="A2493" t="s">
        <v>39</v>
      </c>
      <c r="B2493" t="s">
        <v>40</v>
      </c>
      <c r="C2493" t="s">
        <v>12</v>
      </c>
      <c r="E2493" t="s">
        <v>8</v>
      </c>
      <c r="F2493" s="1" t="s">
        <v>4</v>
      </c>
      <c r="G2493" s="1"/>
      <c r="H2493" t="s">
        <v>41</v>
      </c>
      <c r="I2493" s="2">
        <v>16575</v>
      </c>
      <c r="J2493" t="s">
        <v>98</v>
      </c>
      <c r="K2493" s="7">
        <v>45809</v>
      </c>
    </row>
    <row r="2494" spans="1:12" hidden="1">
      <c r="A2494" t="s">
        <v>56</v>
      </c>
      <c r="B2494" t="s">
        <v>40</v>
      </c>
      <c r="C2494" t="s">
        <v>14</v>
      </c>
      <c r="E2494" t="s">
        <v>8</v>
      </c>
      <c r="F2494" s="1" t="s">
        <v>4</v>
      </c>
      <c r="G2494" s="1"/>
      <c r="H2494" t="s">
        <v>41</v>
      </c>
      <c r="I2494" s="2">
        <v>16250</v>
      </c>
      <c r="J2494" t="s">
        <v>98</v>
      </c>
      <c r="K2494" s="7">
        <v>45809</v>
      </c>
    </row>
    <row r="2495" spans="1:12" hidden="1">
      <c r="A2495" t="s">
        <v>39</v>
      </c>
      <c r="B2495" t="s">
        <v>40</v>
      </c>
      <c r="C2495" t="s">
        <v>14</v>
      </c>
      <c r="E2495" t="s">
        <v>8</v>
      </c>
      <c r="F2495" s="1" t="s">
        <v>4</v>
      </c>
      <c r="G2495" s="1"/>
      <c r="H2495" t="s">
        <v>41</v>
      </c>
      <c r="I2495" s="2">
        <v>92975</v>
      </c>
      <c r="J2495" t="s">
        <v>98</v>
      </c>
      <c r="K2495" s="7">
        <v>45809</v>
      </c>
    </row>
    <row r="2496" spans="1:12">
      <c r="A2496" t="s">
        <v>39</v>
      </c>
      <c r="B2496" t="s">
        <v>47</v>
      </c>
      <c r="C2496" t="s">
        <v>13</v>
      </c>
      <c r="E2496" t="s">
        <v>8</v>
      </c>
      <c r="F2496" s="1" t="s">
        <v>4</v>
      </c>
      <c r="G2496" s="1"/>
      <c r="H2496" t="s">
        <v>41</v>
      </c>
      <c r="I2496" s="2">
        <v>2661.73</v>
      </c>
      <c r="J2496" t="s">
        <v>1500</v>
      </c>
      <c r="K2496" s="7">
        <v>45809</v>
      </c>
    </row>
    <row r="2497" spans="1:12" hidden="1">
      <c r="A2497" t="s">
        <v>114</v>
      </c>
      <c r="B2497" t="s">
        <v>63</v>
      </c>
      <c r="C2497" t="s">
        <v>14</v>
      </c>
      <c r="E2497" t="s">
        <v>8</v>
      </c>
      <c r="F2497" s="1" t="s">
        <v>4</v>
      </c>
      <c r="G2497" s="1"/>
      <c r="H2497" t="s">
        <v>41</v>
      </c>
      <c r="I2497" s="2">
        <v>4200.46</v>
      </c>
      <c r="J2497" t="s">
        <v>254</v>
      </c>
      <c r="K2497" s="7">
        <v>45809</v>
      </c>
      <c r="L2497" t="s">
        <v>43</v>
      </c>
    </row>
    <row r="2498" spans="1:12" hidden="1">
      <c r="A2498" t="s">
        <v>114</v>
      </c>
      <c r="B2498" t="s">
        <v>63</v>
      </c>
      <c r="C2498" t="s">
        <v>14</v>
      </c>
      <c r="E2498" t="s">
        <v>8</v>
      </c>
      <c r="F2498" s="1" t="s">
        <v>4</v>
      </c>
      <c r="G2498" s="1"/>
      <c r="H2498" t="s">
        <v>41</v>
      </c>
      <c r="I2498" s="2">
        <v>254.25</v>
      </c>
      <c r="J2498" t="s">
        <v>1370</v>
      </c>
      <c r="K2498" s="7">
        <v>45809</v>
      </c>
      <c r="L2498" t="s">
        <v>43</v>
      </c>
    </row>
    <row r="2499" spans="1:12" hidden="1">
      <c r="A2499" t="s">
        <v>114</v>
      </c>
      <c r="B2499" t="s">
        <v>63</v>
      </c>
      <c r="C2499" t="s">
        <v>14</v>
      </c>
      <c r="E2499" t="s">
        <v>8</v>
      </c>
      <c r="F2499" s="1" t="s">
        <v>4</v>
      </c>
      <c r="G2499" s="1"/>
      <c r="H2499" t="s">
        <v>41</v>
      </c>
      <c r="I2499" s="2">
        <v>216.96</v>
      </c>
      <c r="J2499" t="s">
        <v>1370</v>
      </c>
      <c r="K2499" s="7">
        <v>45809</v>
      </c>
      <c r="L2499" t="s">
        <v>43</v>
      </c>
    </row>
    <row r="2500" spans="1:12">
      <c r="A2500" t="s">
        <v>39</v>
      </c>
      <c r="B2500" t="s">
        <v>47</v>
      </c>
      <c r="C2500" t="s">
        <v>13</v>
      </c>
      <c r="E2500" t="s">
        <v>8</v>
      </c>
      <c r="F2500" s="1" t="s">
        <v>4</v>
      </c>
      <c r="G2500" s="1"/>
      <c r="H2500" t="s">
        <v>41</v>
      </c>
      <c r="I2500" s="2">
        <v>19550.52</v>
      </c>
      <c r="J2500" t="s">
        <v>411</v>
      </c>
      <c r="K2500" s="7">
        <v>45809</v>
      </c>
    </row>
    <row r="2501" spans="1:12">
      <c r="A2501" t="s">
        <v>39</v>
      </c>
      <c r="B2501" t="s">
        <v>47</v>
      </c>
      <c r="C2501" t="s">
        <v>14</v>
      </c>
      <c r="E2501" t="s">
        <v>8</v>
      </c>
      <c r="F2501" s="1" t="s">
        <v>4</v>
      </c>
      <c r="G2501" s="1"/>
      <c r="H2501" t="s">
        <v>41</v>
      </c>
      <c r="I2501" s="2">
        <v>4728.8599999999997</v>
      </c>
      <c r="J2501" t="s">
        <v>802</v>
      </c>
      <c r="K2501" s="7">
        <v>45809</v>
      </c>
    </row>
    <row r="2502" spans="1:12" hidden="1">
      <c r="A2502" t="s">
        <v>39</v>
      </c>
      <c r="B2502" t="s">
        <v>45</v>
      </c>
      <c r="C2502" t="s">
        <v>14</v>
      </c>
      <c r="E2502" t="s">
        <v>8</v>
      </c>
      <c r="F2502" s="1" t="s">
        <v>4</v>
      </c>
      <c r="G2502" s="1"/>
      <c r="H2502" t="s">
        <v>41</v>
      </c>
      <c r="I2502" s="2">
        <v>199129.48</v>
      </c>
      <c r="J2502" t="s">
        <v>1501</v>
      </c>
      <c r="K2502" s="7">
        <v>45839</v>
      </c>
    </row>
    <row r="2503" spans="1:12">
      <c r="A2503" t="s">
        <v>39</v>
      </c>
      <c r="B2503" t="s">
        <v>47</v>
      </c>
      <c r="C2503" t="s">
        <v>13</v>
      </c>
      <c r="E2503" t="s">
        <v>8</v>
      </c>
      <c r="F2503" s="1" t="s">
        <v>4</v>
      </c>
      <c r="G2503" s="1"/>
      <c r="H2503" t="s">
        <v>41</v>
      </c>
      <c r="I2503" s="2">
        <v>200</v>
      </c>
      <c r="J2503" t="s">
        <v>329</v>
      </c>
      <c r="K2503" s="7">
        <v>45839</v>
      </c>
    </row>
    <row r="2504" spans="1:12">
      <c r="A2504" t="s">
        <v>39</v>
      </c>
      <c r="B2504" t="s">
        <v>47</v>
      </c>
      <c r="C2504" t="s">
        <v>14</v>
      </c>
      <c r="E2504" t="s">
        <v>8</v>
      </c>
      <c r="F2504" s="1" t="s">
        <v>4</v>
      </c>
      <c r="G2504" s="1"/>
      <c r="H2504" t="s">
        <v>41</v>
      </c>
      <c r="I2504" s="2">
        <v>848.81</v>
      </c>
      <c r="J2504" t="s">
        <v>264</v>
      </c>
      <c r="K2504" s="7">
        <v>45839</v>
      </c>
    </row>
    <row r="2505" spans="1:12">
      <c r="A2505" t="s">
        <v>39</v>
      </c>
      <c r="B2505" t="s">
        <v>47</v>
      </c>
      <c r="C2505" t="s">
        <v>14</v>
      </c>
      <c r="E2505" t="s">
        <v>8</v>
      </c>
      <c r="F2505" s="1" t="s">
        <v>4</v>
      </c>
      <c r="G2505" s="1"/>
      <c r="H2505" t="s">
        <v>41</v>
      </c>
      <c r="I2505" s="2">
        <v>381.05</v>
      </c>
      <c r="J2505" t="s">
        <v>1493</v>
      </c>
      <c r="K2505" s="7">
        <v>45839</v>
      </c>
    </row>
    <row r="2506" spans="1:12">
      <c r="A2506" t="s">
        <v>39</v>
      </c>
      <c r="B2506" t="s">
        <v>47</v>
      </c>
      <c r="C2506" t="s">
        <v>14</v>
      </c>
      <c r="E2506" t="s">
        <v>8</v>
      </c>
      <c r="F2506" s="1" t="s">
        <v>4</v>
      </c>
      <c r="G2506" s="1"/>
      <c r="H2506" t="s">
        <v>41</v>
      </c>
      <c r="I2506" s="2">
        <v>245.13</v>
      </c>
      <c r="J2506" t="s">
        <v>1101</v>
      </c>
      <c r="K2506" s="7">
        <v>45839</v>
      </c>
    </row>
    <row r="2507" spans="1:12">
      <c r="A2507" t="s">
        <v>39</v>
      </c>
      <c r="B2507" t="s">
        <v>47</v>
      </c>
      <c r="C2507" t="s">
        <v>14</v>
      </c>
      <c r="E2507" t="s">
        <v>8</v>
      </c>
      <c r="F2507" s="1" t="s">
        <v>4</v>
      </c>
      <c r="G2507" s="1"/>
      <c r="H2507" t="s">
        <v>41</v>
      </c>
      <c r="I2507" s="2">
        <v>3004.49</v>
      </c>
      <c r="J2507" t="s">
        <v>401</v>
      </c>
      <c r="K2507" s="7">
        <v>45839</v>
      </c>
    </row>
    <row r="2508" spans="1:12">
      <c r="A2508" t="s">
        <v>39</v>
      </c>
      <c r="B2508" t="s">
        <v>47</v>
      </c>
      <c r="C2508" t="s">
        <v>14</v>
      </c>
      <c r="E2508" t="s">
        <v>8</v>
      </c>
      <c r="F2508" s="1" t="s">
        <v>4</v>
      </c>
      <c r="G2508" s="1"/>
      <c r="H2508" t="s">
        <v>41</v>
      </c>
      <c r="I2508" s="2">
        <v>94134.92</v>
      </c>
      <c r="J2508" t="s">
        <v>162</v>
      </c>
      <c r="K2508" s="7">
        <v>45839</v>
      </c>
    </row>
    <row r="2509" spans="1:12">
      <c r="A2509" t="s">
        <v>39</v>
      </c>
      <c r="B2509" t="s">
        <v>47</v>
      </c>
      <c r="C2509" t="s">
        <v>14</v>
      </c>
      <c r="E2509" t="s">
        <v>8</v>
      </c>
      <c r="F2509" s="1" t="s">
        <v>4</v>
      </c>
      <c r="G2509" s="1"/>
      <c r="H2509" t="s">
        <v>41</v>
      </c>
      <c r="I2509" s="2">
        <v>109032.52</v>
      </c>
      <c r="J2509" t="s">
        <v>1502</v>
      </c>
      <c r="K2509" s="7">
        <v>45839</v>
      </c>
    </row>
    <row r="2510" spans="1:12" hidden="1">
      <c r="A2510" t="s">
        <v>39</v>
      </c>
      <c r="B2510" t="s">
        <v>45</v>
      </c>
      <c r="C2510" t="s">
        <v>12</v>
      </c>
      <c r="E2510" t="s">
        <v>8</v>
      </c>
      <c r="F2510" s="1" t="s">
        <v>4</v>
      </c>
      <c r="G2510" s="1"/>
      <c r="H2510" t="s">
        <v>41</v>
      </c>
      <c r="I2510" s="2">
        <v>126500</v>
      </c>
      <c r="J2510" t="s">
        <v>282</v>
      </c>
      <c r="K2510" s="7">
        <v>45839</v>
      </c>
    </row>
    <row r="2511" spans="1:12">
      <c r="A2511" t="s">
        <v>39</v>
      </c>
      <c r="B2511" t="s">
        <v>47</v>
      </c>
      <c r="C2511" t="s">
        <v>12</v>
      </c>
      <c r="E2511" t="s">
        <v>8</v>
      </c>
      <c r="F2511" s="1" t="s">
        <v>4</v>
      </c>
      <c r="G2511" s="1"/>
      <c r="H2511" t="s">
        <v>41</v>
      </c>
      <c r="I2511" s="2">
        <v>147372</v>
      </c>
      <c r="J2511" t="s">
        <v>62</v>
      </c>
      <c r="K2511" s="7">
        <v>45839</v>
      </c>
    </row>
    <row r="2512" spans="1:12" hidden="1">
      <c r="A2512" t="s">
        <v>99</v>
      </c>
      <c r="B2512" t="s">
        <v>63</v>
      </c>
      <c r="C2512" t="s">
        <v>14</v>
      </c>
      <c r="E2512" t="s">
        <v>8</v>
      </c>
      <c r="F2512" s="1" t="s">
        <v>4</v>
      </c>
      <c r="G2512" s="1"/>
      <c r="H2512" t="s">
        <v>41</v>
      </c>
      <c r="I2512" s="2">
        <v>20000</v>
      </c>
      <c r="J2512" t="s">
        <v>1503</v>
      </c>
      <c r="K2512" s="7">
        <v>45839</v>
      </c>
    </row>
    <row r="2513" spans="1:11" hidden="1">
      <c r="A2513" t="s">
        <v>39</v>
      </c>
      <c r="B2513" t="s">
        <v>63</v>
      </c>
      <c r="C2513" t="s">
        <v>124</v>
      </c>
      <c r="E2513" t="s">
        <v>8</v>
      </c>
      <c r="F2513" s="1" t="s">
        <v>4</v>
      </c>
      <c r="G2513" s="1"/>
      <c r="H2513" t="s">
        <v>41</v>
      </c>
      <c r="I2513" s="2">
        <v>9089.4500000000007</v>
      </c>
      <c r="J2513" t="s">
        <v>356</v>
      </c>
      <c r="K2513" s="7">
        <v>45839</v>
      </c>
    </row>
    <row r="2514" spans="1:11" hidden="1">
      <c r="A2514" t="s">
        <v>39</v>
      </c>
      <c r="B2514" t="s">
        <v>63</v>
      </c>
      <c r="C2514" t="s">
        <v>124</v>
      </c>
      <c r="E2514" t="s">
        <v>8</v>
      </c>
      <c r="F2514" s="1" t="s">
        <v>4</v>
      </c>
      <c r="G2514" s="1"/>
      <c r="H2514" t="s">
        <v>41</v>
      </c>
      <c r="I2514" s="2">
        <v>2546.66</v>
      </c>
      <c r="J2514" t="s">
        <v>1448</v>
      </c>
      <c r="K2514" s="7">
        <v>45839</v>
      </c>
    </row>
    <row r="2515" spans="1:11" hidden="1">
      <c r="A2515" t="s">
        <v>39</v>
      </c>
      <c r="B2515" t="s">
        <v>63</v>
      </c>
      <c r="C2515" t="s">
        <v>124</v>
      </c>
      <c r="E2515" t="s">
        <v>8</v>
      </c>
      <c r="F2515" s="1" t="s">
        <v>4</v>
      </c>
      <c r="G2515" s="1"/>
      <c r="H2515" t="s">
        <v>41</v>
      </c>
      <c r="I2515">
        <v>682.86</v>
      </c>
      <c r="J2515" t="s">
        <v>572</v>
      </c>
      <c r="K2515" s="7">
        <v>45839</v>
      </c>
    </row>
    <row r="2516" spans="1:11" hidden="1">
      <c r="A2516" t="s">
        <v>39</v>
      </c>
      <c r="B2516" t="s">
        <v>63</v>
      </c>
      <c r="C2516" t="s">
        <v>13</v>
      </c>
      <c r="E2516" t="s">
        <v>8</v>
      </c>
      <c r="F2516" s="1" t="s">
        <v>4</v>
      </c>
      <c r="G2516" s="1"/>
      <c r="H2516" t="s">
        <v>41</v>
      </c>
      <c r="I2516">
        <v>262.27999999999997</v>
      </c>
      <c r="J2516" t="s">
        <v>157</v>
      </c>
      <c r="K2516" s="7">
        <v>45839</v>
      </c>
    </row>
    <row r="2517" spans="1:11" hidden="1">
      <c r="A2517" t="s">
        <v>114</v>
      </c>
      <c r="B2517" t="s">
        <v>63</v>
      </c>
      <c r="C2517" t="s">
        <v>13</v>
      </c>
      <c r="E2517" t="s">
        <v>8</v>
      </c>
      <c r="F2517" s="1" t="s">
        <v>4</v>
      </c>
      <c r="G2517" s="1"/>
      <c r="H2517" t="s">
        <v>41</v>
      </c>
      <c r="I2517" s="2">
        <v>1770.36</v>
      </c>
      <c r="J2517" t="s">
        <v>486</v>
      </c>
      <c r="K2517" s="7">
        <v>45839</v>
      </c>
    </row>
    <row r="2518" spans="1:11" hidden="1">
      <c r="A2518" t="s">
        <v>114</v>
      </c>
      <c r="B2518" t="s">
        <v>63</v>
      </c>
      <c r="C2518" t="s">
        <v>13</v>
      </c>
      <c r="E2518" t="s">
        <v>8</v>
      </c>
      <c r="F2518" s="1" t="s">
        <v>4</v>
      </c>
      <c r="G2518" s="1"/>
      <c r="H2518" t="s">
        <v>41</v>
      </c>
      <c r="I2518" s="2">
        <v>8940</v>
      </c>
      <c r="J2518" t="s">
        <v>618</v>
      </c>
      <c r="K2518" s="7">
        <v>45839</v>
      </c>
    </row>
    <row r="2519" spans="1:11" hidden="1">
      <c r="A2519" t="s">
        <v>114</v>
      </c>
      <c r="B2519" t="s">
        <v>63</v>
      </c>
      <c r="C2519" t="s">
        <v>14</v>
      </c>
      <c r="E2519" t="s">
        <v>8</v>
      </c>
      <c r="F2519" s="1" t="s">
        <v>4</v>
      </c>
      <c r="G2519" s="1"/>
      <c r="H2519" t="s">
        <v>41</v>
      </c>
      <c r="I2519">
        <v>341.26</v>
      </c>
      <c r="J2519" t="s">
        <v>190</v>
      </c>
      <c r="K2519" s="7">
        <v>45839</v>
      </c>
    </row>
    <row r="2520" spans="1:11" hidden="1">
      <c r="A2520" t="s">
        <v>114</v>
      </c>
      <c r="B2520" t="s">
        <v>63</v>
      </c>
      <c r="C2520" t="s">
        <v>14</v>
      </c>
      <c r="E2520" t="s">
        <v>8</v>
      </c>
      <c r="F2520" s="1" t="s">
        <v>4</v>
      </c>
      <c r="G2520" s="1"/>
      <c r="H2520" t="s">
        <v>41</v>
      </c>
      <c r="I2520">
        <v>800</v>
      </c>
      <c r="J2520" t="s">
        <v>1362</v>
      </c>
      <c r="K2520" s="7">
        <v>45839</v>
      </c>
    </row>
    <row r="2521" spans="1:11" hidden="1">
      <c r="A2521" t="s">
        <v>114</v>
      </c>
      <c r="B2521" t="s">
        <v>63</v>
      </c>
      <c r="C2521" t="s">
        <v>14</v>
      </c>
      <c r="E2521" t="s">
        <v>8</v>
      </c>
      <c r="F2521" s="1" t="s">
        <v>4</v>
      </c>
      <c r="G2521" s="1"/>
      <c r="H2521" t="s">
        <v>41</v>
      </c>
      <c r="I2521">
        <v>791</v>
      </c>
      <c r="J2521" t="s">
        <v>1370</v>
      </c>
      <c r="K2521" s="7">
        <v>45839</v>
      </c>
    </row>
    <row r="2522" spans="1:11" hidden="1">
      <c r="A2522" t="s">
        <v>114</v>
      </c>
      <c r="B2522" t="s">
        <v>63</v>
      </c>
      <c r="C2522" t="s">
        <v>12</v>
      </c>
      <c r="E2522" t="s">
        <v>8</v>
      </c>
      <c r="F2522" s="1" t="s">
        <v>4</v>
      </c>
      <c r="G2522" s="1"/>
      <c r="H2522" t="s">
        <v>41</v>
      </c>
      <c r="I2522" s="2">
        <v>50493</v>
      </c>
      <c r="J2522" t="s">
        <v>308</v>
      </c>
      <c r="K2522" s="7">
        <v>45839</v>
      </c>
    </row>
    <row r="2523" spans="1:11" hidden="1">
      <c r="A2523" t="s">
        <v>39</v>
      </c>
      <c r="B2523" t="s">
        <v>45</v>
      </c>
      <c r="C2523" t="s">
        <v>14</v>
      </c>
      <c r="E2523" t="s">
        <v>8</v>
      </c>
      <c r="F2523" s="1" t="s">
        <v>4</v>
      </c>
      <c r="G2523" s="1"/>
      <c r="H2523" t="s">
        <v>41</v>
      </c>
      <c r="I2523" s="2">
        <v>24614.48</v>
      </c>
      <c r="J2523" t="s">
        <v>87</v>
      </c>
      <c r="K2523" s="7">
        <v>45839</v>
      </c>
    </row>
    <row r="2524" spans="1:11" hidden="1">
      <c r="A2524" t="s">
        <v>39</v>
      </c>
      <c r="B2524" t="s">
        <v>63</v>
      </c>
      <c r="C2524" t="s">
        <v>13</v>
      </c>
      <c r="E2524" t="s">
        <v>8</v>
      </c>
      <c r="F2524" t="s">
        <v>4</v>
      </c>
      <c r="G2524" s="1"/>
      <c r="H2524" t="s">
        <v>41</v>
      </c>
      <c r="I2524" s="2">
        <v>94400</v>
      </c>
      <c r="J2524" t="s">
        <v>201</v>
      </c>
      <c r="K2524" s="7">
        <v>45901</v>
      </c>
    </row>
    <row r="2525" spans="1:11" hidden="1">
      <c r="A2525" t="s">
        <v>39</v>
      </c>
      <c r="B2525" t="s">
        <v>63</v>
      </c>
      <c r="C2525" t="s">
        <v>14</v>
      </c>
      <c r="E2525" t="s">
        <v>8</v>
      </c>
      <c r="F2525" t="s">
        <v>4</v>
      </c>
      <c r="G2525" s="1"/>
      <c r="H2525" t="s">
        <v>41</v>
      </c>
      <c r="I2525" s="2">
        <v>20000</v>
      </c>
      <c r="J2525" t="s">
        <v>1504</v>
      </c>
      <c r="K2525" s="7">
        <v>45901</v>
      </c>
    </row>
    <row r="2526" spans="1:11" hidden="1">
      <c r="A2526" t="s">
        <v>39</v>
      </c>
      <c r="B2526" t="s">
        <v>40</v>
      </c>
      <c r="C2526" t="s">
        <v>14</v>
      </c>
      <c r="E2526" t="s">
        <v>8</v>
      </c>
      <c r="F2526" s="1" t="s">
        <v>4</v>
      </c>
      <c r="G2526" s="1"/>
      <c r="H2526" t="s">
        <v>41</v>
      </c>
      <c r="I2526" s="2">
        <v>60000</v>
      </c>
      <c r="J2526" t="s">
        <v>98</v>
      </c>
      <c r="K2526" s="7">
        <v>45901</v>
      </c>
    </row>
    <row r="2527" spans="1:11">
      <c r="A2527" t="s">
        <v>39</v>
      </c>
      <c r="B2527" t="s">
        <v>47</v>
      </c>
      <c r="C2527" t="s">
        <v>14</v>
      </c>
      <c r="E2527" t="s">
        <v>8</v>
      </c>
      <c r="F2527" s="1" t="s">
        <v>4</v>
      </c>
      <c r="G2527" s="1"/>
      <c r="H2527" t="s">
        <v>41</v>
      </c>
      <c r="I2527" s="2">
        <v>44275.97</v>
      </c>
      <c r="J2527" t="s">
        <v>221</v>
      </c>
      <c r="K2527" s="7">
        <v>45901</v>
      </c>
    </row>
    <row r="2528" spans="1:11">
      <c r="A2528" t="s">
        <v>39</v>
      </c>
      <c r="B2528" t="s">
        <v>47</v>
      </c>
      <c r="C2528" t="s">
        <v>14</v>
      </c>
      <c r="E2528" t="s">
        <v>8</v>
      </c>
      <c r="F2528" s="1" t="s">
        <v>4</v>
      </c>
      <c r="G2528" s="1"/>
      <c r="H2528" t="s">
        <v>41</v>
      </c>
      <c r="I2528" s="2">
        <v>5977.91</v>
      </c>
      <c r="J2528" t="s">
        <v>1033</v>
      </c>
      <c r="K2528" s="7">
        <v>45901</v>
      </c>
    </row>
    <row r="2529" spans="1:11">
      <c r="A2529" t="s">
        <v>39</v>
      </c>
      <c r="B2529" t="s">
        <v>47</v>
      </c>
      <c r="C2529" t="s">
        <v>12</v>
      </c>
      <c r="E2529" t="s">
        <v>8</v>
      </c>
      <c r="F2529" s="1" t="s">
        <v>4</v>
      </c>
      <c r="G2529" s="1"/>
      <c r="H2529" t="s">
        <v>41</v>
      </c>
      <c r="I2529" s="2">
        <v>310000</v>
      </c>
      <c r="J2529" t="s">
        <v>52</v>
      </c>
      <c r="K2529" s="7">
        <v>45901</v>
      </c>
    </row>
    <row r="2530" spans="1:11" hidden="1">
      <c r="A2530" t="s">
        <v>39</v>
      </c>
      <c r="B2530" t="s">
        <v>63</v>
      </c>
      <c r="C2530" t="s">
        <v>14</v>
      </c>
      <c r="E2530" t="s">
        <v>8</v>
      </c>
      <c r="F2530" t="s">
        <v>4</v>
      </c>
      <c r="G2530" s="1"/>
      <c r="H2530" t="s">
        <v>41</v>
      </c>
      <c r="I2530" s="2">
        <v>10206.16</v>
      </c>
      <c r="J2530" t="s">
        <v>537</v>
      </c>
      <c r="K2530" s="7">
        <v>45901</v>
      </c>
    </row>
    <row r="2531" spans="1:11" hidden="1">
      <c r="A2531" t="s">
        <v>39</v>
      </c>
      <c r="B2531" t="s">
        <v>45</v>
      </c>
      <c r="C2531" t="s">
        <v>12</v>
      </c>
      <c r="E2531" t="s">
        <v>8</v>
      </c>
      <c r="F2531" s="1" t="s">
        <v>4</v>
      </c>
      <c r="G2531" s="1"/>
      <c r="H2531" t="s">
        <v>41</v>
      </c>
      <c r="I2531" s="2">
        <v>46109.22</v>
      </c>
      <c r="J2531" s="47" t="s">
        <v>708</v>
      </c>
      <c r="K2531" s="7">
        <v>45901</v>
      </c>
    </row>
    <row r="2532" spans="1:11" hidden="1">
      <c r="A2532" t="s">
        <v>114</v>
      </c>
      <c r="B2532" t="s">
        <v>63</v>
      </c>
      <c r="C2532" t="s">
        <v>13</v>
      </c>
      <c r="E2532" t="s">
        <v>8</v>
      </c>
      <c r="F2532" t="s">
        <v>4</v>
      </c>
      <c r="G2532" s="1"/>
      <c r="H2532" t="s">
        <v>41</v>
      </c>
      <c r="I2532" s="2">
        <v>4035</v>
      </c>
      <c r="J2532" t="s">
        <v>156</v>
      </c>
      <c r="K2532" s="7">
        <v>45901</v>
      </c>
    </row>
    <row r="2533" spans="1:11" hidden="1">
      <c r="A2533" t="s">
        <v>56</v>
      </c>
      <c r="B2533" t="s">
        <v>40</v>
      </c>
      <c r="C2533" t="s">
        <v>14</v>
      </c>
      <c r="E2533" t="s">
        <v>8</v>
      </c>
      <c r="F2533" s="1" t="s">
        <v>4</v>
      </c>
      <c r="G2533" s="1"/>
      <c r="H2533" t="s">
        <v>41</v>
      </c>
      <c r="I2533" s="2">
        <v>292105.88829999999</v>
      </c>
      <c r="J2533" t="s">
        <v>57</v>
      </c>
      <c r="K2533" s="7">
        <v>45992</v>
      </c>
    </row>
    <row r="2534" spans="1:11" hidden="1">
      <c r="A2534" t="s">
        <v>39</v>
      </c>
      <c r="B2534" t="s">
        <v>40</v>
      </c>
      <c r="C2534" t="s">
        <v>14</v>
      </c>
      <c r="E2534" t="s">
        <v>8</v>
      </c>
      <c r="F2534" s="1" t="s">
        <v>4</v>
      </c>
      <c r="G2534" s="1"/>
      <c r="H2534" t="s">
        <v>41</v>
      </c>
      <c r="I2534" s="2">
        <v>60000</v>
      </c>
      <c r="J2534" t="s">
        <v>1488</v>
      </c>
      <c r="K2534" s="7">
        <v>45992</v>
      </c>
    </row>
    <row r="2535" spans="1:11" hidden="1">
      <c r="A2535" t="s">
        <v>56</v>
      </c>
      <c r="B2535" t="s">
        <v>40</v>
      </c>
      <c r="C2535" t="s">
        <v>14</v>
      </c>
      <c r="E2535" t="s">
        <v>8</v>
      </c>
      <c r="F2535" s="1" t="s">
        <v>4</v>
      </c>
      <c r="G2535" s="1"/>
      <c r="H2535" t="s">
        <v>41</v>
      </c>
      <c r="I2535" s="2">
        <v>25000</v>
      </c>
      <c r="J2535" t="s">
        <v>1489</v>
      </c>
      <c r="K2535" s="7">
        <v>45992</v>
      </c>
    </row>
    <row r="2536" spans="1:11" hidden="1">
      <c r="A2536" t="s">
        <v>39</v>
      </c>
      <c r="B2536" t="s">
        <v>63</v>
      </c>
      <c r="C2536" t="s">
        <v>13</v>
      </c>
      <c r="E2536" t="s">
        <v>8</v>
      </c>
      <c r="F2536" s="1" t="s">
        <v>4</v>
      </c>
      <c r="G2536" s="1"/>
      <c r="H2536" t="s">
        <v>41</v>
      </c>
      <c r="I2536" s="2">
        <v>34374</v>
      </c>
      <c r="J2536" t="s">
        <v>1070</v>
      </c>
      <c r="K2536" s="7">
        <v>45992</v>
      </c>
    </row>
    <row r="2537" spans="1:11" hidden="1">
      <c r="A2537" t="s">
        <v>39</v>
      </c>
      <c r="B2537" t="s">
        <v>63</v>
      </c>
      <c r="C2537" t="s">
        <v>13</v>
      </c>
      <c r="E2537" t="s">
        <v>8</v>
      </c>
      <c r="F2537" s="1" t="s">
        <v>4</v>
      </c>
      <c r="G2537" s="1"/>
      <c r="H2537" t="s">
        <v>41</v>
      </c>
      <c r="I2537" s="2">
        <v>46667.29</v>
      </c>
      <c r="J2537" t="s">
        <v>304</v>
      </c>
      <c r="K2537" s="7">
        <v>45992</v>
      </c>
    </row>
    <row r="2538" spans="1:11" hidden="1">
      <c r="A2538" t="s">
        <v>114</v>
      </c>
      <c r="B2538" t="s">
        <v>63</v>
      </c>
      <c r="C2538" t="s">
        <v>13</v>
      </c>
      <c r="E2538" t="s">
        <v>8</v>
      </c>
      <c r="F2538" s="1" t="s">
        <v>4</v>
      </c>
      <c r="G2538" s="1"/>
      <c r="H2538" t="s">
        <v>41</v>
      </c>
      <c r="I2538" s="2">
        <v>6012.5</v>
      </c>
      <c r="J2538" t="s">
        <v>534</v>
      </c>
      <c r="K2538" s="7">
        <v>45992</v>
      </c>
    </row>
    <row r="2539" spans="1:11" hidden="1">
      <c r="A2539" t="s">
        <v>99</v>
      </c>
      <c r="B2539" t="s">
        <v>63</v>
      </c>
      <c r="C2539" t="s">
        <v>14</v>
      </c>
      <c r="E2539" t="s">
        <v>8</v>
      </c>
      <c r="F2539" s="1" t="s">
        <v>4</v>
      </c>
      <c r="G2539" s="1"/>
      <c r="H2539" t="s">
        <v>41</v>
      </c>
      <c r="I2539" s="2">
        <v>20000</v>
      </c>
      <c r="J2539" t="s">
        <v>1490</v>
      </c>
      <c r="K2539" s="7">
        <v>45992</v>
      </c>
    </row>
    <row r="2540" spans="1:11">
      <c r="A2540" t="s">
        <v>39</v>
      </c>
      <c r="B2540" t="s">
        <v>47</v>
      </c>
      <c r="C2540" t="s">
        <v>13</v>
      </c>
      <c r="E2540" t="s">
        <v>8</v>
      </c>
      <c r="F2540" s="1" t="s">
        <v>4</v>
      </c>
      <c r="G2540" s="1"/>
      <c r="H2540" t="s">
        <v>41</v>
      </c>
      <c r="I2540" s="2">
        <v>5024</v>
      </c>
      <c r="J2540" t="s">
        <v>767</v>
      </c>
      <c r="K2540" s="7">
        <v>45992</v>
      </c>
    </row>
    <row r="2541" spans="1:11" hidden="1">
      <c r="A2541" t="s">
        <v>39</v>
      </c>
      <c r="B2541" t="s">
        <v>45</v>
      </c>
      <c r="C2541" t="s">
        <v>12</v>
      </c>
      <c r="E2541" t="s">
        <v>8</v>
      </c>
      <c r="F2541" s="1" t="s">
        <v>4</v>
      </c>
      <c r="G2541" s="1"/>
      <c r="H2541" t="s">
        <v>41</v>
      </c>
      <c r="I2541" s="2">
        <v>109377</v>
      </c>
      <c r="J2541" t="s">
        <v>113</v>
      </c>
      <c r="K2541" s="7">
        <v>45992</v>
      </c>
    </row>
    <row r="2542" spans="1:11" hidden="1">
      <c r="A2542" t="s">
        <v>39</v>
      </c>
      <c r="B2542" t="s">
        <v>45</v>
      </c>
      <c r="C2542" t="s">
        <v>14</v>
      </c>
      <c r="E2542" t="s">
        <v>8</v>
      </c>
      <c r="F2542" s="1" t="s">
        <v>4</v>
      </c>
      <c r="G2542" s="1"/>
      <c r="H2542" t="s">
        <v>41</v>
      </c>
      <c r="I2542" s="2">
        <v>11252.1</v>
      </c>
      <c r="J2542" t="s">
        <v>1203</v>
      </c>
      <c r="K2542" s="7">
        <v>45992</v>
      </c>
    </row>
    <row r="2543" spans="1:11">
      <c r="A2543" t="s">
        <v>39</v>
      </c>
      <c r="B2543" t="s">
        <v>47</v>
      </c>
      <c r="C2543" t="s">
        <v>14</v>
      </c>
      <c r="E2543" t="s">
        <v>8</v>
      </c>
      <c r="F2543" s="1" t="s">
        <v>4</v>
      </c>
      <c r="G2543" s="1"/>
      <c r="H2543" t="s">
        <v>41</v>
      </c>
      <c r="I2543" s="2">
        <v>9303</v>
      </c>
      <c r="J2543" t="s">
        <v>576</v>
      </c>
      <c r="K2543" s="7">
        <v>45992</v>
      </c>
    </row>
    <row r="2544" spans="1:11">
      <c r="A2544" t="s">
        <v>39</v>
      </c>
      <c r="B2544" t="s">
        <v>47</v>
      </c>
      <c r="C2544" t="s">
        <v>14</v>
      </c>
      <c r="E2544" t="s">
        <v>8</v>
      </c>
      <c r="F2544" s="1" t="s">
        <v>4</v>
      </c>
      <c r="G2544" s="1"/>
      <c r="H2544" t="s">
        <v>41</v>
      </c>
      <c r="I2544" s="2">
        <v>15339</v>
      </c>
      <c r="J2544" t="s">
        <v>725</v>
      </c>
      <c r="K2544" s="7">
        <v>45992</v>
      </c>
    </row>
    <row r="2545" spans="1:13">
      <c r="A2545" t="s">
        <v>39</v>
      </c>
      <c r="B2545" t="s">
        <v>47</v>
      </c>
      <c r="C2545" t="s">
        <v>14</v>
      </c>
      <c r="E2545" t="s">
        <v>8</v>
      </c>
      <c r="F2545" s="1" t="s">
        <v>4</v>
      </c>
      <c r="G2545" s="1"/>
      <c r="H2545" t="s">
        <v>41</v>
      </c>
      <c r="I2545" s="2">
        <v>42815</v>
      </c>
      <c r="J2545" t="s">
        <v>333</v>
      </c>
      <c r="K2545" s="7">
        <v>45992</v>
      </c>
    </row>
    <row r="2546" spans="1:13" hidden="1">
      <c r="A2546" t="s">
        <v>39</v>
      </c>
      <c r="B2546" t="s">
        <v>63</v>
      </c>
      <c r="C2546" t="s">
        <v>13</v>
      </c>
      <c r="E2546" t="s">
        <v>8</v>
      </c>
      <c r="F2546" s="1" t="s">
        <v>5</v>
      </c>
      <c r="G2546" s="1"/>
      <c r="H2546" t="s">
        <v>41</v>
      </c>
      <c r="I2546" s="2">
        <v>42477.83</v>
      </c>
      <c r="J2546" t="s">
        <v>1505</v>
      </c>
      <c r="K2546" s="7">
        <v>45809</v>
      </c>
    </row>
    <row r="2547" spans="1:13" hidden="1">
      <c r="A2547" t="s">
        <v>39</v>
      </c>
      <c r="B2547" t="s">
        <v>63</v>
      </c>
      <c r="C2547" t="s">
        <v>13</v>
      </c>
      <c r="E2547" t="s">
        <v>8</v>
      </c>
      <c r="F2547" s="1" t="s">
        <v>5</v>
      </c>
      <c r="G2547" s="1"/>
      <c r="H2547" t="s">
        <v>41</v>
      </c>
      <c r="I2547" s="2">
        <v>23636.48</v>
      </c>
      <c r="J2547" t="s">
        <v>1505</v>
      </c>
      <c r="K2547" s="7">
        <v>45809</v>
      </c>
    </row>
    <row r="2548" spans="1:13" hidden="1">
      <c r="A2548" t="s">
        <v>39</v>
      </c>
      <c r="B2548" t="s">
        <v>63</v>
      </c>
      <c r="C2548" t="s">
        <v>14</v>
      </c>
      <c r="E2548" t="s">
        <v>8</v>
      </c>
      <c r="F2548" s="1" t="s">
        <v>5</v>
      </c>
      <c r="G2548" s="1"/>
      <c r="H2548" t="s">
        <v>41</v>
      </c>
      <c r="I2548" s="2">
        <v>22736.54</v>
      </c>
      <c r="J2548" t="s">
        <v>157</v>
      </c>
      <c r="K2548" s="7">
        <v>45809</v>
      </c>
    </row>
    <row r="2549" spans="1:13" hidden="1">
      <c r="A2549" t="s">
        <v>114</v>
      </c>
      <c r="B2549" t="s">
        <v>63</v>
      </c>
      <c r="C2549" t="s">
        <v>13</v>
      </c>
      <c r="E2549" t="s">
        <v>8</v>
      </c>
      <c r="F2549" s="1" t="s">
        <v>5</v>
      </c>
      <c r="G2549" s="1"/>
      <c r="H2549" t="s">
        <v>41</v>
      </c>
      <c r="I2549" s="2">
        <v>21823.65</v>
      </c>
      <c r="J2549" t="s">
        <v>156</v>
      </c>
      <c r="K2549" s="7">
        <v>45809</v>
      </c>
      <c r="L2549" t="s">
        <v>43</v>
      </c>
      <c r="M2549">
        <v>4000</v>
      </c>
    </row>
    <row r="2550" spans="1:13" hidden="1">
      <c r="A2550" t="s">
        <v>99</v>
      </c>
      <c r="B2550" t="s">
        <v>63</v>
      </c>
      <c r="C2550" t="s">
        <v>14</v>
      </c>
      <c r="E2550" t="s">
        <v>8</v>
      </c>
      <c r="F2550" s="1" t="s">
        <v>5</v>
      </c>
      <c r="G2550" s="1"/>
      <c r="H2550" t="s">
        <v>41</v>
      </c>
      <c r="I2550" s="2">
        <v>20000</v>
      </c>
      <c r="J2550" t="s">
        <v>1506</v>
      </c>
      <c r="K2550" s="7">
        <v>45809</v>
      </c>
    </row>
    <row r="2551" spans="1:13" hidden="1">
      <c r="A2551" t="s">
        <v>39</v>
      </c>
      <c r="B2551" t="s">
        <v>63</v>
      </c>
      <c r="C2551" t="s">
        <v>13</v>
      </c>
      <c r="E2551" t="s">
        <v>8</v>
      </c>
      <c r="F2551" s="1" t="s">
        <v>5</v>
      </c>
      <c r="G2551" s="1"/>
      <c r="H2551" t="s">
        <v>41</v>
      </c>
      <c r="I2551" s="2">
        <v>15000</v>
      </c>
      <c r="J2551" t="s">
        <v>306</v>
      </c>
      <c r="K2551" s="7">
        <v>45809</v>
      </c>
    </row>
    <row r="2552" spans="1:13" hidden="1">
      <c r="A2552" t="s">
        <v>114</v>
      </c>
      <c r="B2552" t="s">
        <v>63</v>
      </c>
      <c r="C2552" t="s">
        <v>13</v>
      </c>
      <c r="E2552" t="s">
        <v>8</v>
      </c>
      <c r="F2552" s="1" t="s">
        <v>5</v>
      </c>
      <c r="G2552" s="1"/>
      <c r="H2552" t="s">
        <v>41</v>
      </c>
      <c r="I2552" s="2">
        <v>12600</v>
      </c>
      <c r="J2552" t="s">
        <v>822</v>
      </c>
      <c r="K2552" s="7">
        <v>45809</v>
      </c>
    </row>
    <row r="2553" spans="1:13" hidden="1">
      <c r="A2553" t="s">
        <v>39</v>
      </c>
      <c r="B2553" t="s">
        <v>63</v>
      </c>
      <c r="C2553" t="s">
        <v>14</v>
      </c>
      <c r="E2553" t="s">
        <v>8</v>
      </c>
      <c r="F2553" s="1" t="s">
        <v>5</v>
      </c>
      <c r="G2553" s="1"/>
      <c r="H2553" t="s">
        <v>41</v>
      </c>
      <c r="I2553" s="2">
        <v>9695.56</v>
      </c>
      <c r="J2553" t="s">
        <v>821</v>
      </c>
      <c r="K2553" s="7">
        <v>45809</v>
      </c>
    </row>
    <row r="2554" spans="1:13" hidden="1">
      <c r="A2554" t="s">
        <v>39</v>
      </c>
      <c r="B2554" t="s">
        <v>45</v>
      </c>
      <c r="C2554" t="s">
        <v>12</v>
      </c>
      <c r="E2554" t="s">
        <v>8</v>
      </c>
      <c r="F2554" s="1" t="s">
        <v>5</v>
      </c>
      <c r="G2554" s="1"/>
      <c r="H2554" t="s">
        <v>41</v>
      </c>
      <c r="I2554" s="2">
        <v>335000</v>
      </c>
      <c r="J2554" t="s">
        <v>46</v>
      </c>
      <c r="K2554" s="7">
        <v>45809</v>
      </c>
    </row>
    <row r="2555" spans="1:13" hidden="1">
      <c r="A2555" t="s">
        <v>56</v>
      </c>
      <c r="B2555" t="s">
        <v>40</v>
      </c>
      <c r="C2555" t="s">
        <v>12</v>
      </c>
      <c r="E2555" t="s">
        <v>8</v>
      </c>
      <c r="F2555" s="1" t="s">
        <v>5</v>
      </c>
      <c r="G2555" s="1"/>
      <c r="H2555" t="s">
        <v>41</v>
      </c>
      <c r="I2555" s="2">
        <v>5000</v>
      </c>
      <c r="J2555" t="s">
        <v>98</v>
      </c>
      <c r="K2555" s="7">
        <v>45809</v>
      </c>
    </row>
    <row r="2556" spans="1:13" hidden="1">
      <c r="A2556" t="s">
        <v>39</v>
      </c>
      <c r="B2556" t="s">
        <v>40</v>
      </c>
      <c r="C2556" t="s">
        <v>12</v>
      </c>
      <c r="E2556" t="s">
        <v>8</v>
      </c>
      <c r="F2556" s="1" t="s">
        <v>5</v>
      </c>
      <c r="G2556" s="1"/>
      <c r="H2556" t="s">
        <v>41</v>
      </c>
      <c r="I2556" s="2">
        <v>17212</v>
      </c>
      <c r="J2556" t="s">
        <v>98</v>
      </c>
      <c r="K2556" s="7">
        <v>45809</v>
      </c>
    </row>
    <row r="2557" spans="1:13" hidden="1">
      <c r="A2557" t="s">
        <v>56</v>
      </c>
      <c r="B2557" t="s">
        <v>40</v>
      </c>
      <c r="C2557" t="s">
        <v>14</v>
      </c>
      <c r="E2557" t="s">
        <v>8</v>
      </c>
      <c r="F2557" s="1" t="s">
        <v>5</v>
      </c>
      <c r="G2557" s="1"/>
      <c r="H2557" t="s">
        <v>41</v>
      </c>
      <c r="I2557" s="2">
        <v>16875</v>
      </c>
      <c r="J2557" t="s">
        <v>98</v>
      </c>
      <c r="K2557" s="7">
        <v>45809</v>
      </c>
    </row>
    <row r="2558" spans="1:13" hidden="1">
      <c r="A2558" t="s">
        <v>39</v>
      </c>
      <c r="B2558" t="s">
        <v>40</v>
      </c>
      <c r="C2558" t="s">
        <v>14</v>
      </c>
      <c r="E2558" t="s">
        <v>8</v>
      </c>
      <c r="F2558" s="1" t="s">
        <v>5</v>
      </c>
      <c r="G2558" s="1"/>
      <c r="H2558" t="s">
        <v>41</v>
      </c>
      <c r="I2558" s="2">
        <v>96062</v>
      </c>
      <c r="J2558" t="s">
        <v>98</v>
      </c>
      <c r="K2558" s="7">
        <v>45809</v>
      </c>
    </row>
    <row r="2559" spans="1:13" hidden="1">
      <c r="A2559" t="s">
        <v>114</v>
      </c>
      <c r="B2559" t="s">
        <v>63</v>
      </c>
      <c r="C2559" t="s">
        <v>13</v>
      </c>
      <c r="E2559" t="s">
        <v>8</v>
      </c>
      <c r="F2559" s="1" t="s">
        <v>5</v>
      </c>
      <c r="G2559" s="1"/>
      <c r="H2559" t="s">
        <v>41</v>
      </c>
      <c r="I2559" s="2">
        <v>9248.4500000000007</v>
      </c>
      <c r="J2559" t="s">
        <v>253</v>
      </c>
      <c r="K2559" s="7">
        <v>45809</v>
      </c>
    </row>
    <row r="2560" spans="1:13" hidden="1">
      <c r="A2560" t="s">
        <v>114</v>
      </c>
      <c r="B2560" t="s">
        <v>63</v>
      </c>
      <c r="C2560" t="s">
        <v>13</v>
      </c>
      <c r="E2560" t="s">
        <v>8</v>
      </c>
      <c r="F2560" s="1" t="s">
        <v>5</v>
      </c>
      <c r="G2560" s="1"/>
      <c r="H2560" t="s">
        <v>41</v>
      </c>
      <c r="I2560" s="2">
        <v>7835.26</v>
      </c>
      <c r="J2560" t="s">
        <v>253</v>
      </c>
      <c r="K2560" s="7">
        <v>45809</v>
      </c>
    </row>
    <row r="2561" spans="1:11" hidden="1">
      <c r="A2561" t="s">
        <v>39</v>
      </c>
      <c r="B2561" t="s">
        <v>63</v>
      </c>
      <c r="C2561" t="s">
        <v>13</v>
      </c>
      <c r="E2561" t="s">
        <v>8</v>
      </c>
      <c r="F2561" s="1" t="s">
        <v>5</v>
      </c>
      <c r="G2561" s="1"/>
      <c r="H2561" t="s">
        <v>41</v>
      </c>
      <c r="I2561" s="2">
        <v>7500</v>
      </c>
      <c r="J2561" t="s">
        <v>307</v>
      </c>
      <c r="K2561" s="7">
        <v>45809</v>
      </c>
    </row>
    <row r="2562" spans="1:11" hidden="1">
      <c r="A2562" t="s">
        <v>39</v>
      </c>
      <c r="B2562" t="s">
        <v>63</v>
      </c>
      <c r="C2562" t="s">
        <v>13</v>
      </c>
      <c r="E2562" t="s">
        <v>8</v>
      </c>
      <c r="F2562" s="1" t="s">
        <v>5</v>
      </c>
      <c r="G2562" s="1"/>
      <c r="H2562" t="s">
        <v>41</v>
      </c>
      <c r="I2562" s="2">
        <v>7500</v>
      </c>
      <c r="J2562" t="s">
        <v>307</v>
      </c>
      <c r="K2562" s="7">
        <v>45809</v>
      </c>
    </row>
    <row r="2563" spans="1:11" hidden="1">
      <c r="A2563" t="s">
        <v>39</v>
      </c>
      <c r="B2563" t="s">
        <v>63</v>
      </c>
      <c r="C2563" t="s">
        <v>13</v>
      </c>
      <c r="E2563" t="s">
        <v>8</v>
      </c>
      <c r="F2563" s="1" t="s">
        <v>5</v>
      </c>
      <c r="G2563" s="1"/>
      <c r="H2563" t="s">
        <v>41</v>
      </c>
      <c r="I2563" s="2">
        <v>6256.97</v>
      </c>
      <c r="J2563" t="s">
        <v>307</v>
      </c>
      <c r="K2563" s="7">
        <v>45809</v>
      </c>
    </row>
    <row r="2564" spans="1:11" hidden="1">
      <c r="A2564" t="s">
        <v>39</v>
      </c>
      <c r="B2564" t="s">
        <v>63</v>
      </c>
      <c r="C2564" t="s">
        <v>13</v>
      </c>
      <c r="E2564" t="s">
        <v>8</v>
      </c>
      <c r="F2564" s="1" t="s">
        <v>5</v>
      </c>
      <c r="G2564" s="1"/>
      <c r="H2564" t="s">
        <v>41</v>
      </c>
      <c r="I2564" s="2">
        <v>5678.07</v>
      </c>
      <c r="J2564" t="s">
        <v>307</v>
      </c>
      <c r="K2564" s="7">
        <v>45809</v>
      </c>
    </row>
    <row r="2565" spans="1:11" hidden="1">
      <c r="A2565" t="s">
        <v>114</v>
      </c>
      <c r="B2565" t="s">
        <v>63</v>
      </c>
      <c r="C2565" t="s">
        <v>13</v>
      </c>
      <c r="E2565" t="s">
        <v>8</v>
      </c>
      <c r="F2565" s="1" t="s">
        <v>5</v>
      </c>
      <c r="G2565" s="1"/>
      <c r="H2565" t="s">
        <v>41</v>
      </c>
      <c r="I2565" s="2">
        <v>5661.31</v>
      </c>
      <c r="J2565" t="s">
        <v>253</v>
      </c>
      <c r="K2565" s="7">
        <v>45809</v>
      </c>
    </row>
    <row r="2566" spans="1:11" hidden="1">
      <c r="A2566" t="s">
        <v>39</v>
      </c>
      <c r="B2566" t="s">
        <v>63</v>
      </c>
      <c r="C2566" t="s">
        <v>13</v>
      </c>
      <c r="E2566" t="s">
        <v>8</v>
      </c>
      <c r="F2566" s="1" t="s">
        <v>5</v>
      </c>
      <c r="G2566" s="1"/>
      <c r="H2566" t="s">
        <v>41</v>
      </c>
      <c r="I2566" s="2">
        <v>4581.16</v>
      </c>
      <c r="J2566" t="s">
        <v>307</v>
      </c>
      <c r="K2566" s="7">
        <v>45809</v>
      </c>
    </row>
    <row r="2567" spans="1:11" hidden="1">
      <c r="A2567" t="s">
        <v>114</v>
      </c>
      <c r="B2567" t="s">
        <v>63</v>
      </c>
      <c r="C2567" t="s">
        <v>13</v>
      </c>
      <c r="E2567" t="s">
        <v>8</v>
      </c>
      <c r="F2567" s="1" t="s">
        <v>5</v>
      </c>
      <c r="G2567" s="1"/>
      <c r="H2567" t="s">
        <v>41</v>
      </c>
      <c r="I2567" s="2">
        <v>4213.7700000000004</v>
      </c>
      <c r="J2567" t="s">
        <v>253</v>
      </c>
      <c r="K2567" s="7">
        <v>45809</v>
      </c>
    </row>
    <row r="2568" spans="1:11" hidden="1">
      <c r="A2568" t="s">
        <v>114</v>
      </c>
      <c r="B2568" t="s">
        <v>63</v>
      </c>
      <c r="C2568" t="s">
        <v>14</v>
      </c>
      <c r="E2568" t="s">
        <v>8</v>
      </c>
      <c r="F2568" s="1" t="s">
        <v>5</v>
      </c>
      <c r="G2568" s="1"/>
      <c r="H2568" t="s">
        <v>41</v>
      </c>
      <c r="I2568" s="2">
        <v>3698.59</v>
      </c>
      <c r="J2568" t="s">
        <v>472</v>
      </c>
      <c r="K2568" s="7">
        <v>45809</v>
      </c>
    </row>
    <row r="2569" spans="1:11">
      <c r="A2569" t="s">
        <v>39</v>
      </c>
      <c r="B2569" t="s">
        <v>47</v>
      </c>
      <c r="C2569" t="s">
        <v>14</v>
      </c>
      <c r="E2569" t="s">
        <v>8</v>
      </c>
      <c r="F2569" s="1" t="s">
        <v>5</v>
      </c>
      <c r="G2569" s="1"/>
      <c r="H2569" t="s">
        <v>41</v>
      </c>
      <c r="I2569" s="2">
        <v>16588.54</v>
      </c>
      <c r="J2569" t="s">
        <v>135</v>
      </c>
      <c r="K2569" s="7">
        <v>45809</v>
      </c>
    </row>
    <row r="2570" spans="1:11">
      <c r="A2570" t="s">
        <v>39</v>
      </c>
      <c r="B2570" t="s">
        <v>47</v>
      </c>
      <c r="C2570" t="s">
        <v>14</v>
      </c>
      <c r="E2570" t="s">
        <v>8</v>
      </c>
      <c r="F2570" s="1" t="s">
        <v>5</v>
      </c>
      <c r="G2570" s="1"/>
      <c r="H2570" t="s">
        <v>41</v>
      </c>
      <c r="I2570" s="2">
        <v>21525.16</v>
      </c>
      <c r="J2570" t="s">
        <v>135</v>
      </c>
      <c r="K2570" s="7">
        <v>45809</v>
      </c>
    </row>
    <row r="2571" spans="1:11">
      <c r="A2571" t="s">
        <v>39</v>
      </c>
      <c r="B2571" t="s">
        <v>47</v>
      </c>
      <c r="C2571" t="s">
        <v>14</v>
      </c>
      <c r="E2571" t="s">
        <v>8</v>
      </c>
      <c r="F2571" s="1" t="s">
        <v>5</v>
      </c>
      <c r="G2571" s="1"/>
      <c r="H2571" t="s">
        <v>41</v>
      </c>
      <c r="I2571" s="2">
        <v>3059.65</v>
      </c>
      <c r="J2571" t="s">
        <v>135</v>
      </c>
      <c r="K2571" s="7">
        <v>45809</v>
      </c>
    </row>
    <row r="2572" spans="1:11">
      <c r="A2572" t="s">
        <v>39</v>
      </c>
      <c r="B2572" t="s">
        <v>47</v>
      </c>
      <c r="C2572" t="s">
        <v>14</v>
      </c>
      <c r="E2572" t="s">
        <v>8</v>
      </c>
      <c r="F2572" s="1" t="s">
        <v>5</v>
      </c>
      <c r="G2572" s="1"/>
      <c r="H2572" t="s">
        <v>41</v>
      </c>
      <c r="I2572" s="2">
        <v>4612.34</v>
      </c>
      <c r="J2572" t="s">
        <v>135</v>
      </c>
      <c r="K2572" s="7">
        <v>45809</v>
      </c>
    </row>
    <row r="2573" spans="1:11">
      <c r="A2573" t="s">
        <v>39</v>
      </c>
      <c r="B2573" t="s">
        <v>47</v>
      </c>
      <c r="C2573" t="s">
        <v>14</v>
      </c>
      <c r="E2573" t="s">
        <v>8</v>
      </c>
      <c r="F2573" s="1" t="s">
        <v>5</v>
      </c>
      <c r="G2573" s="1"/>
      <c r="H2573" t="s">
        <v>41</v>
      </c>
      <c r="I2573" s="2">
        <v>13537.36</v>
      </c>
      <c r="J2573" t="s">
        <v>135</v>
      </c>
      <c r="K2573" s="7">
        <v>45809</v>
      </c>
    </row>
    <row r="2574" spans="1:11">
      <c r="A2574" t="s">
        <v>39</v>
      </c>
      <c r="B2574" t="s">
        <v>47</v>
      </c>
      <c r="C2574" t="s">
        <v>14</v>
      </c>
      <c r="E2574" t="s">
        <v>8</v>
      </c>
      <c r="F2574" s="1" t="s">
        <v>5</v>
      </c>
      <c r="G2574" s="1"/>
      <c r="H2574" t="s">
        <v>41</v>
      </c>
      <c r="I2574" s="2">
        <v>19116.37</v>
      </c>
      <c r="J2574" t="s">
        <v>135</v>
      </c>
      <c r="K2574" s="7">
        <v>45809</v>
      </c>
    </row>
    <row r="2575" spans="1:11">
      <c r="A2575" t="s">
        <v>39</v>
      </c>
      <c r="B2575" t="s">
        <v>47</v>
      </c>
      <c r="C2575" t="s">
        <v>14</v>
      </c>
      <c r="E2575" t="s">
        <v>8</v>
      </c>
      <c r="F2575" s="1" t="s">
        <v>5</v>
      </c>
      <c r="G2575" s="1"/>
      <c r="H2575" t="s">
        <v>41</v>
      </c>
      <c r="I2575" s="2">
        <v>24255.56</v>
      </c>
      <c r="J2575" t="s">
        <v>1507</v>
      </c>
      <c r="K2575" s="7">
        <v>45809</v>
      </c>
    </row>
    <row r="2576" spans="1:11">
      <c r="A2576" t="s">
        <v>39</v>
      </c>
      <c r="B2576" t="s">
        <v>47</v>
      </c>
      <c r="C2576" t="s">
        <v>13</v>
      </c>
      <c r="E2576" t="s">
        <v>8</v>
      </c>
      <c r="F2576" s="1" t="s">
        <v>5</v>
      </c>
      <c r="G2576" s="1"/>
      <c r="H2576" t="s">
        <v>41</v>
      </c>
      <c r="I2576" s="2">
        <v>1744.67</v>
      </c>
      <c r="J2576" t="s">
        <v>168</v>
      </c>
      <c r="K2576" s="7">
        <v>45809</v>
      </c>
    </row>
    <row r="2577" spans="1:11">
      <c r="A2577" t="s">
        <v>39</v>
      </c>
      <c r="B2577" t="s">
        <v>47</v>
      </c>
      <c r="C2577" t="s">
        <v>14</v>
      </c>
      <c r="E2577" t="s">
        <v>8</v>
      </c>
      <c r="F2577" s="1" t="s">
        <v>5</v>
      </c>
      <c r="G2577" s="1"/>
      <c r="H2577" t="s">
        <v>41</v>
      </c>
      <c r="I2577" s="2">
        <v>285.58999999999997</v>
      </c>
      <c r="J2577" t="s">
        <v>188</v>
      </c>
      <c r="K2577" s="7">
        <v>45809</v>
      </c>
    </row>
    <row r="2578" spans="1:11">
      <c r="A2578" t="s">
        <v>39</v>
      </c>
      <c r="B2578" t="s">
        <v>47</v>
      </c>
      <c r="C2578" t="s">
        <v>13</v>
      </c>
      <c r="E2578" t="s">
        <v>8</v>
      </c>
      <c r="F2578" s="1" t="s">
        <v>5</v>
      </c>
      <c r="G2578" s="1"/>
      <c r="H2578" t="s">
        <v>41</v>
      </c>
      <c r="I2578" s="2">
        <v>286</v>
      </c>
      <c r="J2578" t="s">
        <v>188</v>
      </c>
      <c r="K2578" s="7">
        <v>45809</v>
      </c>
    </row>
    <row r="2579" spans="1:11">
      <c r="A2579" t="s">
        <v>39</v>
      </c>
      <c r="B2579" t="s">
        <v>47</v>
      </c>
      <c r="C2579" t="s">
        <v>13</v>
      </c>
      <c r="E2579" t="s">
        <v>8</v>
      </c>
      <c r="F2579" s="1" t="s">
        <v>5</v>
      </c>
      <c r="G2579" s="1"/>
      <c r="H2579" t="s">
        <v>41</v>
      </c>
      <c r="I2579" s="2">
        <v>1102.3800000000001</v>
      </c>
      <c r="J2579" t="s">
        <v>188</v>
      </c>
      <c r="K2579" s="7">
        <v>45809</v>
      </c>
    </row>
    <row r="2580" spans="1:11">
      <c r="A2580" t="s">
        <v>39</v>
      </c>
      <c r="B2580" t="s">
        <v>47</v>
      </c>
      <c r="C2580" t="s">
        <v>14</v>
      </c>
      <c r="E2580" t="s">
        <v>8</v>
      </c>
      <c r="F2580" s="1" t="s">
        <v>5</v>
      </c>
      <c r="G2580" s="1"/>
      <c r="H2580" t="s">
        <v>41</v>
      </c>
      <c r="I2580" s="2">
        <v>24590.720000000001</v>
      </c>
      <c r="J2580" t="s">
        <v>238</v>
      </c>
      <c r="K2580" s="7">
        <v>45809</v>
      </c>
    </row>
    <row r="2581" spans="1:11">
      <c r="A2581" t="s">
        <v>39</v>
      </c>
      <c r="B2581" t="s">
        <v>47</v>
      </c>
      <c r="C2581" t="s">
        <v>13</v>
      </c>
      <c r="E2581" t="s">
        <v>8</v>
      </c>
      <c r="F2581" s="1" t="s">
        <v>5</v>
      </c>
      <c r="G2581" s="1"/>
      <c r="H2581" t="s">
        <v>41</v>
      </c>
      <c r="I2581" s="2">
        <v>24104.65</v>
      </c>
      <c r="J2581" t="s">
        <v>169</v>
      </c>
      <c r="K2581" s="7">
        <v>45809</v>
      </c>
    </row>
    <row r="2582" spans="1:11" hidden="1">
      <c r="A2582" t="s">
        <v>114</v>
      </c>
      <c r="B2582" t="s">
        <v>63</v>
      </c>
      <c r="C2582" t="s">
        <v>13</v>
      </c>
      <c r="E2582" t="s">
        <v>8</v>
      </c>
      <c r="F2582" s="1" t="s">
        <v>5</v>
      </c>
      <c r="G2582" s="1"/>
      <c r="H2582" t="s">
        <v>41</v>
      </c>
      <c r="I2582" s="2">
        <v>2982.95</v>
      </c>
      <c r="J2582" t="s">
        <v>253</v>
      </c>
      <c r="K2582" s="7">
        <v>45809</v>
      </c>
    </row>
    <row r="2583" spans="1:11" hidden="1">
      <c r="A2583" t="s">
        <v>39</v>
      </c>
      <c r="B2583" t="s">
        <v>45</v>
      </c>
      <c r="C2583" t="s">
        <v>13</v>
      </c>
      <c r="E2583" t="s">
        <v>8</v>
      </c>
      <c r="F2583" s="1" t="s">
        <v>5</v>
      </c>
      <c r="G2583" s="1"/>
      <c r="H2583" t="s">
        <v>41</v>
      </c>
      <c r="I2583" s="2">
        <v>10575</v>
      </c>
      <c r="J2583" t="s">
        <v>531</v>
      </c>
      <c r="K2583" s="7">
        <v>45809</v>
      </c>
    </row>
    <row r="2584" spans="1:11" hidden="1">
      <c r="A2584" t="s">
        <v>39</v>
      </c>
      <c r="B2584" t="s">
        <v>45</v>
      </c>
      <c r="C2584" t="s">
        <v>14</v>
      </c>
      <c r="E2584" t="s">
        <v>8</v>
      </c>
      <c r="F2584" s="1" t="s">
        <v>5</v>
      </c>
      <c r="G2584" s="1"/>
      <c r="H2584" t="s">
        <v>41</v>
      </c>
      <c r="I2584" s="2">
        <v>20000</v>
      </c>
      <c r="J2584" t="s">
        <v>300</v>
      </c>
      <c r="K2584" s="7">
        <v>45809</v>
      </c>
    </row>
    <row r="2585" spans="1:11" hidden="1">
      <c r="A2585" t="s">
        <v>39</v>
      </c>
      <c r="B2585" t="s">
        <v>63</v>
      </c>
      <c r="C2585" t="s">
        <v>13</v>
      </c>
      <c r="E2585" t="s">
        <v>8</v>
      </c>
      <c r="F2585" s="1" t="s">
        <v>5</v>
      </c>
      <c r="G2585" s="1"/>
      <c r="H2585" t="s">
        <v>41</v>
      </c>
      <c r="I2585" s="2">
        <v>2821.72</v>
      </c>
      <c r="J2585" t="s">
        <v>1508</v>
      </c>
      <c r="K2585" s="7">
        <v>45809</v>
      </c>
    </row>
    <row r="2586" spans="1:11" hidden="1">
      <c r="A2586" t="s">
        <v>114</v>
      </c>
      <c r="B2586" t="s">
        <v>63</v>
      </c>
      <c r="C2586" t="s">
        <v>13</v>
      </c>
      <c r="E2586" t="s">
        <v>8</v>
      </c>
      <c r="F2586" s="1" t="s">
        <v>5</v>
      </c>
      <c r="G2586" s="1"/>
      <c r="H2586" t="s">
        <v>41</v>
      </c>
      <c r="I2586" s="2">
        <v>2799.93</v>
      </c>
      <c r="J2586" t="s">
        <v>253</v>
      </c>
      <c r="K2586" s="7">
        <v>45809</v>
      </c>
    </row>
    <row r="2587" spans="1:11" hidden="1">
      <c r="A2587" t="s">
        <v>39</v>
      </c>
      <c r="B2587" t="s">
        <v>63</v>
      </c>
      <c r="C2587" t="s">
        <v>13</v>
      </c>
      <c r="E2587" t="s">
        <v>8</v>
      </c>
      <c r="F2587" s="1" t="s">
        <v>5</v>
      </c>
      <c r="G2587" s="1"/>
      <c r="H2587" t="s">
        <v>41</v>
      </c>
      <c r="I2587" s="2">
        <v>2546.66</v>
      </c>
      <c r="J2587" t="s">
        <v>1448</v>
      </c>
      <c r="K2587" s="7">
        <v>45809</v>
      </c>
    </row>
    <row r="2588" spans="1:11" hidden="1">
      <c r="A2588" t="s">
        <v>114</v>
      </c>
      <c r="B2588" t="s">
        <v>63</v>
      </c>
      <c r="C2588" t="s">
        <v>14</v>
      </c>
      <c r="E2588" t="s">
        <v>8</v>
      </c>
      <c r="F2588" s="1" t="s">
        <v>5</v>
      </c>
      <c r="G2588" s="1"/>
      <c r="H2588" t="s">
        <v>41</v>
      </c>
      <c r="I2588" s="2">
        <v>2299.42</v>
      </c>
      <c r="J2588" t="s">
        <v>1509</v>
      </c>
      <c r="K2588" s="7">
        <v>45809</v>
      </c>
    </row>
    <row r="2589" spans="1:11" hidden="1">
      <c r="A2589" t="s">
        <v>39</v>
      </c>
      <c r="B2589" t="s">
        <v>63</v>
      </c>
      <c r="C2589" t="s">
        <v>13</v>
      </c>
      <c r="E2589" t="s">
        <v>8</v>
      </c>
      <c r="F2589" s="1" t="s">
        <v>5</v>
      </c>
      <c r="G2589" s="1"/>
      <c r="H2589" t="s">
        <v>41</v>
      </c>
      <c r="I2589" s="2">
        <v>2018.54</v>
      </c>
      <c r="J2589" t="s">
        <v>588</v>
      </c>
      <c r="K2589" s="7">
        <v>45809</v>
      </c>
    </row>
    <row r="2590" spans="1:11">
      <c r="A2590" t="s">
        <v>39</v>
      </c>
      <c r="B2590" t="s">
        <v>47</v>
      </c>
      <c r="C2590" t="s">
        <v>14</v>
      </c>
      <c r="E2590" t="s">
        <v>8</v>
      </c>
      <c r="F2590" s="1" t="s">
        <v>5</v>
      </c>
      <c r="G2590" s="1"/>
      <c r="H2590" t="s">
        <v>41</v>
      </c>
      <c r="I2590" s="2">
        <v>88805.81</v>
      </c>
      <c r="J2590" t="s">
        <v>185</v>
      </c>
      <c r="K2590" s="7">
        <v>45809</v>
      </c>
    </row>
    <row r="2591" spans="1:11" hidden="1">
      <c r="A2591" t="s">
        <v>114</v>
      </c>
      <c r="B2591" t="s">
        <v>63</v>
      </c>
      <c r="C2591" t="s">
        <v>13</v>
      </c>
      <c r="E2591" t="s">
        <v>8</v>
      </c>
      <c r="F2591" s="1" t="s">
        <v>5</v>
      </c>
      <c r="G2591" s="1"/>
      <c r="H2591" t="s">
        <v>41</v>
      </c>
      <c r="I2591" s="2">
        <v>1974.4</v>
      </c>
      <c r="J2591" t="s">
        <v>253</v>
      </c>
      <c r="K2591" s="7">
        <v>45809</v>
      </c>
    </row>
    <row r="2592" spans="1:11" hidden="1">
      <c r="A2592" t="s">
        <v>114</v>
      </c>
      <c r="B2592" t="s">
        <v>63</v>
      </c>
      <c r="C2592" t="s">
        <v>13</v>
      </c>
      <c r="E2592" t="s">
        <v>8</v>
      </c>
      <c r="F2592" s="1" t="s">
        <v>5</v>
      </c>
      <c r="G2592" s="1"/>
      <c r="H2592" t="s">
        <v>41</v>
      </c>
      <c r="I2592" s="2">
        <v>1657.64</v>
      </c>
      <c r="J2592" t="s">
        <v>1510</v>
      </c>
      <c r="K2592" s="7">
        <v>45809</v>
      </c>
    </row>
    <row r="2593" spans="1:12" hidden="1">
      <c r="A2593" t="s">
        <v>39</v>
      </c>
      <c r="B2593" t="s">
        <v>63</v>
      </c>
      <c r="C2593" t="s">
        <v>1511</v>
      </c>
      <c r="E2593" t="s">
        <v>8</v>
      </c>
      <c r="F2593" s="1" t="s">
        <v>5</v>
      </c>
      <c r="G2593" s="1"/>
      <c r="H2593" t="s">
        <v>41</v>
      </c>
      <c r="I2593" s="2">
        <v>1643.11</v>
      </c>
      <c r="J2593" t="s">
        <v>307</v>
      </c>
      <c r="K2593" s="7">
        <v>45809</v>
      </c>
    </row>
    <row r="2594" spans="1:12" hidden="1">
      <c r="A2594" t="s">
        <v>56</v>
      </c>
      <c r="B2594" t="s">
        <v>40</v>
      </c>
      <c r="C2594" t="s">
        <v>13</v>
      </c>
      <c r="E2594" t="s">
        <v>8</v>
      </c>
      <c r="F2594" s="1" t="s">
        <v>5</v>
      </c>
      <c r="G2594" s="1"/>
      <c r="H2594" t="s">
        <v>41</v>
      </c>
      <c r="I2594" s="2">
        <v>3000</v>
      </c>
      <c r="J2594" t="s">
        <v>1480</v>
      </c>
      <c r="K2594" s="7">
        <v>45809</v>
      </c>
    </row>
    <row r="2595" spans="1:12" hidden="1">
      <c r="A2595" t="s">
        <v>114</v>
      </c>
      <c r="B2595" t="s">
        <v>63</v>
      </c>
      <c r="C2595" t="s">
        <v>13</v>
      </c>
      <c r="E2595" t="s">
        <v>8</v>
      </c>
      <c r="F2595" s="1" t="s">
        <v>5</v>
      </c>
      <c r="G2595" s="1"/>
      <c r="H2595" t="s">
        <v>41</v>
      </c>
      <c r="I2595" s="2">
        <v>1578.39</v>
      </c>
      <c r="J2595" t="s">
        <v>822</v>
      </c>
      <c r="K2595" s="7">
        <v>45809</v>
      </c>
    </row>
    <row r="2596" spans="1:12" hidden="1">
      <c r="A2596" t="s">
        <v>39</v>
      </c>
      <c r="B2596" t="s">
        <v>63</v>
      </c>
      <c r="C2596" t="s">
        <v>13</v>
      </c>
      <c r="E2596" t="s">
        <v>8</v>
      </c>
      <c r="F2596" s="1" t="s">
        <v>5</v>
      </c>
      <c r="G2596" s="1"/>
      <c r="H2596" t="s">
        <v>41</v>
      </c>
      <c r="I2596" s="2">
        <v>1546.04</v>
      </c>
      <c r="J2596" t="s">
        <v>588</v>
      </c>
      <c r="K2596" s="7">
        <v>45809</v>
      </c>
    </row>
    <row r="2597" spans="1:12">
      <c r="A2597" t="s">
        <v>39</v>
      </c>
      <c r="B2597" t="s">
        <v>47</v>
      </c>
      <c r="C2597" t="s">
        <v>14</v>
      </c>
      <c r="E2597" t="s">
        <v>8</v>
      </c>
      <c r="F2597" s="1" t="s">
        <v>5</v>
      </c>
      <c r="G2597" s="1"/>
      <c r="H2597" t="s">
        <v>41</v>
      </c>
      <c r="I2597" s="2">
        <v>86107.58</v>
      </c>
      <c r="J2597" t="s">
        <v>130</v>
      </c>
      <c r="K2597" s="7">
        <v>45809</v>
      </c>
    </row>
    <row r="2598" spans="1:12" hidden="1">
      <c r="A2598" t="s">
        <v>39</v>
      </c>
      <c r="B2598" t="s">
        <v>45</v>
      </c>
      <c r="C2598" t="s">
        <v>13</v>
      </c>
      <c r="E2598" t="s">
        <v>8</v>
      </c>
      <c r="F2598" s="1" t="s">
        <v>5</v>
      </c>
      <c r="G2598" s="1"/>
      <c r="H2598" t="s">
        <v>41</v>
      </c>
      <c r="I2598" s="2">
        <v>10000</v>
      </c>
      <c r="J2598" t="s">
        <v>88</v>
      </c>
      <c r="K2598" s="7">
        <v>45809</v>
      </c>
    </row>
    <row r="2599" spans="1:12" hidden="1">
      <c r="A2599" t="s">
        <v>114</v>
      </c>
      <c r="B2599" t="s">
        <v>63</v>
      </c>
      <c r="C2599" t="s">
        <v>13</v>
      </c>
      <c r="E2599" t="s">
        <v>8</v>
      </c>
      <c r="F2599" s="1" t="s">
        <v>5</v>
      </c>
      <c r="G2599" s="1"/>
      <c r="H2599" t="s">
        <v>41</v>
      </c>
      <c r="I2599" s="2">
        <v>1383.39</v>
      </c>
      <c r="J2599" t="s">
        <v>182</v>
      </c>
      <c r="K2599" s="7">
        <v>45809</v>
      </c>
    </row>
    <row r="2600" spans="1:12" hidden="1">
      <c r="A2600" t="s">
        <v>114</v>
      </c>
      <c r="B2600" t="s">
        <v>63</v>
      </c>
      <c r="C2600" t="s">
        <v>13</v>
      </c>
      <c r="E2600" t="s">
        <v>8</v>
      </c>
      <c r="F2600" s="1" t="s">
        <v>5</v>
      </c>
      <c r="G2600" s="1"/>
      <c r="H2600" t="s">
        <v>41</v>
      </c>
      <c r="I2600" s="2">
        <v>1372.89</v>
      </c>
      <c r="J2600" t="s">
        <v>182</v>
      </c>
      <c r="K2600" s="7">
        <v>45809</v>
      </c>
    </row>
    <row r="2601" spans="1:12" hidden="1">
      <c r="A2601" t="s">
        <v>114</v>
      </c>
      <c r="B2601" t="s">
        <v>63</v>
      </c>
      <c r="C2601" t="s">
        <v>13</v>
      </c>
      <c r="E2601" t="s">
        <v>8</v>
      </c>
      <c r="F2601" s="1" t="s">
        <v>5</v>
      </c>
      <c r="G2601" s="1"/>
      <c r="H2601" t="s">
        <v>41</v>
      </c>
      <c r="I2601" s="2">
        <v>1287</v>
      </c>
      <c r="J2601" t="s">
        <v>490</v>
      </c>
      <c r="K2601" s="7">
        <v>45809</v>
      </c>
      <c r="L2601" t="s">
        <v>43</v>
      </c>
    </row>
    <row r="2602" spans="1:12" hidden="1">
      <c r="A2602" t="s">
        <v>114</v>
      </c>
      <c r="B2602" t="s">
        <v>63</v>
      </c>
      <c r="C2602" t="s">
        <v>14</v>
      </c>
      <c r="E2602" t="s">
        <v>8</v>
      </c>
      <c r="F2602" s="1" t="s">
        <v>5</v>
      </c>
      <c r="G2602" s="1"/>
      <c r="H2602" t="s">
        <v>41</v>
      </c>
      <c r="I2602" s="2">
        <v>1164.0999999999999</v>
      </c>
      <c r="J2602" t="s">
        <v>1247</v>
      </c>
      <c r="K2602" s="7">
        <v>45809</v>
      </c>
    </row>
    <row r="2603" spans="1:12" hidden="1">
      <c r="A2603" t="s">
        <v>114</v>
      </c>
      <c r="B2603" t="s">
        <v>63</v>
      </c>
      <c r="C2603" t="s">
        <v>13</v>
      </c>
      <c r="E2603" t="s">
        <v>8</v>
      </c>
      <c r="F2603" s="1" t="s">
        <v>5</v>
      </c>
      <c r="G2603" s="1"/>
      <c r="H2603" t="s">
        <v>41</v>
      </c>
      <c r="I2603" s="2">
        <v>1007.81</v>
      </c>
      <c r="J2603" t="s">
        <v>822</v>
      </c>
      <c r="K2603" s="7">
        <v>45809</v>
      </c>
    </row>
    <row r="2604" spans="1:12" hidden="1">
      <c r="A2604" t="s">
        <v>114</v>
      </c>
      <c r="B2604" t="s">
        <v>63</v>
      </c>
      <c r="C2604" t="s">
        <v>13</v>
      </c>
      <c r="E2604" t="s">
        <v>8</v>
      </c>
      <c r="F2604" s="1" t="s">
        <v>5</v>
      </c>
      <c r="G2604" s="1"/>
      <c r="H2604" t="s">
        <v>41</v>
      </c>
      <c r="I2604" s="2">
        <v>1000</v>
      </c>
      <c r="J2604" t="s">
        <v>490</v>
      </c>
      <c r="K2604" s="7">
        <v>45809</v>
      </c>
      <c r="L2604" t="s">
        <v>84</v>
      </c>
    </row>
    <row r="2605" spans="1:12" hidden="1">
      <c r="A2605" t="s">
        <v>114</v>
      </c>
      <c r="B2605" t="s">
        <v>63</v>
      </c>
      <c r="C2605" t="s">
        <v>13</v>
      </c>
      <c r="E2605" t="s">
        <v>8</v>
      </c>
      <c r="F2605" s="1" t="s">
        <v>5</v>
      </c>
      <c r="G2605" s="1"/>
      <c r="H2605" t="s">
        <v>41</v>
      </c>
      <c r="I2605" s="2">
        <v>914.62</v>
      </c>
      <c r="J2605" t="s">
        <v>1512</v>
      </c>
      <c r="K2605" s="7">
        <v>45809</v>
      </c>
    </row>
    <row r="2606" spans="1:12" hidden="1">
      <c r="A2606" t="s">
        <v>39</v>
      </c>
      <c r="B2606" t="s">
        <v>63</v>
      </c>
      <c r="C2606" t="s">
        <v>13</v>
      </c>
      <c r="E2606" t="s">
        <v>8</v>
      </c>
      <c r="F2606" s="1" t="s">
        <v>5</v>
      </c>
      <c r="G2606" s="1"/>
      <c r="H2606" t="s">
        <v>41</v>
      </c>
      <c r="I2606" s="2">
        <v>675.74</v>
      </c>
      <c r="J2606" t="s">
        <v>1513</v>
      </c>
      <c r="K2606" s="7">
        <v>45809</v>
      </c>
    </row>
    <row r="2607" spans="1:12" hidden="1">
      <c r="A2607" t="s">
        <v>39</v>
      </c>
      <c r="B2607" t="s">
        <v>63</v>
      </c>
      <c r="C2607" t="s">
        <v>13</v>
      </c>
      <c r="E2607" t="s">
        <v>8</v>
      </c>
      <c r="F2607" s="1" t="s">
        <v>5</v>
      </c>
      <c r="G2607" s="1"/>
      <c r="H2607" t="s">
        <v>41</v>
      </c>
      <c r="I2607" s="2">
        <v>659.92</v>
      </c>
      <c r="J2607" t="s">
        <v>149</v>
      </c>
      <c r="K2607" s="7">
        <v>45809</v>
      </c>
    </row>
    <row r="2608" spans="1:12" hidden="1">
      <c r="A2608" t="s">
        <v>39</v>
      </c>
      <c r="B2608" t="s">
        <v>63</v>
      </c>
      <c r="C2608" t="s">
        <v>13</v>
      </c>
      <c r="E2608" t="s">
        <v>8</v>
      </c>
      <c r="F2608" s="1" t="s">
        <v>5</v>
      </c>
      <c r="G2608" s="1"/>
      <c r="H2608" t="s">
        <v>41</v>
      </c>
      <c r="I2608" s="2">
        <v>551.4</v>
      </c>
      <c r="J2608" t="s">
        <v>1448</v>
      </c>
      <c r="K2608" s="7">
        <v>45809</v>
      </c>
    </row>
    <row r="2609" spans="1:12" hidden="1">
      <c r="A2609" t="s">
        <v>56</v>
      </c>
      <c r="B2609" t="s">
        <v>40</v>
      </c>
      <c r="C2609" t="s">
        <v>13</v>
      </c>
      <c r="E2609" t="s">
        <v>8</v>
      </c>
      <c r="F2609" s="1" t="s">
        <v>5</v>
      </c>
      <c r="G2609" s="1"/>
      <c r="H2609" t="s">
        <v>41</v>
      </c>
      <c r="I2609" s="2">
        <v>6000</v>
      </c>
      <c r="J2609" t="s">
        <v>1514</v>
      </c>
      <c r="K2609" s="7">
        <v>45809</v>
      </c>
    </row>
    <row r="2610" spans="1:12" hidden="1">
      <c r="A2610" t="s">
        <v>39</v>
      </c>
      <c r="B2610" t="s">
        <v>63</v>
      </c>
      <c r="C2610" t="s">
        <v>13</v>
      </c>
      <c r="E2610" t="s">
        <v>8</v>
      </c>
      <c r="F2610" s="1" t="s">
        <v>5</v>
      </c>
      <c r="G2610" s="1"/>
      <c r="H2610" t="s">
        <v>41</v>
      </c>
      <c r="I2610" s="2">
        <v>410.4</v>
      </c>
      <c r="J2610" t="s">
        <v>307</v>
      </c>
      <c r="K2610" s="7">
        <v>45809</v>
      </c>
    </row>
    <row r="2611" spans="1:12" hidden="1">
      <c r="A2611" t="s">
        <v>114</v>
      </c>
      <c r="B2611" t="s">
        <v>63</v>
      </c>
      <c r="C2611" t="s">
        <v>13</v>
      </c>
      <c r="E2611" t="s">
        <v>8</v>
      </c>
      <c r="F2611" s="1" t="s">
        <v>5</v>
      </c>
      <c r="G2611" s="1"/>
      <c r="H2611" t="s">
        <v>41</v>
      </c>
      <c r="I2611" s="2">
        <v>269.95999999999998</v>
      </c>
      <c r="J2611" t="s">
        <v>182</v>
      </c>
      <c r="K2611" s="7">
        <v>45809</v>
      </c>
    </row>
    <row r="2612" spans="1:12" hidden="1">
      <c r="A2612" t="s">
        <v>39</v>
      </c>
      <c r="B2612" t="s">
        <v>63</v>
      </c>
      <c r="C2612" t="s">
        <v>13</v>
      </c>
      <c r="E2612" t="s">
        <v>8</v>
      </c>
      <c r="F2612" s="1" t="s">
        <v>5</v>
      </c>
      <c r="G2612" s="1"/>
      <c r="H2612" t="s">
        <v>41</v>
      </c>
      <c r="I2612" s="2">
        <v>169.97</v>
      </c>
      <c r="J2612" t="s">
        <v>307</v>
      </c>
      <c r="K2612" s="7">
        <v>45809</v>
      </c>
    </row>
    <row r="2613" spans="1:12" hidden="1">
      <c r="A2613" t="s">
        <v>114</v>
      </c>
      <c r="B2613" t="s">
        <v>63</v>
      </c>
      <c r="C2613" t="s">
        <v>13</v>
      </c>
      <c r="E2613" t="s">
        <v>8</v>
      </c>
      <c r="F2613" s="1" t="s">
        <v>5</v>
      </c>
      <c r="G2613" s="1"/>
      <c r="H2613" t="s">
        <v>41</v>
      </c>
      <c r="I2613" s="2">
        <v>143.43</v>
      </c>
      <c r="J2613" t="s">
        <v>490</v>
      </c>
      <c r="K2613" s="7">
        <v>45809</v>
      </c>
      <c r="L2613" t="s">
        <v>43</v>
      </c>
    </row>
    <row r="2614" spans="1:12" hidden="1">
      <c r="A2614" t="s">
        <v>114</v>
      </c>
      <c r="B2614" t="s">
        <v>63</v>
      </c>
      <c r="C2614" t="s">
        <v>14</v>
      </c>
      <c r="E2614" t="s">
        <v>8</v>
      </c>
      <c r="F2614" s="1" t="s">
        <v>5</v>
      </c>
      <c r="G2614" s="1"/>
      <c r="H2614" t="s">
        <v>41</v>
      </c>
      <c r="I2614" s="2">
        <v>81.239999999999995</v>
      </c>
      <c r="J2614" t="s">
        <v>254</v>
      </c>
      <c r="K2614" s="7">
        <v>45809</v>
      </c>
    </row>
    <row r="2615" spans="1:12">
      <c r="A2615" t="s">
        <v>39</v>
      </c>
      <c r="B2615" t="s">
        <v>47</v>
      </c>
      <c r="C2615" t="s">
        <v>14</v>
      </c>
      <c r="E2615" t="s">
        <v>8</v>
      </c>
      <c r="F2615" s="1" t="s">
        <v>5</v>
      </c>
      <c r="G2615" s="1"/>
      <c r="H2615" t="s">
        <v>41</v>
      </c>
      <c r="I2615" s="2">
        <v>16525.439999999999</v>
      </c>
      <c r="J2615" t="s">
        <v>135</v>
      </c>
      <c r="K2615" s="7">
        <v>45839</v>
      </c>
    </row>
    <row r="2616" spans="1:12">
      <c r="A2616" t="s">
        <v>39</v>
      </c>
      <c r="B2616" t="s">
        <v>47</v>
      </c>
      <c r="C2616" t="s">
        <v>14</v>
      </c>
      <c r="E2616" t="s">
        <v>8</v>
      </c>
      <c r="F2616" s="1" t="s">
        <v>5</v>
      </c>
      <c r="G2616" s="1"/>
      <c r="H2616" t="s">
        <v>41</v>
      </c>
      <c r="I2616" s="2">
        <v>21443.27</v>
      </c>
      <c r="J2616" t="s">
        <v>135</v>
      </c>
      <c r="K2616" s="7">
        <v>45839</v>
      </c>
    </row>
    <row r="2617" spans="1:12">
      <c r="A2617" t="s">
        <v>39</v>
      </c>
      <c r="B2617" t="s">
        <v>47</v>
      </c>
      <c r="C2617" t="s">
        <v>14</v>
      </c>
      <c r="E2617" t="s">
        <v>8</v>
      </c>
      <c r="F2617" s="1" t="s">
        <v>5</v>
      </c>
      <c r="G2617" s="1"/>
      <c r="H2617" t="s">
        <v>41</v>
      </c>
      <c r="I2617" s="2">
        <v>3048.01</v>
      </c>
      <c r="J2617" t="s">
        <v>135</v>
      </c>
      <c r="K2617" s="7">
        <v>45839</v>
      </c>
    </row>
    <row r="2618" spans="1:12">
      <c r="A2618" t="s">
        <v>39</v>
      </c>
      <c r="B2618" t="s">
        <v>47</v>
      </c>
      <c r="C2618" t="s">
        <v>14</v>
      </c>
      <c r="E2618" t="s">
        <v>8</v>
      </c>
      <c r="F2618" s="1" t="s">
        <v>5</v>
      </c>
      <c r="G2618" s="1"/>
      <c r="H2618" t="s">
        <v>41</v>
      </c>
      <c r="I2618" s="2">
        <v>4594.79</v>
      </c>
      <c r="J2618" t="s">
        <v>135</v>
      </c>
      <c r="K2618" s="7">
        <v>45839</v>
      </c>
    </row>
    <row r="2619" spans="1:12">
      <c r="A2619" t="s">
        <v>39</v>
      </c>
      <c r="B2619" t="s">
        <v>47</v>
      </c>
      <c r="C2619" t="s">
        <v>14</v>
      </c>
      <c r="E2619" t="s">
        <v>8</v>
      </c>
      <c r="F2619" s="1" t="s">
        <v>5</v>
      </c>
      <c r="G2619" s="1"/>
      <c r="H2619" t="s">
        <v>41</v>
      </c>
      <c r="I2619" s="2">
        <v>13485.86</v>
      </c>
      <c r="J2619" t="s">
        <v>135</v>
      </c>
      <c r="K2619" s="7">
        <v>45839</v>
      </c>
    </row>
    <row r="2620" spans="1:12">
      <c r="A2620" t="s">
        <v>39</v>
      </c>
      <c r="B2620" t="s">
        <v>47</v>
      </c>
      <c r="C2620" t="s">
        <v>14</v>
      </c>
      <c r="E2620" t="s">
        <v>8</v>
      </c>
      <c r="F2620" s="1" t="s">
        <v>5</v>
      </c>
      <c r="G2620" s="1"/>
      <c r="H2620" t="s">
        <v>41</v>
      </c>
      <c r="I2620" s="2">
        <v>19043.64</v>
      </c>
      <c r="J2620" t="s">
        <v>135</v>
      </c>
      <c r="K2620" s="7">
        <v>45839</v>
      </c>
    </row>
    <row r="2621" spans="1:12" hidden="1">
      <c r="A2621" t="s">
        <v>360</v>
      </c>
      <c r="B2621" t="s">
        <v>45</v>
      </c>
      <c r="C2621" t="s">
        <v>13</v>
      </c>
      <c r="E2621" t="s">
        <v>8</v>
      </c>
      <c r="F2621" s="1" t="s">
        <v>5</v>
      </c>
      <c r="G2621" s="1"/>
      <c r="H2621" t="s">
        <v>41</v>
      </c>
      <c r="I2621" s="2">
        <v>20944</v>
      </c>
      <c r="J2621" t="s">
        <v>313</v>
      </c>
      <c r="K2621" s="7">
        <v>45839</v>
      </c>
    </row>
    <row r="2622" spans="1:12" hidden="1">
      <c r="A2622" t="s">
        <v>39</v>
      </c>
      <c r="B2622" t="s">
        <v>45</v>
      </c>
      <c r="C2622" t="s">
        <v>13</v>
      </c>
      <c r="E2622" t="s">
        <v>8</v>
      </c>
      <c r="F2622" s="1" t="s">
        <v>5</v>
      </c>
      <c r="G2622" s="1"/>
      <c r="H2622" t="s">
        <v>41</v>
      </c>
      <c r="I2622" s="2">
        <v>10575</v>
      </c>
      <c r="J2622" t="s">
        <v>531</v>
      </c>
      <c r="K2622" s="7">
        <v>45839</v>
      </c>
    </row>
    <row r="2623" spans="1:12">
      <c r="A2623" t="s">
        <v>39</v>
      </c>
      <c r="B2623" t="s">
        <v>47</v>
      </c>
      <c r="C2623" t="s">
        <v>12</v>
      </c>
      <c r="E2623" t="s">
        <v>8</v>
      </c>
      <c r="F2623" s="1" t="s">
        <v>5</v>
      </c>
      <c r="G2623" s="1"/>
      <c r="H2623" t="s">
        <v>41</v>
      </c>
      <c r="I2623" s="2">
        <v>28500</v>
      </c>
      <c r="J2623" t="s">
        <v>1515</v>
      </c>
      <c r="K2623" s="7">
        <v>45839</v>
      </c>
    </row>
    <row r="2624" spans="1:12" hidden="1">
      <c r="A2624" t="s">
        <v>99</v>
      </c>
      <c r="B2624" t="s">
        <v>63</v>
      </c>
      <c r="C2624" t="s">
        <v>14</v>
      </c>
      <c r="E2624" t="s">
        <v>8</v>
      </c>
      <c r="F2624" s="1" t="s">
        <v>5</v>
      </c>
      <c r="G2624" s="1"/>
      <c r="H2624" t="s">
        <v>41</v>
      </c>
      <c r="I2624" s="2">
        <v>20000</v>
      </c>
      <c r="J2624" t="s">
        <v>1516</v>
      </c>
      <c r="K2624" s="7">
        <v>45839</v>
      </c>
    </row>
    <row r="2625" spans="1:11" hidden="1">
      <c r="A2625" t="s">
        <v>39</v>
      </c>
      <c r="B2625" t="s">
        <v>63</v>
      </c>
      <c r="C2625" t="s">
        <v>124</v>
      </c>
      <c r="E2625" t="s">
        <v>8</v>
      </c>
      <c r="F2625" s="1" t="s">
        <v>5</v>
      </c>
      <c r="G2625" s="1"/>
      <c r="H2625" t="s">
        <v>41</v>
      </c>
      <c r="I2625">
        <v>900.5</v>
      </c>
      <c r="J2625" t="s">
        <v>430</v>
      </c>
      <c r="K2625" s="7">
        <v>45839</v>
      </c>
    </row>
    <row r="2626" spans="1:11" hidden="1">
      <c r="A2626" t="s">
        <v>39</v>
      </c>
      <c r="B2626" t="s">
        <v>63</v>
      </c>
      <c r="C2626" t="s">
        <v>124</v>
      </c>
      <c r="E2626" t="s">
        <v>8</v>
      </c>
      <c r="F2626" s="1" t="s">
        <v>5</v>
      </c>
      <c r="G2626" s="1"/>
      <c r="H2626" t="s">
        <v>41</v>
      </c>
      <c r="I2626" s="2">
        <v>2018.54</v>
      </c>
      <c r="J2626" t="s">
        <v>588</v>
      </c>
      <c r="K2626" s="7">
        <v>45839</v>
      </c>
    </row>
    <row r="2627" spans="1:11" hidden="1">
      <c r="A2627" t="s">
        <v>39</v>
      </c>
      <c r="B2627" t="s">
        <v>63</v>
      </c>
      <c r="C2627" t="s">
        <v>124</v>
      </c>
      <c r="E2627" t="s">
        <v>8</v>
      </c>
      <c r="F2627" s="1" t="s">
        <v>5</v>
      </c>
      <c r="G2627" s="1"/>
      <c r="H2627" t="s">
        <v>41</v>
      </c>
      <c r="I2627" s="2">
        <v>22919.23</v>
      </c>
      <c r="J2627" t="s">
        <v>1517</v>
      </c>
      <c r="K2627" s="7">
        <v>45839</v>
      </c>
    </row>
    <row r="2628" spans="1:11" hidden="1">
      <c r="A2628" t="s">
        <v>39</v>
      </c>
      <c r="B2628" t="s">
        <v>63</v>
      </c>
      <c r="C2628" t="s">
        <v>124</v>
      </c>
      <c r="E2628" t="s">
        <v>8</v>
      </c>
      <c r="F2628" s="1" t="s">
        <v>5</v>
      </c>
      <c r="G2628" s="1"/>
      <c r="H2628" t="s">
        <v>41</v>
      </c>
      <c r="I2628" s="2">
        <v>64410</v>
      </c>
      <c r="J2628" t="s">
        <v>1518</v>
      </c>
      <c r="K2628" s="7">
        <v>45839</v>
      </c>
    </row>
    <row r="2629" spans="1:11" hidden="1">
      <c r="A2629" t="s">
        <v>39</v>
      </c>
      <c r="B2629" t="s">
        <v>63</v>
      </c>
      <c r="C2629" t="s">
        <v>124</v>
      </c>
      <c r="E2629" t="s">
        <v>8</v>
      </c>
      <c r="F2629" s="1" t="s">
        <v>5</v>
      </c>
      <c r="G2629" s="1"/>
      <c r="H2629" t="s">
        <v>41</v>
      </c>
      <c r="I2629" s="2">
        <v>1110.4000000000001</v>
      </c>
      <c r="J2629" t="s">
        <v>1248</v>
      </c>
      <c r="K2629" s="7">
        <v>45839</v>
      </c>
    </row>
    <row r="2630" spans="1:11" hidden="1">
      <c r="A2630" t="s">
        <v>39</v>
      </c>
      <c r="B2630" t="s">
        <v>63</v>
      </c>
      <c r="C2630" t="s">
        <v>124</v>
      </c>
      <c r="E2630" t="s">
        <v>8</v>
      </c>
      <c r="F2630" s="1" t="s">
        <v>5</v>
      </c>
      <c r="G2630" s="1"/>
      <c r="H2630" t="s">
        <v>41</v>
      </c>
      <c r="I2630" s="2">
        <v>1098.71</v>
      </c>
      <c r="J2630" t="s">
        <v>238</v>
      </c>
      <c r="K2630" s="7">
        <v>45839</v>
      </c>
    </row>
    <row r="2631" spans="1:11" hidden="1">
      <c r="A2631" t="s">
        <v>39</v>
      </c>
      <c r="B2631" t="s">
        <v>63</v>
      </c>
      <c r="C2631" t="s">
        <v>13</v>
      </c>
      <c r="E2631" t="s">
        <v>8</v>
      </c>
      <c r="F2631" s="1" t="s">
        <v>5</v>
      </c>
      <c r="G2631" s="1"/>
      <c r="H2631" t="s">
        <v>41</v>
      </c>
      <c r="I2631">
        <v>410.4</v>
      </c>
      <c r="J2631" t="s">
        <v>307</v>
      </c>
      <c r="K2631" s="7">
        <v>45839</v>
      </c>
    </row>
    <row r="2632" spans="1:11" hidden="1">
      <c r="A2632" t="s">
        <v>39</v>
      </c>
      <c r="B2632" t="s">
        <v>63</v>
      </c>
      <c r="C2632" t="s">
        <v>13</v>
      </c>
      <c r="E2632" t="s">
        <v>8</v>
      </c>
      <c r="F2632" s="1" t="s">
        <v>5</v>
      </c>
      <c r="G2632" s="1"/>
      <c r="H2632" t="s">
        <v>41</v>
      </c>
      <c r="I2632">
        <v>284.97000000000003</v>
      </c>
      <c r="J2632" t="s">
        <v>307</v>
      </c>
      <c r="K2632" s="7">
        <v>45839</v>
      </c>
    </row>
    <row r="2633" spans="1:11" hidden="1">
      <c r="A2633" t="s">
        <v>39</v>
      </c>
      <c r="B2633" t="s">
        <v>63</v>
      </c>
      <c r="C2633" t="s">
        <v>13</v>
      </c>
      <c r="E2633" t="s">
        <v>8</v>
      </c>
      <c r="F2633" s="1" t="s">
        <v>5</v>
      </c>
      <c r="G2633" s="1"/>
      <c r="H2633" t="s">
        <v>41</v>
      </c>
      <c r="I2633">
        <v>169.97</v>
      </c>
      <c r="J2633" t="s">
        <v>307</v>
      </c>
      <c r="K2633" s="7">
        <v>45839</v>
      </c>
    </row>
    <row r="2634" spans="1:11" hidden="1">
      <c r="A2634" t="s">
        <v>39</v>
      </c>
      <c r="B2634" t="s">
        <v>63</v>
      </c>
      <c r="C2634" t="s">
        <v>14</v>
      </c>
      <c r="E2634" t="s">
        <v>8</v>
      </c>
      <c r="F2634" s="1" t="s">
        <v>5</v>
      </c>
      <c r="G2634" s="1"/>
      <c r="H2634" t="s">
        <v>41</v>
      </c>
      <c r="I2634" s="2">
        <v>100000</v>
      </c>
      <c r="J2634" t="s">
        <v>201</v>
      </c>
      <c r="K2634" s="7">
        <v>45839</v>
      </c>
    </row>
    <row r="2635" spans="1:11" hidden="1">
      <c r="A2635" t="s">
        <v>114</v>
      </c>
      <c r="B2635" t="s">
        <v>63</v>
      </c>
      <c r="C2635" t="s">
        <v>14</v>
      </c>
      <c r="E2635" t="s">
        <v>8</v>
      </c>
      <c r="F2635" s="1" t="s">
        <v>5</v>
      </c>
      <c r="G2635" s="1"/>
      <c r="H2635" t="s">
        <v>41</v>
      </c>
      <c r="I2635" s="2">
        <v>1332.88</v>
      </c>
      <c r="J2635" t="s">
        <v>254</v>
      </c>
      <c r="K2635" s="7">
        <v>45839</v>
      </c>
    </row>
    <row r="2636" spans="1:11" hidden="1">
      <c r="A2636" t="s">
        <v>114</v>
      </c>
      <c r="B2636" t="s">
        <v>63</v>
      </c>
      <c r="C2636" t="s">
        <v>14</v>
      </c>
      <c r="E2636" t="s">
        <v>8</v>
      </c>
      <c r="F2636" s="1" t="s">
        <v>5</v>
      </c>
      <c r="G2636" s="1"/>
      <c r="H2636" t="s">
        <v>41</v>
      </c>
      <c r="I2636" s="2">
        <v>1332.88</v>
      </c>
      <c r="J2636" t="s">
        <v>254</v>
      </c>
      <c r="K2636" s="7">
        <v>45839</v>
      </c>
    </row>
    <row r="2637" spans="1:11" hidden="1">
      <c r="A2637" t="s">
        <v>114</v>
      </c>
      <c r="B2637" t="s">
        <v>63</v>
      </c>
      <c r="C2637" t="s">
        <v>14</v>
      </c>
      <c r="E2637" t="s">
        <v>8</v>
      </c>
      <c r="F2637" s="1" t="s">
        <v>5</v>
      </c>
      <c r="G2637" s="1"/>
      <c r="H2637" t="s">
        <v>41</v>
      </c>
      <c r="I2637">
        <v>447.82</v>
      </c>
      <c r="J2637" t="s">
        <v>254</v>
      </c>
      <c r="K2637" s="7">
        <v>45839</v>
      </c>
    </row>
    <row r="2638" spans="1:11" hidden="1">
      <c r="A2638" t="s">
        <v>114</v>
      </c>
      <c r="B2638" t="s">
        <v>63</v>
      </c>
      <c r="C2638" t="s">
        <v>14</v>
      </c>
      <c r="E2638" t="s">
        <v>8</v>
      </c>
      <c r="F2638" s="1" t="s">
        <v>5</v>
      </c>
      <c r="G2638" s="1"/>
      <c r="H2638" t="s">
        <v>41</v>
      </c>
      <c r="I2638">
        <v>223.91</v>
      </c>
      <c r="J2638" t="s">
        <v>254</v>
      </c>
      <c r="K2638" s="7">
        <v>45839</v>
      </c>
    </row>
    <row r="2639" spans="1:11" hidden="1">
      <c r="A2639" t="s">
        <v>114</v>
      </c>
      <c r="B2639" t="s">
        <v>63</v>
      </c>
      <c r="C2639" t="s">
        <v>14</v>
      </c>
      <c r="E2639" t="s">
        <v>8</v>
      </c>
      <c r="F2639" s="1" t="s">
        <v>5</v>
      </c>
      <c r="G2639" s="1"/>
      <c r="H2639" t="s">
        <v>41</v>
      </c>
      <c r="I2639">
        <v>74.64</v>
      </c>
      <c r="J2639" t="s">
        <v>254</v>
      </c>
      <c r="K2639" s="7">
        <v>45839</v>
      </c>
    </row>
    <row r="2640" spans="1:11" hidden="1">
      <c r="A2640" t="s">
        <v>114</v>
      </c>
      <c r="B2640" t="s">
        <v>63</v>
      </c>
      <c r="C2640" t="s">
        <v>14</v>
      </c>
      <c r="E2640" t="s">
        <v>8</v>
      </c>
      <c r="F2640" s="1" t="s">
        <v>5</v>
      </c>
      <c r="G2640" s="1"/>
      <c r="H2640" t="s">
        <v>41</v>
      </c>
      <c r="I2640" s="2">
        <v>4348.8100000000004</v>
      </c>
      <c r="J2640" t="s">
        <v>254</v>
      </c>
      <c r="K2640" s="7">
        <v>45839</v>
      </c>
    </row>
    <row r="2641" spans="1:11" hidden="1">
      <c r="A2641" t="s">
        <v>114</v>
      </c>
      <c r="B2641" t="s">
        <v>63</v>
      </c>
      <c r="C2641" t="s">
        <v>14</v>
      </c>
      <c r="E2641" t="s">
        <v>8</v>
      </c>
      <c r="F2641" s="1" t="s">
        <v>5</v>
      </c>
      <c r="G2641" s="1"/>
      <c r="H2641" t="s">
        <v>41</v>
      </c>
      <c r="I2641" s="2">
        <v>3450.19</v>
      </c>
      <c r="J2641" t="s">
        <v>254</v>
      </c>
      <c r="K2641" s="7">
        <v>45839</v>
      </c>
    </row>
    <row r="2642" spans="1:11" hidden="1">
      <c r="A2642" t="s">
        <v>114</v>
      </c>
      <c r="B2642" t="s">
        <v>63</v>
      </c>
      <c r="C2642" t="s">
        <v>12</v>
      </c>
      <c r="E2642" t="s">
        <v>8</v>
      </c>
      <c r="F2642" s="1" t="s">
        <v>5</v>
      </c>
      <c r="G2642" s="1"/>
      <c r="H2642" t="s">
        <v>41</v>
      </c>
      <c r="I2642" s="2">
        <v>29820</v>
      </c>
      <c r="J2642" t="s">
        <v>1519</v>
      </c>
      <c r="K2642" s="7">
        <v>45839</v>
      </c>
    </row>
    <row r="2643" spans="1:11" hidden="1">
      <c r="A2643" t="s">
        <v>114</v>
      </c>
      <c r="B2643" t="s">
        <v>63</v>
      </c>
      <c r="C2643" t="s">
        <v>12</v>
      </c>
      <c r="E2643" t="s">
        <v>8</v>
      </c>
      <c r="F2643" s="1" t="s">
        <v>5</v>
      </c>
      <c r="G2643" s="1"/>
      <c r="H2643" t="s">
        <v>41</v>
      </c>
      <c r="I2643" s="2">
        <v>34500</v>
      </c>
      <c r="J2643" t="s">
        <v>1520</v>
      </c>
      <c r="K2643" s="7">
        <v>45839</v>
      </c>
    </row>
    <row r="2644" spans="1:11" hidden="1">
      <c r="A2644" t="s">
        <v>39</v>
      </c>
      <c r="B2644" t="s">
        <v>63</v>
      </c>
      <c r="C2644" t="s">
        <v>12</v>
      </c>
      <c r="E2644" t="s">
        <v>8</v>
      </c>
      <c r="F2644" s="1" t="s">
        <v>5</v>
      </c>
      <c r="G2644" s="1"/>
      <c r="H2644" t="s">
        <v>41</v>
      </c>
      <c r="I2644" s="2">
        <v>19330</v>
      </c>
      <c r="J2644" t="s">
        <v>1521</v>
      </c>
      <c r="K2644" s="7">
        <v>45839</v>
      </c>
    </row>
    <row r="2645" spans="1:11" hidden="1">
      <c r="A2645" t="s">
        <v>39</v>
      </c>
      <c r="B2645" t="s">
        <v>63</v>
      </c>
      <c r="C2645" t="s">
        <v>13</v>
      </c>
      <c r="E2645" t="s">
        <v>8</v>
      </c>
      <c r="F2645" t="s">
        <v>5</v>
      </c>
      <c r="G2645" s="1"/>
      <c r="H2645" t="s">
        <v>41</v>
      </c>
      <c r="I2645" s="2">
        <v>50887</v>
      </c>
      <c r="J2645" t="s">
        <v>304</v>
      </c>
      <c r="K2645" s="7">
        <v>45901</v>
      </c>
    </row>
    <row r="2646" spans="1:11" hidden="1">
      <c r="A2646" t="s">
        <v>39</v>
      </c>
      <c r="B2646" t="s">
        <v>63</v>
      </c>
      <c r="C2646" t="s">
        <v>14</v>
      </c>
      <c r="E2646" t="s">
        <v>8</v>
      </c>
      <c r="F2646" t="s">
        <v>5</v>
      </c>
      <c r="G2646" s="1"/>
      <c r="H2646" t="s">
        <v>41</v>
      </c>
      <c r="I2646" s="2">
        <v>28948.639999999999</v>
      </c>
      <c r="J2646" s="47" t="s">
        <v>595</v>
      </c>
      <c r="K2646" s="7">
        <v>45901</v>
      </c>
    </row>
    <row r="2647" spans="1:11" hidden="1">
      <c r="A2647" t="s">
        <v>39</v>
      </c>
      <c r="B2647" t="s">
        <v>63</v>
      </c>
      <c r="C2647" t="s">
        <v>14</v>
      </c>
      <c r="E2647" t="s">
        <v>8</v>
      </c>
      <c r="F2647" t="s">
        <v>5</v>
      </c>
      <c r="G2647" s="1"/>
      <c r="H2647" t="s">
        <v>41</v>
      </c>
      <c r="I2647" s="2">
        <v>24942.09</v>
      </c>
      <c r="J2647" s="47" t="s">
        <v>342</v>
      </c>
      <c r="K2647" s="7">
        <v>45901</v>
      </c>
    </row>
    <row r="2648" spans="1:11" hidden="1">
      <c r="A2648" t="s">
        <v>39</v>
      </c>
      <c r="B2648" t="s">
        <v>63</v>
      </c>
      <c r="C2648" t="s">
        <v>14</v>
      </c>
      <c r="E2648" t="s">
        <v>8</v>
      </c>
      <c r="F2648" t="s">
        <v>5</v>
      </c>
      <c r="G2648" s="1"/>
      <c r="H2648" t="s">
        <v>41</v>
      </c>
      <c r="I2648" s="2">
        <v>22919</v>
      </c>
      <c r="J2648" s="47" t="s">
        <v>1517</v>
      </c>
      <c r="K2648" s="7">
        <v>45901</v>
      </c>
    </row>
    <row r="2649" spans="1:11" hidden="1">
      <c r="A2649" t="s">
        <v>39</v>
      </c>
      <c r="B2649" t="s">
        <v>40</v>
      </c>
      <c r="C2649" t="s">
        <v>14</v>
      </c>
      <c r="E2649" t="s">
        <v>8</v>
      </c>
      <c r="F2649" s="1" t="s">
        <v>5</v>
      </c>
      <c r="G2649" s="1"/>
      <c r="H2649" t="s">
        <v>41</v>
      </c>
      <c r="I2649" s="2">
        <v>60000</v>
      </c>
      <c r="J2649" t="s">
        <v>98</v>
      </c>
      <c r="K2649" s="7">
        <v>45901</v>
      </c>
    </row>
    <row r="2650" spans="1:11">
      <c r="A2650" t="s">
        <v>39</v>
      </c>
      <c r="B2650" t="s">
        <v>47</v>
      </c>
      <c r="C2650" t="s">
        <v>14</v>
      </c>
      <c r="E2650" t="s">
        <v>8</v>
      </c>
      <c r="F2650" s="1" t="s">
        <v>5</v>
      </c>
      <c r="G2650" s="1"/>
      <c r="H2650" t="s">
        <v>41</v>
      </c>
      <c r="I2650" s="2">
        <v>12753.57</v>
      </c>
      <c r="J2650" t="s">
        <v>422</v>
      </c>
      <c r="K2650" s="7">
        <v>45901</v>
      </c>
    </row>
    <row r="2651" spans="1:11">
      <c r="A2651" t="s">
        <v>39</v>
      </c>
      <c r="B2651" t="s">
        <v>47</v>
      </c>
      <c r="C2651" t="s">
        <v>14</v>
      </c>
      <c r="E2651" t="s">
        <v>8</v>
      </c>
      <c r="F2651" s="1" t="s">
        <v>5</v>
      </c>
      <c r="G2651" s="1"/>
      <c r="H2651" t="s">
        <v>41</v>
      </c>
      <c r="I2651" s="2">
        <v>4172.5600000000004</v>
      </c>
      <c r="J2651" t="s">
        <v>854</v>
      </c>
      <c r="K2651" s="7">
        <v>45901</v>
      </c>
    </row>
    <row r="2652" spans="1:11" hidden="1">
      <c r="A2652" t="s">
        <v>39</v>
      </c>
      <c r="B2652" t="s">
        <v>63</v>
      </c>
      <c r="C2652" t="s">
        <v>14</v>
      </c>
      <c r="E2652" t="s">
        <v>8</v>
      </c>
      <c r="F2652" t="s">
        <v>5</v>
      </c>
      <c r="G2652" s="1"/>
      <c r="H2652" t="s">
        <v>41</v>
      </c>
      <c r="I2652" s="2">
        <v>20000</v>
      </c>
      <c r="J2652" s="47" t="s">
        <v>1522</v>
      </c>
      <c r="K2652" s="7">
        <v>45901</v>
      </c>
    </row>
    <row r="2653" spans="1:11" hidden="1">
      <c r="A2653" t="s">
        <v>114</v>
      </c>
      <c r="B2653" t="s">
        <v>63</v>
      </c>
      <c r="C2653" t="s">
        <v>13</v>
      </c>
      <c r="E2653" t="s">
        <v>8</v>
      </c>
      <c r="F2653" t="s">
        <v>5</v>
      </c>
      <c r="G2653" s="1"/>
      <c r="H2653" t="s">
        <v>41</v>
      </c>
      <c r="I2653" s="2">
        <v>12600</v>
      </c>
      <c r="J2653" s="47" t="s">
        <v>822</v>
      </c>
      <c r="K2653" s="7">
        <v>45901</v>
      </c>
    </row>
    <row r="2654" spans="1:11" hidden="1">
      <c r="A2654" t="s">
        <v>39</v>
      </c>
      <c r="B2654" t="s">
        <v>63</v>
      </c>
      <c r="C2654" t="s">
        <v>13</v>
      </c>
      <c r="E2654" t="s">
        <v>8</v>
      </c>
      <c r="F2654" t="s">
        <v>5</v>
      </c>
      <c r="G2654" s="1"/>
      <c r="H2654" t="s">
        <v>41</v>
      </c>
      <c r="I2654" s="2">
        <v>9695.56</v>
      </c>
      <c r="J2654" t="s">
        <v>821</v>
      </c>
      <c r="K2654" s="7">
        <v>45901</v>
      </c>
    </row>
    <row r="2655" spans="1:11" hidden="1">
      <c r="A2655" t="s">
        <v>39</v>
      </c>
      <c r="B2655" t="s">
        <v>45</v>
      </c>
      <c r="C2655" t="s">
        <v>13</v>
      </c>
      <c r="E2655" t="s">
        <v>8</v>
      </c>
      <c r="F2655" s="1" t="s">
        <v>5</v>
      </c>
      <c r="G2655" s="1"/>
      <c r="H2655" t="s">
        <v>41</v>
      </c>
      <c r="I2655" s="2">
        <v>10000</v>
      </c>
      <c r="J2655" s="47" t="s">
        <v>88</v>
      </c>
      <c r="K2655" s="7">
        <v>45901</v>
      </c>
    </row>
    <row r="2656" spans="1:11" hidden="1">
      <c r="A2656" t="s">
        <v>39</v>
      </c>
      <c r="B2656" t="s">
        <v>45</v>
      </c>
      <c r="C2656" t="s">
        <v>14</v>
      </c>
      <c r="E2656" t="s">
        <v>8</v>
      </c>
      <c r="F2656" s="1" t="s">
        <v>5</v>
      </c>
      <c r="G2656" s="1"/>
      <c r="H2656" t="s">
        <v>41</v>
      </c>
      <c r="I2656" s="2">
        <v>27336.799999999999</v>
      </c>
      <c r="J2656" s="47" t="s">
        <v>715</v>
      </c>
      <c r="K2656" s="7">
        <v>45901</v>
      </c>
    </row>
    <row r="2657" spans="1:11" hidden="1">
      <c r="A2657" t="s">
        <v>39</v>
      </c>
      <c r="B2657" t="s">
        <v>45</v>
      </c>
      <c r="C2657" t="s">
        <v>13</v>
      </c>
      <c r="E2657" t="s">
        <v>8</v>
      </c>
      <c r="F2657" s="1" t="s">
        <v>5</v>
      </c>
      <c r="G2657" s="1"/>
      <c r="H2657" t="s">
        <v>41</v>
      </c>
      <c r="I2657" s="2">
        <v>10575</v>
      </c>
      <c r="J2657" s="47" t="s">
        <v>1523</v>
      </c>
      <c r="K2657" s="7">
        <v>45901</v>
      </c>
    </row>
    <row r="2658" spans="1:11" hidden="1">
      <c r="A2658" t="s">
        <v>39</v>
      </c>
      <c r="B2658" t="s">
        <v>45</v>
      </c>
      <c r="C2658" t="s">
        <v>13</v>
      </c>
      <c r="E2658" t="s">
        <v>8</v>
      </c>
      <c r="F2658" s="1" t="s">
        <v>5</v>
      </c>
      <c r="G2658" s="1"/>
      <c r="H2658" t="s">
        <v>41</v>
      </c>
      <c r="I2658" s="2">
        <v>69510</v>
      </c>
      <c r="J2658" s="47" t="s">
        <v>279</v>
      </c>
      <c r="K2658" s="7">
        <v>45901</v>
      </c>
    </row>
    <row r="2659" spans="1:11" hidden="1">
      <c r="A2659" t="s">
        <v>39</v>
      </c>
      <c r="B2659" t="s">
        <v>45</v>
      </c>
      <c r="C2659" t="s">
        <v>14</v>
      </c>
      <c r="E2659" t="s">
        <v>8</v>
      </c>
      <c r="F2659" s="1" t="s">
        <v>5</v>
      </c>
      <c r="G2659" s="1"/>
      <c r="H2659" t="s">
        <v>41</v>
      </c>
      <c r="I2659" s="2">
        <v>18750</v>
      </c>
      <c r="J2659" s="47" t="s">
        <v>1524</v>
      </c>
      <c r="K2659" s="7">
        <v>45901</v>
      </c>
    </row>
    <row r="2660" spans="1:11" hidden="1">
      <c r="A2660" t="s">
        <v>39</v>
      </c>
      <c r="B2660" t="s">
        <v>45</v>
      </c>
      <c r="C2660" t="s">
        <v>14</v>
      </c>
      <c r="E2660" t="s">
        <v>8</v>
      </c>
      <c r="F2660" s="1" t="s">
        <v>5</v>
      </c>
      <c r="G2660" s="1"/>
      <c r="H2660" t="s">
        <v>41</v>
      </c>
      <c r="I2660" s="2">
        <v>14309.19</v>
      </c>
      <c r="J2660" s="47" t="s">
        <v>1525</v>
      </c>
      <c r="K2660" s="7">
        <v>45901</v>
      </c>
    </row>
    <row r="2661" spans="1:11" hidden="1">
      <c r="A2661" t="s">
        <v>39</v>
      </c>
      <c r="B2661" t="s">
        <v>45</v>
      </c>
      <c r="C2661" t="s">
        <v>14</v>
      </c>
      <c r="E2661" t="s">
        <v>8</v>
      </c>
      <c r="F2661" s="1" t="s">
        <v>5</v>
      </c>
      <c r="G2661" s="1"/>
      <c r="H2661" t="s">
        <v>41</v>
      </c>
      <c r="I2661" s="2">
        <v>9718.6299999999992</v>
      </c>
      <c r="J2661" s="47" t="s">
        <v>88</v>
      </c>
      <c r="K2661" s="7">
        <v>45901</v>
      </c>
    </row>
    <row r="2662" spans="1:11" hidden="1">
      <c r="A2662" t="s">
        <v>39</v>
      </c>
      <c r="B2662" t="s">
        <v>45</v>
      </c>
      <c r="C2662" t="s">
        <v>12</v>
      </c>
      <c r="E2662" t="s">
        <v>8</v>
      </c>
      <c r="F2662" s="1" t="s">
        <v>5</v>
      </c>
      <c r="G2662" s="1"/>
      <c r="H2662" t="s">
        <v>41</v>
      </c>
      <c r="I2662" s="2">
        <v>122911</v>
      </c>
      <c r="J2662" s="47" t="s">
        <v>1526</v>
      </c>
      <c r="K2662" s="7">
        <v>45901</v>
      </c>
    </row>
    <row r="2663" spans="1:11" hidden="1">
      <c r="A2663" t="s">
        <v>39</v>
      </c>
      <c r="B2663" t="s">
        <v>45</v>
      </c>
      <c r="C2663" t="s">
        <v>13</v>
      </c>
      <c r="E2663" t="s">
        <v>8</v>
      </c>
      <c r="F2663" s="1" t="s">
        <v>5</v>
      </c>
      <c r="G2663" s="1"/>
      <c r="H2663" t="s">
        <v>41</v>
      </c>
      <c r="I2663" s="2">
        <v>11400</v>
      </c>
      <c r="J2663" s="47" t="s">
        <v>1037</v>
      </c>
      <c r="K2663" s="7">
        <v>45901</v>
      </c>
    </row>
    <row r="2664" spans="1:11" hidden="1">
      <c r="A2664" t="s">
        <v>39</v>
      </c>
      <c r="B2664" t="s">
        <v>40</v>
      </c>
      <c r="C2664" t="s">
        <v>14</v>
      </c>
      <c r="E2664" t="s">
        <v>8</v>
      </c>
      <c r="F2664" s="1" t="s">
        <v>5</v>
      </c>
      <c r="G2664" s="1"/>
      <c r="H2664" t="s">
        <v>41</v>
      </c>
      <c r="I2664" s="2">
        <v>60000</v>
      </c>
      <c r="J2664" t="s">
        <v>1488</v>
      </c>
      <c r="K2664" s="7">
        <v>45992</v>
      </c>
    </row>
    <row r="2665" spans="1:11" hidden="1">
      <c r="A2665" t="s">
        <v>56</v>
      </c>
      <c r="B2665" t="s">
        <v>40</v>
      </c>
      <c r="C2665" t="s">
        <v>14</v>
      </c>
      <c r="E2665" t="s">
        <v>8</v>
      </c>
      <c r="F2665" s="1" t="s">
        <v>5</v>
      </c>
      <c r="G2665" s="1"/>
      <c r="H2665" t="s">
        <v>41</v>
      </c>
      <c r="I2665" s="2">
        <v>25000</v>
      </c>
      <c r="J2665" t="s">
        <v>1489</v>
      </c>
      <c r="K2665" s="7">
        <v>45992</v>
      </c>
    </row>
    <row r="2666" spans="1:11" hidden="1">
      <c r="A2666" t="s">
        <v>39</v>
      </c>
      <c r="B2666" t="s">
        <v>63</v>
      </c>
      <c r="C2666" t="s">
        <v>13</v>
      </c>
      <c r="E2666" t="s">
        <v>8</v>
      </c>
      <c r="F2666" s="1" t="s">
        <v>5</v>
      </c>
      <c r="G2666" s="1"/>
      <c r="H2666" t="s">
        <v>41</v>
      </c>
      <c r="I2666" s="2">
        <v>32165.15</v>
      </c>
      <c r="J2666" t="s">
        <v>595</v>
      </c>
      <c r="K2666" s="7">
        <v>45992</v>
      </c>
    </row>
    <row r="2667" spans="1:11" hidden="1">
      <c r="A2667" t="s">
        <v>39</v>
      </c>
      <c r="B2667" t="s">
        <v>63</v>
      </c>
      <c r="C2667" t="s">
        <v>13</v>
      </c>
      <c r="E2667" t="s">
        <v>8</v>
      </c>
      <c r="F2667" s="1" t="s">
        <v>5</v>
      </c>
      <c r="G2667" s="1"/>
      <c r="H2667" t="s">
        <v>41</v>
      </c>
      <c r="I2667" s="2">
        <v>4701.76</v>
      </c>
      <c r="J2667" t="s">
        <v>157</v>
      </c>
      <c r="K2667" s="7">
        <v>45992</v>
      </c>
    </row>
    <row r="2668" spans="1:11" hidden="1">
      <c r="A2668" t="s">
        <v>39</v>
      </c>
      <c r="B2668" t="s">
        <v>63</v>
      </c>
      <c r="C2668" t="s">
        <v>13</v>
      </c>
      <c r="E2668" t="s">
        <v>8</v>
      </c>
      <c r="F2668" s="1" t="s">
        <v>5</v>
      </c>
      <c r="G2668" s="1"/>
      <c r="H2668" t="s">
        <v>41</v>
      </c>
      <c r="I2668" s="2">
        <v>69400</v>
      </c>
      <c r="J2668" t="s">
        <v>201</v>
      </c>
      <c r="K2668" s="7">
        <v>45992</v>
      </c>
    </row>
    <row r="2669" spans="1:11" hidden="1">
      <c r="A2669" t="s">
        <v>39</v>
      </c>
      <c r="B2669" t="s">
        <v>63</v>
      </c>
      <c r="C2669" t="s">
        <v>14</v>
      </c>
      <c r="E2669" t="s">
        <v>8</v>
      </c>
      <c r="F2669" s="1" t="s">
        <v>5</v>
      </c>
      <c r="G2669" s="1"/>
      <c r="H2669" t="s">
        <v>41</v>
      </c>
      <c r="I2669" s="2">
        <v>136371</v>
      </c>
      <c r="J2669" t="s">
        <v>90</v>
      </c>
      <c r="K2669" s="7">
        <v>45992</v>
      </c>
    </row>
    <row r="2670" spans="1:11" hidden="1">
      <c r="A2670" t="s">
        <v>99</v>
      </c>
      <c r="B2670" t="s">
        <v>63</v>
      </c>
      <c r="C2670" t="s">
        <v>14</v>
      </c>
      <c r="E2670" t="s">
        <v>8</v>
      </c>
      <c r="F2670" s="1" t="s">
        <v>5</v>
      </c>
      <c r="G2670" s="1"/>
      <c r="H2670" t="s">
        <v>41</v>
      </c>
      <c r="I2670" s="2">
        <v>20000</v>
      </c>
      <c r="J2670" t="s">
        <v>1490</v>
      </c>
      <c r="K2670" s="7">
        <v>45992</v>
      </c>
    </row>
    <row r="2671" spans="1:11" hidden="1">
      <c r="A2671" t="s">
        <v>39</v>
      </c>
      <c r="B2671" t="s">
        <v>63</v>
      </c>
      <c r="C2671" t="s">
        <v>12</v>
      </c>
      <c r="E2671" t="s">
        <v>8</v>
      </c>
      <c r="F2671" s="1" t="s">
        <v>5</v>
      </c>
      <c r="G2671" s="1"/>
      <c r="H2671" t="s">
        <v>41</v>
      </c>
      <c r="I2671" s="2">
        <v>201200</v>
      </c>
      <c r="J2671" t="s">
        <v>1527</v>
      </c>
      <c r="K2671" s="7">
        <v>45992</v>
      </c>
    </row>
    <row r="2672" spans="1:11" hidden="1">
      <c r="A2672" t="s">
        <v>39</v>
      </c>
      <c r="B2672" t="s">
        <v>45</v>
      </c>
      <c r="C2672" t="s">
        <v>14</v>
      </c>
      <c r="E2672" t="s">
        <v>8</v>
      </c>
      <c r="F2672" s="1" t="s">
        <v>5</v>
      </c>
      <c r="G2672" s="1"/>
      <c r="H2672" t="s">
        <v>41</v>
      </c>
      <c r="I2672" s="2">
        <v>61455</v>
      </c>
      <c r="J2672" t="s">
        <v>1528</v>
      </c>
      <c r="K2672" s="7">
        <v>45992</v>
      </c>
    </row>
    <row r="2673" spans="1:11" hidden="1">
      <c r="A2673" t="s">
        <v>39</v>
      </c>
      <c r="B2673" t="s">
        <v>63</v>
      </c>
      <c r="C2673" t="s">
        <v>13</v>
      </c>
      <c r="E2673" t="s">
        <v>8</v>
      </c>
      <c r="F2673" s="1" t="s">
        <v>5</v>
      </c>
      <c r="G2673" s="1"/>
      <c r="H2673" t="s">
        <v>41</v>
      </c>
      <c r="I2673" s="2">
        <v>23218.22</v>
      </c>
      <c r="J2673" t="s">
        <v>1529</v>
      </c>
      <c r="K2673" s="7">
        <v>45992</v>
      </c>
    </row>
    <row r="2674" spans="1:11" hidden="1">
      <c r="A2674" t="s">
        <v>39</v>
      </c>
      <c r="B2674" t="s">
        <v>63</v>
      </c>
      <c r="C2674" t="s">
        <v>14</v>
      </c>
      <c r="E2674" t="s">
        <v>8</v>
      </c>
      <c r="F2674" s="1" t="s">
        <v>5</v>
      </c>
      <c r="G2674" s="1"/>
      <c r="H2674" t="s">
        <v>41</v>
      </c>
      <c r="I2674" s="2">
        <v>34125.54</v>
      </c>
      <c r="J2674" t="s">
        <v>403</v>
      </c>
      <c r="K2674" s="7">
        <v>45992</v>
      </c>
    </row>
    <row r="2675" spans="1:11" hidden="1">
      <c r="A2675" t="s">
        <v>114</v>
      </c>
      <c r="B2675" t="s">
        <v>63</v>
      </c>
      <c r="C2675" t="s">
        <v>14</v>
      </c>
      <c r="E2675" t="s">
        <v>8</v>
      </c>
      <c r="F2675" s="1" t="s">
        <v>5</v>
      </c>
      <c r="G2675" s="1"/>
      <c r="H2675" t="s">
        <v>41</v>
      </c>
      <c r="I2675" s="2">
        <v>26673.1</v>
      </c>
      <c r="J2675" t="s">
        <v>1527</v>
      </c>
      <c r="K2675" s="7">
        <v>45992</v>
      </c>
    </row>
    <row r="2676" spans="1:11" hidden="1">
      <c r="A2676" t="s">
        <v>114</v>
      </c>
      <c r="B2676" t="s">
        <v>63</v>
      </c>
      <c r="C2676" t="s">
        <v>14</v>
      </c>
      <c r="E2676" t="s">
        <v>8</v>
      </c>
      <c r="F2676" s="1" t="s">
        <v>5</v>
      </c>
      <c r="G2676" s="1"/>
      <c r="H2676" t="s">
        <v>41</v>
      </c>
      <c r="I2676" s="2">
        <v>21996.11</v>
      </c>
      <c r="J2676" t="s">
        <v>1527</v>
      </c>
      <c r="K2676" s="7">
        <v>45992</v>
      </c>
    </row>
    <row r="2677" spans="1:11">
      <c r="A2677" t="s">
        <v>39</v>
      </c>
      <c r="B2677" t="s">
        <v>47</v>
      </c>
      <c r="C2677" t="s">
        <v>14</v>
      </c>
      <c r="E2677" t="s">
        <v>8</v>
      </c>
      <c r="F2677" s="1" t="s">
        <v>5</v>
      </c>
      <c r="G2677" s="1"/>
      <c r="H2677" t="s">
        <v>41</v>
      </c>
      <c r="I2677" s="2">
        <v>7396</v>
      </c>
      <c r="J2677" t="s">
        <v>146</v>
      </c>
      <c r="K2677" s="7">
        <v>45992</v>
      </c>
    </row>
    <row r="2678" spans="1:11">
      <c r="A2678" t="s">
        <v>39</v>
      </c>
      <c r="B2678" t="s">
        <v>47</v>
      </c>
      <c r="C2678" t="s">
        <v>14</v>
      </c>
      <c r="E2678" t="s">
        <v>8</v>
      </c>
      <c r="F2678" s="1" t="s">
        <v>6</v>
      </c>
      <c r="G2678" s="1"/>
      <c r="H2678" t="s">
        <v>41</v>
      </c>
      <c r="I2678" s="2">
        <v>24255.56</v>
      </c>
      <c r="J2678" t="s">
        <v>169</v>
      </c>
      <c r="K2678" s="7">
        <v>45839</v>
      </c>
    </row>
    <row r="2679" spans="1:11">
      <c r="A2679" t="s">
        <v>39</v>
      </c>
      <c r="B2679" t="s">
        <v>47</v>
      </c>
      <c r="C2679" t="s">
        <v>14</v>
      </c>
      <c r="E2679" t="s">
        <v>8</v>
      </c>
      <c r="F2679" s="1" t="s">
        <v>6</v>
      </c>
      <c r="G2679" s="1"/>
      <c r="H2679" t="s">
        <v>41</v>
      </c>
      <c r="I2679" s="2">
        <v>31.94</v>
      </c>
      <c r="J2679" t="s">
        <v>121</v>
      </c>
      <c r="K2679" s="7">
        <v>45839</v>
      </c>
    </row>
    <row r="2680" spans="1:11">
      <c r="A2680" t="s">
        <v>39</v>
      </c>
      <c r="B2680" t="s">
        <v>47</v>
      </c>
      <c r="C2680" t="s">
        <v>14</v>
      </c>
      <c r="E2680" t="s">
        <v>8</v>
      </c>
      <c r="F2680" s="1" t="s">
        <v>6</v>
      </c>
      <c r="G2680" s="1"/>
      <c r="H2680" t="s">
        <v>41</v>
      </c>
      <c r="I2680" s="2">
        <v>285.58999999999997</v>
      </c>
      <c r="J2680" t="s">
        <v>188</v>
      </c>
      <c r="K2680" s="7">
        <v>45839</v>
      </c>
    </row>
    <row r="2681" spans="1:11">
      <c r="A2681" t="s">
        <v>39</v>
      </c>
      <c r="B2681" t="s">
        <v>47</v>
      </c>
      <c r="C2681" t="s">
        <v>13</v>
      </c>
      <c r="E2681" t="s">
        <v>8</v>
      </c>
      <c r="F2681" s="1" t="s">
        <v>6</v>
      </c>
      <c r="G2681" s="1"/>
      <c r="H2681" t="s">
        <v>41</v>
      </c>
      <c r="I2681" s="2">
        <v>286</v>
      </c>
      <c r="J2681" t="s">
        <v>188</v>
      </c>
      <c r="K2681" s="7">
        <v>45839</v>
      </c>
    </row>
    <row r="2682" spans="1:11">
      <c r="A2682" t="s">
        <v>39</v>
      </c>
      <c r="B2682" t="s">
        <v>47</v>
      </c>
      <c r="C2682" t="s">
        <v>13</v>
      </c>
      <c r="E2682" t="s">
        <v>8</v>
      </c>
      <c r="F2682" s="1" t="s">
        <v>6</v>
      </c>
      <c r="G2682" s="1"/>
      <c r="H2682" t="s">
        <v>41</v>
      </c>
      <c r="I2682" s="2">
        <v>1102.3800000000001</v>
      </c>
      <c r="J2682" t="s">
        <v>188</v>
      </c>
      <c r="K2682" s="7">
        <v>45839</v>
      </c>
    </row>
    <row r="2683" spans="1:11">
      <c r="A2683" t="s">
        <v>39</v>
      </c>
      <c r="B2683" t="s">
        <v>47</v>
      </c>
      <c r="C2683" t="s">
        <v>14</v>
      </c>
      <c r="E2683" t="s">
        <v>8</v>
      </c>
      <c r="F2683" s="1" t="s">
        <v>6</v>
      </c>
      <c r="G2683" s="1"/>
      <c r="H2683" t="s">
        <v>41</v>
      </c>
      <c r="I2683" s="2">
        <v>31.12</v>
      </c>
      <c r="J2683" t="s">
        <v>1530</v>
      </c>
      <c r="K2683" s="7">
        <v>45839</v>
      </c>
    </row>
    <row r="2684" spans="1:11" hidden="1">
      <c r="A2684" t="s">
        <v>99</v>
      </c>
      <c r="B2684" t="s">
        <v>63</v>
      </c>
      <c r="C2684" t="s">
        <v>14</v>
      </c>
      <c r="E2684" t="s">
        <v>8</v>
      </c>
      <c r="F2684" s="1" t="s">
        <v>6</v>
      </c>
      <c r="G2684" s="1"/>
      <c r="H2684" t="s">
        <v>41</v>
      </c>
      <c r="I2684" s="2">
        <v>20000</v>
      </c>
      <c r="J2684" t="s">
        <v>1531</v>
      </c>
      <c r="K2684" s="7">
        <v>45839</v>
      </c>
    </row>
    <row r="2685" spans="1:11" hidden="1">
      <c r="A2685" t="s">
        <v>39</v>
      </c>
      <c r="B2685" t="s">
        <v>63</v>
      </c>
      <c r="C2685" t="s">
        <v>13</v>
      </c>
      <c r="E2685" t="s">
        <v>8</v>
      </c>
      <c r="F2685" s="1" t="s">
        <v>6</v>
      </c>
      <c r="G2685" s="1"/>
      <c r="H2685" t="s">
        <v>41</v>
      </c>
      <c r="I2685" s="2">
        <v>24520.39</v>
      </c>
      <c r="J2685" t="s">
        <v>302</v>
      </c>
      <c r="K2685" s="7">
        <v>45839</v>
      </c>
    </row>
    <row r="2686" spans="1:11" hidden="1">
      <c r="A2686" t="s">
        <v>39</v>
      </c>
      <c r="B2686" t="s">
        <v>63</v>
      </c>
      <c r="C2686" t="s">
        <v>13</v>
      </c>
      <c r="E2686" t="s">
        <v>8</v>
      </c>
      <c r="F2686" s="1" t="s">
        <v>6</v>
      </c>
      <c r="G2686" s="1"/>
      <c r="H2686" t="s">
        <v>41</v>
      </c>
      <c r="I2686" s="2">
        <v>4581.16</v>
      </c>
      <c r="J2686" t="s">
        <v>307</v>
      </c>
      <c r="K2686" s="7">
        <v>45839</v>
      </c>
    </row>
    <row r="2687" spans="1:11" hidden="1">
      <c r="A2687" t="s">
        <v>39</v>
      </c>
      <c r="B2687" t="s">
        <v>63</v>
      </c>
      <c r="C2687" t="s">
        <v>124</v>
      </c>
      <c r="E2687" t="s">
        <v>8</v>
      </c>
      <c r="F2687" s="1" t="s">
        <v>6</v>
      </c>
      <c r="G2687" s="1"/>
      <c r="H2687" t="s">
        <v>41</v>
      </c>
      <c r="I2687" s="2">
        <v>1643.11</v>
      </c>
      <c r="J2687" t="s">
        <v>307</v>
      </c>
      <c r="K2687" s="7">
        <v>45839</v>
      </c>
    </row>
    <row r="2688" spans="1:11" hidden="1">
      <c r="A2688" t="s">
        <v>39</v>
      </c>
      <c r="B2688" t="s">
        <v>63</v>
      </c>
      <c r="C2688" t="s">
        <v>124</v>
      </c>
      <c r="E2688" t="s">
        <v>8</v>
      </c>
      <c r="F2688" s="1" t="s">
        <v>6</v>
      </c>
      <c r="G2688" s="1"/>
      <c r="H2688" t="s">
        <v>41</v>
      </c>
      <c r="I2688" s="2">
        <v>7457.99</v>
      </c>
      <c r="J2688" t="s">
        <v>149</v>
      </c>
      <c r="K2688" s="7">
        <v>45839</v>
      </c>
    </row>
    <row r="2689" spans="1:11" hidden="1">
      <c r="A2689" t="s">
        <v>39</v>
      </c>
      <c r="B2689" t="s">
        <v>63</v>
      </c>
      <c r="C2689" t="s">
        <v>124</v>
      </c>
      <c r="E2689" t="s">
        <v>8</v>
      </c>
      <c r="F2689" s="1" t="s">
        <v>6</v>
      </c>
      <c r="G2689" s="1"/>
      <c r="H2689" t="s">
        <v>41</v>
      </c>
      <c r="I2689" s="2">
        <v>5273.04</v>
      </c>
      <c r="J2689" t="s">
        <v>149</v>
      </c>
      <c r="K2689" s="7">
        <v>45839</v>
      </c>
    </row>
    <row r="2690" spans="1:11" hidden="1">
      <c r="A2690" t="s">
        <v>39</v>
      </c>
      <c r="B2690" t="s">
        <v>63</v>
      </c>
      <c r="C2690" t="s">
        <v>124</v>
      </c>
      <c r="E2690" t="s">
        <v>8</v>
      </c>
      <c r="F2690" s="1" t="s">
        <v>6</v>
      </c>
      <c r="G2690" s="1"/>
      <c r="H2690" t="s">
        <v>41</v>
      </c>
      <c r="I2690" s="2">
        <v>1682.46</v>
      </c>
      <c r="J2690" t="s">
        <v>149</v>
      </c>
      <c r="K2690" s="7">
        <v>45839</v>
      </c>
    </row>
    <row r="2691" spans="1:11" hidden="1">
      <c r="A2691" t="s">
        <v>39</v>
      </c>
      <c r="B2691" t="s">
        <v>63</v>
      </c>
      <c r="C2691" t="s">
        <v>124</v>
      </c>
      <c r="E2691" t="s">
        <v>8</v>
      </c>
      <c r="F2691" s="1" t="s">
        <v>6</v>
      </c>
      <c r="G2691" s="1"/>
      <c r="H2691" t="s">
        <v>41</v>
      </c>
      <c r="I2691" s="2">
        <v>1356</v>
      </c>
      <c r="J2691" t="s">
        <v>241</v>
      </c>
      <c r="K2691" s="7">
        <v>45839</v>
      </c>
    </row>
    <row r="2692" spans="1:11" hidden="1">
      <c r="A2692" t="s">
        <v>39</v>
      </c>
      <c r="B2692" t="s">
        <v>63</v>
      </c>
      <c r="C2692" t="s">
        <v>124</v>
      </c>
      <c r="E2692" t="s">
        <v>8</v>
      </c>
      <c r="F2692" s="1" t="s">
        <v>6</v>
      </c>
      <c r="G2692" s="1"/>
      <c r="H2692" t="s">
        <v>41</v>
      </c>
      <c r="I2692" s="2">
        <v>1009</v>
      </c>
      <c r="J2692" t="s">
        <v>469</v>
      </c>
      <c r="K2692" s="7">
        <v>45839</v>
      </c>
    </row>
    <row r="2693" spans="1:11" hidden="1">
      <c r="A2693" t="s">
        <v>39</v>
      </c>
      <c r="B2693" t="s">
        <v>63</v>
      </c>
      <c r="C2693" t="s">
        <v>124</v>
      </c>
      <c r="E2693" t="s">
        <v>8</v>
      </c>
      <c r="F2693" s="1" t="s">
        <v>6</v>
      </c>
      <c r="G2693" s="1"/>
      <c r="H2693" t="s">
        <v>41</v>
      </c>
      <c r="I2693">
        <v>452</v>
      </c>
      <c r="J2693" t="s">
        <v>1532</v>
      </c>
      <c r="K2693" s="7">
        <v>45839</v>
      </c>
    </row>
    <row r="2694" spans="1:11" hidden="1">
      <c r="A2694" t="s">
        <v>114</v>
      </c>
      <c r="B2694" t="s">
        <v>63</v>
      </c>
      <c r="C2694" t="s">
        <v>13</v>
      </c>
      <c r="E2694" t="s">
        <v>8</v>
      </c>
      <c r="F2694" s="1" t="s">
        <v>6</v>
      </c>
      <c r="G2694" s="1"/>
      <c r="H2694" t="s">
        <v>41</v>
      </c>
      <c r="I2694" s="2">
        <v>9248.4500000000007</v>
      </c>
      <c r="J2694" t="s">
        <v>253</v>
      </c>
      <c r="K2694" s="7">
        <v>45839</v>
      </c>
    </row>
    <row r="2695" spans="1:11" hidden="1">
      <c r="A2695" t="s">
        <v>114</v>
      </c>
      <c r="B2695" t="s">
        <v>63</v>
      </c>
      <c r="C2695" t="s">
        <v>13</v>
      </c>
      <c r="E2695" t="s">
        <v>8</v>
      </c>
      <c r="F2695" s="1" t="s">
        <v>6</v>
      </c>
      <c r="G2695" s="1"/>
      <c r="H2695" t="s">
        <v>41</v>
      </c>
      <c r="I2695" s="2">
        <v>2799.93</v>
      </c>
      <c r="J2695" t="s">
        <v>253</v>
      </c>
      <c r="K2695" s="7">
        <v>45839</v>
      </c>
    </row>
    <row r="2696" spans="1:11" hidden="1">
      <c r="A2696" t="s">
        <v>114</v>
      </c>
      <c r="B2696" t="s">
        <v>63</v>
      </c>
      <c r="C2696" t="s">
        <v>13</v>
      </c>
      <c r="E2696" t="s">
        <v>8</v>
      </c>
      <c r="F2696" s="1" t="s">
        <v>6</v>
      </c>
      <c r="G2696" s="1"/>
      <c r="H2696" t="s">
        <v>41</v>
      </c>
      <c r="I2696" s="2">
        <v>7835.26</v>
      </c>
      <c r="J2696" t="s">
        <v>253</v>
      </c>
      <c r="K2696" s="7">
        <v>45839</v>
      </c>
    </row>
    <row r="2697" spans="1:11" hidden="1">
      <c r="A2697" t="s">
        <v>114</v>
      </c>
      <c r="B2697" t="s">
        <v>63</v>
      </c>
      <c r="C2697" t="s">
        <v>13</v>
      </c>
      <c r="E2697" t="s">
        <v>8</v>
      </c>
      <c r="F2697" s="1" t="s">
        <v>6</v>
      </c>
      <c r="G2697" s="1"/>
      <c r="H2697" t="s">
        <v>41</v>
      </c>
      <c r="I2697" s="2">
        <v>4213.7700000000004</v>
      </c>
      <c r="J2697" t="s">
        <v>253</v>
      </c>
      <c r="K2697" s="7">
        <v>45839</v>
      </c>
    </row>
    <row r="2698" spans="1:11" hidden="1">
      <c r="A2698" t="s">
        <v>114</v>
      </c>
      <c r="B2698" t="s">
        <v>63</v>
      </c>
      <c r="C2698" t="s">
        <v>13</v>
      </c>
      <c r="E2698" t="s">
        <v>8</v>
      </c>
      <c r="F2698" s="1" t="s">
        <v>6</v>
      </c>
      <c r="G2698" s="1"/>
      <c r="H2698" t="s">
        <v>41</v>
      </c>
      <c r="I2698" s="2">
        <v>1974.4</v>
      </c>
      <c r="J2698" t="s">
        <v>253</v>
      </c>
      <c r="K2698" s="7">
        <v>45839</v>
      </c>
    </row>
    <row r="2699" spans="1:11" hidden="1">
      <c r="A2699" t="s">
        <v>114</v>
      </c>
      <c r="B2699" t="s">
        <v>63</v>
      </c>
      <c r="C2699" t="s">
        <v>13</v>
      </c>
      <c r="E2699" t="s">
        <v>8</v>
      </c>
      <c r="F2699" s="1" t="s">
        <v>6</v>
      </c>
      <c r="G2699" s="1"/>
      <c r="H2699" t="s">
        <v>41</v>
      </c>
      <c r="I2699">
        <v>727.26</v>
      </c>
      <c r="J2699" t="s">
        <v>269</v>
      </c>
      <c r="K2699" s="7">
        <v>45839</v>
      </c>
    </row>
    <row r="2700" spans="1:11" hidden="1">
      <c r="A2700" t="s">
        <v>114</v>
      </c>
      <c r="B2700" t="s">
        <v>63</v>
      </c>
      <c r="C2700" t="s">
        <v>13</v>
      </c>
      <c r="E2700" t="s">
        <v>8</v>
      </c>
      <c r="F2700" s="1" t="s">
        <v>6</v>
      </c>
      <c r="G2700" s="1"/>
      <c r="H2700" t="s">
        <v>41</v>
      </c>
      <c r="I2700" s="2">
        <v>5661.31</v>
      </c>
      <c r="J2700" t="s">
        <v>253</v>
      </c>
      <c r="K2700" s="7">
        <v>45839</v>
      </c>
    </row>
    <row r="2701" spans="1:11" hidden="1">
      <c r="A2701" t="s">
        <v>114</v>
      </c>
      <c r="B2701" t="s">
        <v>63</v>
      </c>
      <c r="C2701" t="s">
        <v>13</v>
      </c>
      <c r="E2701" t="s">
        <v>8</v>
      </c>
      <c r="F2701" s="1" t="s">
        <v>6</v>
      </c>
      <c r="G2701" s="1"/>
      <c r="H2701" t="s">
        <v>41</v>
      </c>
      <c r="I2701" s="2">
        <v>2982.95</v>
      </c>
      <c r="J2701" t="s">
        <v>253</v>
      </c>
      <c r="K2701" s="7">
        <v>45839</v>
      </c>
    </row>
    <row r="2702" spans="1:11" hidden="1">
      <c r="A2702" t="s">
        <v>114</v>
      </c>
      <c r="B2702" t="s">
        <v>63</v>
      </c>
      <c r="C2702" t="s">
        <v>13</v>
      </c>
      <c r="E2702" t="s">
        <v>8</v>
      </c>
      <c r="F2702" s="1" t="s">
        <v>6</v>
      </c>
      <c r="G2702" s="1"/>
      <c r="H2702" t="s">
        <v>41</v>
      </c>
      <c r="I2702" s="2">
        <v>1000</v>
      </c>
      <c r="J2702" t="s">
        <v>490</v>
      </c>
      <c r="K2702" s="7">
        <v>45839</v>
      </c>
    </row>
    <row r="2703" spans="1:11" hidden="1">
      <c r="A2703" t="s">
        <v>114</v>
      </c>
      <c r="B2703" t="s">
        <v>63</v>
      </c>
      <c r="C2703" t="s">
        <v>13</v>
      </c>
      <c r="E2703" t="s">
        <v>8</v>
      </c>
      <c r="F2703" s="1" t="s">
        <v>6</v>
      </c>
      <c r="G2703" s="1"/>
      <c r="H2703" t="s">
        <v>41</v>
      </c>
      <c r="I2703" s="2">
        <v>1372.89</v>
      </c>
      <c r="J2703" t="s">
        <v>182</v>
      </c>
      <c r="K2703" s="7">
        <v>45839</v>
      </c>
    </row>
    <row r="2704" spans="1:11" hidden="1">
      <c r="A2704" t="s">
        <v>114</v>
      </c>
      <c r="B2704" t="s">
        <v>63</v>
      </c>
      <c r="C2704" t="s">
        <v>13</v>
      </c>
      <c r="E2704" t="s">
        <v>8</v>
      </c>
      <c r="F2704" s="1" t="s">
        <v>6</v>
      </c>
      <c r="G2704" s="1"/>
      <c r="H2704" t="s">
        <v>41</v>
      </c>
      <c r="I2704">
        <v>269.95999999999998</v>
      </c>
      <c r="J2704" t="s">
        <v>182</v>
      </c>
      <c r="K2704" s="7">
        <v>45839</v>
      </c>
    </row>
    <row r="2705" spans="1:11" hidden="1">
      <c r="A2705" t="s">
        <v>114</v>
      </c>
      <c r="B2705" t="s">
        <v>63</v>
      </c>
      <c r="C2705" t="s">
        <v>13</v>
      </c>
      <c r="E2705" t="s">
        <v>8</v>
      </c>
      <c r="F2705" s="1" t="s">
        <v>6</v>
      </c>
      <c r="G2705" s="1"/>
      <c r="H2705" t="s">
        <v>41</v>
      </c>
      <c r="I2705" s="2">
        <v>1383.39</v>
      </c>
      <c r="J2705" t="s">
        <v>182</v>
      </c>
      <c r="K2705" s="7">
        <v>45839</v>
      </c>
    </row>
    <row r="2706" spans="1:11" hidden="1">
      <c r="A2706" t="s">
        <v>114</v>
      </c>
      <c r="B2706" t="s">
        <v>63</v>
      </c>
      <c r="C2706" t="s">
        <v>13</v>
      </c>
      <c r="E2706" t="s">
        <v>8</v>
      </c>
      <c r="F2706" s="1" t="s">
        <v>6</v>
      </c>
      <c r="G2706" s="1"/>
      <c r="H2706" t="s">
        <v>41</v>
      </c>
      <c r="I2706" s="2">
        <v>2299.42</v>
      </c>
      <c r="J2706" t="s">
        <v>1509</v>
      </c>
      <c r="K2706" s="7">
        <v>45839</v>
      </c>
    </row>
    <row r="2707" spans="1:11" hidden="1">
      <c r="A2707" t="s">
        <v>114</v>
      </c>
      <c r="B2707" t="s">
        <v>63</v>
      </c>
      <c r="C2707" t="s">
        <v>13</v>
      </c>
      <c r="E2707" t="s">
        <v>8</v>
      </c>
      <c r="F2707" s="1" t="s">
        <v>6</v>
      </c>
      <c r="G2707" s="1"/>
      <c r="H2707" t="s">
        <v>41</v>
      </c>
      <c r="I2707" s="2">
        <v>1669.71</v>
      </c>
      <c r="J2707" t="s">
        <v>269</v>
      </c>
      <c r="K2707" s="7">
        <v>45839</v>
      </c>
    </row>
    <row r="2708" spans="1:11" hidden="1">
      <c r="A2708" t="s">
        <v>39</v>
      </c>
      <c r="B2708" t="s">
        <v>63</v>
      </c>
      <c r="C2708" t="s">
        <v>14</v>
      </c>
      <c r="E2708" t="s">
        <v>8</v>
      </c>
      <c r="F2708" t="s">
        <v>6</v>
      </c>
      <c r="G2708" s="1"/>
      <c r="H2708" t="s">
        <v>41</v>
      </c>
      <c r="I2708" s="2">
        <v>125000</v>
      </c>
      <c r="J2708" s="47" t="s">
        <v>131</v>
      </c>
      <c r="K2708" s="7">
        <v>45901</v>
      </c>
    </row>
    <row r="2709" spans="1:11" hidden="1">
      <c r="A2709" t="s">
        <v>39</v>
      </c>
      <c r="B2709" t="s">
        <v>63</v>
      </c>
      <c r="C2709" t="s">
        <v>14</v>
      </c>
      <c r="E2709" t="s">
        <v>8</v>
      </c>
      <c r="F2709" t="s">
        <v>6</v>
      </c>
      <c r="G2709" s="1"/>
      <c r="H2709" t="s">
        <v>41</v>
      </c>
      <c r="I2709" s="2">
        <v>22600</v>
      </c>
      <c r="J2709" s="47" t="s">
        <v>344</v>
      </c>
      <c r="K2709" s="7">
        <v>45901</v>
      </c>
    </row>
    <row r="2710" spans="1:11" hidden="1">
      <c r="A2710" t="s">
        <v>39</v>
      </c>
      <c r="B2710" t="s">
        <v>40</v>
      </c>
      <c r="C2710" t="s">
        <v>14</v>
      </c>
      <c r="E2710" t="s">
        <v>8</v>
      </c>
      <c r="F2710" s="1" t="s">
        <v>6</v>
      </c>
      <c r="G2710" s="1"/>
      <c r="H2710" t="s">
        <v>41</v>
      </c>
      <c r="I2710" s="2">
        <v>30000</v>
      </c>
      <c r="J2710" t="s">
        <v>98</v>
      </c>
      <c r="K2710" s="7">
        <v>45901</v>
      </c>
    </row>
    <row r="2711" spans="1:11">
      <c r="A2711" t="s">
        <v>39</v>
      </c>
      <c r="B2711" t="s">
        <v>47</v>
      </c>
      <c r="C2711" t="s">
        <v>12</v>
      </c>
      <c r="E2711" t="s">
        <v>8</v>
      </c>
      <c r="F2711" s="1" t="s">
        <v>6</v>
      </c>
      <c r="G2711" s="1"/>
      <c r="H2711" t="s">
        <v>41</v>
      </c>
      <c r="I2711" s="2">
        <v>350000</v>
      </c>
      <c r="J2711" t="s">
        <v>890</v>
      </c>
      <c r="K2711" s="7">
        <v>45901</v>
      </c>
    </row>
    <row r="2712" spans="1:11">
      <c r="A2712" t="s">
        <v>39</v>
      </c>
      <c r="B2712" t="s">
        <v>47</v>
      </c>
      <c r="C2712" t="s">
        <v>14</v>
      </c>
      <c r="E2712" t="s">
        <v>8</v>
      </c>
      <c r="F2712" s="1" t="s">
        <v>6</v>
      </c>
      <c r="G2712" s="1"/>
      <c r="H2712" t="s">
        <v>41</v>
      </c>
      <c r="I2712" s="2">
        <v>35177</v>
      </c>
      <c r="J2712" t="s">
        <v>257</v>
      </c>
      <c r="K2712" s="7">
        <v>45901</v>
      </c>
    </row>
    <row r="2713" spans="1:11" hidden="1">
      <c r="A2713" t="s">
        <v>39</v>
      </c>
      <c r="B2713" t="s">
        <v>63</v>
      </c>
      <c r="C2713" t="s">
        <v>14</v>
      </c>
      <c r="E2713" t="s">
        <v>8</v>
      </c>
      <c r="F2713" t="s">
        <v>6</v>
      </c>
      <c r="G2713" s="1"/>
      <c r="H2713" t="s">
        <v>41</v>
      </c>
      <c r="I2713" s="2">
        <v>20000</v>
      </c>
      <c r="J2713" s="47" t="s">
        <v>1533</v>
      </c>
      <c r="K2713" s="7">
        <v>45901</v>
      </c>
    </row>
    <row r="2714" spans="1:11" hidden="1">
      <c r="A2714" t="s">
        <v>39</v>
      </c>
      <c r="B2714" t="s">
        <v>45</v>
      </c>
      <c r="C2714" t="s">
        <v>14</v>
      </c>
      <c r="E2714" t="s">
        <v>8</v>
      </c>
      <c r="F2714" s="1" t="s">
        <v>6</v>
      </c>
      <c r="G2714" s="1"/>
      <c r="H2714" t="s">
        <v>41</v>
      </c>
      <c r="I2714" s="2">
        <v>173016.82</v>
      </c>
      <c r="J2714" s="47" t="s">
        <v>461</v>
      </c>
      <c r="K2714" s="7">
        <v>45901</v>
      </c>
    </row>
    <row r="2715" spans="1:11" hidden="1">
      <c r="A2715" t="s">
        <v>39</v>
      </c>
      <c r="B2715" t="s">
        <v>40</v>
      </c>
      <c r="C2715" t="s">
        <v>14</v>
      </c>
      <c r="E2715" t="s">
        <v>9</v>
      </c>
      <c r="F2715" s="1" t="s">
        <v>3</v>
      </c>
      <c r="G2715" s="1">
        <v>46034</v>
      </c>
      <c r="H2715" t="s">
        <v>41</v>
      </c>
      <c r="I2715" s="2">
        <v>508.5</v>
      </c>
      <c r="J2715" s="47" t="s">
        <v>283</v>
      </c>
      <c r="K2715" s="7">
        <v>46023</v>
      </c>
    </row>
    <row r="2716" spans="1:11" hidden="1">
      <c r="A2716" t="s">
        <v>114</v>
      </c>
      <c r="B2716" t="s">
        <v>63</v>
      </c>
      <c r="C2716" t="s">
        <v>14</v>
      </c>
      <c r="E2716" t="s">
        <v>9</v>
      </c>
      <c r="F2716" s="1" t="s">
        <v>4</v>
      </c>
      <c r="G2716" s="1">
        <v>46009</v>
      </c>
      <c r="H2716" t="s">
        <v>41</v>
      </c>
      <c r="I2716" s="2">
        <v>13896.43</v>
      </c>
      <c r="J2716" t="s">
        <v>1534</v>
      </c>
      <c r="K2716" s="7">
        <v>45992</v>
      </c>
    </row>
    <row r="2717" spans="1:11" hidden="1">
      <c r="A2717" t="s">
        <v>39</v>
      </c>
      <c r="B2717" t="s">
        <v>63</v>
      </c>
      <c r="C2717" t="s">
        <v>14</v>
      </c>
      <c r="E2717" t="s">
        <v>9</v>
      </c>
      <c r="F2717" s="1" t="s">
        <v>4</v>
      </c>
      <c r="G2717" s="1">
        <v>46009</v>
      </c>
      <c r="H2717" t="s">
        <v>64</v>
      </c>
      <c r="I2717" s="2">
        <f>4743217/510</f>
        <v>9300.4254901960776</v>
      </c>
      <c r="J2717" t="s">
        <v>821</v>
      </c>
      <c r="K2717" s="7">
        <v>45992</v>
      </c>
    </row>
    <row r="2718" spans="1:11" hidden="1">
      <c r="A2718" t="s">
        <v>39</v>
      </c>
      <c r="B2718" t="s">
        <v>40</v>
      </c>
      <c r="C2718" t="s">
        <v>14</v>
      </c>
      <c r="E2718" t="s">
        <v>9</v>
      </c>
      <c r="F2718" s="1" t="s">
        <v>3</v>
      </c>
      <c r="G2718" s="1">
        <v>46003</v>
      </c>
      <c r="H2718" t="s">
        <v>41</v>
      </c>
      <c r="I2718" s="2">
        <v>503</v>
      </c>
      <c r="J2718" t="s">
        <v>1535</v>
      </c>
      <c r="K2718" s="7">
        <v>45992</v>
      </c>
    </row>
    <row r="2719" spans="1:11" hidden="1">
      <c r="A2719" t="s">
        <v>39</v>
      </c>
      <c r="B2719" t="s">
        <v>40</v>
      </c>
      <c r="C2719" t="s">
        <v>14</v>
      </c>
      <c r="E2719" t="s">
        <v>9</v>
      </c>
      <c r="F2719" s="1" t="s">
        <v>4</v>
      </c>
      <c r="G2719" s="1">
        <v>46009</v>
      </c>
      <c r="H2719" t="s">
        <v>64</v>
      </c>
      <c r="I2719" s="2">
        <f>4416340/510</f>
        <v>8659.4901960784318</v>
      </c>
      <c r="J2719" t="s">
        <v>1536</v>
      </c>
      <c r="K2719" s="7">
        <v>45992</v>
      </c>
    </row>
    <row r="2720" spans="1:11" hidden="1">
      <c r="A2720" t="s">
        <v>39</v>
      </c>
      <c r="B2720" t="s">
        <v>40</v>
      </c>
      <c r="C2720" t="s">
        <v>12</v>
      </c>
      <c r="E2720" t="s">
        <v>9</v>
      </c>
      <c r="F2720" s="1" t="s">
        <v>2</v>
      </c>
      <c r="G2720" s="1">
        <v>45812</v>
      </c>
      <c r="H2720" t="s">
        <v>64</v>
      </c>
      <c r="I2720" s="2">
        <f>255000/508</f>
        <v>501.96850393700788</v>
      </c>
      <c r="J2720" t="s">
        <v>491</v>
      </c>
      <c r="K2720" s="7">
        <v>45809</v>
      </c>
    </row>
    <row r="2721" spans="1:11" hidden="1">
      <c r="A2721" t="s">
        <v>39</v>
      </c>
      <c r="B2721" t="s">
        <v>40</v>
      </c>
      <c r="C2721" t="s">
        <v>14</v>
      </c>
      <c r="D2721">
        <v>10026494</v>
      </c>
      <c r="E2721" t="s">
        <v>9</v>
      </c>
      <c r="F2721" t="s">
        <v>2</v>
      </c>
      <c r="G2721" s="1">
        <v>45779</v>
      </c>
      <c r="H2721" t="s">
        <v>41</v>
      </c>
      <c r="I2721">
        <v>500</v>
      </c>
      <c r="J2721" t="s">
        <v>78</v>
      </c>
      <c r="K2721" s="7">
        <v>45778</v>
      </c>
    </row>
    <row r="2722" spans="1:11" hidden="1">
      <c r="A2722" t="s">
        <v>39</v>
      </c>
      <c r="B2722" t="s">
        <v>45</v>
      </c>
      <c r="C2722" t="s">
        <v>14</v>
      </c>
      <c r="D2722">
        <v>10026676</v>
      </c>
      <c r="E2722" t="s">
        <v>9</v>
      </c>
      <c r="F2722" s="1" t="s">
        <v>6</v>
      </c>
      <c r="G2722" s="1">
        <v>45803</v>
      </c>
      <c r="H2722" t="s">
        <v>41</v>
      </c>
      <c r="I2722" s="2">
        <v>500</v>
      </c>
      <c r="J2722" t="s">
        <v>1037</v>
      </c>
      <c r="K2722" s="7">
        <v>45778</v>
      </c>
    </row>
    <row r="2723" spans="1:11" hidden="1">
      <c r="A2723" t="s">
        <v>39</v>
      </c>
      <c r="B2723" t="s">
        <v>40</v>
      </c>
      <c r="C2723" t="s">
        <v>14</v>
      </c>
      <c r="E2723" t="s">
        <v>9</v>
      </c>
      <c r="F2723" s="1" t="s">
        <v>6</v>
      </c>
      <c r="G2723" s="1">
        <v>45806</v>
      </c>
      <c r="H2723" t="s">
        <v>41</v>
      </c>
      <c r="I2723" s="2">
        <v>500</v>
      </c>
      <c r="J2723" t="s">
        <v>78</v>
      </c>
      <c r="K2723" s="7">
        <v>45778</v>
      </c>
    </row>
    <row r="2724" spans="1:11" hidden="1">
      <c r="A2724" t="s">
        <v>39</v>
      </c>
      <c r="B2724" t="s">
        <v>40</v>
      </c>
      <c r="C2724" t="s">
        <v>14</v>
      </c>
      <c r="E2724" t="s">
        <v>9</v>
      </c>
      <c r="F2724" s="1" t="s">
        <v>2</v>
      </c>
      <c r="G2724" s="1">
        <v>45814</v>
      </c>
      <c r="H2724" t="s">
        <v>41</v>
      </c>
      <c r="I2724" s="2">
        <v>500</v>
      </c>
      <c r="J2724" t="s">
        <v>951</v>
      </c>
      <c r="K2724" s="7">
        <v>45809</v>
      </c>
    </row>
    <row r="2725" spans="1:11" hidden="1">
      <c r="A2725" t="s">
        <v>39</v>
      </c>
      <c r="B2725" t="s">
        <v>40</v>
      </c>
      <c r="C2725" t="s">
        <v>14</v>
      </c>
      <c r="E2725" t="s">
        <v>9</v>
      </c>
      <c r="F2725" s="1" t="s">
        <v>5</v>
      </c>
      <c r="G2725" s="1">
        <v>45838</v>
      </c>
      <c r="H2725" t="s">
        <v>41</v>
      </c>
      <c r="I2725" s="2">
        <v>500</v>
      </c>
      <c r="J2725" t="s">
        <v>78</v>
      </c>
      <c r="K2725" s="7">
        <v>45809</v>
      </c>
    </row>
    <row r="2726" spans="1:11" hidden="1">
      <c r="A2726" t="s">
        <v>39</v>
      </c>
      <c r="B2726" t="s">
        <v>40</v>
      </c>
      <c r="C2726" t="s">
        <v>14</v>
      </c>
      <c r="D2726">
        <v>10027132</v>
      </c>
      <c r="E2726" t="s">
        <v>9</v>
      </c>
      <c r="F2726" s="1" t="s">
        <v>5</v>
      </c>
      <c r="G2726" s="1">
        <v>45860</v>
      </c>
      <c r="H2726" t="s">
        <v>41</v>
      </c>
      <c r="I2726" s="2">
        <v>500</v>
      </c>
      <c r="J2726" t="s">
        <v>1537</v>
      </c>
      <c r="K2726" s="7">
        <v>45839</v>
      </c>
    </row>
    <row r="2727" spans="1:11" hidden="1">
      <c r="A2727" t="s">
        <v>39</v>
      </c>
      <c r="B2727" t="s">
        <v>40</v>
      </c>
      <c r="C2727" t="s">
        <v>14</v>
      </c>
      <c r="D2727">
        <v>10027137</v>
      </c>
      <c r="E2727" t="s">
        <v>9</v>
      </c>
      <c r="F2727" s="1" t="s">
        <v>5</v>
      </c>
      <c r="G2727" s="1">
        <v>45860</v>
      </c>
      <c r="H2727" t="s">
        <v>41</v>
      </c>
      <c r="I2727" s="2">
        <v>500</v>
      </c>
      <c r="J2727" t="s">
        <v>1537</v>
      </c>
      <c r="K2727" s="7">
        <v>45839</v>
      </c>
    </row>
    <row r="2728" spans="1:11" hidden="1">
      <c r="A2728" t="s">
        <v>39</v>
      </c>
      <c r="B2728" t="s">
        <v>40</v>
      </c>
      <c r="C2728" t="s">
        <v>13</v>
      </c>
      <c r="E2728" t="s">
        <v>9</v>
      </c>
      <c r="F2728" s="1" t="s">
        <v>6</v>
      </c>
      <c r="G2728" s="1">
        <v>45868</v>
      </c>
      <c r="H2728" t="s">
        <v>41</v>
      </c>
      <c r="I2728" s="2">
        <v>500</v>
      </c>
      <c r="J2728" s="47" t="s">
        <v>78</v>
      </c>
      <c r="K2728" s="7">
        <v>45839</v>
      </c>
    </row>
    <row r="2729" spans="1:11" hidden="1">
      <c r="A2729" t="s">
        <v>39</v>
      </c>
      <c r="B2729" t="s">
        <v>40</v>
      </c>
      <c r="C2729" t="s">
        <v>14</v>
      </c>
      <c r="D2729">
        <v>10027239</v>
      </c>
      <c r="E2729" t="s">
        <v>9</v>
      </c>
      <c r="F2729" s="1" t="s">
        <v>2</v>
      </c>
      <c r="G2729" s="1">
        <v>45873</v>
      </c>
      <c r="H2729" t="s">
        <v>41</v>
      </c>
      <c r="I2729" s="2">
        <v>500</v>
      </c>
      <c r="J2729" t="s">
        <v>900</v>
      </c>
      <c r="K2729" s="7">
        <v>45870</v>
      </c>
    </row>
    <row r="2730" spans="1:11" hidden="1">
      <c r="A2730" t="s">
        <v>39</v>
      </c>
      <c r="B2730" t="s">
        <v>40</v>
      </c>
      <c r="C2730" t="s">
        <v>14</v>
      </c>
      <c r="E2730" t="s">
        <v>9</v>
      </c>
      <c r="F2730" s="1" t="s">
        <v>5</v>
      </c>
      <c r="G2730" s="1">
        <v>45898</v>
      </c>
      <c r="H2730" t="s">
        <v>41</v>
      </c>
      <c r="I2730" s="2">
        <v>500</v>
      </c>
      <c r="J2730" t="s">
        <v>78</v>
      </c>
      <c r="K2730" s="7">
        <v>45870</v>
      </c>
    </row>
    <row r="2731" spans="1:11" hidden="1">
      <c r="A2731" t="s">
        <v>39</v>
      </c>
      <c r="B2731" t="s">
        <v>40</v>
      </c>
      <c r="C2731" t="s">
        <v>14</v>
      </c>
      <c r="D2731">
        <v>10027672</v>
      </c>
      <c r="E2731" t="s">
        <v>9</v>
      </c>
      <c r="F2731" s="1" t="s">
        <v>6</v>
      </c>
      <c r="G2731" s="1">
        <v>45930</v>
      </c>
      <c r="H2731" t="s">
        <v>41</v>
      </c>
      <c r="I2731" s="2">
        <v>500</v>
      </c>
      <c r="J2731" t="s">
        <v>78</v>
      </c>
      <c r="K2731" s="7">
        <v>45901</v>
      </c>
    </row>
    <row r="2732" spans="1:11" hidden="1">
      <c r="A2732" t="s">
        <v>39</v>
      </c>
      <c r="B2732" t="s">
        <v>40</v>
      </c>
      <c r="C2732" t="s">
        <v>13</v>
      </c>
      <c r="E2732" t="s">
        <v>9</v>
      </c>
      <c r="F2732" s="1" t="s">
        <v>5</v>
      </c>
      <c r="G2732" s="1">
        <v>45988</v>
      </c>
      <c r="H2732" t="s">
        <v>41</v>
      </c>
      <c r="I2732" s="2">
        <v>500</v>
      </c>
      <c r="J2732" t="s">
        <v>1538</v>
      </c>
      <c r="K2732" s="7">
        <v>45962</v>
      </c>
    </row>
    <row r="2733" spans="1:11" hidden="1">
      <c r="A2733" t="s">
        <v>39</v>
      </c>
      <c r="B2733" t="s">
        <v>40</v>
      </c>
      <c r="C2733" t="s">
        <v>14</v>
      </c>
      <c r="D2733">
        <v>10028099</v>
      </c>
      <c r="E2733" t="s">
        <v>9</v>
      </c>
      <c r="F2733" s="1" t="s">
        <v>3</v>
      </c>
      <c r="G2733" s="1">
        <v>45997</v>
      </c>
      <c r="H2733" t="s">
        <v>41</v>
      </c>
      <c r="I2733" s="2">
        <v>500</v>
      </c>
      <c r="J2733" t="s">
        <v>1539</v>
      </c>
      <c r="K2733" s="7">
        <v>45992</v>
      </c>
    </row>
    <row r="2734" spans="1:11" hidden="1">
      <c r="A2734" t="s">
        <v>39</v>
      </c>
      <c r="B2734" t="s">
        <v>40</v>
      </c>
      <c r="C2734" t="s">
        <v>14</v>
      </c>
      <c r="E2734" t="s">
        <v>9</v>
      </c>
      <c r="F2734" s="1" t="s">
        <v>2</v>
      </c>
      <c r="G2734" s="1">
        <v>46023</v>
      </c>
      <c r="H2734" t="s">
        <v>41</v>
      </c>
      <c r="I2734" s="2">
        <v>500</v>
      </c>
      <c r="J2734" t="s">
        <v>1538</v>
      </c>
      <c r="K2734" s="7">
        <v>46023</v>
      </c>
    </row>
    <row r="2735" spans="1:11" hidden="1">
      <c r="A2735" t="s">
        <v>39</v>
      </c>
      <c r="B2735" t="s">
        <v>47</v>
      </c>
      <c r="C2735" t="s">
        <v>14</v>
      </c>
      <c r="D2735">
        <v>10026811</v>
      </c>
      <c r="E2735" t="s">
        <v>9</v>
      </c>
      <c r="F2735" s="1" t="s">
        <v>3</v>
      </c>
      <c r="G2735" s="1">
        <v>45820</v>
      </c>
      <c r="H2735" t="s">
        <v>41</v>
      </c>
      <c r="I2735" s="2">
        <v>495.63</v>
      </c>
      <c r="J2735" t="s">
        <v>1344</v>
      </c>
      <c r="K2735" s="7">
        <v>45809</v>
      </c>
    </row>
    <row r="2736" spans="1:11" hidden="1">
      <c r="A2736" t="s">
        <v>39</v>
      </c>
      <c r="B2736" t="s">
        <v>45</v>
      </c>
      <c r="C2736" t="s">
        <v>14</v>
      </c>
      <c r="D2736">
        <v>10026572</v>
      </c>
      <c r="E2736" t="s">
        <v>9</v>
      </c>
      <c r="F2736" s="1" t="s">
        <v>3</v>
      </c>
      <c r="G2736" s="1">
        <v>45782</v>
      </c>
      <c r="H2736" t="s">
        <v>41</v>
      </c>
      <c r="I2736">
        <v>493.28</v>
      </c>
      <c r="J2736" t="s">
        <v>1018</v>
      </c>
      <c r="K2736" s="7">
        <v>45778</v>
      </c>
    </row>
    <row r="2737" spans="1:11" hidden="1">
      <c r="A2737" t="s">
        <v>114</v>
      </c>
      <c r="B2737" t="s">
        <v>63</v>
      </c>
      <c r="C2737" t="s">
        <v>14</v>
      </c>
      <c r="E2737" t="s">
        <v>9</v>
      </c>
      <c r="F2737" s="1" t="s">
        <v>4</v>
      </c>
      <c r="G2737" s="1">
        <v>46009</v>
      </c>
      <c r="H2737" t="s">
        <v>41</v>
      </c>
      <c r="I2737" s="2">
        <v>8010.68</v>
      </c>
      <c r="J2737" t="s">
        <v>517</v>
      </c>
      <c r="K2737" s="7">
        <v>45992</v>
      </c>
    </row>
    <row r="2738" spans="1:11" hidden="1">
      <c r="A2738" t="s">
        <v>39</v>
      </c>
      <c r="B2738" t="s">
        <v>47</v>
      </c>
      <c r="C2738" t="s">
        <v>14</v>
      </c>
      <c r="E2738" t="s">
        <v>9</v>
      </c>
      <c r="F2738" s="1" t="s">
        <v>4</v>
      </c>
      <c r="G2738" s="1">
        <v>46009</v>
      </c>
      <c r="H2738" t="s">
        <v>41</v>
      </c>
      <c r="I2738" s="2">
        <v>4372.95</v>
      </c>
      <c r="J2738" t="s">
        <v>1540</v>
      </c>
      <c r="K2738" s="7">
        <v>45992</v>
      </c>
    </row>
    <row r="2739" spans="1:11" hidden="1">
      <c r="A2739" t="s">
        <v>114</v>
      </c>
      <c r="B2739" t="s">
        <v>63</v>
      </c>
      <c r="C2739" t="s">
        <v>14</v>
      </c>
      <c r="E2739" t="s">
        <v>9</v>
      </c>
      <c r="F2739" s="1" t="s">
        <v>2</v>
      </c>
      <c r="G2739" s="1">
        <v>45968</v>
      </c>
      <c r="H2739" t="s">
        <v>64</v>
      </c>
      <c r="I2739" s="2">
        <f>250692/510</f>
        <v>491.5529411764706</v>
      </c>
      <c r="J2739" s="47" t="s">
        <v>1095</v>
      </c>
      <c r="K2739" s="7">
        <v>45962</v>
      </c>
    </row>
    <row r="2740" spans="1:11" hidden="1">
      <c r="A2740" t="s">
        <v>39</v>
      </c>
      <c r="B2740" t="s">
        <v>40</v>
      </c>
      <c r="C2740" t="s">
        <v>14</v>
      </c>
      <c r="D2740">
        <v>10027218</v>
      </c>
      <c r="E2740" t="s">
        <v>9</v>
      </c>
      <c r="F2740" s="1" t="s">
        <v>2</v>
      </c>
      <c r="G2740" s="1">
        <v>45870</v>
      </c>
      <c r="H2740" t="s">
        <v>41</v>
      </c>
      <c r="I2740" s="2">
        <v>488.5</v>
      </c>
      <c r="J2740" t="s">
        <v>1541</v>
      </c>
      <c r="K2740" s="7">
        <v>45870</v>
      </c>
    </row>
    <row r="2741" spans="1:11" hidden="1">
      <c r="A2741" t="s">
        <v>39</v>
      </c>
      <c r="B2741" t="s">
        <v>40</v>
      </c>
      <c r="C2741" t="s">
        <v>14</v>
      </c>
      <c r="D2741">
        <v>10027952</v>
      </c>
      <c r="E2741" t="s">
        <v>9</v>
      </c>
      <c r="F2741" s="1" t="s">
        <v>3</v>
      </c>
      <c r="G2741" s="1">
        <v>45974</v>
      </c>
      <c r="H2741" t="s">
        <v>41</v>
      </c>
      <c r="I2741" s="2">
        <v>488.5</v>
      </c>
      <c r="J2741" t="s">
        <v>1541</v>
      </c>
      <c r="K2741" s="7">
        <v>45962</v>
      </c>
    </row>
    <row r="2742" spans="1:11" hidden="1">
      <c r="A2742" t="s">
        <v>39</v>
      </c>
      <c r="B2742" t="s">
        <v>47</v>
      </c>
      <c r="C2742" t="s">
        <v>14</v>
      </c>
      <c r="D2742">
        <v>10026992</v>
      </c>
      <c r="E2742" t="s">
        <v>9</v>
      </c>
      <c r="F2742" s="1" t="s">
        <v>2</v>
      </c>
      <c r="G2742" s="1">
        <v>45839</v>
      </c>
      <c r="H2742" t="s">
        <v>41</v>
      </c>
      <c r="I2742" s="2">
        <v>488.12</v>
      </c>
      <c r="J2742" t="s">
        <v>135</v>
      </c>
      <c r="K2742" s="7">
        <v>45839</v>
      </c>
    </row>
    <row r="2743" spans="1:11" hidden="1">
      <c r="A2743" t="s">
        <v>39</v>
      </c>
      <c r="B2743" t="s">
        <v>45</v>
      </c>
      <c r="C2743" t="s">
        <v>14</v>
      </c>
      <c r="E2743" t="s">
        <v>9</v>
      </c>
      <c r="F2743" s="1" t="s">
        <v>4</v>
      </c>
      <c r="G2743" s="1">
        <v>46009</v>
      </c>
      <c r="H2743" t="s">
        <v>41</v>
      </c>
      <c r="I2743" s="2">
        <v>3629.93</v>
      </c>
      <c r="J2743" t="s">
        <v>1542</v>
      </c>
      <c r="K2743" s="7">
        <v>45992</v>
      </c>
    </row>
    <row r="2744" spans="1:11" hidden="1">
      <c r="A2744" t="s">
        <v>39</v>
      </c>
      <c r="B2744" t="s">
        <v>40</v>
      </c>
      <c r="C2744" t="s">
        <v>14</v>
      </c>
      <c r="E2744" t="s">
        <v>9</v>
      </c>
      <c r="F2744" s="1" t="s">
        <v>3</v>
      </c>
      <c r="G2744" s="1">
        <v>45972</v>
      </c>
      <c r="H2744" t="s">
        <v>64</v>
      </c>
      <c r="I2744" s="2">
        <f>247750/510</f>
        <v>485.78431372549022</v>
      </c>
      <c r="J2744" s="47" t="s">
        <v>1543</v>
      </c>
      <c r="K2744" s="7">
        <v>45962</v>
      </c>
    </row>
    <row r="2745" spans="1:11" hidden="1">
      <c r="A2745" t="s">
        <v>39</v>
      </c>
      <c r="B2745" t="s">
        <v>40</v>
      </c>
      <c r="C2745" t="s">
        <v>14</v>
      </c>
      <c r="E2745" t="s">
        <v>9</v>
      </c>
      <c r="F2745" s="1" t="s">
        <v>2</v>
      </c>
      <c r="G2745" s="1">
        <v>45813</v>
      </c>
      <c r="H2745" t="s">
        <v>41</v>
      </c>
      <c r="I2745" s="2">
        <v>484.63</v>
      </c>
      <c r="J2745" t="s">
        <v>1544</v>
      </c>
      <c r="K2745" s="7">
        <v>45809</v>
      </c>
    </row>
    <row r="2746" spans="1:11" hidden="1">
      <c r="A2746" t="s">
        <v>39</v>
      </c>
      <c r="B2746" t="s">
        <v>45</v>
      </c>
      <c r="C2746" t="s">
        <v>14</v>
      </c>
      <c r="D2746">
        <v>10026657</v>
      </c>
      <c r="E2746" t="s">
        <v>9</v>
      </c>
      <c r="F2746" s="1" t="s">
        <v>5</v>
      </c>
      <c r="G2746" s="1">
        <v>45800</v>
      </c>
      <c r="H2746" t="s">
        <v>41</v>
      </c>
      <c r="I2746" s="2">
        <v>480.72</v>
      </c>
      <c r="J2746" t="s">
        <v>1545</v>
      </c>
      <c r="K2746" s="7">
        <v>45778</v>
      </c>
    </row>
    <row r="2747" spans="1:11" hidden="1">
      <c r="A2747" t="s">
        <v>39</v>
      </c>
      <c r="B2747" t="s">
        <v>40</v>
      </c>
      <c r="C2747" t="s">
        <v>14</v>
      </c>
      <c r="D2747">
        <v>10027016</v>
      </c>
      <c r="E2747" t="s">
        <v>9</v>
      </c>
      <c r="F2747" s="1" t="s">
        <v>2</v>
      </c>
      <c r="G2747" s="1">
        <v>45842</v>
      </c>
      <c r="H2747" t="s">
        <v>41</v>
      </c>
      <c r="I2747" s="2">
        <v>479</v>
      </c>
      <c r="J2747" t="s">
        <v>373</v>
      </c>
      <c r="K2747" s="7">
        <v>45839</v>
      </c>
    </row>
    <row r="2748" spans="1:11" hidden="1">
      <c r="A2748" t="s">
        <v>39</v>
      </c>
      <c r="B2748" t="s">
        <v>40</v>
      </c>
      <c r="C2748" t="s">
        <v>14</v>
      </c>
      <c r="E2748" t="s">
        <v>9</v>
      </c>
      <c r="F2748" s="1" t="s">
        <v>3</v>
      </c>
      <c r="G2748" s="1">
        <v>45910</v>
      </c>
      <c r="H2748" t="s">
        <v>41</v>
      </c>
      <c r="I2748" s="2">
        <v>471.21</v>
      </c>
      <c r="J2748" t="s">
        <v>1546</v>
      </c>
      <c r="K2748" s="7">
        <v>45901</v>
      </c>
    </row>
    <row r="2749" spans="1:11" hidden="1">
      <c r="A2749" t="s">
        <v>56</v>
      </c>
      <c r="B2749" t="s">
        <v>40</v>
      </c>
      <c r="C2749" t="s">
        <v>14</v>
      </c>
      <c r="E2749" t="s">
        <v>9</v>
      </c>
      <c r="F2749" s="1" t="s">
        <v>4</v>
      </c>
      <c r="G2749" s="1">
        <v>46009</v>
      </c>
      <c r="H2749" t="s">
        <v>41</v>
      </c>
      <c r="I2749" s="2">
        <v>1460</v>
      </c>
      <c r="J2749" t="s">
        <v>570</v>
      </c>
      <c r="K2749" s="7">
        <v>45992</v>
      </c>
    </row>
    <row r="2750" spans="1:11" hidden="1">
      <c r="A2750" t="s">
        <v>39</v>
      </c>
      <c r="B2750" t="s">
        <v>47</v>
      </c>
      <c r="C2750" t="s">
        <v>14</v>
      </c>
      <c r="D2750">
        <v>10027261</v>
      </c>
      <c r="E2750" t="s">
        <v>9</v>
      </c>
      <c r="F2750" s="1" t="s">
        <v>2</v>
      </c>
      <c r="G2750" s="1">
        <v>45876</v>
      </c>
      <c r="H2750" t="s">
        <v>41</v>
      </c>
      <c r="I2750" s="2">
        <v>466.16</v>
      </c>
      <c r="J2750" t="s">
        <v>1547</v>
      </c>
      <c r="K2750" s="7">
        <v>45870</v>
      </c>
    </row>
    <row r="2751" spans="1:11" hidden="1">
      <c r="A2751" t="s">
        <v>39</v>
      </c>
      <c r="B2751" t="s">
        <v>40</v>
      </c>
      <c r="C2751" t="s">
        <v>14</v>
      </c>
      <c r="D2751">
        <v>10027126</v>
      </c>
      <c r="E2751" t="s">
        <v>9</v>
      </c>
      <c r="F2751" s="1" t="s">
        <v>2</v>
      </c>
      <c r="G2751" s="1">
        <v>45870</v>
      </c>
      <c r="H2751" t="s">
        <v>41</v>
      </c>
      <c r="I2751" s="2">
        <v>462</v>
      </c>
      <c r="J2751" t="s">
        <v>1548</v>
      </c>
      <c r="K2751" s="7">
        <v>45870</v>
      </c>
    </row>
    <row r="2752" spans="1:11" hidden="1">
      <c r="A2752" t="s">
        <v>39</v>
      </c>
      <c r="B2752" t="s">
        <v>40</v>
      </c>
      <c r="C2752" t="s">
        <v>14</v>
      </c>
      <c r="D2752">
        <v>10027497</v>
      </c>
      <c r="E2752" t="s">
        <v>9</v>
      </c>
      <c r="F2752" s="1" t="s">
        <v>2</v>
      </c>
      <c r="G2752" s="1">
        <v>45905</v>
      </c>
      <c r="H2752" t="s">
        <v>41</v>
      </c>
      <c r="I2752" s="2">
        <v>462</v>
      </c>
      <c r="J2752" t="s">
        <v>1549</v>
      </c>
      <c r="K2752" s="7">
        <v>45901</v>
      </c>
    </row>
    <row r="2753" spans="1:11" hidden="1">
      <c r="A2753" t="s">
        <v>114</v>
      </c>
      <c r="B2753" t="s">
        <v>63</v>
      </c>
      <c r="C2753" t="s">
        <v>14</v>
      </c>
      <c r="E2753" t="s">
        <v>9</v>
      </c>
      <c r="F2753" s="1" t="s">
        <v>3</v>
      </c>
      <c r="G2753" s="1">
        <v>45882</v>
      </c>
      <c r="H2753" t="s">
        <v>41</v>
      </c>
      <c r="I2753" s="2">
        <v>461.4</v>
      </c>
      <c r="J2753" t="s">
        <v>1550</v>
      </c>
      <c r="K2753" s="7">
        <v>45870</v>
      </c>
    </row>
    <row r="2754" spans="1:11" hidden="1">
      <c r="A2754" t="s">
        <v>39</v>
      </c>
      <c r="B2754" t="s">
        <v>47</v>
      </c>
      <c r="C2754" t="s">
        <v>14</v>
      </c>
      <c r="D2754">
        <v>10026826</v>
      </c>
      <c r="E2754" t="s">
        <v>9</v>
      </c>
      <c r="F2754" s="1" t="s">
        <v>3</v>
      </c>
      <c r="G2754" s="1">
        <v>45821</v>
      </c>
      <c r="H2754" t="s">
        <v>41</v>
      </c>
      <c r="I2754" s="2">
        <v>460.53</v>
      </c>
      <c r="J2754" t="s">
        <v>802</v>
      </c>
      <c r="K2754" s="7">
        <v>45809</v>
      </c>
    </row>
    <row r="2755" spans="1:11" hidden="1">
      <c r="A2755" t="s">
        <v>39</v>
      </c>
      <c r="B2755" t="s">
        <v>40</v>
      </c>
      <c r="C2755" t="s">
        <v>14</v>
      </c>
      <c r="D2755">
        <v>10027313</v>
      </c>
      <c r="E2755" t="s">
        <v>9</v>
      </c>
      <c r="F2755" s="1" t="s">
        <v>3</v>
      </c>
      <c r="G2755" s="1">
        <v>45883</v>
      </c>
      <c r="H2755" t="s">
        <v>41</v>
      </c>
      <c r="I2755" s="2">
        <v>456.98</v>
      </c>
      <c r="J2755" t="s">
        <v>1551</v>
      </c>
      <c r="K2755" s="7">
        <v>45870</v>
      </c>
    </row>
    <row r="2756" spans="1:11" hidden="1">
      <c r="A2756" t="s">
        <v>39</v>
      </c>
      <c r="B2756" t="s">
        <v>47</v>
      </c>
      <c r="C2756" t="s">
        <v>14</v>
      </c>
      <c r="E2756" t="s">
        <v>9</v>
      </c>
      <c r="F2756" s="1" t="s">
        <v>4</v>
      </c>
      <c r="G2756" s="1">
        <v>46009</v>
      </c>
      <c r="H2756" t="s">
        <v>41</v>
      </c>
      <c r="I2756" s="2">
        <v>1140.75</v>
      </c>
      <c r="J2756" s="47" t="s">
        <v>1552</v>
      </c>
      <c r="K2756" s="7">
        <v>45992</v>
      </c>
    </row>
    <row r="2757" spans="1:11" hidden="1">
      <c r="A2757" t="s">
        <v>39</v>
      </c>
      <c r="B2757" t="s">
        <v>40</v>
      </c>
      <c r="C2757" t="s">
        <v>14</v>
      </c>
      <c r="E2757" t="s">
        <v>9</v>
      </c>
      <c r="F2757" s="1" t="s">
        <v>6</v>
      </c>
      <c r="G2757" s="1">
        <v>45805</v>
      </c>
      <c r="H2757" t="s">
        <v>41</v>
      </c>
      <c r="I2757" s="2">
        <v>455.25</v>
      </c>
      <c r="J2757" t="s">
        <v>1553</v>
      </c>
      <c r="K2757" s="7">
        <v>45778</v>
      </c>
    </row>
    <row r="2758" spans="1:11" hidden="1">
      <c r="A2758" t="s">
        <v>39</v>
      </c>
      <c r="B2758" t="s">
        <v>63</v>
      </c>
      <c r="C2758" t="s">
        <v>13</v>
      </c>
      <c r="D2758" s="6">
        <v>10027253</v>
      </c>
      <c r="E2758" t="s">
        <v>9</v>
      </c>
      <c r="F2758" s="1" t="s">
        <v>2</v>
      </c>
      <c r="G2758" s="1">
        <v>45875</v>
      </c>
      <c r="H2758" t="s">
        <v>41</v>
      </c>
      <c r="I2758" s="2">
        <v>452</v>
      </c>
      <c r="J2758" t="s">
        <v>1532</v>
      </c>
      <c r="K2758" s="7">
        <v>45870</v>
      </c>
    </row>
    <row r="2759" spans="1:11" hidden="1">
      <c r="A2759" t="s">
        <v>39</v>
      </c>
      <c r="B2759" t="s">
        <v>40</v>
      </c>
      <c r="C2759" t="s">
        <v>14</v>
      </c>
      <c r="E2759" t="s">
        <v>9</v>
      </c>
      <c r="F2759" s="1" t="s">
        <v>4</v>
      </c>
      <c r="G2759" s="1">
        <v>46009</v>
      </c>
      <c r="H2759" t="s">
        <v>41</v>
      </c>
      <c r="I2759" s="2">
        <v>750</v>
      </c>
      <c r="J2759" s="47" t="s">
        <v>1554</v>
      </c>
      <c r="K2759" s="7">
        <v>45992</v>
      </c>
    </row>
    <row r="2760" spans="1:11" hidden="1">
      <c r="A2760" t="s">
        <v>39</v>
      </c>
      <c r="B2760" t="s">
        <v>63</v>
      </c>
      <c r="C2760" t="s">
        <v>14</v>
      </c>
      <c r="E2760" t="s">
        <v>9</v>
      </c>
      <c r="F2760" s="1" t="s">
        <v>6</v>
      </c>
      <c r="G2760" s="1">
        <v>46020</v>
      </c>
      <c r="H2760" t="s">
        <v>41</v>
      </c>
      <c r="I2760" s="2">
        <v>452</v>
      </c>
      <c r="J2760" s="47" t="s">
        <v>1532</v>
      </c>
      <c r="K2760" s="7">
        <v>45992</v>
      </c>
    </row>
    <row r="2761" spans="1:11" hidden="1">
      <c r="A2761" t="s">
        <v>39</v>
      </c>
      <c r="B2761" t="s">
        <v>40</v>
      </c>
      <c r="C2761" t="s">
        <v>14</v>
      </c>
      <c r="E2761" t="s">
        <v>9</v>
      </c>
      <c r="F2761" s="1" t="s">
        <v>2</v>
      </c>
      <c r="G2761" s="1">
        <v>46030</v>
      </c>
      <c r="H2761" t="s">
        <v>41</v>
      </c>
      <c r="I2761" s="2">
        <v>452</v>
      </c>
      <c r="J2761" s="47" t="s">
        <v>1555</v>
      </c>
      <c r="K2761" s="7">
        <v>46023</v>
      </c>
    </row>
    <row r="2762" spans="1:11" hidden="1">
      <c r="A2762" t="s">
        <v>39</v>
      </c>
      <c r="B2762" t="s">
        <v>63</v>
      </c>
      <c r="C2762" t="s">
        <v>14</v>
      </c>
      <c r="E2762" t="s">
        <v>9</v>
      </c>
      <c r="F2762" s="1" t="s">
        <v>2</v>
      </c>
      <c r="G2762" s="1">
        <v>45904</v>
      </c>
      <c r="H2762" t="s">
        <v>41</v>
      </c>
      <c r="I2762" s="2">
        <v>449.23</v>
      </c>
      <c r="J2762" t="s">
        <v>1556</v>
      </c>
      <c r="K2762" s="7">
        <v>45901</v>
      </c>
    </row>
    <row r="2763" spans="1:11" hidden="1">
      <c r="A2763" t="s">
        <v>56</v>
      </c>
      <c r="B2763" t="s">
        <v>40</v>
      </c>
      <c r="C2763" t="s">
        <v>14</v>
      </c>
      <c r="E2763" t="s">
        <v>9</v>
      </c>
      <c r="F2763" s="1" t="s">
        <v>4</v>
      </c>
      <c r="G2763" s="1">
        <v>46009</v>
      </c>
      <c r="H2763" t="s">
        <v>41</v>
      </c>
      <c r="I2763" s="2">
        <v>700</v>
      </c>
      <c r="J2763" s="47" t="s">
        <v>1557</v>
      </c>
      <c r="K2763" s="7">
        <v>45992</v>
      </c>
    </row>
    <row r="2764" spans="1:11" hidden="1">
      <c r="A2764" t="s">
        <v>39</v>
      </c>
      <c r="B2764" t="s">
        <v>47</v>
      </c>
      <c r="C2764" t="s">
        <v>14</v>
      </c>
      <c r="D2764">
        <v>10026455</v>
      </c>
      <c r="E2764" t="s">
        <v>9</v>
      </c>
      <c r="F2764" s="1" t="s">
        <v>2</v>
      </c>
      <c r="G2764" s="1">
        <v>45779</v>
      </c>
      <c r="H2764" t="s">
        <v>41</v>
      </c>
      <c r="I2764" s="2">
        <v>434.62</v>
      </c>
      <c r="J2764" t="s">
        <v>74</v>
      </c>
      <c r="K2764" s="7">
        <v>45778</v>
      </c>
    </row>
    <row r="2765" spans="1:11" hidden="1">
      <c r="A2765" t="s">
        <v>39</v>
      </c>
      <c r="B2765" t="s">
        <v>40</v>
      </c>
      <c r="C2765" t="s">
        <v>14</v>
      </c>
      <c r="E2765" t="s">
        <v>9</v>
      </c>
      <c r="F2765" s="1" t="s">
        <v>3</v>
      </c>
      <c r="G2765" s="1">
        <v>45817</v>
      </c>
      <c r="H2765" t="s">
        <v>64</v>
      </c>
      <c r="I2765" s="2">
        <f>219594.4/508</f>
        <v>432.27244094488185</v>
      </c>
      <c r="J2765" t="s">
        <v>1558</v>
      </c>
      <c r="K2765" s="7">
        <v>45809</v>
      </c>
    </row>
    <row r="2766" spans="1:11" hidden="1">
      <c r="A2766" t="s">
        <v>39</v>
      </c>
      <c r="B2766" t="s">
        <v>40</v>
      </c>
      <c r="C2766" t="s">
        <v>14</v>
      </c>
      <c r="E2766" t="s">
        <v>9</v>
      </c>
      <c r="F2766" s="1" t="s">
        <v>2</v>
      </c>
      <c r="G2766" s="1">
        <v>45813</v>
      </c>
      <c r="H2766" t="s">
        <v>41</v>
      </c>
      <c r="I2766" s="2">
        <v>430</v>
      </c>
      <c r="J2766" t="s">
        <v>1559</v>
      </c>
      <c r="K2766" s="7">
        <v>45809</v>
      </c>
    </row>
    <row r="2767" spans="1:11" hidden="1">
      <c r="A2767" t="s">
        <v>114</v>
      </c>
      <c r="B2767" t="s">
        <v>63</v>
      </c>
      <c r="C2767" t="s">
        <v>14</v>
      </c>
      <c r="E2767" t="s">
        <v>9</v>
      </c>
      <c r="F2767" s="1" t="s">
        <v>4</v>
      </c>
      <c r="G2767" s="1">
        <v>46009</v>
      </c>
      <c r="H2767" t="s">
        <v>41</v>
      </c>
      <c r="I2767" s="2">
        <v>625</v>
      </c>
      <c r="J2767" t="s">
        <v>1560</v>
      </c>
      <c r="K2767" s="7">
        <v>45992</v>
      </c>
    </row>
    <row r="2768" spans="1:11" hidden="1">
      <c r="A2768" t="s">
        <v>39</v>
      </c>
      <c r="B2768" t="s">
        <v>40</v>
      </c>
      <c r="C2768" t="s">
        <v>14</v>
      </c>
      <c r="E2768" t="s">
        <v>9</v>
      </c>
      <c r="F2768" s="1" t="s">
        <v>4</v>
      </c>
      <c r="G2768" s="1">
        <v>46009</v>
      </c>
      <c r="H2768" t="s">
        <v>41</v>
      </c>
      <c r="I2768" s="2">
        <v>523</v>
      </c>
      <c r="J2768" s="47" t="s">
        <v>1561</v>
      </c>
      <c r="K2768" s="7">
        <v>45992</v>
      </c>
    </row>
    <row r="2769" spans="1:11" hidden="1">
      <c r="A2769" t="s">
        <v>39</v>
      </c>
      <c r="B2769" t="s">
        <v>40</v>
      </c>
      <c r="C2769" t="s">
        <v>14</v>
      </c>
      <c r="E2769" t="s">
        <v>9</v>
      </c>
      <c r="F2769" s="1" t="s">
        <v>3</v>
      </c>
      <c r="G2769" s="1">
        <v>46065</v>
      </c>
      <c r="H2769" t="s">
        <v>41</v>
      </c>
      <c r="I2769" s="2">
        <v>540</v>
      </c>
      <c r="J2769" s="47" t="s">
        <v>1562</v>
      </c>
      <c r="K2769" s="7">
        <v>46054</v>
      </c>
    </row>
    <row r="2770" spans="1:11" hidden="1">
      <c r="A2770" t="s">
        <v>39</v>
      </c>
      <c r="B2770" t="s">
        <v>40</v>
      </c>
      <c r="C2770" t="s">
        <v>14</v>
      </c>
      <c r="E2770" t="s">
        <v>9</v>
      </c>
      <c r="F2770" s="1" t="s">
        <v>5</v>
      </c>
      <c r="G2770" s="1">
        <v>45989</v>
      </c>
      <c r="H2770" t="s">
        <v>41</v>
      </c>
      <c r="I2770" s="2">
        <v>427.14</v>
      </c>
      <c r="J2770" s="47" t="s">
        <v>1563</v>
      </c>
      <c r="K2770" s="7">
        <v>45962</v>
      </c>
    </row>
    <row r="2771" spans="1:11" hidden="1">
      <c r="A2771" t="s">
        <v>39</v>
      </c>
      <c r="B2771" t="s">
        <v>40</v>
      </c>
      <c r="C2771" t="s">
        <v>14</v>
      </c>
      <c r="E2771" t="s">
        <v>9</v>
      </c>
      <c r="F2771" s="1" t="s">
        <v>2</v>
      </c>
      <c r="G2771" s="1">
        <v>45903</v>
      </c>
      <c r="H2771" t="s">
        <v>41</v>
      </c>
      <c r="I2771" s="2">
        <v>426.16</v>
      </c>
      <c r="J2771" t="s">
        <v>1564</v>
      </c>
      <c r="K2771" s="7">
        <v>45901</v>
      </c>
    </row>
    <row r="2772" spans="1:11" hidden="1">
      <c r="A2772" t="s">
        <v>39</v>
      </c>
      <c r="B2772" t="s">
        <v>40</v>
      </c>
      <c r="C2772" t="s">
        <v>14</v>
      </c>
      <c r="E2772" t="s">
        <v>9</v>
      </c>
      <c r="F2772" s="1" t="s">
        <v>2</v>
      </c>
      <c r="G2772" s="1">
        <v>45903</v>
      </c>
      <c r="H2772" t="s">
        <v>41</v>
      </c>
      <c r="I2772" s="2">
        <v>426.16</v>
      </c>
      <c r="J2772" t="s">
        <v>1564</v>
      </c>
      <c r="K2772" s="7">
        <v>45901</v>
      </c>
    </row>
    <row r="2773" spans="1:11" hidden="1">
      <c r="A2773" t="s">
        <v>39</v>
      </c>
      <c r="B2773" t="s">
        <v>40</v>
      </c>
      <c r="C2773" t="s">
        <v>14</v>
      </c>
      <c r="E2773" t="s">
        <v>9</v>
      </c>
      <c r="F2773" s="1" t="s">
        <v>2</v>
      </c>
      <c r="G2773" s="1">
        <v>45812</v>
      </c>
      <c r="H2773" t="s">
        <v>64</v>
      </c>
      <c r="I2773" s="2">
        <f>216013.41/508</f>
        <v>425.2232480314961</v>
      </c>
      <c r="J2773" t="s">
        <v>1565</v>
      </c>
      <c r="K2773" s="7">
        <v>45809</v>
      </c>
    </row>
    <row r="2774" spans="1:11" hidden="1">
      <c r="A2774" t="s">
        <v>39</v>
      </c>
      <c r="B2774" t="s">
        <v>63</v>
      </c>
      <c r="C2774" t="s">
        <v>13</v>
      </c>
      <c r="E2774" t="s">
        <v>9</v>
      </c>
      <c r="F2774" s="1" t="s">
        <v>3</v>
      </c>
      <c r="G2774" s="1">
        <v>46065</v>
      </c>
      <c r="H2774" t="s">
        <v>41</v>
      </c>
      <c r="I2774" s="2">
        <v>181.08</v>
      </c>
      <c r="J2774" s="47" t="s">
        <v>1566</v>
      </c>
      <c r="K2774" s="7">
        <v>46054</v>
      </c>
    </row>
    <row r="2775" spans="1:11" hidden="1">
      <c r="A2775" t="s">
        <v>39</v>
      </c>
      <c r="B2775" t="s">
        <v>40</v>
      </c>
      <c r="C2775" t="s">
        <v>14</v>
      </c>
      <c r="D2775">
        <v>10028280</v>
      </c>
      <c r="E2775" t="s">
        <v>9</v>
      </c>
      <c r="F2775" s="1" t="s">
        <v>3</v>
      </c>
      <c r="G2775" s="1">
        <v>46036</v>
      </c>
      <c r="H2775" t="s">
        <v>41</v>
      </c>
      <c r="I2775" s="2">
        <v>425.21</v>
      </c>
      <c r="J2775" t="s">
        <v>1567</v>
      </c>
      <c r="K2775" s="7">
        <v>46023</v>
      </c>
    </row>
    <row r="2776" spans="1:11" hidden="1">
      <c r="A2776" t="s">
        <v>39</v>
      </c>
      <c r="B2776" t="s">
        <v>63</v>
      </c>
      <c r="C2776" t="s">
        <v>14</v>
      </c>
      <c r="E2776" t="s">
        <v>9</v>
      </c>
      <c r="F2776" s="1" t="s">
        <v>4</v>
      </c>
      <c r="G2776" s="1">
        <v>46009</v>
      </c>
      <c r="H2776" t="s">
        <v>64</v>
      </c>
      <c r="I2776" s="2">
        <f>251440/510</f>
        <v>493.01960784313724</v>
      </c>
      <c r="J2776" t="s">
        <v>1031</v>
      </c>
      <c r="K2776" s="7">
        <v>45992</v>
      </c>
    </row>
    <row r="2777" spans="1:11" hidden="1">
      <c r="A2777" t="s">
        <v>39</v>
      </c>
      <c r="B2777" t="s">
        <v>40</v>
      </c>
      <c r="C2777" t="s">
        <v>14</v>
      </c>
      <c r="E2777" t="s">
        <v>9</v>
      </c>
      <c r="F2777" s="1" t="s">
        <v>6</v>
      </c>
      <c r="G2777" s="1">
        <v>45804</v>
      </c>
      <c r="H2777" t="s">
        <v>41</v>
      </c>
      <c r="I2777" s="2">
        <v>424.5</v>
      </c>
      <c r="J2777" t="s">
        <v>1568</v>
      </c>
      <c r="K2777" s="7">
        <v>45778</v>
      </c>
    </row>
    <row r="2778" spans="1:11" hidden="1">
      <c r="A2778" t="s">
        <v>39</v>
      </c>
      <c r="B2778" t="s">
        <v>40</v>
      </c>
      <c r="C2778" t="s">
        <v>14</v>
      </c>
      <c r="D2778">
        <v>10027026</v>
      </c>
      <c r="E2778" t="s">
        <v>9</v>
      </c>
      <c r="F2778" s="1" t="s">
        <v>3</v>
      </c>
      <c r="G2778" s="1">
        <v>45846</v>
      </c>
      <c r="H2778" t="s">
        <v>41</v>
      </c>
      <c r="I2778" s="2">
        <v>424.5</v>
      </c>
      <c r="J2778" t="s">
        <v>1569</v>
      </c>
      <c r="K2778" s="7">
        <v>45839</v>
      </c>
    </row>
    <row r="2779" spans="1:11" hidden="1">
      <c r="A2779" t="s">
        <v>39</v>
      </c>
      <c r="B2779" t="s">
        <v>40</v>
      </c>
      <c r="C2779" t="s">
        <v>14</v>
      </c>
      <c r="D2779">
        <v>10027168</v>
      </c>
      <c r="E2779" t="s">
        <v>9</v>
      </c>
      <c r="F2779" s="1" t="s">
        <v>5</v>
      </c>
      <c r="G2779" s="1">
        <v>45864</v>
      </c>
      <c r="H2779" t="s">
        <v>41</v>
      </c>
      <c r="I2779" s="2">
        <v>424</v>
      </c>
      <c r="J2779" t="s">
        <v>1570</v>
      </c>
      <c r="K2779" s="7">
        <v>45839</v>
      </c>
    </row>
    <row r="2780" spans="1:11" hidden="1">
      <c r="A2780" t="s">
        <v>39</v>
      </c>
      <c r="B2780" t="s">
        <v>47</v>
      </c>
      <c r="C2780" t="s">
        <v>12</v>
      </c>
      <c r="D2780">
        <v>10027425</v>
      </c>
      <c r="E2780" t="s">
        <v>9</v>
      </c>
      <c r="F2780" s="1" t="s">
        <v>3</v>
      </c>
      <c r="G2780" s="1">
        <v>45882</v>
      </c>
      <c r="H2780" t="s">
        <v>41</v>
      </c>
      <c r="I2780" s="2">
        <v>423.75</v>
      </c>
      <c r="J2780" t="s">
        <v>1571</v>
      </c>
      <c r="K2780" s="7">
        <v>45870</v>
      </c>
    </row>
    <row r="2781" spans="1:11" hidden="1">
      <c r="A2781" t="s">
        <v>39</v>
      </c>
      <c r="B2781" t="s">
        <v>47</v>
      </c>
      <c r="C2781" t="s">
        <v>14</v>
      </c>
      <c r="E2781" t="s">
        <v>9</v>
      </c>
      <c r="F2781" s="1" t="s">
        <v>5</v>
      </c>
      <c r="G2781" s="1">
        <v>45925</v>
      </c>
      <c r="H2781" t="s">
        <v>41</v>
      </c>
      <c r="I2781" s="2">
        <v>423.75</v>
      </c>
      <c r="J2781" t="s">
        <v>1572</v>
      </c>
      <c r="K2781" s="7">
        <v>45901</v>
      </c>
    </row>
    <row r="2782" spans="1:11" hidden="1">
      <c r="A2782" t="s">
        <v>39</v>
      </c>
      <c r="B2782" t="s">
        <v>40</v>
      </c>
      <c r="C2782" t="s">
        <v>14</v>
      </c>
      <c r="E2782" t="s">
        <v>9</v>
      </c>
      <c r="F2782" s="1" t="s">
        <v>4</v>
      </c>
      <c r="G2782" s="1">
        <v>46009</v>
      </c>
      <c r="H2782" t="s">
        <v>41</v>
      </c>
      <c r="I2782" s="2">
        <v>468</v>
      </c>
      <c r="J2782" s="47" t="s">
        <v>1573</v>
      </c>
      <c r="K2782" s="7">
        <v>45992</v>
      </c>
    </row>
    <row r="2783" spans="1:11" hidden="1">
      <c r="A2783" t="s">
        <v>39</v>
      </c>
      <c r="B2783" t="s">
        <v>45</v>
      </c>
      <c r="C2783" t="s">
        <v>14</v>
      </c>
      <c r="E2783" t="s">
        <v>9</v>
      </c>
      <c r="F2783" s="1" t="s">
        <v>4</v>
      </c>
      <c r="G2783" s="1">
        <v>46010</v>
      </c>
      <c r="H2783" t="s">
        <v>41</v>
      </c>
      <c r="I2783" s="2">
        <v>51336.7</v>
      </c>
      <c r="J2783" t="s">
        <v>70</v>
      </c>
      <c r="K2783" s="7">
        <v>45992</v>
      </c>
    </row>
    <row r="2784" spans="1:11" hidden="1">
      <c r="A2784" t="s">
        <v>39</v>
      </c>
      <c r="B2784" t="s">
        <v>45</v>
      </c>
      <c r="C2784" t="s">
        <v>14</v>
      </c>
      <c r="D2784">
        <v>10027208</v>
      </c>
      <c r="E2784" t="s">
        <v>9</v>
      </c>
      <c r="F2784" s="1" t="s">
        <v>6</v>
      </c>
      <c r="G2784" s="1">
        <v>45869</v>
      </c>
      <c r="H2784" t="s">
        <v>41</v>
      </c>
      <c r="I2784" s="2">
        <v>419.16</v>
      </c>
      <c r="J2784" t="s">
        <v>80</v>
      </c>
      <c r="K2784" s="7">
        <v>45839</v>
      </c>
    </row>
    <row r="2785" spans="1:11" hidden="1">
      <c r="A2785" t="s">
        <v>39</v>
      </c>
      <c r="B2785" t="s">
        <v>45</v>
      </c>
      <c r="C2785" t="s">
        <v>14</v>
      </c>
      <c r="E2785" t="s">
        <v>9</v>
      </c>
      <c r="F2785" s="1" t="s">
        <v>2</v>
      </c>
      <c r="G2785" s="1">
        <v>45870</v>
      </c>
      <c r="H2785" t="s">
        <v>41</v>
      </c>
      <c r="I2785" s="2">
        <v>419.16</v>
      </c>
      <c r="J2785" t="s">
        <v>116</v>
      </c>
      <c r="K2785" s="7">
        <v>45870</v>
      </c>
    </row>
    <row r="2786" spans="1:11" hidden="1">
      <c r="A2786" t="s">
        <v>39</v>
      </c>
      <c r="B2786" t="s">
        <v>40</v>
      </c>
      <c r="C2786" t="s">
        <v>14</v>
      </c>
      <c r="E2786" t="s">
        <v>9</v>
      </c>
      <c r="F2786" s="1" t="s">
        <v>6</v>
      </c>
      <c r="G2786" s="1">
        <v>45868</v>
      </c>
      <c r="H2786" t="s">
        <v>41</v>
      </c>
      <c r="I2786" s="2">
        <v>418.1</v>
      </c>
      <c r="J2786" t="s">
        <v>1574</v>
      </c>
      <c r="K2786" s="7">
        <v>45839</v>
      </c>
    </row>
    <row r="2787" spans="1:11" hidden="1">
      <c r="A2787" t="s">
        <v>39</v>
      </c>
      <c r="B2787" t="s">
        <v>47</v>
      </c>
      <c r="C2787" t="s">
        <v>14</v>
      </c>
      <c r="D2787">
        <v>10026542</v>
      </c>
      <c r="E2787" t="s">
        <v>9</v>
      </c>
      <c r="F2787" s="1" t="s">
        <v>3</v>
      </c>
      <c r="G2787" s="1">
        <v>45785</v>
      </c>
      <c r="H2787" t="s">
        <v>41</v>
      </c>
      <c r="I2787" s="2">
        <f>211047.84/508</f>
        <v>415.44850393700784</v>
      </c>
      <c r="J2787" t="s">
        <v>1575</v>
      </c>
      <c r="K2787" s="7">
        <v>45778</v>
      </c>
    </row>
    <row r="2788" spans="1:11" hidden="1">
      <c r="A2788" t="s">
        <v>39</v>
      </c>
      <c r="B2788" t="s">
        <v>45</v>
      </c>
      <c r="C2788" t="s">
        <v>14</v>
      </c>
      <c r="D2788">
        <v>10027133</v>
      </c>
      <c r="E2788" t="s">
        <v>9</v>
      </c>
      <c r="F2788" s="1" t="s">
        <v>5</v>
      </c>
      <c r="G2788" s="1">
        <v>45860</v>
      </c>
      <c r="H2788" t="s">
        <v>41</v>
      </c>
      <c r="I2788" s="2">
        <v>413</v>
      </c>
      <c r="J2788" t="s">
        <v>1576</v>
      </c>
      <c r="K2788" s="7">
        <v>45839</v>
      </c>
    </row>
    <row r="2789" spans="1:11" hidden="1">
      <c r="A2789" t="s">
        <v>39</v>
      </c>
      <c r="B2789" t="s">
        <v>40</v>
      </c>
      <c r="C2789" t="s">
        <v>14</v>
      </c>
      <c r="D2789">
        <v>10026576</v>
      </c>
      <c r="E2789" t="s">
        <v>9</v>
      </c>
      <c r="F2789" s="1" t="s">
        <v>3</v>
      </c>
      <c r="G2789" s="1">
        <v>45787</v>
      </c>
      <c r="H2789" t="s">
        <v>41</v>
      </c>
      <c r="I2789" s="2">
        <v>412.91</v>
      </c>
      <c r="J2789" t="s">
        <v>1577</v>
      </c>
      <c r="K2789" s="7">
        <v>45778</v>
      </c>
    </row>
    <row r="2790" spans="1:11" hidden="1">
      <c r="A2790" t="s">
        <v>39</v>
      </c>
      <c r="B2790" t="s">
        <v>63</v>
      </c>
      <c r="C2790" t="s">
        <v>12</v>
      </c>
      <c r="E2790" t="s">
        <v>9</v>
      </c>
      <c r="F2790" s="1" t="s">
        <v>6</v>
      </c>
      <c r="G2790" s="1">
        <v>45959</v>
      </c>
      <c r="H2790" t="s">
        <v>41</v>
      </c>
      <c r="I2790" s="2">
        <v>409.57</v>
      </c>
      <c r="J2790" t="s">
        <v>1578</v>
      </c>
      <c r="K2790" s="7">
        <v>45931</v>
      </c>
    </row>
    <row r="2791" spans="1:11" hidden="1">
      <c r="A2791" t="s">
        <v>39</v>
      </c>
      <c r="B2791" t="s">
        <v>40</v>
      </c>
      <c r="C2791" t="s">
        <v>14</v>
      </c>
      <c r="E2791" t="s">
        <v>8</v>
      </c>
      <c r="F2791" s="1" t="s">
        <v>2</v>
      </c>
      <c r="G2791" s="1"/>
      <c r="H2791" t="s">
        <v>41</v>
      </c>
      <c r="I2791" s="2">
        <v>60000</v>
      </c>
      <c r="J2791" t="s">
        <v>1488</v>
      </c>
      <c r="K2791" s="7">
        <v>46023</v>
      </c>
    </row>
    <row r="2792" spans="1:11" hidden="1">
      <c r="A2792" t="s">
        <v>56</v>
      </c>
      <c r="B2792" t="s">
        <v>40</v>
      </c>
      <c r="C2792" t="s">
        <v>14</v>
      </c>
      <c r="E2792" t="s">
        <v>8</v>
      </c>
      <c r="F2792" s="1" t="s">
        <v>2</v>
      </c>
      <c r="G2792" s="1"/>
      <c r="H2792" t="s">
        <v>41</v>
      </c>
      <c r="I2792" s="2">
        <v>25000</v>
      </c>
      <c r="J2792" t="s">
        <v>1489</v>
      </c>
      <c r="K2792" s="7">
        <v>46023</v>
      </c>
    </row>
    <row r="2793" spans="1:11" hidden="1">
      <c r="A2793" t="s">
        <v>39</v>
      </c>
      <c r="B2793" t="s">
        <v>40</v>
      </c>
      <c r="C2793" t="s">
        <v>14</v>
      </c>
      <c r="E2793" t="s">
        <v>8</v>
      </c>
      <c r="F2793" s="1" t="s">
        <v>3</v>
      </c>
      <c r="G2793" s="1"/>
      <c r="H2793" t="s">
        <v>41</v>
      </c>
      <c r="I2793" s="2">
        <v>60000</v>
      </c>
      <c r="J2793" t="s">
        <v>1488</v>
      </c>
      <c r="K2793" s="7">
        <v>46023</v>
      </c>
    </row>
    <row r="2794" spans="1:11" hidden="1">
      <c r="A2794" t="s">
        <v>56</v>
      </c>
      <c r="B2794" t="s">
        <v>40</v>
      </c>
      <c r="C2794" t="s">
        <v>14</v>
      </c>
      <c r="E2794" t="s">
        <v>8</v>
      </c>
      <c r="F2794" s="1" t="s">
        <v>3</v>
      </c>
      <c r="G2794" s="1"/>
      <c r="H2794" t="s">
        <v>41</v>
      </c>
      <c r="I2794" s="2">
        <v>25000</v>
      </c>
      <c r="J2794" t="s">
        <v>1489</v>
      </c>
      <c r="K2794" s="7">
        <v>46023</v>
      </c>
    </row>
    <row r="2795" spans="1:11" hidden="1">
      <c r="A2795" t="s">
        <v>56</v>
      </c>
      <c r="B2795" t="s">
        <v>40</v>
      </c>
      <c r="C2795" t="s">
        <v>14</v>
      </c>
      <c r="E2795" t="s">
        <v>8</v>
      </c>
      <c r="F2795" s="1" t="s">
        <v>2</v>
      </c>
      <c r="G2795" s="1"/>
      <c r="H2795" t="s">
        <v>41</v>
      </c>
      <c r="I2795" s="2">
        <v>292105.88829999999</v>
      </c>
      <c r="J2795" t="s">
        <v>57</v>
      </c>
      <c r="K2795" s="7">
        <v>46023</v>
      </c>
    </row>
    <row r="2796" spans="1:11" hidden="1">
      <c r="A2796" t="s">
        <v>39</v>
      </c>
      <c r="B2796" t="s">
        <v>40</v>
      </c>
      <c r="C2796" t="s">
        <v>14</v>
      </c>
      <c r="E2796" t="s">
        <v>8</v>
      </c>
      <c r="F2796" s="1" t="s">
        <v>4</v>
      </c>
      <c r="G2796" s="1"/>
      <c r="H2796" t="s">
        <v>41</v>
      </c>
      <c r="I2796" s="2">
        <v>60000</v>
      </c>
      <c r="J2796" t="s">
        <v>1488</v>
      </c>
      <c r="K2796" s="7">
        <v>46023</v>
      </c>
    </row>
    <row r="2797" spans="1:11" hidden="1">
      <c r="A2797" t="s">
        <v>56</v>
      </c>
      <c r="B2797" t="s">
        <v>40</v>
      </c>
      <c r="C2797" t="s">
        <v>14</v>
      </c>
      <c r="E2797" t="s">
        <v>8</v>
      </c>
      <c r="F2797" s="1" t="s">
        <v>4</v>
      </c>
      <c r="G2797" s="1"/>
      <c r="H2797" t="s">
        <v>41</v>
      </c>
      <c r="I2797" s="2">
        <v>25000</v>
      </c>
      <c r="J2797" t="s">
        <v>1489</v>
      </c>
      <c r="K2797" s="7">
        <v>46023</v>
      </c>
    </row>
    <row r="2798" spans="1:11" hidden="1">
      <c r="A2798" t="s">
        <v>39</v>
      </c>
      <c r="B2798" t="s">
        <v>40</v>
      </c>
      <c r="C2798" t="s">
        <v>14</v>
      </c>
      <c r="E2798" t="s">
        <v>8</v>
      </c>
      <c r="F2798" s="1" t="s">
        <v>5</v>
      </c>
      <c r="G2798" s="1"/>
      <c r="H2798" t="s">
        <v>41</v>
      </c>
      <c r="I2798" s="2">
        <v>60000</v>
      </c>
      <c r="J2798" t="s">
        <v>1488</v>
      </c>
      <c r="K2798" s="7">
        <v>46023</v>
      </c>
    </row>
    <row r="2799" spans="1:11" hidden="1">
      <c r="A2799" t="s">
        <v>56</v>
      </c>
      <c r="B2799" t="s">
        <v>40</v>
      </c>
      <c r="C2799" t="s">
        <v>14</v>
      </c>
      <c r="E2799" t="s">
        <v>8</v>
      </c>
      <c r="F2799" s="1" t="s">
        <v>5</v>
      </c>
      <c r="G2799" s="1"/>
      <c r="H2799" t="s">
        <v>41</v>
      </c>
      <c r="I2799" s="2">
        <v>25000</v>
      </c>
      <c r="J2799" t="s">
        <v>1489</v>
      </c>
      <c r="K2799" s="7">
        <v>46023</v>
      </c>
    </row>
    <row r="2800" spans="1:11" hidden="1">
      <c r="A2800" t="s">
        <v>99</v>
      </c>
      <c r="B2800" t="s">
        <v>63</v>
      </c>
      <c r="C2800" t="s">
        <v>14</v>
      </c>
      <c r="E2800" t="s">
        <v>8</v>
      </c>
      <c r="F2800" s="1" t="s">
        <v>2</v>
      </c>
      <c r="G2800" s="1"/>
      <c r="H2800" t="s">
        <v>41</v>
      </c>
      <c r="I2800" s="2">
        <v>20000</v>
      </c>
      <c r="J2800" t="s">
        <v>1490</v>
      </c>
      <c r="K2800" s="7">
        <v>46023</v>
      </c>
    </row>
    <row r="2801" spans="1:11" hidden="1">
      <c r="A2801" t="s">
        <v>99</v>
      </c>
      <c r="B2801" t="s">
        <v>63</v>
      </c>
      <c r="C2801" t="s">
        <v>14</v>
      </c>
      <c r="E2801" t="s">
        <v>8</v>
      </c>
      <c r="F2801" s="1" t="s">
        <v>3</v>
      </c>
      <c r="G2801" s="1"/>
      <c r="H2801" t="s">
        <v>41</v>
      </c>
      <c r="I2801" s="2">
        <v>20000</v>
      </c>
      <c r="J2801" t="s">
        <v>1490</v>
      </c>
      <c r="K2801" s="7">
        <v>46023</v>
      </c>
    </row>
    <row r="2802" spans="1:11" hidden="1">
      <c r="A2802" t="s">
        <v>99</v>
      </c>
      <c r="B2802" t="s">
        <v>63</v>
      </c>
      <c r="C2802" t="s">
        <v>14</v>
      </c>
      <c r="E2802" t="s">
        <v>8</v>
      </c>
      <c r="F2802" s="1" t="s">
        <v>4</v>
      </c>
      <c r="G2802" s="1"/>
      <c r="H2802" t="s">
        <v>41</v>
      </c>
      <c r="I2802" s="2">
        <v>20000</v>
      </c>
      <c r="J2802" t="s">
        <v>1490</v>
      </c>
      <c r="K2802" s="7">
        <v>46023</v>
      </c>
    </row>
    <row r="2803" spans="1:11" hidden="1">
      <c r="A2803" t="s">
        <v>99</v>
      </c>
      <c r="B2803" t="s">
        <v>63</v>
      </c>
      <c r="C2803" t="s">
        <v>14</v>
      </c>
      <c r="E2803" t="s">
        <v>8</v>
      </c>
      <c r="F2803" s="1" t="s">
        <v>5</v>
      </c>
      <c r="G2803" s="1"/>
      <c r="H2803" t="s">
        <v>41</v>
      </c>
      <c r="I2803" s="2">
        <v>20000</v>
      </c>
      <c r="J2803" t="s">
        <v>1490</v>
      </c>
      <c r="K2803" s="7">
        <v>46023</v>
      </c>
    </row>
    <row r="2804" spans="1:11" hidden="1">
      <c r="A2804" t="s">
        <v>39</v>
      </c>
      <c r="B2804" t="s">
        <v>63</v>
      </c>
      <c r="C2804" t="s">
        <v>13</v>
      </c>
      <c r="E2804" t="s">
        <v>8</v>
      </c>
      <c r="F2804" s="1" t="s">
        <v>3</v>
      </c>
      <c r="G2804" s="1"/>
      <c r="H2804" t="s">
        <v>41</v>
      </c>
      <c r="I2804" s="2">
        <v>13475.25</v>
      </c>
      <c r="J2804" t="s">
        <v>1070</v>
      </c>
      <c r="K2804" s="7">
        <v>46023</v>
      </c>
    </row>
    <row r="2805" spans="1:11" hidden="1">
      <c r="A2805" t="s">
        <v>39</v>
      </c>
      <c r="B2805" t="s">
        <v>63</v>
      </c>
      <c r="C2805" t="s">
        <v>14</v>
      </c>
      <c r="E2805" t="s">
        <v>8</v>
      </c>
      <c r="F2805" s="1" t="s">
        <v>2</v>
      </c>
      <c r="G2805" s="1"/>
      <c r="H2805" t="s">
        <v>41</v>
      </c>
      <c r="I2805" s="2">
        <v>23152.799999999999</v>
      </c>
      <c r="J2805" t="s">
        <v>749</v>
      </c>
      <c r="K2805" s="7">
        <v>46023</v>
      </c>
    </row>
    <row r="2806" spans="1:11" hidden="1">
      <c r="A2806" t="s">
        <v>39</v>
      </c>
      <c r="B2806" t="s">
        <v>63</v>
      </c>
      <c r="C2806" t="s">
        <v>12</v>
      </c>
      <c r="E2806" t="s">
        <v>8</v>
      </c>
      <c r="F2806" s="1" t="s">
        <v>4</v>
      </c>
      <c r="G2806" s="1"/>
      <c r="H2806" t="s">
        <v>41</v>
      </c>
      <c r="I2806" s="2">
        <v>146147</v>
      </c>
      <c r="J2806" t="s">
        <v>1579</v>
      </c>
      <c r="K2806" s="7">
        <v>46023</v>
      </c>
    </row>
    <row r="2807" spans="1:11" hidden="1">
      <c r="A2807" t="s">
        <v>39</v>
      </c>
      <c r="B2807" t="s">
        <v>63</v>
      </c>
      <c r="C2807" t="s">
        <v>14</v>
      </c>
      <c r="E2807" t="s">
        <v>8</v>
      </c>
      <c r="F2807" s="1" t="s">
        <v>5</v>
      </c>
      <c r="G2807" s="1"/>
      <c r="H2807" t="s">
        <v>41</v>
      </c>
      <c r="I2807" s="2">
        <v>10489.69</v>
      </c>
      <c r="J2807" t="s">
        <v>1580</v>
      </c>
      <c r="K2807" s="7">
        <v>46023</v>
      </c>
    </row>
    <row r="2808" spans="1:11" hidden="1">
      <c r="A2808" t="s">
        <v>39</v>
      </c>
      <c r="B2808" t="s">
        <v>63</v>
      </c>
      <c r="C2808" t="s">
        <v>14</v>
      </c>
      <c r="E2808" t="s">
        <v>8</v>
      </c>
      <c r="F2808" s="1" t="s">
        <v>3</v>
      </c>
      <c r="G2808" s="1"/>
      <c r="H2808" t="s">
        <v>41</v>
      </c>
      <c r="I2808" s="2">
        <v>72472</v>
      </c>
      <c r="J2808" t="s">
        <v>334</v>
      </c>
      <c r="K2808" s="7">
        <v>46023</v>
      </c>
    </row>
    <row r="2809" spans="1:11" hidden="1">
      <c r="A2809" t="s">
        <v>39</v>
      </c>
      <c r="B2809" t="s">
        <v>63</v>
      </c>
      <c r="C2809" t="s">
        <v>12</v>
      </c>
      <c r="E2809" t="s">
        <v>8</v>
      </c>
      <c r="F2809" s="1" t="s">
        <v>5</v>
      </c>
      <c r="G2809" s="1"/>
      <c r="H2809" t="s">
        <v>41</v>
      </c>
      <c r="I2809" s="2">
        <v>17840</v>
      </c>
      <c r="J2809" t="s">
        <v>1581</v>
      </c>
      <c r="K2809" s="7">
        <v>46023</v>
      </c>
    </row>
    <row r="2810" spans="1:11" hidden="1">
      <c r="A2810" t="s">
        <v>39</v>
      </c>
      <c r="B2810" t="s">
        <v>63</v>
      </c>
      <c r="C2810" t="s">
        <v>12</v>
      </c>
      <c r="E2810" t="s">
        <v>8</v>
      </c>
      <c r="F2810" s="1" t="s">
        <v>3</v>
      </c>
      <c r="G2810" s="1"/>
      <c r="H2810" t="s">
        <v>41</v>
      </c>
      <c r="I2810" s="2">
        <v>7089</v>
      </c>
      <c r="J2810" t="s">
        <v>1582</v>
      </c>
      <c r="K2810" s="7">
        <v>46023</v>
      </c>
    </row>
    <row r="2811" spans="1:11" hidden="1">
      <c r="A2811" t="s">
        <v>39</v>
      </c>
      <c r="B2811" t="s">
        <v>63</v>
      </c>
      <c r="C2811" t="s">
        <v>12</v>
      </c>
      <c r="E2811" t="s">
        <v>8</v>
      </c>
      <c r="F2811" s="1" t="s">
        <v>3</v>
      </c>
      <c r="G2811" s="1"/>
      <c r="H2811" t="s">
        <v>41</v>
      </c>
      <c r="I2811" s="2">
        <v>201200</v>
      </c>
      <c r="J2811" t="s">
        <v>1527</v>
      </c>
      <c r="K2811" s="7">
        <v>46023</v>
      </c>
    </row>
    <row r="2812" spans="1:11" hidden="1">
      <c r="A2812" t="s">
        <v>39</v>
      </c>
      <c r="B2812" t="s">
        <v>63</v>
      </c>
      <c r="C2812" t="s">
        <v>13</v>
      </c>
      <c r="E2812" t="s">
        <v>8</v>
      </c>
      <c r="F2812" s="1" t="s">
        <v>3</v>
      </c>
      <c r="G2812" s="1"/>
      <c r="H2812" t="s">
        <v>41</v>
      </c>
      <c r="I2812" s="2">
        <v>6012.5</v>
      </c>
      <c r="J2812" t="s">
        <v>534</v>
      </c>
      <c r="K2812" s="7">
        <v>46023</v>
      </c>
    </row>
    <row r="2813" spans="1:11" hidden="1">
      <c r="A2813" t="s">
        <v>39</v>
      </c>
      <c r="B2813" t="s">
        <v>63</v>
      </c>
      <c r="C2813" t="s">
        <v>13</v>
      </c>
      <c r="E2813" t="s">
        <v>8</v>
      </c>
      <c r="F2813" s="1" t="s">
        <v>5</v>
      </c>
      <c r="G2813" s="1"/>
      <c r="H2813" t="s">
        <v>41</v>
      </c>
      <c r="I2813" s="2">
        <v>4701.76</v>
      </c>
      <c r="J2813" t="s">
        <v>157</v>
      </c>
      <c r="K2813" s="7">
        <v>46023</v>
      </c>
    </row>
    <row r="2814" spans="1:11" hidden="1">
      <c r="A2814" t="s">
        <v>39</v>
      </c>
      <c r="B2814" t="s">
        <v>63</v>
      </c>
      <c r="C2814" t="s">
        <v>14</v>
      </c>
      <c r="E2814" t="s">
        <v>8</v>
      </c>
      <c r="F2814" s="1" t="s">
        <v>2</v>
      </c>
      <c r="G2814" s="1"/>
      <c r="H2814" t="s">
        <v>41</v>
      </c>
      <c r="I2814" s="2">
        <v>8321.5300000000007</v>
      </c>
      <c r="J2814" t="s">
        <v>1583</v>
      </c>
      <c r="K2814" s="7">
        <v>46023</v>
      </c>
    </row>
    <row r="2815" spans="1:11" hidden="1">
      <c r="A2815" t="s">
        <v>39</v>
      </c>
      <c r="B2815" t="s">
        <v>63</v>
      </c>
      <c r="C2815" t="s">
        <v>13</v>
      </c>
      <c r="E2815" t="s">
        <v>8</v>
      </c>
      <c r="F2815" s="1" t="s">
        <v>4</v>
      </c>
      <c r="G2815" s="1"/>
      <c r="H2815" t="s">
        <v>41</v>
      </c>
      <c r="I2815" s="2">
        <v>25000</v>
      </c>
      <c r="J2815" t="s">
        <v>201</v>
      </c>
      <c r="K2815" s="7">
        <v>46023</v>
      </c>
    </row>
    <row r="2816" spans="1:11" hidden="1">
      <c r="A2816" t="s">
        <v>39</v>
      </c>
      <c r="B2816" t="s">
        <v>63</v>
      </c>
      <c r="C2816" t="s">
        <v>14</v>
      </c>
      <c r="E2816" t="s">
        <v>8</v>
      </c>
      <c r="F2816" s="1" t="s">
        <v>3</v>
      </c>
      <c r="G2816" s="1"/>
      <c r="H2816" t="s">
        <v>41</v>
      </c>
      <c r="I2816" s="2">
        <v>36955</v>
      </c>
      <c r="J2816" t="s">
        <v>1584</v>
      </c>
      <c r="K2816" s="7">
        <v>46023</v>
      </c>
    </row>
    <row r="2817" spans="1:11" hidden="1">
      <c r="A2817" t="s">
        <v>39</v>
      </c>
      <c r="B2817" t="s">
        <v>63</v>
      </c>
      <c r="C2817" t="s">
        <v>14</v>
      </c>
      <c r="E2817" t="s">
        <v>8</v>
      </c>
      <c r="F2817" s="1" t="s">
        <v>4</v>
      </c>
      <c r="G2817" s="1"/>
      <c r="H2817" t="s">
        <v>41</v>
      </c>
      <c r="I2817" s="2">
        <v>35265.4</v>
      </c>
      <c r="J2817" t="s">
        <v>191</v>
      </c>
      <c r="K2817" s="7">
        <v>46023</v>
      </c>
    </row>
    <row r="2818" spans="1:11" hidden="1">
      <c r="A2818" t="s">
        <v>39</v>
      </c>
      <c r="B2818" t="s">
        <v>63</v>
      </c>
      <c r="C2818" t="s">
        <v>14</v>
      </c>
      <c r="E2818" t="s">
        <v>8</v>
      </c>
      <c r="F2818" s="1" t="s">
        <v>2</v>
      </c>
      <c r="G2818" s="1"/>
      <c r="H2818" t="s">
        <v>41</v>
      </c>
      <c r="I2818" s="2">
        <v>30669</v>
      </c>
      <c r="J2818" t="s">
        <v>274</v>
      </c>
      <c r="K2818" s="7">
        <v>46023</v>
      </c>
    </row>
    <row r="2819" spans="1:11" hidden="1">
      <c r="A2819" t="s">
        <v>39</v>
      </c>
      <c r="B2819" t="s">
        <v>63</v>
      </c>
      <c r="C2819" t="s">
        <v>14</v>
      </c>
      <c r="E2819" t="s">
        <v>8</v>
      </c>
      <c r="F2819" s="1" t="s">
        <v>3</v>
      </c>
      <c r="G2819" s="1"/>
      <c r="H2819" t="s">
        <v>41</v>
      </c>
      <c r="I2819" s="2">
        <v>31439.23</v>
      </c>
      <c r="J2819" t="s">
        <v>65</v>
      </c>
      <c r="K2819" s="7">
        <v>46023</v>
      </c>
    </row>
    <row r="2820" spans="1:11">
      <c r="A2820" t="s">
        <v>39</v>
      </c>
      <c r="B2820" t="s">
        <v>47</v>
      </c>
      <c r="C2820" t="s">
        <v>13</v>
      </c>
      <c r="E2820" t="s">
        <v>8</v>
      </c>
      <c r="F2820" s="1" t="s">
        <v>2</v>
      </c>
      <c r="G2820" s="1"/>
      <c r="H2820" t="s">
        <v>41</v>
      </c>
      <c r="I2820" s="2">
        <v>21895.07</v>
      </c>
      <c r="J2820" t="s">
        <v>462</v>
      </c>
      <c r="K2820" s="7">
        <v>46023</v>
      </c>
    </row>
    <row r="2821" spans="1:11">
      <c r="A2821" t="s">
        <v>39</v>
      </c>
      <c r="B2821" t="s">
        <v>47</v>
      </c>
      <c r="C2821" t="s">
        <v>14</v>
      </c>
      <c r="E2821" t="s">
        <v>8</v>
      </c>
      <c r="F2821" s="1" t="s">
        <v>2</v>
      </c>
      <c r="G2821" s="1"/>
      <c r="H2821" t="s">
        <v>41</v>
      </c>
      <c r="I2821" s="2">
        <v>405.54</v>
      </c>
      <c r="J2821" t="s">
        <v>1585</v>
      </c>
      <c r="K2821" s="7">
        <v>46023</v>
      </c>
    </row>
    <row r="2822" spans="1:11">
      <c r="A2822" t="s">
        <v>39</v>
      </c>
      <c r="B2822" t="s">
        <v>47</v>
      </c>
      <c r="C2822" t="s">
        <v>13</v>
      </c>
      <c r="E2822" t="s">
        <v>8</v>
      </c>
      <c r="F2822" s="1" t="s">
        <v>3</v>
      </c>
      <c r="G2822" s="1"/>
      <c r="H2822" t="s">
        <v>41</v>
      </c>
      <c r="I2822" s="2">
        <v>22841.15</v>
      </c>
      <c r="J2822" t="s">
        <v>1242</v>
      </c>
      <c r="K2822" s="7">
        <v>46023</v>
      </c>
    </row>
    <row r="2823" spans="1:11">
      <c r="A2823" t="s">
        <v>39</v>
      </c>
      <c r="B2823" t="s">
        <v>47</v>
      </c>
      <c r="C2823" t="s">
        <v>13</v>
      </c>
      <c r="E2823" t="s">
        <v>8</v>
      </c>
      <c r="F2823" s="1" t="s">
        <v>3</v>
      </c>
      <c r="G2823" s="1"/>
      <c r="H2823" t="s">
        <v>41</v>
      </c>
      <c r="I2823" s="2">
        <v>5024</v>
      </c>
      <c r="J2823" t="s">
        <v>767</v>
      </c>
      <c r="K2823" s="7">
        <v>46023</v>
      </c>
    </row>
    <row r="2824" spans="1:11">
      <c r="A2824" t="s">
        <v>39</v>
      </c>
      <c r="B2824" t="s">
        <v>47</v>
      </c>
      <c r="C2824" t="s">
        <v>13</v>
      </c>
      <c r="E2824" t="s">
        <v>8</v>
      </c>
      <c r="F2824" s="1" t="s">
        <v>3</v>
      </c>
      <c r="G2824" s="1"/>
      <c r="H2824" t="s">
        <v>41</v>
      </c>
      <c r="I2824" s="2">
        <v>81193</v>
      </c>
      <c r="J2824" t="s">
        <v>188</v>
      </c>
      <c r="K2824" s="7">
        <v>46023</v>
      </c>
    </row>
    <row r="2825" spans="1:11">
      <c r="A2825" t="s">
        <v>39</v>
      </c>
      <c r="B2825" t="s">
        <v>47</v>
      </c>
      <c r="C2825" t="s">
        <v>13</v>
      </c>
      <c r="E2825" t="s">
        <v>8</v>
      </c>
      <c r="F2825" s="1" t="s">
        <v>3</v>
      </c>
      <c r="G2825" s="1"/>
      <c r="H2825" t="s">
        <v>41</v>
      </c>
      <c r="I2825" s="2">
        <v>19182</v>
      </c>
      <c r="J2825" t="s">
        <v>986</v>
      </c>
      <c r="K2825" s="7">
        <v>46023</v>
      </c>
    </row>
    <row r="2826" spans="1:11">
      <c r="A2826" t="s">
        <v>39</v>
      </c>
      <c r="B2826" t="s">
        <v>47</v>
      </c>
      <c r="C2826" t="s">
        <v>14</v>
      </c>
      <c r="E2826" t="s">
        <v>8</v>
      </c>
      <c r="F2826" s="1" t="s">
        <v>3</v>
      </c>
      <c r="G2826" s="1"/>
      <c r="H2826" t="s">
        <v>41</v>
      </c>
      <c r="I2826" s="2">
        <v>15339</v>
      </c>
      <c r="J2826" t="s">
        <v>725</v>
      </c>
      <c r="K2826" s="7">
        <v>46023</v>
      </c>
    </row>
    <row r="2827" spans="1:11">
      <c r="A2827" t="s">
        <v>39</v>
      </c>
      <c r="B2827" t="s">
        <v>47</v>
      </c>
      <c r="C2827" t="s">
        <v>14</v>
      </c>
      <c r="E2827" t="s">
        <v>8</v>
      </c>
      <c r="F2827" s="1" t="s">
        <v>4</v>
      </c>
      <c r="G2827" s="1"/>
      <c r="H2827" t="s">
        <v>41</v>
      </c>
      <c r="I2827" s="2">
        <v>8014</v>
      </c>
      <c r="J2827" t="s">
        <v>371</v>
      </c>
      <c r="K2827" s="7">
        <v>46023</v>
      </c>
    </row>
    <row r="2828" spans="1:11">
      <c r="A2828" t="s">
        <v>39</v>
      </c>
      <c r="B2828" t="s">
        <v>47</v>
      </c>
      <c r="C2828" t="s">
        <v>14</v>
      </c>
      <c r="E2828" t="s">
        <v>8</v>
      </c>
      <c r="F2828" s="1" t="s">
        <v>4</v>
      </c>
      <c r="G2828" s="1"/>
      <c r="H2828" t="s">
        <v>41</v>
      </c>
      <c r="I2828" s="2">
        <v>19876</v>
      </c>
      <c r="J2828" t="s">
        <v>595</v>
      </c>
      <c r="K2828" s="7">
        <v>46023</v>
      </c>
    </row>
    <row r="2829" spans="1:11">
      <c r="A2829" t="s">
        <v>39</v>
      </c>
      <c r="B2829" t="s">
        <v>47</v>
      </c>
      <c r="C2829" t="s">
        <v>14</v>
      </c>
      <c r="E2829" t="s">
        <v>8</v>
      </c>
      <c r="F2829" s="1" t="s">
        <v>4</v>
      </c>
      <c r="G2829" s="1"/>
      <c r="H2829" t="s">
        <v>41</v>
      </c>
      <c r="I2829" s="2">
        <v>5141.7</v>
      </c>
      <c r="J2829" t="s">
        <v>1586</v>
      </c>
      <c r="K2829" s="7">
        <v>46023</v>
      </c>
    </row>
    <row r="2830" spans="1:11">
      <c r="A2830" t="s">
        <v>39</v>
      </c>
      <c r="B2830" t="s">
        <v>47</v>
      </c>
      <c r="C2830" t="s">
        <v>14</v>
      </c>
      <c r="E2830" t="s">
        <v>8</v>
      </c>
      <c r="F2830" s="1" t="s">
        <v>4</v>
      </c>
      <c r="G2830" s="1"/>
      <c r="H2830" t="s">
        <v>41</v>
      </c>
      <c r="I2830" s="2">
        <v>5411</v>
      </c>
      <c r="J2830" t="s">
        <v>420</v>
      </c>
      <c r="K2830" s="7">
        <v>46023</v>
      </c>
    </row>
    <row r="2831" spans="1:11">
      <c r="A2831" t="s">
        <v>39</v>
      </c>
      <c r="B2831" t="s">
        <v>47</v>
      </c>
      <c r="C2831" t="s">
        <v>14</v>
      </c>
      <c r="E2831" t="s">
        <v>8</v>
      </c>
      <c r="F2831" s="1" t="s">
        <v>4</v>
      </c>
      <c r="G2831" s="1"/>
      <c r="H2831" t="s">
        <v>41</v>
      </c>
      <c r="I2831" s="2">
        <v>19145</v>
      </c>
      <c r="J2831" t="s">
        <v>1587</v>
      </c>
      <c r="K2831" s="7">
        <v>46023</v>
      </c>
    </row>
    <row r="2832" spans="1:11">
      <c r="A2832" t="s">
        <v>39</v>
      </c>
      <c r="B2832" t="s">
        <v>47</v>
      </c>
      <c r="C2832" t="s">
        <v>14</v>
      </c>
      <c r="E2832" t="s">
        <v>8</v>
      </c>
      <c r="F2832" s="1" t="s">
        <v>4</v>
      </c>
      <c r="G2832" s="1"/>
      <c r="H2832" t="s">
        <v>41</v>
      </c>
      <c r="I2832" s="2">
        <v>11081.5</v>
      </c>
      <c r="J2832" t="s">
        <v>1588</v>
      </c>
      <c r="K2832" s="7">
        <v>46023</v>
      </c>
    </row>
    <row r="2833" spans="1:11">
      <c r="A2833" t="s">
        <v>39</v>
      </c>
      <c r="B2833" t="s">
        <v>47</v>
      </c>
      <c r="C2833" t="s">
        <v>14</v>
      </c>
      <c r="E2833" t="s">
        <v>8</v>
      </c>
      <c r="F2833" s="1" t="s">
        <v>4</v>
      </c>
      <c r="G2833" s="1"/>
      <c r="H2833" t="s">
        <v>41</v>
      </c>
      <c r="I2833" s="2">
        <v>5961.64</v>
      </c>
      <c r="J2833" t="s">
        <v>1589</v>
      </c>
      <c r="K2833" s="7">
        <v>46023</v>
      </c>
    </row>
    <row r="2834" spans="1:11">
      <c r="A2834" t="s">
        <v>39</v>
      </c>
      <c r="B2834" t="s">
        <v>47</v>
      </c>
      <c r="C2834" t="s">
        <v>14</v>
      </c>
      <c r="E2834" t="s">
        <v>8</v>
      </c>
      <c r="F2834" s="1" t="s">
        <v>4</v>
      </c>
      <c r="G2834" s="1"/>
      <c r="H2834" t="s">
        <v>41</v>
      </c>
      <c r="I2834" s="2">
        <v>29553.48</v>
      </c>
      <c r="J2834" t="s">
        <v>65</v>
      </c>
      <c r="K2834" s="7">
        <v>46023</v>
      </c>
    </row>
    <row r="2835" spans="1:11">
      <c r="A2835" t="s">
        <v>39</v>
      </c>
      <c r="B2835" t="s">
        <v>47</v>
      </c>
      <c r="C2835" t="s">
        <v>13</v>
      </c>
      <c r="E2835" t="s">
        <v>8</v>
      </c>
      <c r="F2835" s="1" t="s">
        <v>5</v>
      </c>
      <c r="G2835" s="1"/>
      <c r="H2835" t="s">
        <v>41</v>
      </c>
      <c r="I2835" s="2">
        <v>33569</v>
      </c>
      <c r="J2835" t="s">
        <v>118</v>
      </c>
      <c r="K2835" s="7">
        <v>46023</v>
      </c>
    </row>
    <row r="2836" spans="1:11">
      <c r="A2836" t="s">
        <v>39</v>
      </c>
      <c r="B2836" t="s">
        <v>47</v>
      </c>
      <c r="C2836" t="s">
        <v>14</v>
      </c>
      <c r="E2836" t="s">
        <v>8</v>
      </c>
      <c r="F2836" s="1" t="s">
        <v>5</v>
      </c>
      <c r="G2836" s="1"/>
      <c r="H2836" t="s">
        <v>41</v>
      </c>
      <c r="I2836" s="2">
        <v>16369</v>
      </c>
      <c r="J2836" t="s">
        <v>712</v>
      </c>
      <c r="K2836" s="7">
        <v>46023</v>
      </c>
    </row>
    <row r="2837" spans="1:11">
      <c r="A2837" t="s">
        <v>39</v>
      </c>
      <c r="B2837" t="s">
        <v>47</v>
      </c>
      <c r="C2837" t="s">
        <v>14</v>
      </c>
      <c r="E2837" t="s">
        <v>8</v>
      </c>
      <c r="F2837" s="1" t="s">
        <v>5</v>
      </c>
      <c r="G2837" s="1"/>
      <c r="H2837" t="s">
        <v>41</v>
      </c>
      <c r="I2837" s="2">
        <v>3740.75</v>
      </c>
      <c r="J2837" t="s">
        <v>1258</v>
      </c>
      <c r="K2837" s="7">
        <v>46023</v>
      </c>
    </row>
    <row r="2838" spans="1:11">
      <c r="A2838" t="s">
        <v>39</v>
      </c>
      <c r="B2838" t="s">
        <v>47</v>
      </c>
      <c r="C2838" t="s">
        <v>14</v>
      </c>
      <c r="E2838" t="s">
        <v>8</v>
      </c>
      <c r="F2838" s="1" t="s">
        <v>5</v>
      </c>
      <c r="G2838" s="1"/>
      <c r="H2838" t="s">
        <v>41</v>
      </c>
      <c r="I2838" s="2">
        <v>39086</v>
      </c>
      <c r="J2838" t="s">
        <v>1500</v>
      </c>
      <c r="K2838" s="7">
        <v>46023</v>
      </c>
    </row>
    <row r="2839" spans="1:11">
      <c r="A2839" t="s">
        <v>39</v>
      </c>
      <c r="B2839" t="s">
        <v>47</v>
      </c>
      <c r="C2839" t="s">
        <v>14</v>
      </c>
      <c r="E2839" t="s">
        <v>8</v>
      </c>
      <c r="F2839" s="1" t="s">
        <v>5</v>
      </c>
      <c r="G2839" s="1"/>
      <c r="H2839" t="s">
        <v>41</v>
      </c>
      <c r="I2839" s="2">
        <v>13966</v>
      </c>
      <c r="J2839" t="s">
        <v>411</v>
      </c>
      <c r="K2839" s="7">
        <v>46023</v>
      </c>
    </row>
    <row r="2840" spans="1:11">
      <c r="A2840" t="s">
        <v>39</v>
      </c>
      <c r="B2840" t="s">
        <v>47</v>
      </c>
      <c r="C2840" t="s">
        <v>14</v>
      </c>
      <c r="E2840" t="s">
        <v>8</v>
      </c>
      <c r="F2840" s="1" t="s">
        <v>5</v>
      </c>
      <c r="G2840" s="1"/>
      <c r="H2840" t="s">
        <v>41</v>
      </c>
      <c r="I2840" s="2">
        <v>38228</v>
      </c>
      <c r="J2840" t="s">
        <v>1590</v>
      </c>
      <c r="K2840" s="7">
        <v>46023</v>
      </c>
    </row>
    <row r="2841" spans="1:11">
      <c r="A2841" t="s">
        <v>39</v>
      </c>
      <c r="B2841" t="s">
        <v>47</v>
      </c>
      <c r="C2841" t="s">
        <v>14</v>
      </c>
      <c r="E2841" t="s">
        <v>8</v>
      </c>
      <c r="F2841" s="1" t="s">
        <v>5</v>
      </c>
      <c r="G2841" s="1"/>
      <c r="H2841" t="s">
        <v>41</v>
      </c>
      <c r="I2841" s="2">
        <v>170641</v>
      </c>
      <c r="J2841" t="s">
        <v>61</v>
      </c>
      <c r="K2841" s="7">
        <v>46023</v>
      </c>
    </row>
    <row r="2842" spans="1:11" hidden="1">
      <c r="A2842" t="s">
        <v>39</v>
      </c>
      <c r="B2842" t="s">
        <v>45</v>
      </c>
      <c r="C2842" t="s">
        <v>14</v>
      </c>
      <c r="E2842" t="s">
        <v>8</v>
      </c>
      <c r="F2842" s="1" t="s">
        <v>2</v>
      </c>
      <c r="G2842" s="1"/>
      <c r="H2842" t="s">
        <v>41</v>
      </c>
      <c r="I2842" s="2">
        <v>41899.99</v>
      </c>
      <c r="J2842" t="s">
        <v>1591</v>
      </c>
      <c r="K2842" s="7">
        <v>46023</v>
      </c>
    </row>
    <row r="2843" spans="1:11" hidden="1">
      <c r="A2843" t="s">
        <v>39</v>
      </c>
      <c r="B2843" t="s">
        <v>45</v>
      </c>
      <c r="C2843" t="s">
        <v>14</v>
      </c>
      <c r="E2843" t="s">
        <v>8</v>
      </c>
      <c r="F2843" s="1" t="s">
        <v>2</v>
      </c>
      <c r="G2843" s="1"/>
      <c r="H2843" t="s">
        <v>41</v>
      </c>
      <c r="I2843" s="2">
        <v>26684</v>
      </c>
      <c r="J2843" t="s">
        <v>1592</v>
      </c>
      <c r="K2843" s="7">
        <v>46023</v>
      </c>
    </row>
    <row r="2844" spans="1:11" hidden="1">
      <c r="A2844" t="s">
        <v>39</v>
      </c>
      <c r="B2844" t="s">
        <v>45</v>
      </c>
      <c r="C2844" t="s">
        <v>14</v>
      </c>
      <c r="E2844" t="s">
        <v>8</v>
      </c>
      <c r="F2844" s="1" t="s">
        <v>2</v>
      </c>
      <c r="G2844" s="1"/>
      <c r="H2844" t="s">
        <v>41</v>
      </c>
      <c r="I2844" s="2">
        <v>8285.2999999999993</v>
      </c>
      <c r="J2844" t="s">
        <v>1491</v>
      </c>
      <c r="K2844" s="7">
        <v>46023</v>
      </c>
    </row>
    <row r="2845" spans="1:11" hidden="1">
      <c r="A2845" t="s">
        <v>39</v>
      </c>
      <c r="B2845" t="s">
        <v>45</v>
      </c>
      <c r="C2845" t="s">
        <v>14</v>
      </c>
      <c r="E2845" t="s">
        <v>8</v>
      </c>
      <c r="F2845" s="1" t="s">
        <v>3</v>
      </c>
      <c r="G2845" s="1"/>
      <c r="H2845" t="s">
        <v>41</v>
      </c>
      <c r="I2845" s="2">
        <v>210708</v>
      </c>
      <c r="J2845" t="s">
        <v>1593</v>
      </c>
      <c r="K2845" s="7">
        <v>46023</v>
      </c>
    </row>
    <row r="2846" spans="1:11" hidden="1">
      <c r="A2846" t="s">
        <v>39</v>
      </c>
      <c r="B2846" t="s">
        <v>45</v>
      </c>
      <c r="C2846" t="s">
        <v>14</v>
      </c>
      <c r="E2846" t="s">
        <v>8</v>
      </c>
      <c r="F2846" s="1" t="s">
        <v>4</v>
      </c>
      <c r="G2846" s="1"/>
      <c r="H2846" t="s">
        <v>41</v>
      </c>
      <c r="I2846" s="2">
        <v>12739.68</v>
      </c>
      <c r="J2846" t="s">
        <v>1594</v>
      </c>
      <c r="K2846" s="7">
        <v>46023</v>
      </c>
    </row>
    <row r="2847" spans="1:11" hidden="1">
      <c r="A2847" t="s">
        <v>39</v>
      </c>
      <c r="B2847" t="s">
        <v>45</v>
      </c>
      <c r="C2847" t="s">
        <v>12</v>
      </c>
      <c r="E2847" t="s">
        <v>8</v>
      </c>
      <c r="F2847" s="1" t="s">
        <v>4</v>
      </c>
      <c r="G2847" s="1"/>
      <c r="H2847" t="s">
        <v>41</v>
      </c>
      <c r="I2847" s="2">
        <v>109377</v>
      </c>
      <c r="J2847" t="s">
        <v>113</v>
      </c>
      <c r="K2847" s="7">
        <v>46023</v>
      </c>
    </row>
    <row r="2848" spans="1:11" hidden="1">
      <c r="A2848" t="s">
        <v>39</v>
      </c>
      <c r="B2848" t="s">
        <v>45</v>
      </c>
      <c r="C2848" t="s">
        <v>14</v>
      </c>
      <c r="E2848" t="s">
        <v>8</v>
      </c>
      <c r="F2848" s="1" t="s">
        <v>5</v>
      </c>
      <c r="G2848" s="1"/>
      <c r="H2848" t="s">
        <v>41</v>
      </c>
      <c r="I2848" s="2">
        <v>43601.35</v>
      </c>
      <c r="J2848" t="s">
        <v>279</v>
      </c>
      <c r="K2848" s="7">
        <v>46023</v>
      </c>
    </row>
    <row r="2849" spans="1:11" hidden="1">
      <c r="A2849" t="s">
        <v>39</v>
      </c>
      <c r="B2849" t="s">
        <v>45</v>
      </c>
      <c r="C2849" t="s">
        <v>13</v>
      </c>
      <c r="E2849" t="s">
        <v>8</v>
      </c>
      <c r="F2849" s="1" t="s">
        <v>5</v>
      </c>
      <c r="G2849" s="1"/>
      <c r="H2849" t="s">
        <v>41</v>
      </c>
      <c r="I2849" s="2">
        <v>23144</v>
      </c>
      <c r="J2849" t="s">
        <v>88</v>
      </c>
      <c r="K2849" s="7">
        <v>46023</v>
      </c>
    </row>
    <row r="2850" spans="1:11" hidden="1">
      <c r="A2850" t="s">
        <v>39</v>
      </c>
      <c r="B2850" t="s">
        <v>45</v>
      </c>
      <c r="C2850" t="s">
        <v>14</v>
      </c>
      <c r="E2850" t="s">
        <v>8</v>
      </c>
      <c r="F2850" s="1" t="s">
        <v>5</v>
      </c>
      <c r="G2850" s="1"/>
      <c r="H2850" t="s">
        <v>41</v>
      </c>
      <c r="I2850" s="2">
        <v>11252.1</v>
      </c>
      <c r="J2850" t="s">
        <v>1203</v>
      </c>
      <c r="K2850" s="7">
        <v>46023</v>
      </c>
    </row>
    <row r="2851" spans="1:11" hidden="1">
      <c r="A2851" t="s">
        <v>114</v>
      </c>
      <c r="B2851" t="s">
        <v>63</v>
      </c>
      <c r="C2851" t="s">
        <v>124</v>
      </c>
      <c r="E2851" t="s">
        <v>9</v>
      </c>
      <c r="F2851" s="1" t="s">
        <v>5</v>
      </c>
      <c r="G2851" s="1">
        <v>46014</v>
      </c>
      <c r="H2851" t="s">
        <v>64</v>
      </c>
      <c r="I2851" s="2">
        <f>208483.73/510</f>
        <v>408.7916274509804</v>
      </c>
      <c r="J2851" t="s">
        <v>334</v>
      </c>
      <c r="K2851" s="7">
        <v>45992</v>
      </c>
    </row>
    <row r="2852" spans="1:11" hidden="1">
      <c r="A2852" t="s">
        <v>39</v>
      </c>
      <c r="B2852" t="s">
        <v>45</v>
      </c>
      <c r="C2852" t="s">
        <v>14</v>
      </c>
      <c r="E2852" t="s">
        <v>9</v>
      </c>
      <c r="F2852" s="1" t="s">
        <v>4</v>
      </c>
      <c r="G2852" s="1">
        <v>46010</v>
      </c>
      <c r="H2852" t="s">
        <v>41</v>
      </c>
      <c r="I2852" s="2">
        <v>33982.839999999997</v>
      </c>
      <c r="J2852" t="s">
        <v>1595</v>
      </c>
      <c r="K2852" s="7">
        <v>45992</v>
      </c>
    </row>
    <row r="2853" spans="1:11" hidden="1">
      <c r="A2853" t="s">
        <v>56</v>
      </c>
      <c r="B2853" t="s">
        <v>40</v>
      </c>
      <c r="C2853" t="s">
        <v>14</v>
      </c>
      <c r="E2853" t="s">
        <v>9</v>
      </c>
      <c r="F2853" s="1" t="s">
        <v>4</v>
      </c>
      <c r="G2853" s="1">
        <v>46010</v>
      </c>
      <c r="H2853" t="s">
        <v>41</v>
      </c>
      <c r="I2853" s="2">
        <v>26436.080000000002</v>
      </c>
      <c r="J2853" t="s">
        <v>1417</v>
      </c>
      <c r="K2853" s="7">
        <v>45992</v>
      </c>
    </row>
    <row r="2854" spans="1:11" hidden="1">
      <c r="A2854" t="s">
        <v>39</v>
      </c>
      <c r="B2854" t="s">
        <v>40</v>
      </c>
      <c r="C2854" t="s">
        <v>14</v>
      </c>
      <c r="E2854" t="s">
        <v>9</v>
      </c>
      <c r="F2854" s="1" t="s">
        <v>4</v>
      </c>
      <c r="G2854" s="1">
        <v>46010</v>
      </c>
      <c r="H2854" t="s">
        <v>41</v>
      </c>
      <c r="I2854" s="2">
        <v>19550</v>
      </c>
      <c r="J2854" t="s">
        <v>1596</v>
      </c>
      <c r="K2854" s="7">
        <v>45992</v>
      </c>
    </row>
    <row r="2855" spans="1:11" hidden="1">
      <c r="A2855" t="s">
        <v>39</v>
      </c>
      <c r="B2855" t="s">
        <v>40</v>
      </c>
      <c r="C2855" t="s">
        <v>14</v>
      </c>
      <c r="E2855" t="s">
        <v>9</v>
      </c>
      <c r="F2855" s="1" t="s">
        <v>5</v>
      </c>
      <c r="G2855" s="1">
        <v>45986</v>
      </c>
      <c r="H2855" t="s">
        <v>41</v>
      </c>
      <c r="I2855" s="2">
        <v>405.54</v>
      </c>
      <c r="J2855" s="47" t="s">
        <v>283</v>
      </c>
      <c r="K2855" s="7">
        <v>45962</v>
      </c>
    </row>
    <row r="2856" spans="1:11" hidden="1">
      <c r="A2856" t="s">
        <v>39</v>
      </c>
      <c r="B2856" t="s">
        <v>47</v>
      </c>
      <c r="C2856" t="s">
        <v>14</v>
      </c>
      <c r="E2856" t="s">
        <v>9</v>
      </c>
      <c r="F2856" s="1" t="s">
        <v>4</v>
      </c>
      <c r="G2856" s="1">
        <v>46010</v>
      </c>
      <c r="H2856" t="s">
        <v>41</v>
      </c>
      <c r="I2856" s="2">
        <v>17782.439999999999</v>
      </c>
      <c r="J2856" t="s">
        <v>54</v>
      </c>
      <c r="K2856" s="7">
        <v>45992</v>
      </c>
    </row>
    <row r="2857" spans="1:11" hidden="1">
      <c r="A2857" t="s">
        <v>39</v>
      </c>
      <c r="B2857" t="s">
        <v>40</v>
      </c>
      <c r="C2857" t="s">
        <v>14</v>
      </c>
      <c r="D2857">
        <v>10027960</v>
      </c>
      <c r="E2857" t="s">
        <v>9</v>
      </c>
      <c r="F2857" s="1" t="s">
        <v>3</v>
      </c>
      <c r="G2857" s="1">
        <v>45975</v>
      </c>
      <c r="H2857" t="s">
        <v>41</v>
      </c>
      <c r="I2857" s="2">
        <v>405.5</v>
      </c>
      <c r="J2857" t="s">
        <v>1597</v>
      </c>
      <c r="K2857" s="7">
        <v>45962</v>
      </c>
    </row>
    <row r="2858" spans="1:11" hidden="1">
      <c r="A2858" t="s">
        <v>39</v>
      </c>
      <c r="B2858" t="s">
        <v>40</v>
      </c>
      <c r="C2858" t="s">
        <v>14</v>
      </c>
      <c r="E2858" t="s">
        <v>9</v>
      </c>
      <c r="F2858" s="1" t="s">
        <v>2</v>
      </c>
      <c r="G2858" s="1">
        <v>45811</v>
      </c>
      <c r="H2858" t="s">
        <v>41</v>
      </c>
      <c r="I2858" s="2">
        <v>404.07</v>
      </c>
      <c r="J2858" t="s">
        <v>1598</v>
      </c>
      <c r="K2858" s="7">
        <v>45809</v>
      </c>
    </row>
    <row r="2859" spans="1:11" hidden="1">
      <c r="A2859" t="s">
        <v>39</v>
      </c>
      <c r="B2859" t="s">
        <v>63</v>
      </c>
      <c r="C2859" t="s">
        <v>13</v>
      </c>
      <c r="E2859" t="s">
        <v>9</v>
      </c>
      <c r="F2859" s="1" t="s">
        <v>3</v>
      </c>
      <c r="G2859" s="1">
        <v>45912</v>
      </c>
      <c r="H2859" t="s">
        <v>41</v>
      </c>
      <c r="I2859" s="2">
        <v>401.67</v>
      </c>
      <c r="J2859" t="s">
        <v>1599</v>
      </c>
      <c r="K2859" s="7">
        <v>45901</v>
      </c>
    </row>
    <row r="2860" spans="1:11" hidden="1">
      <c r="A2860" t="s">
        <v>39</v>
      </c>
      <c r="B2860" t="s">
        <v>63</v>
      </c>
      <c r="C2860" t="s">
        <v>14</v>
      </c>
      <c r="E2860" t="s">
        <v>9</v>
      </c>
      <c r="F2860" s="1" t="s">
        <v>4</v>
      </c>
      <c r="G2860" s="1">
        <v>46010</v>
      </c>
      <c r="H2860" t="s">
        <v>41</v>
      </c>
      <c r="I2860" s="2">
        <v>16652.32</v>
      </c>
      <c r="J2860" t="s">
        <v>1419</v>
      </c>
      <c r="K2860" s="7">
        <v>45992</v>
      </c>
    </row>
    <row r="2861" spans="1:11" hidden="1">
      <c r="A2861" t="s">
        <v>39</v>
      </c>
      <c r="B2861" t="s">
        <v>40</v>
      </c>
      <c r="C2861" t="s">
        <v>14</v>
      </c>
      <c r="E2861" t="s">
        <v>9</v>
      </c>
      <c r="F2861" s="1" t="s">
        <v>3</v>
      </c>
      <c r="G2861" s="1">
        <v>45999</v>
      </c>
      <c r="H2861" t="s">
        <v>41</v>
      </c>
      <c r="I2861" s="2">
        <v>400</v>
      </c>
      <c r="J2861" t="s">
        <v>1600</v>
      </c>
      <c r="K2861" s="7">
        <v>45992</v>
      </c>
    </row>
    <row r="2862" spans="1:11" hidden="1">
      <c r="A2862" t="s">
        <v>39</v>
      </c>
      <c r="B2862" t="s">
        <v>144</v>
      </c>
      <c r="C2862" t="s">
        <v>14</v>
      </c>
      <c r="E2862" t="s">
        <v>9</v>
      </c>
      <c r="F2862" s="1" t="s">
        <v>4</v>
      </c>
      <c r="G2862" s="1">
        <v>46010</v>
      </c>
      <c r="H2862" t="s">
        <v>41</v>
      </c>
      <c r="I2862" s="2">
        <v>12251.46</v>
      </c>
      <c r="J2862" t="s">
        <v>203</v>
      </c>
      <c r="K2862" s="7">
        <v>45992</v>
      </c>
    </row>
    <row r="2863" spans="1:11" hidden="1">
      <c r="A2863" t="s">
        <v>39</v>
      </c>
      <c r="B2863" t="s">
        <v>40</v>
      </c>
      <c r="C2863" t="s">
        <v>14</v>
      </c>
      <c r="E2863" t="s">
        <v>9</v>
      </c>
      <c r="F2863" s="1" t="s">
        <v>5</v>
      </c>
      <c r="G2863" s="1">
        <v>45835</v>
      </c>
      <c r="H2863" t="s">
        <v>41</v>
      </c>
      <c r="I2863" s="2">
        <v>398</v>
      </c>
      <c r="J2863" t="s">
        <v>783</v>
      </c>
      <c r="K2863" s="7">
        <v>45809</v>
      </c>
    </row>
    <row r="2864" spans="1:11" hidden="1">
      <c r="A2864" t="s">
        <v>56</v>
      </c>
      <c r="B2864" t="s">
        <v>40</v>
      </c>
      <c r="C2864" t="s">
        <v>14</v>
      </c>
      <c r="E2864" t="s">
        <v>9</v>
      </c>
      <c r="F2864" s="1" t="s">
        <v>4</v>
      </c>
      <c r="G2864" s="1">
        <v>46010</v>
      </c>
      <c r="H2864" t="s">
        <v>41</v>
      </c>
      <c r="I2864" s="2">
        <v>8301</v>
      </c>
      <c r="J2864" t="s">
        <v>1601</v>
      </c>
      <c r="K2864" s="7">
        <v>45992</v>
      </c>
    </row>
    <row r="2865" spans="1:11" hidden="1">
      <c r="A2865" t="s">
        <v>39</v>
      </c>
      <c r="B2865" t="s">
        <v>40</v>
      </c>
      <c r="C2865" t="s">
        <v>14</v>
      </c>
      <c r="E2865" t="s">
        <v>9</v>
      </c>
      <c r="F2865" s="1" t="s">
        <v>5</v>
      </c>
      <c r="G2865" s="1">
        <v>45953</v>
      </c>
      <c r="H2865" t="s">
        <v>41</v>
      </c>
      <c r="I2865" s="2">
        <v>396.72</v>
      </c>
      <c r="J2865" t="s">
        <v>1335</v>
      </c>
      <c r="K2865" s="7">
        <v>45931</v>
      </c>
    </row>
    <row r="2866" spans="1:11" hidden="1">
      <c r="A2866" t="s">
        <v>39</v>
      </c>
      <c r="B2866" t="s">
        <v>63</v>
      </c>
      <c r="C2866" t="s">
        <v>13</v>
      </c>
      <c r="D2866">
        <v>10027603</v>
      </c>
      <c r="E2866" t="s">
        <v>9</v>
      </c>
      <c r="F2866" s="1" t="s">
        <v>5</v>
      </c>
      <c r="G2866" s="1">
        <v>45922</v>
      </c>
      <c r="H2866" t="s">
        <v>64</v>
      </c>
      <c r="I2866" s="2">
        <f>202050.42/510</f>
        <v>396.17729411764708</v>
      </c>
      <c r="J2866" t="s">
        <v>1095</v>
      </c>
      <c r="K2866" s="7">
        <v>45901</v>
      </c>
    </row>
    <row r="2867" spans="1:11" hidden="1">
      <c r="A2867" t="s">
        <v>39</v>
      </c>
      <c r="B2867" t="s">
        <v>63</v>
      </c>
      <c r="C2867" t="s">
        <v>14</v>
      </c>
      <c r="E2867" t="s">
        <v>9</v>
      </c>
      <c r="F2867" s="1" t="s">
        <v>5</v>
      </c>
      <c r="G2867" s="1">
        <v>45897</v>
      </c>
      <c r="H2867" t="s">
        <v>41</v>
      </c>
      <c r="I2867" s="2">
        <v>388.99</v>
      </c>
      <c r="J2867" s="47" t="s">
        <v>1602</v>
      </c>
      <c r="K2867" s="7">
        <v>45870</v>
      </c>
    </row>
    <row r="2868" spans="1:11" hidden="1">
      <c r="A2868" t="s">
        <v>39</v>
      </c>
      <c r="B2868" t="s">
        <v>45</v>
      </c>
      <c r="C2868" t="s">
        <v>14</v>
      </c>
      <c r="D2868">
        <v>10026469</v>
      </c>
      <c r="E2868" t="s">
        <v>9</v>
      </c>
      <c r="F2868" t="s">
        <v>2</v>
      </c>
      <c r="G2868" s="1">
        <v>45779</v>
      </c>
      <c r="H2868" t="s">
        <v>41</v>
      </c>
      <c r="I2868">
        <v>384.75</v>
      </c>
      <c r="J2868" t="s">
        <v>80</v>
      </c>
      <c r="K2868" s="7">
        <v>45778</v>
      </c>
    </row>
    <row r="2869" spans="1:11" hidden="1">
      <c r="A2869" t="s">
        <v>56</v>
      </c>
      <c r="B2869" t="s">
        <v>40</v>
      </c>
      <c r="C2869" t="s">
        <v>14</v>
      </c>
      <c r="E2869" t="s">
        <v>9</v>
      </c>
      <c r="F2869" s="1" t="s">
        <v>4</v>
      </c>
      <c r="G2869" s="1">
        <v>46010</v>
      </c>
      <c r="H2869" t="s">
        <v>41</v>
      </c>
      <c r="I2869" s="2">
        <v>6873</v>
      </c>
      <c r="J2869" t="s">
        <v>1603</v>
      </c>
      <c r="K2869" s="7">
        <v>45992</v>
      </c>
    </row>
    <row r="2870" spans="1:11" hidden="1">
      <c r="A2870" t="s">
        <v>39</v>
      </c>
      <c r="B2870" t="s">
        <v>40</v>
      </c>
      <c r="C2870" t="s">
        <v>14</v>
      </c>
      <c r="E2870" t="s">
        <v>9</v>
      </c>
      <c r="F2870" s="1" t="s">
        <v>5</v>
      </c>
      <c r="G2870" s="1">
        <v>45925</v>
      </c>
      <c r="H2870" t="s">
        <v>41</v>
      </c>
      <c r="I2870" s="2">
        <v>381.94</v>
      </c>
      <c r="J2870" t="s">
        <v>1604</v>
      </c>
      <c r="K2870" s="7">
        <v>45901</v>
      </c>
    </row>
    <row r="2871" spans="1:11" hidden="1">
      <c r="A2871" t="s">
        <v>39</v>
      </c>
      <c r="B2871" t="s">
        <v>47</v>
      </c>
      <c r="C2871" t="s">
        <v>14</v>
      </c>
      <c r="D2871">
        <v>10027013</v>
      </c>
      <c r="E2871" t="s">
        <v>9</v>
      </c>
      <c r="F2871" s="1" t="s">
        <v>3</v>
      </c>
      <c r="G2871" s="1">
        <v>45846</v>
      </c>
      <c r="H2871" t="s">
        <v>41</v>
      </c>
      <c r="I2871" s="2">
        <v>381.05</v>
      </c>
      <c r="J2871" t="s">
        <v>1493</v>
      </c>
      <c r="K2871" s="7">
        <v>45839</v>
      </c>
    </row>
    <row r="2872" spans="1:11">
      <c r="A2872" t="s">
        <v>39</v>
      </c>
      <c r="B2872" t="s">
        <v>47</v>
      </c>
      <c r="C2872" t="s">
        <v>14</v>
      </c>
      <c r="E2872" t="s">
        <v>9</v>
      </c>
      <c r="F2872" s="1" t="s">
        <v>3</v>
      </c>
      <c r="G2872" s="1">
        <v>46066</v>
      </c>
      <c r="H2872" t="s">
        <v>41</v>
      </c>
      <c r="I2872" s="2">
        <v>206769.37</v>
      </c>
      <c r="J2872" s="47" t="s">
        <v>283</v>
      </c>
      <c r="K2872" s="7">
        <v>46054</v>
      </c>
    </row>
    <row r="2873" spans="1:11" hidden="1">
      <c r="A2873" t="s">
        <v>39</v>
      </c>
      <c r="B2873" t="s">
        <v>40</v>
      </c>
      <c r="C2873" t="s">
        <v>14</v>
      </c>
      <c r="D2873">
        <v>10028157</v>
      </c>
      <c r="E2873" t="s">
        <v>9</v>
      </c>
      <c r="F2873" s="1" t="s">
        <v>4</v>
      </c>
      <c r="G2873" s="1">
        <v>46010</v>
      </c>
      <c r="H2873" t="s">
        <v>41</v>
      </c>
      <c r="I2873" s="2">
        <v>6700</v>
      </c>
      <c r="J2873" t="s">
        <v>1605</v>
      </c>
      <c r="K2873" s="7">
        <v>45992</v>
      </c>
    </row>
    <row r="2874" spans="1:11" hidden="1">
      <c r="A2874" t="s">
        <v>39</v>
      </c>
      <c r="B2874" t="s">
        <v>40</v>
      </c>
      <c r="C2874" t="s">
        <v>14</v>
      </c>
      <c r="E2874" t="s">
        <v>9</v>
      </c>
      <c r="F2874" s="1" t="s">
        <v>3</v>
      </c>
      <c r="G2874" s="1">
        <v>45937</v>
      </c>
      <c r="H2874" t="s">
        <v>41</v>
      </c>
      <c r="I2874" s="2">
        <v>377</v>
      </c>
      <c r="J2874" t="s">
        <v>1606</v>
      </c>
      <c r="K2874" s="7">
        <v>45931</v>
      </c>
    </row>
    <row r="2875" spans="1:11" hidden="1">
      <c r="A2875" t="s">
        <v>39</v>
      </c>
      <c r="B2875" t="s">
        <v>40</v>
      </c>
      <c r="C2875" t="s">
        <v>14</v>
      </c>
      <c r="E2875" t="s">
        <v>9</v>
      </c>
      <c r="F2875" s="1" t="s">
        <v>6</v>
      </c>
      <c r="G2875" s="1">
        <v>45960</v>
      </c>
      <c r="H2875" t="s">
        <v>41</v>
      </c>
      <c r="I2875" s="2">
        <v>376.72</v>
      </c>
      <c r="J2875" t="s">
        <v>1607</v>
      </c>
      <c r="K2875" s="7">
        <v>45931</v>
      </c>
    </row>
    <row r="2876" spans="1:11" hidden="1">
      <c r="A2876" t="s">
        <v>39</v>
      </c>
      <c r="B2876" t="s">
        <v>47</v>
      </c>
      <c r="C2876" t="s">
        <v>14</v>
      </c>
      <c r="E2876" t="s">
        <v>9</v>
      </c>
      <c r="F2876" s="1" t="s">
        <v>2</v>
      </c>
      <c r="G2876" s="1">
        <v>45995</v>
      </c>
      <c r="H2876" t="s">
        <v>41</v>
      </c>
      <c r="I2876" s="2">
        <v>376.66</v>
      </c>
      <c r="J2876" t="s">
        <v>1608</v>
      </c>
      <c r="K2876" s="7">
        <v>45992</v>
      </c>
    </row>
    <row r="2877" spans="1:11" hidden="1">
      <c r="A2877" t="s">
        <v>39</v>
      </c>
      <c r="B2877" t="s">
        <v>40</v>
      </c>
      <c r="C2877" t="s">
        <v>14</v>
      </c>
      <c r="E2877" t="s">
        <v>9</v>
      </c>
      <c r="F2877" s="1" t="s">
        <v>4</v>
      </c>
      <c r="G2877" s="1">
        <v>46010</v>
      </c>
      <c r="H2877" t="s">
        <v>41</v>
      </c>
      <c r="I2877" s="2">
        <v>4957</v>
      </c>
      <c r="J2877" t="s">
        <v>1166</v>
      </c>
      <c r="K2877" s="7">
        <v>45992</v>
      </c>
    </row>
    <row r="2878" spans="1:11" hidden="1">
      <c r="A2878" t="s">
        <v>114</v>
      </c>
      <c r="B2878" t="s">
        <v>63</v>
      </c>
      <c r="C2878" t="s">
        <v>14</v>
      </c>
      <c r="E2878" t="s">
        <v>9</v>
      </c>
      <c r="F2878" s="1" t="s">
        <v>3</v>
      </c>
      <c r="G2878" s="1">
        <v>46066</v>
      </c>
      <c r="H2878" t="s">
        <v>64</v>
      </c>
      <c r="I2878" s="2">
        <f>18250022.48/496</f>
        <v>36794.400161290323</v>
      </c>
      <c r="J2878" s="47" t="s">
        <v>334</v>
      </c>
      <c r="K2878" s="7">
        <v>46054</v>
      </c>
    </row>
    <row r="2879" spans="1:11" hidden="1">
      <c r="A2879" t="s">
        <v>39</v>
      </c>
      <c r="B2879" t="s">
        <v>47</v>
      </c>
      <c r="C2879" t="s">
        <v>13</v>
      </c>
      <c r="D2879">
        <v>10026559</v>
      </c>
      <c r="E2879" t="s">
        <v>9</v>
      </c>
      <c r="F2879" s="1" t="s">
        <v>3</v>
      </c>
      <c r="G2879" s="1">
        <v>45786</v>
      </c>
      <c r="H2879" t="s">
        <v>41</v>
      </c>
      <c r="I2879" s="2">
        <v>373.5</v>
      </c>
      <c r="J2879" t="s">
        <v>168</v>
      </c>
      <c r="K2879" s="7">
        <v>45778</v>
      </c>
    </row>
    <row r="2880" spans="1:11" hidden="1">
      <c r="A2880" t="s">
        <v>39</v>
      </c>
      <c r="B2880" t="s">
        <v>40</v>
      </c>
      <c r="C2880" t="s">
        <v>14</v>
      </c>
      <c r="D2880">
        <v>10028195</v>
      </c>
      <c r="E2880" t="s">
        <v>9</v>
      </c>
      <c r="F2880" s="1" t="s">
        <v>4</v>
      </c>
      <c r="G2880" s="1">
        <v>46010</v>
      </c>
      <c r="H2880" t="s">
        <v>41</v>
      </c>
      <c r="I2880" s="2">
        <v>4000</v>
      </c>
      <c r="J2880" t="s">
        <v>1295</v>
      </c>
      <c r="K2880" s="7">
        <v>45992</v>
      </c>
    </row>
    <row r="2881" spans="1:11" hidden="1">
      <c r="A2881" t="s">
        <v>39</v>
      </c>
      <c r="B2881" t="s">
        <v>40</v>
      </c>
      <c r="C2881" t="s">
        <v>14</v>
      </c>
      <c r="D2881">
        <v>10027480</v>
      </c>
      <c r="E2881" t="s">
        <v>9</v>
      </c>
      <c r="F2881" s="1" t="s">
        <v>2</v>
      </c>
      <c r="G2881" s="1">
        <v>45905</v>
      </c>
      <c r="H2881" t="s">
        <v>41</v>
      </c>
      <c r="I2881" s="2">
        <v>372.45</v>
      </c>
      <c r="J2881" t="s">
        <v>1609</v>
      </c>
      <c r="K2881" s="7">
        <v>45901</v>
      </c>
    </row>
    <row r="2882" spans="1:11" hidden="1">
      <c r="A2882" t="s">
        <v>39</v>
      </c>
      <c r="B2882" t="s">
        <v>40</v>
      </c>
      <c r="C2882" t="s">
        <v>124</v>
      </c>
      <c r="E2882" t="s">
        <v>9</v>
      </c>
      <c r="F2882" s="1" t="s">
        <v>5</v>
      </c>
      <c r="G2882" s="1">
        <v>46014</v>
      </c>
      <c r="H2882" t="s">
        <v>41</v>
      </c>
      <c r="I2882" s="2">
        <v>370.72</v>
      </c>
      <c r="J2882" s="47" t="s">
        <v>1610</v>
      </c>
      <c r="K2882" s="7">
        <v>45992</v>
      </c>
    </row>
    <row r="2883" spans="1:11" hidden="1">
      <c r="A2883" t="s">
        <v>39</v>
      </c>
      <c r="B2883" t="s">
        <v>63</v>
      </c>
      <c r="C2883" t="s">
        <v>14</v>
      </c>
      <c r="E2883" t="s">
        <v>9</v>
      </c>
      <c r="F2883" s="1" t="s">
        <v>5</v>
      </c>
      <c r="G2883" s="1">
        <v>45987</v>
      </c>
      <c r="H2883" t="s">
        <v>64</v>
      </c>
      <c r="I2883" s="2">
        <f>188962.81/510</f>
        <v>370.51531372549022</v>
      </c>
      <c r="J2883" s="47" t="s">
        <v>1611</v>
      </c>
      <c r="K2883" s="7">
        <v>45962</v>
      </c>
    </row>
    <row r="2884" spans="1:11" hidden="1">
      <c r="A2884" t="s">
        <v>39</v>
      </c>
      <c r="B2884" t="s">
        <v>40</v>
      </c>
      <c r="C2884" t="s">
        <v>14</v>
      </c>
      <c r="D2884">
        <v>10027369</v>
      </c>
      <c r="E2884" t="s">
        <v>9</v>
      </c>
      <c r="F2884" s="1" t="s">
        <v>5</v>
      </c>
      <c r="G2884" s="1">
        <v>45891</v>
      </c>
      <c r="H2884" t="s">
        <v>64</v>
      </c>
      <c r="I2884" s="2">
        <f>188634.75/510</f>
        <v>369.87205882352941</v>
      </c>
      <c r="J2884" t="s">
        <v>1612</v>
      </c>
      <c r="K2884" s="7">
        <v>45870</v>
      </c>
    </row>
    <row r="2885" spans="1:11" hidden="1">
      <c r="A2885" t="s">
        <v>39</v>
      </c>
      <c r="B2885" t="s">
        <v>63</v>
      </c>
      <c r="C2885" t="s">
        <v>14</v>
      </c>
      <c r="E2885" t="s">
        <v>9</v>
      </c>
      <c r="F2885" s="1" t="s">
        <v>4</v>
      </c>
      <c r="G2885" s="1">
        <v>46010</v>
      </c>
      <c r="H2885" t="s">
        <v>41</v>
      </c>
      <c r="I2885" s="2">
        <v>2068.56</v>
      </c>
      <c r="J2885" s="47" t="s">
        <v>836</v>
      </c>
      <c r="K2885" s="7">
        <v>45992</v>
      </c>
    </row>
    <row r="2886" spans="1:11" hidden="1">
      <c r="A2886" t="s">
        <v>56</v>
      </c>
      <c r="B2886" t="s">
        <v>40</v>
      </c>
      <c r="C2886" t="s">
        <v>14</v>
      </c>
      <c r="E2886" t="s">
        <v>9</v>
      </c>
      <c r="F2886" s="1" t="s">
        <v>4</v>
      </c>
      <c r="G2886" s="1">
        <v>46010</v>
      </c>
      <c r="H2886" t="s">
        <v>41</v>
      </c>
      <c r="I2886" s="2">
        <v>2000</v>
      </c>
      <c r="J2886" t="s">
        <v>570</v>
      </c>
      <c r="K2886" s="7">
        <v>45992</v>
      </c>
    </row>
    <row r="2887" spans="1:11" hidden="1">
      <c r="A2887" t="s">
        <v>39</v>
      </c>
      <c r="B2887" t="s">
        <v>40</v>
      </c>
      <c r="C2887" t="s">
        <v>14</v>
      </c>
      <c r="E2887" t="s">
        <v>9</v>
      </c>
      <c r="F2887" s="1" t="s">
        <v>5</v>
      </c>
      <c r="G2887" s="1">
        <v>46053</v>
      </c>
      <c r="H2887" t="s">
        <v>41</v>
      </c>
      <c r="I2887" s="2">
        <v>367.52</v>
      </c>
      <c r="J2887" s="47" t="s">
        <v>1613</v>
      </c>
      <c r="K2887" s="7">
        <v>46023</v>
      </c>
    </row>
    <row r="2888" spans="1:11" hidden="1">
      <c r="A2888" t="s">
        <v>39</v>
      </c>
      <c r="B2888" t="s">
        <v>40</v>
      </c>
      <c r="C2888" t="s">
        <v>14</v>
      </c>
      <c r="D2888">
        <v>10028429</v>
      </c>
      <c r="E2888" t="s">
        <v>9</v>
      </c>
      <c r="F2888" s="1" t="s">
        <v>5</v>
      </c>
      <c r="G2888" s="1">
        <v>46053</v>
      </c>
      <c r="H2888" t="s">
        <v>41</v>
      </c>
      <c r="I2888" s="2">
        <v>367.52</v>
      </c>
      <c r="J2888" t="s">
        <v>1614</v>
      </c>
      <c r="K2888" s="7">
        <v>46023</v>
      </c>
    </row>
    <row r="2889" spans="1:11" hidden="1">
      <c r="A2889" t="s">
        <v>39</v>
      </c>
      <c r="B2889" t="s">
        <v>63</v>
      </c>
      <c r="C2889" t="s">
        <v>14</v>
      </c>
      <c r="E2889" t="s">
        <v>9</v>
      </c>
      <c r="F2889" s="1" t="s">
        <v>5</v>
      </c>
      <c r="G2889" s="1">
        <v>46050</v>
      </c>
      <c r="H2889" t="s">
        <v>64</v>
      </c>
      <c r="I2889" s="2">
        <f>181852.61/496</f>
        <v>366.6383266129032</v>
      </c>
      <c r="J2889" t="s">
        <v>65</v>
      </c>
      <c r="K2889" s="7">
        <v>46023</v>
      </c>
    </row>
    <row r="2890" spans="1:11" hidden="1">
      <c r="A2890" t="s">
        <v>39</v>
      </c>
      <c r="B2890" t="s">
        <v>40</v>
      </c>
      <c r="C2890" t="s">
        <v>14</v>
      </c>
      <c r="E2890" t="s">
        <v>9</v>
      </c>
      <c r="F2890" s="1" t="s">
        <v>3</v>
      </c>
      <c r="G2890" s="1">
        <v>45910</v>
      </c>
      <c r="H2890" t="s">
        <v>41</v>
      </c>
      <c r="I2890" s="2">
        <v>365</v>
      </c>
      <c r="J2890" t="s">
        <v>1615</v>
      </c>
      <c r="K2890" s="7">
        <v>45901</v>
      </c>
    </row>
    <row r="2891" spans="1:11" hidden="1">
      <c r="A2891" t="s">
        <v>39</v>
      </c>
      <c r="B2891" t="s">
        <v>40</v>
      </c>
      <c r="C2891" t="s">
        <v>14</v>
      </c>
      <c r="E2891" t="s">
        <v>9</v>
      </c>
      <c r="F2891" s="1" t="s">
        <v>5</v>
      </c>
      <c r="G2891" s="1">
        <v>46052</v>
      </c>
      <c r="H2891" t="s">
        <v>41</v>
      </c>
      <c r="I2891" s="2">
        <v>364.27</v>
      </c>
      <c r="J2891" s="47" t="s">
        <v>1616</v>
      </c>
      <c r="K2891" s="7">
        <v>46023</v>
      </c>
    </row>
    <row r="2892" spans="1:11" hidden="1">
      <c r="A2892" t="s">
        <v>39</v>
      </c>
      <c r="B2892" t="s">
        <v>47</v>
      </c>
      <c r="C2892" t="s">
        <v>14</v>
      </c>
      <c r="E2892" t="s">
        <v>9</v>
      </c>
      <c r="F2892" s="1" t="s">
        <v>5</v>
      </c>
      <c r="G2892" s="1">
        <v>45924</v>
      </c>
      <c r="H2892" t="s">
        <v>41</v>
      </c>
      <c r="I2892" s="2">
        <v>359.14</v>
      </c>
      <c r="J2892" t="s">
        <v>1617</v>
      </c>
      <c r="K2892" s="7">
        <v>45901</v>
      </c>
    </row>
    <row r="2893" spans="1:11" hidden="1">
      <c r="A2893" t="s">
        <v>56</v>
      </c>
      <c r="B2893" t="s">
        <v>40</v>
      </c>
      <c r="C2893" t="s">
        <v>14</v>
      </c>
      <c r="E2893" t="s">
        <v>9</v>
      </c>
      <c r="F2893" s="1" t="s">
        <v>3</v>
      </c>
      <c r="G2893" s="1">
        <v>46066</v>
      </c>
      <c r="H2893" t="s">
        <v>41</v>
      </c>
      <c r="I2893" s="2">
        <v>25659</v>
      </c>
      <c r="J2893" t="s">
        <v>1322</v>
      </c>
      <c r="K2893" s="7">
        <v>46054</v>
      </c>
    </row>
    <row r="2894" spans="1:11" hidden="1">
      <c r="A2894" t="s">
        <v>39</v>
      </c>
      <c r="B2894" t="s">
        <v>47</v>
      </c>
      <c r="C2894" t="s">
        <v>14</v>
      </c>
      <c r="E2894" t="s">
        <v>9</v>
      </c>
      <c r="F2894" s="1" t="s">
        <v>4</v>
      </c>
      <c r="G2894" s="1">
        <v>46010</v>
      </c>
      <c r="H2894" t="s">
        <v>41</v>
      </c>
      <c r="I2894" s="2">
        <v>1366.06</v>
      </c>
      <c r="J2894" s="47" t="s">
        <v>1618</v>
      </c>
      <c r="K2894" s="7">
        <v>45992</v>
      </c>
    </row>
    <row r="2895" spans="1:11" hidden="1">
      <c r="A2895" t="s">
        <v>39</v>
      </c>
      <c r="B2895" t="s">
        <v>45</v>
      </c>
      <c r="C2895" t="s">
        <v>14</v>
      </c>
      <c r="D2895">
        <v>10026667</v>
      </c>
      <c r="E2895" t="s">
        <v>9</v>
      </c>
      <c r="F2895" s="1" t="s">
        <v>5</v>
      </c>
      <c r="G2895" s="1">
        <v>45800</v>
      </c>
      <c r="H2895" t="s">
        <v>41</v>
      </c>
      <c r="I2895" s="2">
        <v>354.48</v>
      </c>
      <c r="J2895" t="s">
        <v>1619</v>
      </c>
      <c r="K2895" s="7">
        <v>45778</v>
      </c>
    </row>
    <row r="2896" spans="1:11" hidden="1">
      <c r="A2896" t="s">
        <v>39</v>
      </c>
      <c r="B2896" t="s">
        <v>47</v>
      </c>
      <c r="C2896" t="s">
        <v>14</v>
      </c>
      <c r="E2896" t="s">
        <v>9</v>
      </c>
      <c r="F2896" s="1" t="s">
        <v>3</v>
      </c>
      <c r="G2896" s="1">
        <v>45939</v>
      </c>
      <c r="H2896" t="s">
        <v>41</v>
      </c>
      <c r="I2896" s="2">
        <v>354.46</v>
      </c>
      <c r="J2896" t="s">
        <v>194</v>
      </c>
      <c r="K2896" s="7">
        <v>45931</v>
      </c>
    </row>
    <row r="2897" spans="1:11" hidden="1">
      <c r="A2897" t="s">
        <v>39</v>
      </c>
      <c r="B2897" t="s">
        <v>47</v>
      </c>
      <c r="C2897" t="s">
        <v>14</v>
      </c>
      <c r="E2897" t="s">
        <v>9</v>
      </c>
      <c r="F2897" s="1" t="s">
        <v>3</v>
      </c>
      <c r="G2897" s="1">
        <v>45975</v>
      </c>
      <c r="H2897" t="s">
        <v>41</v>
      </c>
      <c r="I2897" s="2">
        <v>353.86</v>
      </c>
      <c r="J2897" t="s">
        <v>844</v>
      </c>
      <c r="K2897" s="7">
        <v>45962</v>
      </c>
    </row>
    <row r="2898" spans="1:11" hidden="1">
      <c r="A2898" t="s">
        <v>39</v>
      </c>
      <c r="B2898" t="s">
        <v>40</v>
      </c>
      <c r="C2898" t="s">
        <v>14</v>
      </c>
      <c r="D2898">
        <v>10028161</v>
      </c>
      <c r="E2898" t="s">
        <v>9</v>
      </c>
      <c r="F2898" s="1" t="s">
        <v>4</v>
      </c>
      <c r="G2898" s="1">
        <v>46010</v>
      </c>
      <c r="H2898" t="s">
        <v>41</v>
      </c>
      <c r="I2898" s="2">
        <v>382.5</v>
      </c>
      <c r="J2898" t="s">
        <v>991</v>
      </c>
      <c r="K2898" s="7">
        <v>45992</v>
      </c>
    </row>
    <row r="2899" spans="1:11" hidden="1">
      <c r="A2899" t="s">
        <v>39</v>
      </c>
      <c r="B2899" t="s">
        <v>63</v>
      </c>
      <c r="C2899" t="s">
        <v>12</v>
      </c>
      <c r="D2899" s="6" t="s">
        <v>1620</v>
      </c>
      <c r="E2899" t="s">
        <v>9</v>
      </c>
      <c r="F2899" s="1" t="s">
        <v>5</v>
      </c>
      <c r="G2899" s="1">
        <v>45922</v>
      </c>
      <c r="H2899" t="s">
        <v>41</v>
      </c>
      <c r="I2899" s="2">
        <v>350</v>
      </c>
      <c r="J2899" t="s">
        <v>201</v>
      </c>
      <c r="K2899" s="7">
        <v>45901</v>
      </c>
    </row>
    <row r="2900" spans="1:11" hidden="1">
      <c r="A2900" t="s">
        <v>39</v>
      </c>
      <c r="B2900" t="s">
        <v>63</v>
      </c>
      <c r="C2900" t="s">
        <v>14</v>
      </c>
      <c r="E2900" t="s">
        <v>9</v>
      </c>
      <c r="F2900" s="1" t="s">
        <v>5</v>
      </c>
      <c r="G2900" s="1">
        <v>45925</v>
      </c>
      <c r="H2900" t="s">
        <v>41</v>
      </c>
      <c r="I2900" s="2">
        <v>350</v>
      </c>
      <c r="J2900" t="s">
        <v>1621</v>
      </c>
      <c r="K2900" s="7">
        <v>45901</v>
      </c>
    </row>
    <row r="2901" spans="1:11" hidden="1">
      <c r="A2901" t="s">
        <v>39</v>
      </c>
      <c r="B2901" t="s">
        <v>40</v>
      </c>
      <c r="C2901" t="s">
        <v>14</v>
      </c>
      <c r="E2901" t="s">
        <v>9</v>
      </c>
      <c r="F2901" s="1" t="s">
        <v>3</v>
      </c>
      <c r="G2901" s="1">
        <v>45999</v>
      </c>
      <c r="H2901" t="s">
        <v>41</v>
      </c>
      <c r="I2901" s="2">
        <v>350</v>
      </c>
      <c r="J2901" t="s">
        <v>1622</v>
      </c>
      <c r="K2901" s="7">
        <v>45992</v>
      </c>
    </row>
    <row r="2902" spans="1:11" hidden="1">
      <c r="A2902" t="s">
        <v>56</v>
      </c>
      <c r="B2902" t="s">
        <v>40</v>
      </c>
      <c r="C2902" t="s">
        <v>14</v>
      </c>
      <c r="D2902">
        <v>10857</v>
      </c>
      <c r="E2902" t="s">
        <v>9</v>
      </c>
      <c r="F2902" s="1" t="s">
        <v>5</v>
      </c>
      <c r="G2902" s="1">
        <v>46014</v>
      </c>
      <c r="H2902" t="s">
        <v>41</v>
      </c>
      <c r="I2902" s="2">
        <v>350</v>
      </c>
      <c r="J2902" t="s">
        <v>1623</v>
      </c>
      <c r="K2902" s="7">
        <v>45992</v>
      </c>
    </row>
    <row r="2903" spans="1:11" hidden="1">
      <c r="A2903" t="s">
        <v>39</v>
      </c>
      <c r="B2903" t="s">
        <v>40</v>
      </c>
      <c r="C2903" t="s">
        <v>14</v>
      </c>
      <c r="E2903" t="s">
        <v>9</v>
      </c>
      <c r="F2903" s="1" t="s">
        <v>5</v>
      </c>
      <c r="G2903" s="1">
        <v>45838</v>
      </c>
      <c r="H2903" t="s">
        <v>41</v>
      </c>
      <c r="I2903" s="2">
        <v>349</v>
      </c>
      <c r="J2903" t="s">
        <v>579</v>
      </c>
      <c r="K2903" s="7">
        <v>45809</v>
      </c>
    </row>
    <row r="2904" spans="1:11" hidden="1">
      <c r="A2904" t="s">
        <v>39</v>
      </c>
      <c r="B2904" t="s">
        <v>40</v>
      </c>
      <c r="C2904" t="s">
        <v>14</v>
      </c>
      <c r="E2904" t="s">
        <v>9</v>
      </c>
      <c r="F2904" s="1" t="s">
        <v>4</v>
      </c>
      <c r="G2904" s="1">
        <v>46010</v>
      </c>
      <c r="H2904" t="s">
        <v>41</v>
      </c>
      <c r="I2904" s="2">
        <v>339.27</v>
      </c>
      <c r="J2904" s="47" t="s">
        <v>1624</v>
      </c>
      <c r="K2904" s="7">
        <v>45992</v>
      </c>
    </row>
    <row r="2905" spans="1:11" hidden="1">
      <c r="A2905" t="s">
        <v>39</v>
      </c>
      <c r="B2905" t="s">
        <v>40</v>
      </c>
      <c r="C2905" t="s">
        <v>14</v>
      </c>
      <c r="D2905">
        <v>10028288</v>
      </c>
      <c r="E2905" t="s">
        <v>9</v>
      </c>
      <c r="F2905" s="1" t="s">
        <v>3</v>
      </c>
      <c r="G2905" s="1">
        <v>46003</v>
      </c>
      <c r="H2905" t="s">
        <v>41</v>
      </c>
      <c r="I2905" s="2">
        <v>346.2</v>
      </c>
      <c r="J2905" t="s">
        <v>1625</v>
      </c>
      <c r="K2905" s="7">
        <v>45992</v>
      </c>
    </row>
    <row r="2906" spans="1:11" hidden="1">
      <c r="A2906" t="s">
        <v>39</v>
      </c>
      <c r="B2906" t="s">
        <v>40</v>
      </c>
      <c r="C2906" t="s">
        <v>14</v>
      </c>
      <c r="D2906">
        <v>10026507</v>
      </c>
      <c r="E2906" t="s">
        <v>9</v>
      </c>
      <c r="F2906" s="1" t="s">
        <v>3</v>
      </c>
      <c r="G2906" s="1">
        <v>45783</v>
      </c>
      <c r="H2906" t="s">
        <v>41</v>
      </c>
      <c r="I2906" s="2">
        <v>345</v>
      </c>
      <c r="J2906" t="s">
        <v>1626</v>
      </c>
      <c r="K2906" s="7">
        <v>45778</v>
      </c>
    </row>
    <row r="2907" spans="1:11" hidden="1">
      <c r="A2907" t="s">
        <v>39</v>
      </c>
      <c r="B2907" t="s">
        <v>63</v>
      </c>
      <c r="C2907" t="s">
        <v>14</v>
      </c>
      <c r="E2907" t="s">
        <v>9</v>
      </c>
      <c r="F2907" s="1" t="s">
        <v>5</v>
      </c>
      <c r="G2907" s="1">
        <v>46048</v>
      </c>
      <c r="H2907" t="s">
        <v>41</v>
      </c>
      <c r="I2907" s="2">
        <v>344.65</v>
      </c>
      <c r="J2907" t="s">
        <v>344</v>
      </c>
      <c r="K2907" s="7">
        <v>46023</v>
      </c>
    </row>
    <row r="2908" spans="1:11" hidden="1">
      <c r="A2908" t="s">
        <v>56</v>
      </c>
      <c r="B2908" t="s">
        <v>40</v>
      </c>
      <c r="C2908" t="s">
        <v>14</v>
      </c>
      <c r="E2908" t="s">
        <v>9</v>
      </c>
      <c r="F2908" s="1" t="s">
        <v>4</v>
      </c>
      <c r="G2908" s="1">
        <v>46010</v>
      </c>
      <c r="H2908" t="s">
        <v>41</v>
      </c>
      <c r="I2908" s="2">
        <v>75</v>
      </c>
      <c r="J2908" s="47" t="s">
        <v>1174</v>
      </c>
      <c r="K2908" s="7">
        <v>45992</v>
      </c>
    </row>
    <row r="2909" spans="1:11" hidden="1">
      <c r="A2909" t="s">
        <v>39</v>
      </c>
      <c r="B2909" t="s">
        <v>63</v>
      </c>
      <c r="C2909" t="s">
        <v>14</v>
      </c>
      <c r="E2909" t="s">
        <v>9</v>
      </c>
      <c r="F2909" s="1" t="s">
        <v>2</v>
      </c>
      <c r="G2909" s="1">
        <v>45968</v>
      </c>
      <c r="H2909" t="s">
        <v>64</v>
      </c>
      <c r="I2909" s="2">
        <f>174180.91/510</f>
        <v>341.53119607843138</v>
      </c>
      <c r="J2909" t="s">
        <v>334</v>
      </c>
      <c r="K2909" s="7">
        <v>45962</v>
      </c>
    </row>
    <row r="2910" spans="1:11" hidden="1">
      <c r="A2910" t="s">
        <v>39</v>
      </c>
      <c r="B2910" t="s">
        <v>63</v>
      </c>
      <c r="C2910" t="s">
        <v>14</v>
      </c>
      <c r="E2910" t="s">
        <v>9</v>
      </c>
      <c r="F2910" s="1" t="s">
        <v>4</v>
      </c>
      <c r="G2910" s="1">
        <v>46010</v>
      </c>
      <c r="H2910" t="s">
        <v>41</v>
      </c>
      <c r="I2910" s="2">
        <v>56</v>
      </c>
      <c r="J2910" t="s">
        <v>1627</v>
      </c>
      <c r="K2910" s="7">
        <v>45992</v>
      </c>
    </row>
    <row r="2911" spans="1:11" hidden="1">
      <c r="A2911" t="s">
        <v>99</v>
      </c>
      <c r="B2911" t="s">
        <v>63</v>
      </c>
      <c r="C2911" t="s">
        <v>14</v>
      </c>
      <c r="E2911" t="s">
        <v>9</v>
      </c>
      <c r="F2911" s="1" t="s">
        <v>4</v>
      </c>
      <c r="G2911" s="1">
        <v>46011</v>
      </c>
      <c r="H2911" t="s">
        <v>41</v>
      </c>
      <c r="I2911" s="2">
        <v>15322.06</v>
      </c>
      <c r="J2911" t="s">
        <v>1628</v>
      </c>
      <c r="K2911" s="7">
        <v>45992</v>
      </c>
    </row>
    <row r="2912" spans="1:11" hidden="1">
      <c r="A2912" t="s">
        <v>39</v>
      </c>
      <c r="B2912" t="s">
        <v>45</v>
      </c>
      <c r="C2912" t="s">
        <v>14</v>
      </c>
      <c r="E2912" t="s">
        <v>9</v>
      </c>
      <c r="F2912" s="1" t="s">
        <v>3</v>
      </c>
      <c r="G2912" s="1">
        <v>46066</v>
      </c>
      <c r="H2912" t="s">
        <v>41</v>
      </c>
      <c r="I2912" s="2">
        <v>17753.36</v>
      </c>
      <c r="J2912" s="47" t="s">
        <v>1629</v>
      </c>
      <c r="K2912" s="7">
        <v>46054</v>
      </c>
    </row>
    <row r="2913" spans="1:11" hidden="1">
      <c r="A2913" t="s">
        <v>39</v>
      </c>
      <c r="B2913" t="s">
        <v>63</v>
      </c>
      <c r="C2913" t="s">
        <v>14</v>
      </c>
      <c r="E2913" t="s">
        <v>9</v>
      </c>
      <c r="F2913" s="1" t="s">
        <v>2</v>
      </c>
      <c r="G2913" s="1">
        <v>45993</v>
      </c>
      <c r="H2913" t="s">
        <v>41</v>
      </c>
      <c r="I2913" s="2">
        <v>339</v>
      </c>
      <c r="J2913" t="s">
        <v>884</v>
      </c>
      <c r="K2913" s="7">
        <v>45992</v>
      </c>
    </row>
    <row r="2914" spans="1:11" hidden="1">
      <c r="A2914" t="s">
        <v>39</v>
      </c>
      <c r="B2914" t="s">
        <v>63</v>
      </c>
      <c r="C2914" t="s">
        <v>14</v>
      </c>
      <c r="E2914" t="s">
        <v>9</v>
      </c>
      <c r="F2914" s="1" t="s">
        <v>2</v>
      </c>
      <c r="G2914" s="1">
        <v>45995</v>
      </c>
      <c r="H2914" t="s">
        <v>41</v>
      </c>
      <c r="I2914" s="2">
        <v>339</v>
      </c>
      <c r="J2914" s="47" t="s">
        <v>884</v>
      </c>
      <c r="K2914" s="7">
        <v>45992</v>
      </c>
    </row>
    <row r="2915" spans="1:11" hidden="1">
      <c r="A2915" t="s">
        <v>39</v>
      </c>
      <c r="B2915" t="s">
        <v>63</v>
      </c>
      <c r="C2915" t="s">
        <v>13</v>
      </c>
      <c r="E2915" t="s">
        <v>9</v>
      </c>
      <c r="F2915" s="1" t="s">
        <v>3</v>
      </c>
      <c r="G2915" s="1">
        <v>45973</v>
      </c>
      <c r="H2915" t="s">
        <v>41</v>
      </c>
      <c r="I2915" s="2">
        <v>337.87</v>
      </c>
      <c r="J2915" t="s">
        <v>1181</v>
      </c>
      <c r="K2915" s="7">
        <v>45962</v>
      </c>
    </row>
    <row r="2916" spans="1:11" hidden="1">
      <c r="A2916" t="s">
        <v>39</v>
      </c>
      <c r="B2916" t="s">
        <v>63</v>
      </c>
      <c r="C2916" t="s">
        <v>13</v>
      </c>
      <c r="E2916" t="s">
        <v>9</v>
      </c>
      <c r="F2916" s="1" t="s">
        <v>5</v>
      </c>
      <c r="G2916" s="1">
        <v>46014</v>
      </c>
      <c r="H2916" t="s">
        <v>41</v>
      </c>
      <c r="I2916" s="2">
        <v>337.87</v>
      </c>
      <c r="J2916" t="s">
        <v>1181</v>
      </c>
      <c r="K2916" s="7">
        <v>45992</v>
      </c>
    </row>
    <row r="2917" spans="1:11" hidden="1">
      <c r="A2917" t="s">
        <v>39</v>
      </c>
      <c r="B2917" t="s">
        <v>45</v>
      </c>
      <c r="C2917" t="s">
        <v>14</v>
      </c>
      <c r="E2917" t="s">
        <v>9</v>
      </c>
      <c r="F2917" s="1" t="s">
        <v>2</v>
      </c>
      <c r="G2917" s="1">
        <v>45995</v>
      </c>
      <c r="H2917" t="s">
        <v>41</v>
      </c>
      <c r="I2917" s="2">
        <v>332</v>
      </c>
      <c r="J2917" t="s">
        <v>1203</v>
      </c>
      <c r="K2917" s="7">
        <v>45992</v>
      </c>
    </row>
    <row r="2918" spans="1:11" hidden="1">
      <c r="A2918" t="s">
        <v>39</v>
      </c>
      <c r="B2918" t="s">
        <v>40</v>
      </c>
      <c r="C2918" t="s">
        <v>14</v>
      </c>
      <c r="E2918" t="s">
        <v>9</v>
      </c>
      <c r="F2918" s="1" t="s">
        <v>4</v>
      </c>
      <c r="G2918" s="1">
        <v>46012</v>
      </c>
      <c r="H2918" t="s">
        <v>41</v>
      </c>
      <c r="I2918" s="2">
        <v>1559.13</v>
      </c>
      <c r="J2918" t="s">
        <v>1630</v>
      </c>
      <c r="K2918" s="7">
        <v>45992</v>
      </c>
    </row>
    <row r="2919" spans="1:11" hidden="1">
      <c r="A2919" t="s">
        <v>39</v>
      </c>
      <c r="B2919" t="s">
        <v>40</v>
      </c>
      <c r="C2919" t="s">
        <v>14</v>
      </c>
      <c r="D2919">
        <v>10027359</v>
      </c>
      <c r="E2919" t="s">
        <v>9</v>
      </c>
      <c r="F2919" s="1" t="s">
        <v>3</v>
      </c>
      <c r="G2919" s="1">
        <v>45883</v>
      </c>
      <c r="H2919" t="s">
        <v>41</v>
      </c>
      <c r="I2919" s="2">
        <v>330</v>
      </c>
      <c r="J2919" t="s">
        <v>271</v>
      </c>
      <c r="K2919" s="7">
        <v>45870</v>
      </c>
    </row>
    <row r="2920" spans="1:11" hidden="1">
      <c r="A2920" t="s">
        <v>114</v>
      </c>
      <c r="B2920" t="s">
        <v>63</v>
      </c>
      <c r="C2920" t="s">
        <v>14</v>
      </c>
      <c r="E2920" t="s">
        <v>9</v>
      </c>
      <c r="F2920" s="1" t="s">
        <v>2</v>
      </c>
      <c r="G2920" s="1">
        <v>45993</v>
      </c>
      <c r="H2920" t="s">
        <v>64</v>
      </c>
      <c r="I2920" s="2">
        <f>167746.71/510</f>
        <v>328.91511764705882</v>
      </c>
      <c r="J2920" t="s">
        <v>65</v>
      </c>
      <c r="K2920" s="7">
        <v>45992</v>
      </c>
    </row>
    <row r="2921" spans="1:11" hidden="1">
      <c r="A2921" t="s">
        <v>39</v>
      </c>
      <c r="B2921" t="s">
        <v>40</v>
      </c>
      <c r="C2921" t="s">
        <v>14</v>
      </c>
      <c r="E2921" t="s">
        <v>9</v>
      </c>
      <c r="F2921" s="1" t="s">
        <v>5</v>
      </c>
      <c r="G2921" s="1">
        <v>46051</v>
      </c>
      <c r="H2921" t="s">
        <v>41</v>
      </c>
      <c r="I2921" s="2">
        <v>326.47000000000003</v>
      </c>
      <c r="J2921" t="s">
        <v>1631</v>
      </c>
      <c r="K2921" s="7">
        <v>46023</v>
      </c>
    </row>
    <row r="2922" spans="1:11" hidden="1">
      <c r="A2922" t="s">
        <v>39</v>
      </c>
      <c r="B2922" t="s">
        <v>63</v>
      </c>
      <c r="C2922" t="s">
        <v>14</v>
      </c>
      <c r="D2922">
        <v>10026731</v>
      </c>
      <c r="E2922" t="s">
        <v>9</v>
      </c>
      <c r="F2922" s="1" t="s">
        <v>6</v>
      </c>
      <c r="G2922" s="1">
        <v>45806</v>
      </c>
      <c r="H2922" t="s">
        <v>41</v>
      </c>
      <c r="I2922" s="2">
        <v>325</v>
      </c>
      <c r="J2922" t="s">
        <v>151</v>
      </c>
      <c r="K2922" s="7">
        <v>45778</v>
      </c>
    </row>
    <row r="2923" spans="1:11" hidden="1">
      <c r="A2923" t="s">
        <v>39</v>
      </c>
      <c r="B2923" t="s">
        <v>63</v>
      </c>
      <c r="C2923" t="s">
        <v>14</v>
      </c>
      <c r="E2923" t="s">
        <v>9</v>
      </c>
      <c r="F2923" s="1" t="s">
        <v>5</v>
      </c>
      <c r="G2923" s="1">
        <v>45926</v>
      </c>
      <c r="H2923" t="s">
        <v>41</v>
      </c>
      <c r="I2923" s="2">
        <v>319.12099999999998</v>
      </c>
      <c r="J2923" t="s">
        <v>422</v>
      </c>
      <c r="K2923" s="7">
        <v>45901</v>
      </c>
    </row>
    <row r="2924" spans="1:11" hidden="1">
      <c r="A2924" t="s">
        <v>39</v>
      </c>
      <c r="B2924" t="s">
        <v>63</v>
      </c>
      <c r="C2924" t="s">
        <v>12</v>
      </c>
      <c r="D2924" s="6" t="s">
        <v>1632</v>
      </c>
      <c r="E2924" t="s">
        <v>9</v>
      </c>
      <c r="F2924" s="1" t="s">
        <v>3</v>
      </c>
      <c r="G2924" s="1">
        <v>45881</v>
      </c>
      <c r="H2924" t="s">
        <v>41</v>
      </c>
      <c r="I2924" s="2">
        <v>318.73</v>
      </c>
      <c r="J2924" t="s">
        <v>907</v>
      </c>
      <c r="K2924" s="7">
        <v>45870</v>
      </c>
    </row>
    <row r="2925" spans="1:11" hidden="1">
      <c r="A2925" t="s">
        <v>39</v>
      </c>
      <c r="B2925" t="s">
        <v>40</v>
      </c>
      <c r="C2925" t="s">
        <v>14</v>
      </c>
      <c r="D2925">
        <v>10028376</v>
      </c>
      <c r="E2925" t="s">
        <v>9</v>
      </c>
      <c r="F2925" s="1" t="s">
        <v>5</v>
      </c>
      <c r="G2925" s="1">
        <v>46049</v>
      </c>
      <c r="H2925" t="s">
        <v>41</v>
      </c>
      <c r="I2925" s="2">
        <v>309</v>
      </c>
      <c r="J2925" t="s">
        <v>1633</v>
      </c>
      <c r="K2925" s="7">
        <v>46023</v>
      </c>
    </row>
    <row r="2926" spans="1:11" hidden="1">
      <c r="A2926" t="s">
        <v>39</v>
      </c>
      <c r="B2926" t="s">
        <v>40</v>
      </c>
      <c r="C2926" t="s">
        <v>14</v>
      </c>
      <c r="D2926">
        <v>10028265</v>
      </c>
      <c r="E2926" t="s">
        <v>9</v>
      </c>
      <c r="F2926" s="1" t="s">
        <v>4</v>
      </c>
      <c r="G2926" s="1">
        <v>46015</v>
      </c>
      <c r="H2926" t="s">
        <v>41</v>
      </c>
      <c r="I2926" s="2">
        <v>1145</v>
      </c>
      <c r="J2926" t="s">
        <v>1634</v>
      </c>
      <c r="K2926" s="7">
        <v>45992</v>
      </c>
    </row>
    <row r="2927" spans="1:11" hidden="1">
      <c r="A2927" t="s">
        <v>114</v>
      </c>
      <c r="B2927" t="s">
        <v>63</v>
      </c>
      <c r="C2927" t="s">
        <v>13</v>
      </c>
      <c r="E2927" t="s">
        <v>9</v>
      </c>
      <c r="F2927" s="1" t="s">
        <v>3</v>
      </c>
      <c r="G2927" s="1">
        <v>46066</v>
      </c>
      <c r="H2927" t="s">
        <v>64</v>
      </c>
      <c r="I2927" s="2">
        <f>7292187.84/496</f>
        <v>14701.991612903226</v>
      </c>
      <c r="J2927" s="47" t="s">
        <v>1635</v>
      </c>
      <c r="K2927" s="7">
        <v>46054</v>
      </c>
    </row>
    <row r="2928" spans="1:11" hidden="1">
      <c r="A2928" t="s">
        <v>39</v>
      </c>
      <c r="B2928" t="s">
        <v>40</v>
      </c>
      <c r="C2928" t="s">
        <v>14</v>
      </c>
      <c r="E2928" t="s">
        <v>9</v>
      </c>
      <c r="F2928" s="1" t="s">
        <v>3</v>
      </c>
      <c r="G2928" s="1">
        <v>45845</v>
      </c>
      <c r="H2928" t="s">
        <v>41</v>
      </c>
      <c r="I2928" s="2">
        <v>300</v>
      </c>
      <c r="J2928" t="s">
        <v>1541</v>
      </c>
      <c r="K2928" s="7">
        <v>45839</v>
      </c>
    </row>
    <row r="2929" spans="1:11" hidden="1">
      <c r="A2929" t="s">
        <v>39</v>
      </c>
      <c r="B2929" t="s">
        <v>40</v>
      </c>
      <c r="C2929" t="s">
        <v>14</v>
      </c>
      <c r="E2929" t="s">
        <v>9</v>
      </c>
      <c r="F2929" s="1" t="s">
        <v>3</v>
      </c>
      <c r="G2929" s="1">
        <v>45881</v>
      </c>
      <c r="H2929" t="s">
        <v>41</v>
      </c>
      <c r="I2929" s="2">
        <v>300</v>
      </c>
      <c r="J2929" t="s">
        <v>1636</v>
      </c>
      <c r="K2929" s="7">
        <v>45870</v>
      </c>
    </row>
    <row r="2930" spans="1:11" hidden="1">
      <c r="A2930" t="s">
        <v>39</v>
      </c>
      <c r="B2930" t="s">
        <v>40</v>
      </c>
      <c r="C2930" t="s">
        <v>14</v>
      </c>
      <c r="E2930" t="s">
        <v>9</v>
      </c>
      <c r="F2930" s="1" t="s">
        <v>5</v>
      </c>
      <c r="G2930" s="1">
        <v>45898</v>
      </c>
      <c r="H2930" t="s">
        <v>41</v>
      </c>
      <c r="I2930" s="2">
        <v>300</v>
      </c>
      <c r="J2930" t="s">
        <v>1637</v>
      </c>
      <c r="K2930" s="7">
        <v>45870</v>
      </c>
    </row>
    <row r="2931" spans="1:11" hidden="1">
      <c r="A2931" t="s">
        <v>39</v>
      </c>
      <c r="B2931" t="s">
        <v>63</v>
      </c>
      <c r="C2931" t="s">
        <v>13</v>
      </c>
      <c r="D2931">
        <v>10027847</v>
      </c>
      <c r="E2931" t="s">
        <v>9</v>
      </c>
      <c r="F2931" s="1" t="s">
        <v>5</v>
      </c>
      <c r="G2931" s="1">
        <v>45954</v>
      </c>
      <c r="H2931" t="s">
        <v>41</v>
      </c>
      <c r="I2931" s="2">
        <v>300</v>
      </c>
      <c r="J2931" t="s">
        <v>1638</v>
      </c>
      <c r="K2931" s="7">
        <v>45931</v>
      </c>
    </row>
    <row r="2932" spans="1:11" hidden="1">
      <c r="A2932" t="s">
        <v>39</v>
      </c>
      <c r="B2932" t="s">
        <v>40</v>
      </c>
      <c r="C2932" t="s">
        <v>14</v>
      </c>
      <c r="E2932" t="s">
        <v>9</v>
      </c>
      <c r="F2932" s="1" t="s">
        <v>2</v>
      </c>
      <c r="G2932" s="1">
        <v>46028</v>
      </c>
      <c r="H2932" t="s">
        <v>41</v>
      </c>
      <c r="I2932" s="2">
        <v>300</v>
      </c>
      <c r="J2932" t="s">
        <v>554</v>
      </c>
      <c r="K2932" s="7">
        <v>46023</v>
      </c>
    </row>
    <row r="2933" spans="1:11" hidden="1">
      <c r="A2933" t="s">
        <v>39</v>
      </c>
      <c r="B2933" t="s">
        <v>40</v>
      </c>
      <c r="C2933" t="s">
        <v>14</v>
      </c>
      <c r="E2933" t="s">
        <v>9</v>
      </c>
      <c r="F2933" s="1" t="s">
        <v>5</v>
      </c>
      <c r="G2933" s="1">
        <v>46049</v>
      </c>
      <c r="H2933" t="s">
        <v>41</v>
      </c>
      <c r="I2933" s="2">
        <v>300</v>
      </c>
      <c r="J2933" s="47" t="s">
        <v>283</v>
      </c>
      <c r="K2933" s="7">
        <v>46023</v>
      </c>
    </row>
    <row r="2934" spans="1:11" hidden="1">
      <c r="A2934" t="s">
        <v>39</v>
      </c>
      <c r="B2934" t="s">
        <v>40</v>
      </c>
      <c r="C2934" t="s">
        <v>14</v>
      </c>
      <c r="D2934">
        <v>10028326</v>
      </c>
      <c r="E2934" t="s">
        <v>9</v>
      </c>
      <c r="F2934" s="1" t="s">
        <v>4</v>
      </c>
      <c r="G2934" s="1">
        <v>46037</v>
      </c>
      <c r="H2934" t="s">
        <v>41</v>
      </c>
      <c r="I2934" s="2">
        <v>150</v>
      </c>
      <c r="J2934" t="s">
        <v>1639</v>
      </c>
      <c r="K2934" s="7">
        <v>46023</v>
      </c>
    </row>
    <row r="2935" spans="1:11" hidden="1">
      <c r="A2935" t="s">
        <v>39</v>
      </c>
      <c r="B2935" t="s">
        <v>45</v>
      </c>
      <c r="C2935" t="s">
        <v>14</v>
      </c>
      <c r="D2935">
        <v>10026895</v>
      </c>
      <c r="E2935" t="s">
        <v>9</v>
      </c>
      <c r="F2935" s="1" t="s">
        <v>2</v>
      </c>
      <c r="G2935" s="1">
        <v>45814</v>
      </c>
      <c r="H2935" t="s">
        <v>41</v>
      </c>
      <c r="I2935" s="2">
        <v>287.58999999999997</v>
      </c>
      <c r="J2935" t="s">
        <v>1640</v>
      </c>
      <c r="K2935" s="7">
        <v>45809</v>
      </c>
    </row>
    <row r="2936" spans="1:11" hidden="1">
      <c r="A2936" t="s">
        <v>39</v>
      </c>
      <c r="B2936" t="s">
        <v>40</v>
      </c>
      <c r="C2936" t="s">
        <v>14</v>
      </c>
      <c r="D2936">
        <v>10027190</v>
      </c>
      <c r="E2936" t="s">
        <v>9</v>
      </c>
      <c r="F2936" s="1" t="s">
        <v>5</v>
      </c>
      <c r="G2936" s="1">
        <v>45861</v>
      </c>
      <c r="H2936" t="s">
        <v>41</v>
      </c>
      <c r="I2936" s="2">
        <v>285.05</v>
      </c>
      <c r="J2936" t="s">
        <v>1641</v>
      </c>
      <c r="K2936" s="7">
        <v>45839</v>
      </c>
    </row>
    <row r="2937" spans="1:11">
      <c r="A2937" t="s">
        <v>39</v>
      </c>
      <c r="B2937" t="s">
        <v>47</v>
      </c>
      <c r="C2937" t="s">
        <v>12</v>
      </c>
      <c r="E2937" t="s">
        <v>9</v>
      </c>
      <c r="F2937" s="1" t="s">
        <v>3</v>
      </c>
      <c r="G2937" s="1">
        <v>46066</v>
      </c>
      <c r="H2937" t="s">
        <v>41</v>
      </c>
      <c r="I2937" s="2">
        <v>13639.2</v>
      </c>
      <c r="J2937" s="47" t="s">
        <v>1642</v>
      </c>
      <c r="K2937" s="7">
        <v>46054</v>
      </c>
    </row>
    <row r="2938" spans="1:11" hidden="1">
      <c r="A2938" t="s">
        <v>39</v>
      </c>
      <c r="B2938" t="s">
        <v>47</v>
      </c>
      <c r="C2938" t="s">
        <v>14</v>
      </c>
      <c r="E2938" t="s">
        <v>9</v>
      </c>
      <c r="F2938" s="1" t="s">
        <v>2</v>
      </c>
      <c r="G2938" s="1">
        <v>45875</v>
      </c>
      <c r="H2938" t="s">
        <v>41</v>
      </c>
      <c r="I2938" s="2">
        <v>278.45999999999998</v>
      </c>
      <c r="J2938" t="s">
        <v>1643</v>
      </c>
      <c r="K2938" s="7">
        <v>45870</v>
      </c>
    </row>
    <row r="2939" spans="1:11" hidden="1">
      <c r="A2939" t="s">
        <v>39</v>
      </c>
      <c r="B2939" t="s">
        <v>45</v>
      </c>
      <c r="C2939" t="s">
        <v>12</v>
      </c>
      <c r="E2939" t="s">
        <v>9</v>
      </c>
      <c r="F2939" s="1" t="s">
        <v>4</v>
      </c>
      <c r="G2939" s="1">
        <v>46041</v>
      </c>
      <c r="H2939" t="s">
        <v>41</v>
      </c>
      <c r="I2939" s="2">
        <v>76569.84</v>
      </c>
      <c r="J2939" t="s">
        <v>1644</v>
      </c>
      <c r="K2939" s="7">
        <v>46023</v>
      </c>
    </row>
    <row r="2940" spans="1:11" hidden="1">
      <c r="A2940" t="s">
        <v>39</v>
      </c>
      <c r="B2940" t="s">
        <v>40</v>
      </c>
      <c r="C2940" t="s">
        <v>14</v>
      </c>
      <c r="D2940">
        <v>10027605</v>
      </c>
      <c r="E2940" t="s">
        <v>9</v>
      </c>
      <c r="F2940" s="1" t="s">
        <v>5</v>
      </c>
      <c r="G2940" s="1">
        <v>45923</v>
      </c>
      <c r="H2940" t="s">
        <v>41</v>
      </c>
      <c r="I2940" s="2">
        <v>276.75</v>
      </c>
      <c r="J2940" t="s">
        <v>1645</v>
      </c>
      <c r="K2940" s="7">
        <v>45901</v>
      </c>
    </row>
    <row r="2941" spans="1:11" hidden="1">
      <c r="A2941" t="s">
        <v>39</v>
      </c>
      <c r="B2941" t="s">
        <v>40</v>
      </c>
      <c r="C2941" t="s">
        <v>14</v>
      </c>
      <c r="E2941" t="s">
        <v>9</v>
      </c>
      <c r="F2941" s="1" t="s">
        <v>3</v>
      </c>
      <c r="G2941" s="1">
        <v>45937</v>
      </c>
      <c r="H2941" t="s">
        <v>41</v>
      </c>
      <c r="I2941" s="2">
        <v>275</v>
      </c>
      <c r="J2941" s="47" t="s">
        <v>1646</v>
      </c>
      <c r="K2941" s="7">
        <v>45931</v>
      </c>
    </row>
    <row r="2942" spans="1:11" hidden="1">
      <c r="A2942" t="s">
        <v>39</v>
      </c>
      <c r="B2942" t="s">
        <v>40</v>
      </c>
      <c r="C2942" t="s">
        <v>14</v>
      </c>
      <c r="D2942">
        <v>10027368</v>
      </c>
      <c r="E2942" t="s">
        <v>9</v>
      </c>
      <c r="F2942" s="1" t="s">
        <v>5</v>
      </c>
      <c r="G2942" s="1">
        <v>45891</v>
      </c>
      <c r="H2942" t="s">
        <v>64</v>
      </c>
      <c r="I2942" s="2">
        <f>140165.57/510</f>
        <v>274.83445098039215</v>
      </c>
      <c r="J2942" t="s">
        <v>1647</v>
      </c>
      <c r="K2942" s="7">
        <v>45870</v>
      </c>
    </row>
    <row r="2943" spans="1:11" hidden="1">
      <c r="A2943" t="s">
        <v>39</v>
      </c>
      <c r="B2943" t="s">
        <v>40</v>
      </c>
      <c r="C2943" t="s">
        <v>14</v>
      </c>
      <c r="E2943" t="s">
        <v>9</v>
      </c>
      <c r="F2943" s="1" t="s">
        <v>5</v>
      </c>
      <c r="G2943" s="1">
        <v>45987</v>
      </c>
      <c r="H2943" t="s">
        <v>41</v>
      </c>
      <c r="I2943" s="2">
        <v>272.05</v>
      </c>
      <c r="J2943" s="47" t="s">
        <v>1648</v>
      </c>
      <c r="K2943" s="7">
        <v>45962</v>
      </c>
    </row>
    <row r="2944" spans="1:11" hidden="1">
      <c r="A2944" t="s">
        <v>39</v>
      </c>
      <c r="B2944" t="s">
        <v>45</v>
      </c>
      <c r="C2944" t="s">
        <v>14</v>
      </c>
      <c r="E2944" t="s">
        <v>9</v>
      </c>
      <c r="F2944" s="1" t="s">
        <v>4</v>
      </c>
      <c r="G2944" s="1">
        <v>46041</v>
      </c>
      <c r="H2944" t="s">
        <v>41</v>
      </c>
      <c r="I2944" s="2">
        <v>16370.31</v>
      </c>
      <c r="J2944" t="s">
        <v>1649</v>
      </c>
      <c r="K2944" s="7">
        <v>46023</v>
      </c>
    </row>
    <row r="2945" spans="1:11" hidden="1">
      <c r="A2945" t="s">
        <v>114</v>
      </c>
      <c r="B2945" t="s">
        <v>63</v>
      </c>
      <c r="C2945" t="s">
        <v>14</v>
      </c>
      <c r="E2945" t="s">
        <v>9</v>
      </c>
      <c r="F2945" s="1" t="s">
        <v>4</v>
      </c>
      <c r="G2945" s="1">
        <v>46041</v>
      </c>
      <c r="H2945" t="s">
        <v>64</v>
      </c>
      <c r="I2945" s="2">
        <f>4267939.99/496</f>
        <v>8604.7177217741937</v>
      </c>
      <c r="J2945" t="s">
        <v>1333</v>
      </c>
      <c r="K2945" s="7">
        <v>46023</v>
      </c>
    </row>
    <row r="2946" spans="1:11" hidden="1">
      <c r="A2946" t="s">
        <v>39</v>
      </c>
      <c r="B2946" t="s">
        <v>40</v>
      </c>
      <c r="C2946" t="s">
        <v>14</v>
      </c>
      <c r="E2946" t="s">
        <v>9</v>
      </c>
      <c r="F2946" s="1" t="s">
        <v>2</v>
      </c>
      <c r="G2946" s="1">
        <v>45904</v>
      </c>
      <c r="H2946" t="s">
        <v>41</v>
      </c>
      <c r="I2946" s="2">
        <v>261</v>
      </c>
      <c r="J2946" t="s">
        <v>1650</v>
      </c>
      <c r="K2946" s="7">
        <v>45901</v>
      </c>
    </row>
    <row r="2947" spans="1:11">
      <c r="A2947" t="s">
        <v>39</v>
      </c>
      <c r="B2947" t="s">
        <v>47</v>
      </c>
      <c r="C2947" t="s">
        <v>14</v>
      </c>
      <c r="E2947" t="s">
        <v>9</v>
      </c>
      <c r="F2947" s="1" t="s">
        <v>3</v>
      </c>
      <c r="G2947" s="1">
        <v>46066</v>
      </c>
      <c r="H2947" t="s">
        <v>41</v>
      </c>
      <c r="I2947" s="2">
        <v>3187.48</v>
      </c>
      <c r="J2947" s="47" t="s">
        <v>1618</v>
      </c>
      <c r="K2947" s="7">
        <v>46054</v>
      </c>
    </row>
    <row r="2948" spans="1:11" hidden="1">
      <c r="A2948" t="s">
        <v>39</v>
      </c>
      <c r="B2948" t="s">
        <v>40</v>
      </c>
      <c r="C2948" t="s">
        <v>14</v>
      </c>
      <c r="D2948">
        <v>10027279</v>
      </c>
      <c r="E2948" t="s">
        <v>9</v>
      </c>
      <c r="F2948" s="1" t="s">
        <v>3</v>
      </c>
      <c r="G2948" s="1">
        <v>45880</v>
      </c>
      <c r="H2948" t="s">
        <v>41</v>
      </c>
      <c r="I2948" s="2">
        <v>260</v>
      </c>
      <c r="J2948" t="s">
        <v>1651</v>
      </c>
      <c r="K2948" s="7">
        <v>45870</v>
      </c>
    </row>
    <row r="2949" spans="1:11" hidden="1">
      <c r="A2949" t="s">
        <v>39</v>
      </c>
      <c r="B2949" t="s">
        <v>40</v>
      </c>
      <c r="C2949" t="s">
        <v>14</v>
      </c>
      <c r="E2949" t="s">
        <v>9</v>
      </c>
      <c r="F2949" s="1" t="s">
        <v>3</v>
      </c>
      <c r="G2949" s="1">
        <v>46036</v>
      </c>
      <c r="H2949" t="s">
        <v>41</v>
      </c>
      <c r="I2949" s="2">
        <v>260</v>
      </c>
      <c r="J2949" s="47" t="s">
        <v>1652</v>
      </c>
      <c r="K2949" s="7">
        <v>46023</v>
      </c>
    </row>
    <row r="2950" spans="1:11" hidden="1">
      <c r="A2950" t="s">
        <v>39</v>
      </c>
      <c r="B2950" t="s">
        <v>63</v>
      </c>
      <c r="C2950" t="s">
        <v>14</v>
      </c>
      <c r="E2950" t="s">
        <v>9</v>
      </c>
      <c r="F2950" s="1" t="s">
        <v>3</v>
      </c>
      <c r="G2950" s="1">
        <v>46002</v>
      </c>
      <c r="H2950" t="s">
        <v>64</v>
      </c>
      <c r="I2950" s="2">
        <f>130754.09/510</f>
        <v>256.380568627451</v>
      </c>
      <c r="J2950" t="s">
        <v>190</v>
      </c>
      <c r="K2950" s="7">
        <v>45992</v>
      </c>
    </row>
    <row r="2951" spans="1:11" hidden="1">
      <c r="A2951" t="s">
        <v>114</v>
      </c>
      <c r="B2951" t="s">
        <v>63</v>
      </c>
      <c r="C2951" t="s">
        <v>14</v>
      </c>
      <c r="D2951">
        <v>15165</v>
      </c>
      <c r="E2951" t="s">
        <v>9</v>
      </c>
      <c r="F2951" s="1" t="s">
        <v>3</v>
      </c>
      <c r="G2951" s="1">
        <v>45820</v>
      </c>
      <c r="H2951" t="s">
        <v>41</v>
      </c>
      <c r="I2951" s="2">
        <v>254.55</v>
      </c>
      <c r="J2951" t="s">
        <v>1370</v>
      </c>
      <c r="K2951" s="7">
        <v>45809</v>
      </c>
    </row>
    <row r="2952" spans="1:11" hidden="1">
      <c r="A2952" t="s">
        <v>114</v>
      </c>
      <c r="B2952" t="s">
        <v>63</v>
      </c>
      <c r="C2952" t="s">
        <v>14</v>
      </c>
      <c r="D2952">
        <v>15239</v>
      </c>
      <c r="E2952" t="s">
        <v>9</v>
      </c>
      <c r="F2952" s="1" t="s">
        <v>3</v>
      </c>
      <c r="G2952" s="1">
        <v>45937</v>
      </c>
      <c r="H2952" t="s">
        <v>64</v>
      </c>
      <c r="I2952" s="2">
        <f>129600/510</f>
        <v>254.11764705882354</v>
      </c>
      <c r="J2952" t="s">
        <v>190</v>
      </c>
      <c r="K2952" s="7">
        <v>45931</v>
      </c>
    </row>
    <row r="2953" spans="1:11" hidden="1">
      <c r="A2953" t="s">
        <v>114</v>
      </c>
      <c r="B2953" t="s">
        <v>63</v>
      </c>
      <c r="C2953" t="s">
        <v>124</v>
      </c>
      <c r="E2953" t="s">
        <v>9</v>
      </c>
      <c r="F2953" s="1" t="s">
        <v>5</v>
      </c>
      <c r="G2953" s="1">
        <v>46014</v>
      </c>
      <c r="H2953" t="s">
        <v>64</v>
      </c>
      <c r="I2953" s="2">
        <f>129059.7/510</f>
        <v>253.05823529411765</v>
      </c>
      <c r="J2953" t="s">
        <v>334</v>
      </c>
      <c r="K2953" s="7">
        <v>45992</v>
      </c>
    </row>
    <row r="2954" spans="1:11" hidden="1">
      <c r="A2954" t="s">
        <v>39</v>
      </c>
      <c r="B2954" t="s">
        <v>40</v>
      </c>
      <c r="C2954" t="s">
        <v>14</v>
      </c>
      <c r="E2954" t="s">
        <v>9</v>
      </c>
      <c r="F2954" s="1" t="s">
        <v>4</v>
      </c>
      <c r="G2954" s="1">
        <v>46041</v>
      </c>
      <c r="H2954" t="s">
        <v>41</v>
      </c>
      <c r="I2954" s="2">
        <v>5276.6</v>
      </c>
      <c r="J2954" t="s">
        <v>1653</v>
      </c>
      <c r="K2954" s="7">
        <v>46023</v>
      </c>
    </row>
    <row r="2955" spans="1:11" hidden="1">
      <c r="A2955" t="s">
        <v>39</v>
      </c>
      <c r="B2955" t="s">
        <v>40</v>
      </c>
      <c r="C2955" t="s">
        <v>14</v>
      </c>
      <c r="E2955" t="s">
        <v>9</v>
      </c>
      <c r="F2955" s="1" t="s">
        <v>5</v>
      </c>
      <c r="G2955" s="1">
        <v>45898</v>
      </c>
      <c r="H2955" t="s">
        <v>41</v>
      </c>
      <c r="I2955" s="2">
        <v>252.57</v>
      </c>
      <c r="J2955" t="s">
        <v>1654</v>
      </c>
      <c r="K2955" s="7">
        <v>45870</v>
      </c>
    </row>
    <row r="2956" spans="1:11" hidden="1">
      <c r="A2956" t="s">
        <v>39</v>
      </c>
      <c r="B2956" t="s">
        <v>45</v>
      </c>
      <c r="C2956" t="s">
        <v>14</v>
      </c>
      <c r="D2956">
        <v>10026746</v>
      </c>
      <c r="E2956" t="s">
        <v>9</v>
      </c>
      <c r="F2956" s="1" t="s">
        <v>2</v>
      </c>
      <c r="G2956" s="1">
        <v>45812</v>
      </c>
      <c r="H2956" t="s">
        <v>41</v>
      </c>
      <c r="I2956" s="2">
        <v>252.5</v>
      </c>
      <c r="J2956" t="s">
        <v>1655</v>
      </c>
      <c r="K2956" s="7">
        <v>45809</v>
      </c>
    </row>
    <row r="2957" spans="1:11" hidden="1">
      <c r="A2957" t="s">
        <v>39</v>
      </c>
      <c r="B2957" t="s">
        <v>47</v>
      </c>
      <c r="C2957" t="s">
        <v>14</v>
      </c>
      <c r="D2957">
        <v>10026643</v>
      </c>
      <c r="E2957" t="s">
        <v>9</v>
      </c>
      <c r="F2957" s="1" t="s">
        <v>5</v>
      </c>
      <c r="G2957" s="1">
        <v>45797</v>
      </c>
      <c r="H2957" t="s">
        <v>41</v>
      </c>
      <c r="I2957" s="2">
        <v>251.54</v>
      </c>
      <c r="J2957" t="s">
        <v>208</v>
      </c>
      <c r="K2957" s="7">
        <v>45778</v>
      </c>
    </row>
    <row r="2958" spans="1:11" hidden="1">
      <c r="A2958" t="s">
        <v>39</v>
      </c>
      <c r="B2958" t="s">
        <v>40</v>
      </c>
      <c r="C2958" t="s">
        <v>14</v>
      </c>
      <c r="E2958" t="s">
        <v>9</v>
      </c>
      <c r="F2958" s="1" t="s">
        <v>4</v>
      </c>
      <c r="G2958" s="1">
        <v>46041</v>
      </c>
      <c r="H2958" t="s">
        <v>41</v>
      </c>
      <c r="I2958" s="2">
        <v>4920</v>
      </c>
      <c r="J2958" t="s">
        <v>1656</v>
      </c>
      <c r="K2958" s="7">
        <v>46023</v>
      </c>
    </row>
    <row r="2959" spans="1:11" hidden="1">
      <c r="A2959" t="s">
        <v>39</v>
      </c>
      <c r="B2959" t="s">
        <v>40</v>
      </c>
      <c r="C2959" t="s">
        <v>14</v>
      </c>
      <c r="D2959">
        <v>10027730</v>
      </c>
      <c r="E2959" t="s">
        <v>9</v>
      </c>
      <c r="F2959" s="1" t="s">
        <v>3</v>
      </c>
      <c r="G2959" s="1">
        <v>45939</v>
      </c>
      <c r="H2959" t="s">
        <v>41</v>
      </c>
      <c r="I2959" s="2">
        <v>250</v>
      </c>
      <c r="J2959" t="s">
        <v>1335</v>
      </c>
      <c r="K2959" s="7">
        <v>45931</v>
      </c>
    </row>
    <row r="2960" spans="1:11" hidden="1">
      <c r="A2960" t="s">
        <v>39</v>
      </c>
      <c r="B2960" t="s">
        <v>40</v>
      </c>
      <c r="C2960" t="s">
        <v>14</v>
      </c>
      <c r="E2960" t="s">
        <v>9</v>
      </c>
      <c r="F2960" s="1" t="s">
        <v>4</v>
      </c>
      <c r="G2960" s="1">
        <v>46041</v>
      </c>
      <c r="H2960" t="s">
        <v>41</v>
      </c>
      <c r="I2960" s="2">
        <v>4700</v>
      </c>
      <c r="J2960" t="s">
        <v>1657</v>
      </c>
      <c r="K2960" s="7">
        <v>46023</v>
      </c>
    </row>
    <row r="2961" spans="1:11" hidden="1">
      <c r="A2961" t="s">
        <v>39</v>
      </c>
      <c r="B2961" t="s">
        <v>45</v>
      </c>
      <c r="C2961" t="s">
        <v>14</v>
      </c>
      <c r="E2961" t="s">
        <v>9</v>
      </c>
      <c r="F2961" s="1" t="s">
        <v>4</v>
      </c>
      <c r="G2961" s="1">
        <v>46041</v>
      </c>
      <c r="H2961" t="s">
        <v>41</v>
      </c>
      <c r="I2961" s="2">
        <v>2461.0300000000002</v>
      </c>
      <c r="J2961" t="s">
        <v>1649</v>
      </c>
      <c r="K2961" s="7">
        <v>46023</v>
      </c>
    </row>
    <row r="2962" spans="1:11" hidden="1">
      <c r="A2962" t="s">
        <v>39</v>
      </c>
      <c r="B2962" t="s">
        <v>40</v>
      </c>
      <c r="C2962" t="s">
        <v>14</v>
      </c>
      <c r="E2962" t="s">
        <v>9</v>
      </c>
      <c r="F2962" s="1" t="s">
        <v>5</v>
      </c>
      <c r="G2962" s="1">
        <v>45926</v>
      </c>
      <c r="H2962" t="s">
        <v>41</v>
      </c>
      <c r="I2962" s="2">
        <v>249.47</v>
      </c>
      <c r="J2962" t="s">
        <v>1658</v>
      </c>
      <c r="K2962" s="7">
        <v>45901</v>
      </c>
    </row>
    <row r="2963" spans="1:11" hidden="1">
      <c r="A2963" t="s">
        <v>114</v>
      </c>
      <c r="B2963" t="s">
        <v>63</v>
      </c>
      <c r="C2963" t="s">
        <v>14</v>
      </c>
      <c r="E2963" t="s">
        <v>9</v>
      </c>
      <c r="F2963" s="1" t="s">
        <v>5</v>
      </c>
      <c r="G2963" s="1">
        <v>46013</v>
      </c>
      <c r="H2963" t="s">
        <v>64</v>
      </c>
      <c r="I2963" s="2">
        <f>125586.34/510</f>
        <v>246.24772549019607</v>
      </c>
      <c r="J2963" t="s">
        <v>425</v>
      </c>
      <c r="K2963" s="7">
        <v>45992</v>
      </c>
    </row>
    <row r="2964" spans="1:11" hidden="1">
      <c r="A2964" t="s">
        <v>39</v>
      </c>
      <c r="B2964" t="s">
        <v>47</v>
      </c>
      <c r="C2964" t="s">
        <v>14</v>
      </c>
      <c r="D2964">
        <v>10026803</v>
      </c>
      <c r="E2964" t="s">
        <v>9</v>
      </c>
      <c r="F2964" s="1" t="s">
        <v>3</v>
      </c>
      <c r="G2964" s="1">
        <v>45820</v>
      </c>
      <c r="H2964" t="s">
        <v>41</v>
      </c>
      <c r="I2964" s="2">
        <v>245.75</v>
      </c>
      <c r="J2964" t="s">
        <v>133</v>
      </c>
      <c r="K2964" s="7">
        <v>45809</v>
      </c>
    </row>
    <row r="2965" spans="1:11" hidden="1">
      <c r="A2965" t="s">
        <v>39</v>
      </c>
      <c r="B2965" t="s">
        <v>47</v>
      </c>
      <c r="C2965" t="s">
        <v>14</v>
      </c>
      <c r="D2965">
        <v>10027008</v>
      </c>
      <c r="E2965" t="s">
        <v>9</v>
      </c>
      <c r="F2965" s="1" t="s">
        <v>3</v>
      </c>
      <c r="G2965" s="1">
        <v>45845</v>
      </c>
      <c r="H2965" t="s">
        <v>41</v>
      </c>
      <c r="I2965" s="2">
        <v>245.13</v>
      </c>
      <c r="J2965" t="s">
        <v>1101</v>
      </c>
      <c r="K2965" s="7">
        <v>45839</v>
      </c>
    </row>
    <row r="2966" spans="1:11" hidden="1">
      <c r="A2966" t="s">
        <v>39</v>
      </c>
      <c r="B2966" t="s">
        <v>40</v>
      </c>
      <c r="C2966" t="s">
        <v>14</v>
      </c>
      <c r="E2966" t="s">
        <v>9</v>
      </c>
      <c r="F2966" s="1" t="s">
        <v>4</v>
      </c>
      <c r="G2966" s="1">
        <v>46041</v>
      </c>
      <c r="H2966" t="s">
        <v>41</v>
      </c>
      <c r="I2966" s="2">
        <v>2000</v>
      </c>
      <c r="J2966" s="47" t="s">
        <v>1659</v>
      </c>
      <c r="K2966" s="7">
        <v>46023</v>
      </c>
    </row>
    <row r="2967" spans="1:11" hidden="1">
      <c r="A2967" t="s">
        <v>114</v>
      </c>
      <c r="B2967" t="s">
        <v>63</v>
      </c>
      <c r="C2967" t="s">
        <v>14</v>
      </c>
      <c r="E2967" t="s">
        <v>9</v>
      </c>
      <c r="F2967" s="1" t="s">
        <v>4</v>
      </c>
      <c r="G2967" s="1">
        <v>46041</v>
      </c>
      <c r="H2967" t="s">
        <v>64</v>
      </c>
      <c r="I2967" s="2">
        <f>834471.03/496</f>
        <v>1682.4012701612903</v>
      </c>
      <c r="J2967" t="s">
        <v>1333</v>
      </c>
      <c r="K2967" s="7">
        <v>46023</v>
      </c>
    </row>
    <row r="2968" spans="1:11" hidden="1">
      <c r="A2968" t="s">
        <v>39</v>
      </c>
      <c r="B2968" t="s">
        <v>40</v>
      </c>
      <c r="C2968" t="s">
        <v>14</v>
      </c>
      <c r="E2968" t="s">
        <v>9</v>
      </c>
      <c r="F2968" s="1" t="s">
        <v>5</v>
      </c>
      <c r="G2968" s="1">
        <v>46049</v>
      </c>
      <c r="H2968" t="s">
        <v>64</v>
      </c>
      <c r="I2968" s="2">
        <f>120000/496</f>
        <v>241.93548387096774</v>
      </c>
      <c r="J2968" t="s">
        <v>1660</v>
      </c>
      <c r="K2968" s="7">
        <v>46023</v>
      </c>
    </row>
    <row r="2969" spans="1:11" hidden="1">
      <c r="A2969" t="s">
        <v>114</v>
      </c>
      <c r="B2969" t="s">
        <v>63</v>
      </c>
      <c r="C2969" t="s">
        <v>14</v>
      </c>
      <c r="E2969" t="s">
        <v>9</v>
      </c>
      <c r="F2969" s="1" t="s">
        <v>4</v>
      </c>
      <c r="G2969" s="1">
        <v>46041</v>
      </c>
      <c r="H2969" t="s">
        <v>64</v>
      </c>
      <c r="I2969" s="2">
        <f>772546.98/496</f>
        <v>1557.5543951612904</v>
      </c>
      <c r="J2969" t="s">
        <v>1333</v>
      </c>
      <c r="K2969" s="7">
        <v>46023</v>
      </c>
    </row>
    <row r="2970" spans="1:11" hidden="1">
      <c r="A2970" t="s">
        <v>39</v>
      </c>
      <c r="B2970" t="s">
        <v>40</v>
      </c>
      <c r="C2970" t="s">
        <v>14</v>
      </c>
      <c r="D2970">
        <v>10027669</v>
      </c>
      <c r="E2970" t="s">
        <v>9</v>
      </c>
      <c r="F2970" s="1" t="s">
        <v>6</v>
      </c>
      <c r="G2970" s="1">
        <v>45930</v>
      </c>
      <c r="H2970" t="s">
        <v>41</v>
      </c>
      <c r="I2970" s="2">
        <v>236</v>
      </c>
      <c r="J2970" t="s">
        <v>1661</v>
      </c>
      <c r="K2970" s="7">
        <v>45901</v>
      </c>
    </row>
    <row r="2971" spans="1:11" hidden="1">
      <c r="A2971" t="s">
        <v>39</v>
      </c>
      <c r="B2971" t="s">
        <v>40</v>
      </c>
      <c r="C2971" t="s">
        <v>14</v>
      </c>
      <c r="E2971" t="s">
        <v>9</v>
      </c>
      <c r="F2971" s="1" t="s">
        <v>4</v>
      </c>
      <c r="G2971" s="1">
        <v>46041</v>
      </c>
      <c r="H2971" t="s">
        <v>41</v>
      </c>
      <c r="I2971" s="2">
        <v>1362.96</v>
      </c>
      <c r="J2971" t="s">
        <v>1662</v>
      </c>
      <c r="K2971" s="7">
        <v>46023</v>
      </c>
    </row>
    <row r="2972" spans="1:11" hidden="1">
      <c r="A2972" t="s">
        <v>39</v>
      </c>
      <c r="B2972" t="s">
        <v>40</v>
      </c>
      <c r="C2972" t="s">
        <v>14</v>
      </c>
      <c r="D2972">
        <v>10027019</v>
      </c>
      <c r="E2972" t="s">
        <v>9</v>
      </c>
      <c r="F2972" s="1" t="s">
        <v>3</v>
      </c>
      <c r="G2972" s="1">
        <v>45844</v>
      </c>
      <c r="H2972" t="s">
        <v>41</v>
      </c>
      <c r="I2972" s="2">
        <v>235.6</v>
      </c>
      <c r="J2972" t="s">
        <v>1663</v>
      </c>
      <c r="K2972" s="7">
        <v>45839</v>
      </c>
    </row>
    <row r="2973" spans="1:11" hidden="1">
      <c r="A2973" t="s">
        <v>39</v>
      </c>
      <c r="B2973" t="s">
        <v>40</v>
      </c>
      <c r="C2973" t="s">
        <v>14</v>
      </c>
      <c r="E2973" t="s">
        <v>9</v>
      </c>
      <c r="F2973" s="1" t="s">
        <v>4</v>
      </c>
      <c r="G2973" s="1">
        <v>46041</v>
      </c>
      <c r="H2973" t="s">
        <v>41</v>
      </c>
      <c r="I2973" s="2">
        <v>743</v>
      </c>
      <c r="J2973" s="47" t="s">
        <v>1381</v>
      </c>
      <c r="K2973" s="7">
        <v>46023</v>
      </c>
    </row>
    <row r="2974" spans="1:11" hidden="1">
      <c r="A2974" t="s">
        <v>39</v>
      </c>
      <c r="B2974" t="s">
        <v>40</v>
      </c>
      <c r="C2974" t="s">
        <v>14</v>
      </c>
      <c r="E2974" t="s">
        <v>9</v>
      </c>
      <c r="F2974" s="1" t="s">
        <v>4</v>
      </c>
      <c r="G2974" s="1">
        <v>46041</v>
      </c>
      <c r="H2974" t="s">
        <v>41</v>
      </c>
      <c r="I2974" s="2">
        <v>244</v>
      </c>
      <c r="J2974" t="s">
        <v>1664</v>
      </c>
      <c r="K2974" s="7">
        <v>46023</v>
      </c>
    </row>
    <row r="2975" spans="1:11" hidden="1">
      <c r="A2975" t="s">
        <v>39</v>
      </c>
      <c r="B2975" t="s">
        <v>40</v>
      </c>
      <c r="C2975" t="s">
        <v>14</v>
      </c>
      <c r="E2975" t="s">
        <v>9</v>
      </c>
      <c r="F2975" s="1" t="s">
        <v>4</v>
      </c>
      <c r="G2975" s="1">
        <v>46041</v>
      </c>
      <c r="H2975" t="s">
        <v>41</v>
      </c>
      <c r="I2975" s="2">
        <v>222</v>
      </c>
      <c r="J2975" t="s">
        <v>1665</v>
      </c>
      <c r="K2975" s="7">
        <v>46023</v>
      </c>
    </row>
    <row r="2976" spans="1:11" hidden="1">
      <c r="A2976" t="s">
        <v>114</v>
      </c>
      <c r="B2976" t="s">
        <v>63</v>
      </c>
      <c r="C2976" t="s">
        <v>14</v>
      </c>
      <c r="D2976">
        <v>15227</v>
      </c>
      <c r="E2976" t="s">
        <v>9</v>
      </c>
      <c r="F2976" s="1" t="s">
        <v>5</v>
      </c>
      <c r="G2976" s="1">
        <v>45924</v>
      </c>
      <c r="H2976" t="s">
        <v>41</v>
      </c>
      <c r="I2976" s="2">
        <v>233.29</v>
      </c>
      <c r="J2976" t="s">
        <v>465</v>
      </c>
      <c r="K2976" s="7">
        <v>45901</v>
      </c>
    </row>
    <row r="2977" spans="1:11" hidden="1">
      <c r="A2977" t="s">
        <v>39</v>
      </c>
      <c r="B2977" t="s">
        <v>40</v>
      </c>
      <c r="C2977" t="s">
        <v>14</v>
      </c>
      <c r="E2977" t="s">
        <v>9</v>
      </c>
      <c r="F2977" s="54" t="s">
        <v>3</v>
      </c>
      <c r="G2977" s="1">
        <v>45913</v>
      </c>
      <c r="H2977" t="s">
        <v>41</v>
      </c>
      <c r="I2977" s="2">
        <f>118736/510</f>
        <v>232.8156862745098</v>
      </c>
      <c r="J2977" t="s">
        <v>1666</v>
      </c>
      <c r="K2977" s="7">
        <v>45901</v>
      </c>
    </row>
    <row r="2978" spans="1:11" hidden="1">
      <c r="A2978" t="s">
        <v>39</v>
      </c>
      <c r="B2978" t="s">
        <v>40</v>
      </c>
      <c r="C2978" t="s">
        <v>14</v>
      </c>
      <c r="E2978" t="s">
        <v>9</v>
      </c>
      <c r="F2978" s="1" t="s">
        <v>5</v>
      </c>
      <c r="G2978" s="1">
        <v>45926</v>
      </c>
      <c r="H2978" t="s">
        <v>41</v>
      </c>
      <c r="I2978" s="2">
        <v>231.09</v>
      </c>
      <c r="J2978" t="s">
        <v>1667</v>
      </c>
      <c r="K2978" s="7">
        <v>45901</v>
      </c>
    </row>
    <row r="2979" spans="1:11" hidden="1">
      <c r="A2979" t="s">
        <v>39</v>
      </c>
      <c r="B2979" t="s">
        <v>63</v>
      </c>
      <c r="C2979" t="s">
        <v>14</v>
      </c>
      <c r="E2979" t="s">
        <v>9</v>
      </c>
      <c r="F2979" s="1" t="s">
        <v>3</v>
      </c>
      <c r="G2979" s="1">
        <v>45971</v>
      </c>
      <c r="H2979" t="s">
        <v>64</v>
      </c>
      <c r="I2979" s="2">
        <f>116696.7/510</f>
        <v>228.81705882352941</v>
      </c>
      <c r="J2979" t="s">
        <v>65</v>
      </c>
      <c r="K2979" s="7">
        <v>45962</v>
      </c>
    </row>
    <row r="2980" spans="1:11" hidden="1">
      <c r="A2980" t="s">
        <v>39</v>
      </c>
      <c r="B2980" t="s">
        <v>40</v>
      </c>
      <c r="C2980" t="s">
        <v>14</v>
      </c>
      <c r="E2980" t="s">
        <v>9</v>
      </c>
      <c r="F2980" s="1" t="s">
        <v>2</v>
      </c>
      <c r="G2980" s="1">
        <v>45815</v>
      </c>
      <c r="H2980" t="s">
        <v>41</v>
      </c>
      <c r="I2980" s="2">
        <v>227.7</v>
      </c>
      <c r="J2980" t="s">
        <v>1668</v>
      </c>
      <c r="K2980" s="7">
        <v>45809</v>
      </c>
    </row>
    <row r="2981" spans="1:11" hidden="1">
      <c r="A2981" t="s">
        <v>39</v>
      </c>
      <c r="B2981" t="s">
        <v>40</v>
      </c>
      <c r="C2981" t="s">
        <v>12</v>
      </c>
      <c r="E2981" t="s">
        <v>9</v>
      </c>
      <c r="F2981" s="1" t="s">
        <v>3</v>
      </c>
      <c r="G2981" s="1">
        <v>45821</v>
      </c>
      <c r="H2981" t="s">
        <v>41</v>
      </c>
      <c r="I2981" s="2">
        <v>227.7</v>
      </c>
      <c r="J2981" t="s">
        <v>1669</v>
      </c>
      <c r="K2981" s="7">
        <v>45809</v>
      </c>
    </row>
    <row r="2982" spans="1:11" hidden="1">
      <c r="A2982" t="s">
        <v>39</v>
      </c>
      <c r="B2982" t="s">
        <v>47</v>
      </c>
      <c r="C2982" t="s">
        <v>13</v>
      </c>
      <c r="E2982" t="s">
        <v>9</v>
      </c>
      <c r="F2982" s="1" t="s">
        <v>3</v>
      </c>
      <c r="G2982" s="1">
        <v>45938</v>
      </c>
      <c r="H2982" t="s">
        <v>41</v>
      </c>
      <c r="I2982" s="2">
        <v>227.23</v>
      </c>
      <c r="J2982" t="s">
        <v>1670</v>
      </c>
      <c r="K2982" s="7">
        <v>45931</v>
      </c>
    </row>
    <row r="2983" spans="1:11" hidden="1">
      <c r="A2983" t="s">
        <v>114</v>
      </c>
      <c r="B2983" t="s">
        <v>63</v>
      </c>
      <c r="C2983" t="s">
        <v>12</v>
      </c>
      <c r="D2983">
        <v>15228</v>
      </c>
      <c r="E2983" t="s">
        <v>9</v>
      </c>
      <c r="F2983" s="1" t="s">
        <v>2</v>
      </c>
      <c r="G2983" s="1">
        <v>45905</v>
      </c>
      <c r="H2983" t="s">
        <v>41</v>
      </c>
      <c r="I2983" s="2">
        <v>227.13</v>
      </c>
      <c r="J2983" t="s">
        <v>1671</v>
      </c>
      <c r="K2983" s="7">
        <v>45901</v>
      </c>
    </row>
    <row r="2984" spans="1:11" hidden="1">
      <c r="A2984" t="s">
        <v>56</v>
      </c>
      <c r="B2984" t="s">
        <v>40</v>
      </c>
      <c r="C2984" t="s">
        <v>14</v>
      </c>
      <c r="D2984">
        <v>10775</v>
      </c>
      <c r="E2984" t="s">
        <v>9</v>
      </c>
      <c r="F2984" s="1" t="s">
        <v>2</v>
      </c>
      <c r="G2984" s="1">
        <v>45904</v>
      </c>
      <c r="H2984" t="s">
        <v>41</v>
      </c>
      <c r="I2984" s="2">
        <v>226.4</v>
      </c>
      <c r="J2984" t="s">
        <v>1672</v>
      </c>
      <c r="K2984" s="7">
        <v>45901</v>
      </c>
    </row>
    <row r="2985" spans="1:11" hidden="1">
      <c r="A2985" t="s">
        <v>39</v>
      </c>
      <c r="B2985" t="s">
        <v>47</v>
      </c>
      <c r="C2985" t="s">
        <v>14</v>
      </c>
      <c r="E2985" t="s">
        <v>9</v>
      </c>
      <c r="F2985" s="1" t="s">
        <v>5</v>
      </c>
      <c r="G2985" s="1">
        <v>45951</v>
      </c>
      <c r="H2985" t="s">
        <v>41</v>
      </c>
      <c r="I2985" s="2">
        <v>226.11</v>
      </c>
      <c r="J2985" s="47" t="s">
        <v>1673</v>
      </c>
      <c r="K2985" s="7">
        <v>45931</v>
      </c>
    </row>
    <row r="2986" spans="1:11" hidden="1">
      <c r="A2986" t="s">
        <v>39</v>
      </c>
      <c r="B2986" t="s">
        <v>47</v>
      </c>
      <c r="C2986" t="s">
        <v>14</v>
      </c>
      <c r="E2986" t="s">
        <v>9</v>
      </c>
      <c r="F2986" s="1" t="s">
        <v>3</v>
      </c>
      <c r="G2986" s="1">
        <v>45971</v>
      </c>
      <c r="H2986" t="s">
        <v>41</v>
      </c>
      <c r="I2986" s="2">
        <v>226</v>
      </c>
      <c r="J2986" t="s">
        <v>384</v>
      </c>
      <c r="K2986" s="7">
        <v>45962</v>
      </c>
    </row>
    <row r="2987" spans="1:11" hidden="1">
      <c r="A2987" t="s">
        <v>39</v>
      </c>
      <c r="B2987" t="s">
        <v>40</v>
      </c>
      <c r="C2987" t="s">
        <v>14</v>
      </c>
      <c r="E2987" t="s">
        <v>9</v>
      </c>
      <c r="F2987" s="1" t="s">
        <v>5</v>
      </c>
      <c r="G2987" s="1">
        <v>45897</v>
      </c>
      <c r="H2987" t="s">
        <v>41</v>
      </c>
      <c r="I2987" s="2">
        <v>225</v>
      </c>
      <c r="J2987" t="s">
        <v>876</v>
      </c>
      <c r="K2987" s="7">
        <v>45870</v>
      </c>
    </row>
    <row r="2988" spans="1:11" hidden="1">
      <c r="A2988" t="s">
        <v>114</v>
      </c>
      <c r="B2988" t="s">
        <v>63</v>
      </c>
      <c r="C2988" t="s">
        <v>14</v>
      </c>
      <c r="E2988" t="s">
        <v>9</v>
      </c>
      <c r="F2988" s="1" t="s">
        <v>5</v>
      </c>
      <c r="G2988" s="1">
        <v>45987</v>
      </c>
      <c r="H2988" t="s">
        <v>64</v>
      </c>
      <c r="I2988" s="2">
        <f>114284.42/510</f>
        <v>224.08709803921568</v>
      </c>
      <c r="J2988" s="47" t="s">
        <v>65</v>
      </c>
      <c r="K2988" s="7">
        <v>45962</v>
      </c>
    </row>
    <row r="2989" spans="1:11" hidden="1">
      <c r="A2989" t="s">
        <v>39</v>
      </c>
      <c r="B2989" t="s">
        <v>40</v>
      </c>
      <c r="C2989" t="s">
        <v>14</v>
      </c>
      <c r="E2989" t="s">
        <v>9</v>
      </c>
      <c r="F2989" s="1" t="s">
        <v>2</v>
      </c>
      <c r="G2989" s="1">
        <v>46028</v>
      </c>
      <c r="H2989" t="s">
        <v>41</v>
      </c>
      <c r="I2989" s="2">
        <v>222</v>
      </c>
      <c r="J2989" s="47" t="s">
        <v>1219</v>
      </c>
      <c r="K2989" s="7">
        <v>46023</v>
      </c>
    </row>
    <row r="2990" spans="1:11" hidden="1">
      <c r="A2990" t="s">
        <v>39</v>
      </c>
      <c r="B2990" t="s">
        <v>40</v>
      </c>
      <c r="C2990" t="s">
        <v>14</v>
      </c>
      <c r="E2990" t="s">
        <v>9</v>
      </c>
      <c r="F2990" s="1" t="s">
        <v>4</v>
      </c>
      <c r="G2990" s="1">
        <v>46041</v>
      </c>
      <c r="H2990" t="s">
        <v>41</v>
      </c>
      <c r="I2990" s="2">
        <v>171.5</v>
      </c>
      <c r="J2990" t="s">
        <v>1108</v>
      </c>
      <c r="K2990" s="7">
        <v>46023</v>
      </c>
    </row>
    <row r="2991" spans="1:11" hidden="1">
      <c r="A2991" t="s">
        <v>39</v>
      </c>
      <c r="B2991" t="s">
        <v>47</v>
      </c>
      <c r="C2991" t="s">
        <v>14</v>
      </c>
      <c r="D2991">
        <v>10026826</v>
      </c>
      <c r="E2991" t="s">
        <v>9</v>
      </c>
      <c r="F2991" s="1" t="s">
        <v>3</v>
      </c>
      <c r="G2991" s="1">
        <v>45821</v>
      </c>
      <c r="H2991" t="s">
        <v>41</v>
      </c>
      <c r="I2991" s="2">
        <v>221.57</v>
      </c>
      <c r="J2991" t="s">
        <v>802</v>
      </c>
      <c r="K2991" s="7">
        <v>45809</v>
      </c>
    </row>
    <row r="2992" spans="1:11" hidden="1">
      <c r="A2992" t="s">
        <v>39</v>
      </c>
      <c r="B2992" t="s">
        <v>40</v>
      </c>
      <c r="C2992" t="s">
        <v>14</v>
      </c>
      <c r="E2992" t="s">
        <v>9</v>
      </c>
      <c r="F2992" s="1" t="s">
        <v>4</v>
      </c>
      <c r="G2992" s="1">
        <v>46041</v>
      </c>
      <c r="H2992" t="s">
        <v>41</v>
      </c>
      <c r="I2992" s="2">
        <v>150</v>
      </c>
      <c r="J2992" s="47" t="s">
        <v>1674</v>
      </c>
      <c r="K2992" s="7">
        <v>46023</v>
      </c>
    </row>
    <row r="2993" spans="1:11" hidden="1">
      <c r="A2993" t="s">
        <v>39</v>
      </c>
      <c r="B2993" t="s">
        <v>40</v>
      </c>
      <c r="C2993" t="s">
        <v>14</v>
      </c>
      <c r="E2993" t="s">
        <v>9</v>
      </c>
      <c r="F2993" s="1" t="s">
        <v>4</v>
      </c>
      <c r="G2993" s="1">
        <v>46041</v>
      </c>
      <c r="H2993" t="s">
        <v>41</v>
      </c>
      <c r="I2993" s="2">
        <v>150</v>
      </c>
      <c r="J2993" t="s">
        <v>1675</v>
      </c>
      <c r="K2993" s="7">
        <v>46023</v>
      </c>
    </row>
    <row r="2994" spans="1:11" hidden="1">
      <c r="A2994" t="s">
        <v>39</v>
      </c>
      <c r="B2994" t="s">
        <v>47</v>
      </c>
      <c r="C2994" t="s">
        <v>14</v>
      </c>
      <c r="E2994" t="s">
        <v>9</v>
      </c>
      <c r="F2994" s="1" t="s">
        <v>4</v>
      </c>
      <c r="G2994" s="1">
        <v>46042</v>
      </c>
      <c r="H2994" t="s">
        <v>41</v>
      </c>
      <c r="I2994" s="2">
        <v>38228.71</v>
      </c>
      <c r="J2994" t="s">
        <v>1590</v>
      </c>
      <c r="K2994" s="7">
        <v>46023</v>
      </c>
    </row>
    <row r="2995" spans="1:11" hidden="1">
      <c r="A2995" t="s">
        <v>39</v>
      </c>
      <c r="B2995" t="s">
        <v>45</v>
      </c>
      <c r="C2995" t="s">
        <v>13</v>
      </c>
      <c r="E2995" t="s">
        <v>9</v>
      </c>
      <c r="F2995" s="1" t="s">
        <v>5</v>
      </c>
      <c r="G2995" s="1">
        <v>45925</v>
      </c>
      <c r="H2995" t="s">
        <v>41</v>
      </c>
      <c r="I2995" s="2">
        <v>217.42</v>
      </c>
      <c r="J2995" t="s">
        <v>217</v>
      </c>
      <c r="K2995" s="7">
        <v>45901</v>
      </c>
    </row>
    <row r="2996" spans="1:11" hidden="1">
      <c r="A2996" t="s">
        <v>39</v>
      </c>
      <c r="B2996" t="s">
        <v>40</v>
      </c>
      <c r="C2996" t="s">
        <v>14</v>
      </c>
      <c r="D2996">
        <v>10027182</v>
      </c>
      <c r="E2996" t="s">
        <v>9</v>
      </c>
      <c r="F2996" s="1" t="s">
        <v>6</v>
      </c>
      <c r="G2996" s="1">
        <v>45867</v>
      </c>
      <c r="H2996" t="s">
        <v>41</v>
      </c>
      <c r="I2996" s="2">
        <v>217</v>
      </c>
      <c r="J2996" t="s">
        <v>585</v>
      </c>
      <c r="K2996" s="7">
        <v>45839</v>
      </c>
    </row>
    <row r="2997" spans="1:11" hidden="1">
      <c r="A2997" t="s">
        <v>114</v>
      </c>
      <c r="B2997" t="s">
        <v>63</v>
      </c>
      <c r="C2997" t="s">
        <v>14</v>
      </c>
      <c r="D2997">
        <v>15165</v>
      </c>
      <c r="E2997" t="s">
        <v>9</v>
      </c>
      <c r="F2997" s="1" t="s">
        <v>3</v>
      </c>
      <c r="G2997" s="1">
        <v>45820</v>
      </c>
      <c r="H2997" t="s">
        <v>41</v>
      </c>
      <c r="I2997" s="2">
        <v>216.96</v>
      </c>
      <c r="J2997" t="s">
        <v>1370</v>
      </c>
      <c r="K2997" s="7">
        <v>45809</v>
      </c>
    </row>
    <row r="2998" spans="1:11" hidden="1">
      <c r="A2998" t="s">
        <v>114</v>
      </c>
      <c r="B2998" t="s">
        <v>63</v>
      </c>
      <c r="C2998" t="s">
        <v>14</v>
      </c>
      <c r="E2998" t="s">
        <v>9</v>
      </c>
      <c r="F2998" s="1" t="s">
        <v>5</v>
      </c>
      <c r="G2998" s="1">
        <v>46048</v>
      </c>
      <c r="H2998" t="s">
        <v>41</v>
      </c>
      <c r="I2998" s="2">
        <v>216.6</v>
      </c>
      <c r="J2998" t="s">
        <v>1676</v>
      </c>
      <c r="K2998" s="7">
        <v>46023</v>
      </c>
    </row>
    <row r="2999" spans="1:11" hidden="1">
      <c r="A2999" t="s">
        <v>39</v>
      </c>
      <c r="B2999" t="s">
        <v>40</v>
      </c>
      <c r="C2999" t="s">
        <v>14</v>
      </c>
      <c r="E2999" t="s">
        <v>9</v>
      </c>
      <c r="F2999" s="1" t="s">
        <v>4</v>
      </c>
      <c r="G2999" s="1">
        <v>46042</v>
      </c>
      <c r="H2999" t="s">
        <v>41</v>
      </c>
      <c r="I2999" s="2">
        <v>10000</v>
      </c>
      <c r="J2999" t="s">
        <v>1677</v>
      </c>
      <c r="K2999" s="7">
        <v>46023</v>
      </c>
    </row>
    <row r="3000" spans="1:11">
      <c r="A3000" t="s">
        <v>39</v>
      </c>
      <c r="B3000" t="s">
        <v>47</v>
      </c>
      <c r="C3000" t="s">
        <v>12</v>
      </c>
      <c r="E3000" t="s">
        <v>9</v>
      </c>
      <c r="F3000" s="1" t="s">
        <v>3</v>
      </c>
      <c r="G3000" s="1">
        <v>46066</v>
      </c>
      <c r="H3000" t="s">
        <v>41</v>
      </c>
      <c r="I3000" s="2">
        <v>2746.96</v>
      </c>
      <c r="J3000" s="47" t="s">
        <v>1678</v>
      </c>
      <c r="K3000" s="7">
        <v>46054</v>
      </c>
    </row>
    <row r="3001" spans="1:11" hidden="1">
      <c r="A3001" t="s">
        <v>39</v>
      </c>
      <c r="B3001" t="s">
        <v>40</v>
      </c>
      <c r="C3001" t="s">
        <v>14</v>
      </c>
      <c r="D3001">
        <v>10027693</v>
      </c>
      <c r="E3001" t="s">
        <v>9</v>
      </c>
      <c r="F3001" s="1" t="s">
        <v>2</v>
      </c>
      <c r="G3001" s="1">
        <v>45931</v>
      </c>
      <c r="H3001" t="s">
        <v>41</v>
      </c>
      <c r="I3001" s="2">
        <v>211</v>
      </c>
      <c r="J3001" t="s">
        <v>676</v>
      </c>
      <c r="K3001" s="7">
        <v>45931</v>
      </c>
    </row>
    <row r="3002" spans="1:11" hidden="1">
      <c r="A3002" t="s">
        <v>39</v>
      </c>
      <c r="B3002" t="s">
        <v>63</v>
      </c>
      <c r="C3002" t="s">
        <v>12</v>
      </c>
      <c r="D3002" s="6">
        <v>10027604</v>
      </c>
      <c r="E3002" t="s">
        <v>9</v>
      </c>
      <c r="F3002" s="1" t="s">
        <v>5</v>
      </c>
      <c r="G3002" s="1">
        <v>45919</v>
      </c>
      <c r="H3002" t="s">
        <v>41</v>
      </c>
      <c r="I3002" s="2">
        <v>207.75</v>
      </c>
      <c r="J3002" t="s">
        <v>1679</v>
      </c>
      <c r="K3002" s="7">
        <v>45901</v>
      </c>
    </row>
    <row r="3003" spans="1:11" hidden="1">
      <c r="A3003" t="s">
        <v>39</v>
      </c>
      <c r="B3003" t="s">
        <v>45</v>
      </c>
      <c r="C3003" t="s">
        <v>12</v>
      </c>
      <c r="E3003" t="s">
        <v>9</v>
      </c>
      <c r="F3003" s="1" t="s">
        <v>2</v>
      </c>
      <c r="G3003" s="1">
        <v>45874</v>
      </c>
      <c r="H3003" t="s">
        <v>64</v>
      </c>
      <c r="I3003" s="2">
        <f>105167/510</f>
        <v>206.20980392156864</v>
      </c>
      <c r="J3003" s="47" t="s">
        <v>283</v>
      </c>
      <c r="K3003" s="7">
        <v>45870</v>
      </c>
    </row>
    <row r="3004" spans="1:11" hidden="1">
      <c r="A3004" t="s">
        <v>39</v>
      </c>
      <c r="B3004" t="s">
        <v>40</v>
      </c>
      <c r="C3004" t="s">
        <v>14</v>
      </c>
      <c r="E3004" t="s">
        <v>9</v>
      </c>
      <c r="F3004" s="1" t="s">
        <v>5</v>
      </c>
      <c r="G3004" s="1">
        <v>46051</v>
      </c>
      <c r="H3004" t="s">
        <v>41</v>
      </c>
      <c r="I3004" s="2">
        <v>202</v>
      </c>
      <c r="J3004" t="s">
        <v>1081</v>
      </c>
      <c r="K3004" s="7">
        <v>46023</v>
      </c>
    </row>
    <row r="3005" spans="1:11" hidden="1">
      <c r="A3005" t="s">
        <v>39</v>
      </c>
      <c r="B3005" t="s">
        <v>40</v>
      </c>
      <c r="C3005" t="s">
        <v>14</v>
      </c>
      <c r="E3005" t="s">
        <v>9</v>
      </c>
      <c r="F3005" s="1" t="s">
        <v>2</v>
      </c>
      <c r="G3005" s="1">
        <v>45996</v>
      </c>
      <c r="H3005" t="s">
        <v>41</v>
      </c>
      <c r="I3005" s="2">
        <v>200.5</v>
      </c>
      <c r="J3005" s="47" t="s">
        <v>1680</v>
      </c>
      <c r="K3005" s="7">
        <v>45992</v>
      </c>
    </row>
    <row r="3006" spans="1:11" hidden="1">
      <c r="A3006" t="s">
        <v>114</v>
      </c>
      <c r="B3006" t="s">
        <v>63</v>
      </c>
      <c r="C3006" t="s">
        <v>13</v>
      </c>
      <c r="E3006" t="s">
        <v>9</v>
      </c>
      <c r="F3006" s="1" t="s">
        <v>3</v>
      </c>
      <c r="G3006" s="1">
        <v>45911</v>
      </c>
      <c r="H3006" t="s">
        <v>41</v>
      </c>
      <c r="I3006" s="2">
        <v>200.28</v>
      </c>
      <c r="J3006" t="s">
        <v>190</v>
      </c>
      <c r="K3006" s="7">
        <v>45901</v>
      </c>
    </row>
    <row r="3007" spans="1:11" hidden="1">
      <c r="A3007" t="s">
        <v>39</v>
      </c>
      <c r="B3007" t="s">
        <v>63</v>
      </c>
      <c r="C3007" t="s">
        <v>12</v>
      </c>
      <c r="D3007">
        <v>10027737</v>
      </c>
      <c r="E3007" t="s">
        <v>9</v>
      </c>
      <c r="F3007" s="1" t="s">
        <v>3</v>
      </c>
      <c r="G3007" s="1">
        <v>45938</v>
      </c>
      <c r="H3007" t="s">
        <v>41</v>
      </c>
      <c r="I3007" s="2">
        <v>200.01</v>
      </c>
      <c r="J3007" t="s">
        <v>1599</v>
      </c>
      <c r="K3007" s="7">
        <v>45931</v>
      </c>
    </row>
    <row r="3008" spans="1:11" hidden="1">
      <c r="A3008" t="s">
        <v>39</v>
      </c>
      <c r="B3008" t="s">
        <v>40</v>
      </c>
      <c r="C3008" t="s">
        <v>14</v>
      </c>
      <c r="D3008">
        <v>10026492</v>
      </c>
      <c r="E3008" t="s">
        <v>9</v>
      </c>
      <c r="F3008" s="1" t="s">
        <v>3</v>
      </c>
      <c r="G3008" s="1">
        <v>45782</v>
      </c>
      <c r="H3008" t="s">
        <v>41</v>
      </c>
      <c r="I3008" s="2">
        <v>200</v>
      </c>
      <c r="J3008" t="s">
        <v>109</v>
      </c>
      <c r="K3008" s="7">
        <v>45778</v>
      </c>
    </row>
    <row r="3009" spans="1:11" hidden="1">
      <c r="A3009" t="s">
        <v>56</v>
      </c>
      <c r="B3009" t="s">
        <v>40</v>
      </c>
      <c r="C3009" t="s">
        <v>14</v>
      </c>
      <c r="D3009">
        <v>10873</v>
      </c>
      <c r="E3009" t="s">
        <v>9</v>
      </c>
      <c r="F3009" s="1" t="s">
        <v>4</v>
      </c>
      <c r="G3009" s="1">
        <v>46042</v>
      </c>
      <c r="H3009" t="s">
        <v>41</v>
      </c>
      <c r="I3009" s="2">
        <v>3116</v>
      </c>
      <c r="J3009" t="s">
        <v>1681</v>
      </c>
      <c r="K3009" s="7">
        <v>46023</v>
      </c>
    </row>
    <row r="3010" spans="1:11" hidden="1">
      <c r="A3010" t="s">
        <v>39</v>
      </c>
      <c r="B3010" t="s">
        <v>40</v>
      </c>
      <c r="C3010" t="s">
        <v>14</v>
      </c>
      <c r="E3010" t="s">
        <v>9</v>
      </c>
      <c r="F3010" s="1" t="s">
        <v>3</v>
      </c>
      <c r="G3010" s="1">
        <v>45817</v>
      </c>
      <c r="H3010" t="s">
        <v>41</v>
      </c>
      <c r="I3010" s="2">
        <v>200</v>
      </c>
      <c r="J3010" t="s">
        <v>109</v>
      </c>
      <c r="K3010" s="7">
        <v>45809</v>
      </c>
    </row>
    <row r="3011" spans="1:11" hidden="1">
      <c r="A3011" t="s">
        <v>39</v>
      </c>
      <c r="B3011" t="s">
        <v>40</v>
      </c>
      <c r="C3011" t="s">
        <v>14</v>
      </c>
      <c r="E3011" t="s">
        <v>9</v>
      </c>
      <c r="F3011" s="1" t="s">
        <v>4</v>
      </c>
      <c r="G3011" s="1">
        <v>46042</v>
      </c>
      <c r="H3011" t="s">
        <v>41</v>
      </c>
      <c r="I3011" s="2">
        <v>1355</v>
      </c>
      <c r="J3011" s="47" t="s">
        <v>1682</v>
      </c>
      <c r="K3011" s="7">
        <v>46023</v>
      </c>
    </row>
    <row r="3012" spans="1:11" hidden="1">
      <c r="A3012" t="s">
        <v>39</v>
      </c>
      <c r="B3012" t="s">
        <v>40</v>
      </c>
      <c r="C3012" t="s">
        <v>14</v>
      </c>
      <c r="D3012">
        <v>10027170</v>
      </c>
      <c r="E3012" t="s">
        <v>9</v>
      </c>
      <c r="F3012" s="1" t="s">
        <v>5</v>
      </c>
      <c r="G3012" s="1">
        <v>45864</v>
      </c>
      <c r="H3012" t="s">
        <v>41</v>
      </c>
      <c r="I3012" s="2">
        <v>200</v>
      </c>
      <c r="J3012" t="s">
        <v>1019</v>
      </c>
      <c r="K3012" s="7">
        <v>45839</v>
      </c>
    </row>
    <row r="3013" spans="1:11" hidden="1">
      <c r="A3013" t="s">
        <v>39</v>
      </c>
      <c r="B3013" t="s">
        <v>40</v>
      </c>
      <c r="C3013" t="s">
        <v>14</v>
      </c>
      <c r="E3013" t="s">
        <v>9</v>
      </c>
      <c r="F3013" s="1" t="s">
        <v>3</v>
      </c>
      <c r="G3013" s="1">
        <v>45883</v>
      </c>
      <c r="H3013" t="s">
        <v>41</v>
      </c>
      <c r="I3013" s="2">
        <v>200</v>
      </c>
      <c r="J3013" t="s">
        <v>1683</v>
      </c>
      <c r="K3013" s="7">
        <v>45870</v>
      </c>
    </row>
    <row r="3014" spans="1:11" hidden="1">
      <c r="A3014" t="s">
        <v>39</v>
      </c>
      <c r="B3014" t="s">
        <v>45</v>
      </c>
      <c r="C3014" t="s">
        <v>14</v>
      </c>
      <c r="E3014" t="s">
        <v>9</v>
      </c>
      <c r="F3014" s="1" t="s">
        <v>5</v>
      </c>
      <c r="G3014" s="1">
        <v>45897</v>
      </c>
      <c r="H3014" t="s">
        <v>64</v>
      </c>
      <c r="I3014" s="2">
        <v>200</v>
      </c>
      <c r="J3014" t="s">
        <v>217</v>
      </c>
      <c r="K3014" s="7">
        <v>45870</v>
      </c>
    </row>
    <row r="3015" spans="1:11" hidden="1">
      <c r="A3015" t="s">
        <v>39</v>
      </c>
      <c r="B3015" t="s">
        <v>40</v>
      </c>
      <c r="C3015" t="s">
        <v>14</v>
      </c>
      <c r="D3015">
        <v>10027484</v>
      </c>
      <c r="E3015" t="s">
        <v>9</v>
      </c>
      <c r="F3015" s="1" t="s">
        <v>2</v>
      </c>
      <c r="G3015" s="1">
        <v>45903</v>
      </c>
      <c r="H3015" t="s">
        <v>64</v>
      </c>
      <c r="I3015" s="2">
        <f>102000/510</f>
        <v>200</v>
      </c>
      <c r="J3015" t="s">
        <v>1103</v>
      </c>
      <c r="K3015" s="7">
        <v>45901</v>
      </c>
    </row>
    <row r="3016" spans="1:11" hidden="1">
      <c r="A3016" t="s">
        <v>39</v>
      </c>
      <c r="B3016" t="s">
        <v>40</v>
      </c>
      <c r="C3016" t="s">
        <v>14</v>
      </c>
      <c r="D3016">
        <v>10027617</v>
      </c>
      <c r="E3016" t="s">
        <v>9</v>
      </c>
      <c r="F3016" s="1" t="s">
        <v>5</v>
      </c>
      <c r="G3016" s="1">
        <v>45924</v>
      </c>
      <c r="H3016" t="s">
        <v>41</v>
      </c>
      <c r="I3016" s="2">
        <v>200</v>
      </c>
      <c r="J3016" t="s">
        <v>1684</v>
      </c>
      <c r="K3016" s="7">
        <v>45901</v>
      </c>
    </row>
    <row r="3017" spans="1:11" hidden="1">
      <c r="A3017" t="s">
        <v>39</v>
      </c>
      <c r="B3017" t="s">
        <v>40</v>
      </c>
      <c r="C3017" t="s">
        <v>14</v>
      </c>
      <c r="D3017">
        <v>10027690</v>
      </c>
      <c r="E3017" t="s">
        <v>9</v>
      </c>
      <c r="F3017" s="1" t="s">
        <v>2</v>
      </c>
      <c r="G3017" s="1">
        <v>45931</v>
      </c>
      <c r="H3017" t="s">
        <v>41</v>
      </c>
      <c r="I3017" s="2">
        <v>200</v>
      </c>
      <c r="J3017" t="s">
        <v>1685</v>
      </c>
      <c r="K3017" s="7">
        <v>45931</v>
      </c>
    </row>
    <row r="3018" spans="1:11" hidden="1">
      <c r="A3018" t="s">
        <v>39</v>
      </c>
      <c r="B3018" t="s">
        <v>40</v>
      </c>
      <c r="C3018" t="s">
        <v>14</v>
      </c>
      <c r="D3018">
        <v>10027732</v>
      </c>
      <c r="E3018" t="s">
        <v>9</v>
      </c>
      <c r="F3018" s="1" t="s">
        <v>3</v>
      </c>
      <c r="G3018" s="1">
        <v>45939</v>
      </c>
      <c r="H3018" t="s">
        <v>41</v>
      </c>
      <c r="I3018" s="2">
        <v>200</v>
      </c>
      <c r="J3018" t="s">
        <v>1686</v>
      </c>
      <c r="K3018" s="7">
        <v>45931</v>
      </c>
    </row>
    <row r="3019" spans="1:11" hidden="1">
      <c r="A3019" t="s">
        <v>39</v>
      </c>
      <c r="B3019" t="s">
        <v>40</v>
      </c>
      <c r="C3019" t="s">
        <v>14</v>
      </c>
      <c r="E3019" t="s">
        <v>9</v>
      </c>
      <c r="F3019" s="1" t="s">
        <v>5</v>
      </c>
      <c r="G3019" s="1">
        <v>45985</v>
      </c>
      <c r="H3019" t="s">
        <v>41</v>
      </c>
      <c r="I3019" s="2">
        <v>200</v>
      </c>
      <c r="J3019" t="s">
        <v>1687</v>
      </c>
      <c r="K3019" s="7">
        <v>45962</v>
      </c>
    </row>
    <row r="3020" spans="1:11" hidden="1">
      <c r="A3020" t="s">
        <v>39</v>
      </c>
      <c r="B3020" t="s">
        <v>40</v>
      </c>
      <c r="C3020" t="s">
        <v>14</v>
      </c>
      <c r="D3020">
        <v>10028397</v>
      </c>
      <c r="E3020" t="s">
        <v>9</v>
      </c>
      <c r="F3020" s="1" t="s">
        <v>5</v>
      </c>
      <c r="G3020" s="1">
        <v>46052</v>
      </c>
      <c r="H3020" t="s">
        <v>41</v>
      </c>
      <c r="I3020" s="2">
        <v>200</v>
      </c>
      <c r="J3020" t="s">
        <v>1688</v>
      </c>
      <c r="K3020" s="7">
        <v>46023</v>
      </c>
    </row>
    <row r="3021" spans="1:11" hidden="1">
      <c r="A3021" t="s">
        <v>39</v>
      </c>
      <c r="B3021" t="s">
        <v>40</v>
      </c>
      <c r="C3021" t="s">
        <v>14</v>
      </c>
      <c r="E3021" t="s">
        <v>9</v>
      </c>
      <c r="F3021" s="1" t="s">
        <v>4</v>
      </c>
      <c r="G3021" s="1">
        <v>46042</v>
      </c>
      <c r="H3021" t="s">
        <v>64</v>
      </c>
      <c r="I3021" s="2">
        <v>712.24</v>
      </c>
      <c r="J3021" t="s">
        <v>1689</v>
      </c>
      <c r="K3021" s="7">
        <v>46023</v>
      </c>
    </row>
    <row r="3022" spans="1:11" hidden="1">
      <c r="A3022" t="s">
        <v>39</v>
      </c>
      <c r="B3022" t="s">
        <v>40</v>
      </c>
      <c r="C3022" t="s">
        <v>14</v>
      </c>
      <c r="E3022" t="s">
        <v>9</v>
      </c>
      <c r="F3022" s="1" t="s">
        <v>5</v>
      </c>
      <c r="G3022" s="1">
        <v>45925</v>
      </c>
      <c r="H3022" t="s">
        <v>41</v>
      </c>
      <c r="I3022" s="2">
        <v>199.47</v>
      </c>
      <c r="J3022" t="s">
        <v>1690</v>
      </c>
      <c r="K3022" s="7">
        <v>45901</v>
      </c>
    </row>
    <row r="3023" spans="1:11" hidden="1">
      <c r="A3023" t="s">
        <v>39</v>
      </c>
      <c r="B3023" t="s">
        <v>40</v>
      </c>
      <c r="C3023" t="s">
        <v>14</v>
      </c>
      <c r="D3023">
        <v>10026502</v>
      </c>
      <c r="E3023" t="s">
        <v>9</v>
      </c>
      <c r="F3023" t="s">
        <v>2</v>
      </c>
      <c r="G3023" s="1">
        <v>45778</v>
      </c>
      <c r="H3023" t="s">
        <v>41</v>
      </c>
      <c r="I3023" s="2">
        <v>199.46</v>
      </c>
      <c r="J3023" t="s">
        <v>1691</v>
      </c>
      <c r="K3023" s="7">
        <v>45778</v>
      </c>
    </row>
    <row r="3024" spans="1:11" hidden="1">
      <c r="A3024" t="s">
        <v>39</v>
      </c>
      <c r="B3024" t="s">
        <v>40</v>
      </c>
      <c r="C3024" t="s">
        <v>14</v>
      </c>
      <c r="D3024">
        <v>10026500</v>
      </c>
      <c r="E3024" t="s">
        <v>9</v>
      </c>
      <c r="F3024" s="1" t="s">
        <v>3</v>
      </c>
      <c r="G3024" s="1">
        <v>45782</v>
      </c>
      <c r="H3024" t="s">
        <v>41</v>
      </c>
      <c r="I3024" s="2">
        <v>199.46</v>
      </c>
      <c r="J3024" t="s">
        <v>1692</v>
      </c>
      <c r="K3024" s="7">
        <v>45778</v>
      </c>
    </row>
    <row r="3025" spans="1:11" hidden="1">
      <c r="A3025" t="s">
        <v>39</v>
      </c>
      <c r="B3025" t="s">
        <v>40</v>
      </c>
      <c r="C3025" t="s">
        <v>14</v>
      </c>
      <c r="E3025" t="s">
        <v>9</v>
      </c>
      <c r="F3025" s="1" t="s">
        <v>4</v>
      </c>
      <c r="G3025" s="1">
        <v>46042</v>
      </c>
      <c r="H3025" t="s">
        <v>41</v>
      </c>
      <c r="I3025" s="2">
        <v>657</v>
      </c>
      <c r="J3025" t="s">
        <v>1693</v>
      </c>
      <c r="K3025" s="7">
        <v>46023</v>
      </c>
    </row>
    <row r="3026" spans="1:11" hidden="1">
      <c r="A3026" t="s">
        <v>39</v>
      </c>
      <c r="B3026" t="s">
        <v>40</v>
      </c>
      <c r="C3026" t="s">
        <v>14</v>
      </c>
      <c r="E3026" t="s">
        <v>9</v>
      </c>
      <c r="F3026" s="1" t="s">
        <v>4</v>
      </c>
      <c r="G3026" s="1">
        <v>46042</v>
      </c>
      <c r="H3026" t="s">
        <v>41</v>
      </c>
      <c r="I3026" s="2">
        <v>655</v>
      </c>
      <c r="J3026" s="47" t="s">
        <v>1694</v>
      </c>
      <c r="K3026" s="7">
        <v>46023</v>
      </c>
    </row>
    <row r="3027" spans="1:11" hidden="1">
      <c r="A3027" t="s">
        <v>39</v>
      </c>
      <c r="B3027" t="s">
        <v>40</v>
      </c>
      <c r="C3027" t="s">
        <v>14</v>
      </c>
      <c r="E3027" t="s">
        <v>9</v>
      </c>
      <c r="F3027" s="1" t="s">
        <v>5</v>
      </c>
      <c r="G3027" s="1">
        <v>45893</v>
      </c>
      <c r="H3027" t="s">
        <v>64</v>
      </c>
      <c r="I3027" s="2">
        <v>199.46</v>
      </c>
      <c r="J3027" t="s">
        <v>742</v>
      </c>
      <c r="K3027" s="7">
        <v>45870</v>
      </c>
    </row>
    <row r="3028" spans="1:11" hidden="1">
      <c r="A3028" t="s">
        <v>39</v>
      </c>
      <c r="B3028" t="s">
        <v>40</v>
      </c>
      <c r="C3028" t="s">
        <v>14</v>
      </c>
      <c r="D3028">
        <v>10027030</v>
      </c>
      <c r="E3028" t="s">
        <v>9</v>
      </c>
      <c r="F3028" s="1" t="s">
        <v>3</v>
      </c>
      <c r="G3028" s="1">
        <v>45845</v>
      </c>
      <c r="H3028" t="s">
        <v>64</v>
      </c>
      <c r="I3028" s="2">
        <f>101261.15/508</f>
        <v>199.33297244094487</v>
      </c>
      <c r="J3028" t="s">
        <v>1695</v>
      </c>
      <c r="K3028" s="7">
        <v>45839</v>
      </c>
    </row>
    <row r="3029" spans="1:11" hidden="1">
      <c r="A3029" t="s">
        <v>39</v>
      </c>
      <c r="B3029" t="s">
        <v>40</v>
      </c>
      <c r="C3029" t="s">
        <v>14</v>
      </c>
      <c r="E3029" t="s">
        <v>9</v>
      </c>
      <c r="F3029" s="1" t="s">
        <v>5</v>
      </c>
      <c r="G3029" s="1">
        <v>45836</v>
      </c>
      <c r="H3029" t="s">
        <v>64</v>
      </c>
      <c r="I3029" s="2">
        <f>101147.72/508</f>
        <v>199.10968503937008</v>
      </c>
      <c r="J3029" t="s">
        <v>1696</v>
      </c>
      <c r="K3029" s="7">
        <v>45809</v>
      </c>
    </row>
    <row r="3030" spans="1:11" hidden="1">
      <c r="A3030" t="s">
        <v>39</v>
      </c>
      <c r="B3030" t="s">
        <v>40</v>
      </c>
      <c r="C3030" t="s">
        <v>14</v>
      </c>
      <c r="D3030">
        <v>10026488</v>
      </c>
      <c r="E3030" t="s">
        <v>9</v>
      </c>
      <c r="F3030" t="s">
        <v>2</v>
      </c>
      <c r="G3030" s="1">
        <v>45778</v>
      </c>
      <c r="H3030" t="s">
        <v>41</v>
      </c>
      <c r="I3030" s="2">
        <v>199</v>
      </c>
      <c r="J3030" t="s">
        <v>44</v>
      </c>
      <c r="K3030" s="7">
        <v>45778</v>
      </c>
    </row>
    <row r="3031" spans="1:11" hidden="1">
      <c r="A3031" t="s">
        <v>39</v>
      </c>
      <c r="B3031" t="s">
        <v>40</v>
      </c>
      <c r="C3031" t="s">
        <v>14</v>
      </c>
      <c r="E3031" t="s">
        <v>9</v>
      </c>
      <c r="F3031" s="1" t="s">
        <v>4</v>
      </c>
      <c r="G3031" s="1">
        <v>46042</v>
      </c>
      <c r="H3031" t="s">
        <v>41</v>
      </c>
      <c r="I3031" s="2">
        <v>571.20000000000005</v>
      </c>
      <c r="J3031" t="s">
        <v>1697</v>
      </c>
      <c r="K3031" s="7">
        <v>46023</v>
      </c>
    </row>
    <row r="3032" spans="1:11" hidden="1">
      <c r="A3032" t="s">
        <v>39</v>
      </c>
      <c r="B3032" t="s">
        <v>40</v>
      </c>
      <c r="C3032" t="s">
        <v>14</v>
      </c>
      <c r="E3032" t="s">
        <v>9</v>
      </c>
      <c r="F3032" s="1" t="s">
        <v>3</v>
      </c>
      <c r="G3032" s="1">
        <v>45939</v>
      </c>
      <c r="H3032" t="s">
        <v>41</v>
      </c>
      <c r="I3032" s="2">
        <v>199</v>
      </c>
      <c r="J3032" t="s">
        <v>1698</v>
      </c>
      <c r="K3032" s="7">
        <v>45931</v>
      </c>
    </row>
    <row r="3033" spans="1:11" hidden="1">
      <c r="A3033" t="s">
        <v>39</v>
      </c>
      <c r="B3033" t="s">
        <v>40</v>
      </c>
      <c r="C3033" t="s">
        <v>14</v>
      </c>
      <c r="E3033" t="s">
        <v>9</v>
      </c>
      <c r="F3033" s="1" t="s">
        <v>3</v>
      </c>
      <c r="G3033" s="1">
        <v>46001</v>
      </c>
      <c r="H3033" t="s">
        <v>64</v>
      </c>
      <c r="I3033" s="2">
        <f>101400/510</f>
        <v>198.8235294117647</v>
      </c>
      <c r="J3033" t="s">
        <v>1699</v>
      </c>
      <c r="K3033" s="7">
        <v>45992</v>
      </c>
    </row>
    <row r="3034" spans="1:11" hidden="1">
      <c r="A3034" t="s">
        <v>39</v>
      </c>
      <c r="B3034" t="s">
        <v>40</v>
      </c>
      <c r="C3034" t="s">
        <v>14</v>
      </c>
      <c r="D3034">
        <v>10027146</v>
      </c>
      <c r="E3034" t="s">
        <v>9</v>
      </c>
      <c r="F3034" s="1" t="s">
        <v>5</v>
      </c>
      <c r="G3034" s="1">
        <v>45861</v>
      </c>
      <c r="H3034" t="s">
        <v>64</v>
      </c>
      <c r="I3034" s="2">
        <f>100773/508</f>
        <v>198.37204724409449</v>
      </c>
      <c r="J3034" t="s">
        <v>1700</v>
      </c>
      <c r="K3034" s="7">
        <v>45839</v>
      </c>
    </row>
    <row r="3035" spans="1:11" hidden="1">
      <c r="A3035" t="s">
        <v>39</v>
      </c>
      <c r="B3035" t="s">
        <v>40</v>
      </c>
      <c r="C3035" t="s">
        <v>14</v>
      </c>
      <c r="D3035">
        <v>10027670</v>
      </c>
      <c r="E3035" t="s">
        <v>9</v>
      </c>
      <c r="F3035" s="1" t="s">
        <v>5</v>
      </c>
      <c r="G3035" s="1">
        <v>45927</v>
      </c>
      <c r="H3035" t="s">
        <v>64</v>
      </c>
      <c r="I3035" s="2">
        <f>100997.64/510</f>
        <v>198.03458823529411</v>
      </c>
      <c r="J3035" t="s">
        <v>1701</v>
      </c>
      <c r="K3035" s="7">
        <v>45901</v>
      </c>
    </row>
    <row r="3036" spans="1:11" hidden="1">
      <c r="A3036" t="s">
        <v>39</v>
      </c>
      <c r="B3036" t="s">
        <v>40</v>
      </c>
      <c r="C3036" t="s">
        <v>14</v>
      </c>
      <c r="D3036">
        <v>10027671</v>
      </c>
      <c r="E3036" t="s">
        <v>9</v>
      </c>
      <c r="F3036" s="1" t="s">
        <v>6</v>
      </c>
      <c r="G3036" s="1">
        <v>45929</v>
      </c>
      <c r="H3036" t="s">
        <v>64</v>
      </c>
      <c r="I3036" s="2">
        <f>100997.64/510</f>
        <v>198.03458823529411</v>
      </c>
      <c r="J3036" t="s">
        <v>1702</v>
      </c>
      <c r="K3036" s="7">
        <v>45901</v>
      </c>
    </row>
    <row r="3037" spans="1:11" hidden="1">
      <c r="A3037" t="s">
        <v>39</v>
      </c>
      <c r="B3037" t="s">
        <v>40</v>
      </c>
      <c r="C3037" t="s">
        <v>14</v>
      </c>
      <c r="E3037" t="s">
        <v>9</v>
      </c>
      <c r="F3037" s="1" t="s">
        <v>5</v>
      </c>
      <c r="G3037" s="1">
        <v>45897</v>
      </c>
      <c r="H3037" t="s">
        <v>41</v>
      </c>
      <c r="I3037" s="2">
        <v>197.75</v>
      </c>
      <c r="J3037" t="s">
        <v>1703</v>
      </c>
      <c r="K3037" s="7">
        <v>45870</v>
      </c>
    </row>
    <row r="3038" spans="1:11" hidden="1">
      <c r="A3038" t="s">
        <v>114</v>
      </c>
      <c r="B3038" t="s">
        <v>63</v>
      </c>
      <c r="C3038" t="s">
        <v>14</v>
      </c>
      <c r="D3038">
        <v>15319</v>
      </c>
      <c r="E3038" t="s">
        <v>9</v>
      </c>
      <c r="F3038" s="1" t="s">
        <v>4</v>
      </c>
      <c r="G3038" s="1">
        <v>46042</v>
      </c>
      <c r="H3038" t="s">
        <v>41</v>
      </c>
      <c r="I3038" s="2">
        <v>421.15</v>
      </c>
      <c r="J3038" t="s">
        <v>1704</v>
      </c>
      <c r="K3038" s="7">
        <v>46023</v>
      </c>
    </row>
    <row r="3039" spans="1:11" hidden="1">
      <c r="A3039" t="s">
        <v>39</v>
      </c>
      <c r="B3039" t="s">
        <v>40</v>
      </c>
      <c r="C3039" t="s">
        <v>14</v>
      </c>
      <c r="D3039">
        <v>10028331</v>
      </c>
      <c r="E3039" t="s">
        <v>9</v>
      </c>
      <c r="F3039" s="1" t="s">
        <v>4</v>
      </c>
      <c r="G3039" s="1">
        <v>46042</v>
      </c>
      <c r="H3039" t="s">
        <v>41</v>
      </c>
      <c r="I3039" s="2">
        <v>100</v>
      </c>
      <c r="J3039" t="s">
        <v>1705</v>
      </c>
      <c r="K3039" s="7">
        <v>46023</v>
      </c>
    </row>
    <row r="3040" spans="1:11" hidden="1">
      <c r="A3040" t="s">
        <v>114</v>
      </c>
      <c r="B3040" t="s">
        <v>63</v>
      </c>
      <c r="C3040" t="s">
        <v>14</v>
      </c>
      <c r="E3040" t="s">
        <v>9</v>
      </c>
      <c r="F3040" s="1" t="s">
        <v>5</v>
      </c>
      <c r="G3040" s="1">
        <v>46050</v>
      </c>
      <c r="H3040" t="s">
        <v>64</v>
      </c>
      <c r="I3040" s="2">
        <f>96721.02/496</f>
        <v>195.0020564516129</v>
      </c>
      <c r="J3040" t="s">
        <v>65</v>
      </c>
      <c r="K3040" s="7">
        <v>46023</v>
      </c>
    </row>
    <row r="3041" spans="1:11" hidden="1">
      <c r="A3041" t="s">
        <v>39</v>
      </c>
      <c r="B3041" t="s">
        <v>40</v>
      </c>
      <c r="C3041" t="s">
        <v>14</v>
      </c>
      <c r="E3041" t="s">
        <v>9</v>
      </c>
      <c r="F3041" s="1" t="s">
        <v>2</v>
      </c>
      <c r="G3041" s="1">
        <v>45813</v>
      </c>
      <c r="H3041" t="s">
        <v>41</v>
      </c>
      <c r="I3041" s="2">
        <v>195</v>
      </c>
      <c r="J3041" t="s">
        <v>1706</v>
      </c>
      <c r="K3041" s="7">
        <v>45809</v>
      </c>
    </row>
    <row r="3042" spans="1:11" hidden="1">
      <c r="A3042" t="s">
        <v>39</v>
      </c>
      <c r="B3042" t="s">
        <v>45</v>
      </c>
      <c r="C3042" t="s">
        <v>14</v>
      </c>
      <c r="D3042">
        <v>10028297</v>
      </c>
      <c r="E3042" t="s">
        <v>9</v>
      </c>
      <c r="F3042" s="1" t="s">
        <v>3</v>
      </c>
      <c r="G3042" s="1">
        <v>46038</v>
      </c>
      <c r="H3042" t="s">
        <v>41</v>
      </c>
      <c r="I3042" s="2">
        <v>194.11</v>
      </c>
      <c r="J3042" t="s">
        <v>1138</v>
      </c>
      <c r="K3042" s="7">
        <v>46023</v>
      </c>
    </row>
    <row r="3043" spans="1:11" hidden="1">
      <c r="A3043" t="s">
        <v>39</v>
      </c>
      <c r="B3043" t="s">
        <v>40</v>
      </c>
      <c r="C3043" t="s">
        <v>14</v>
      </c>
      <c r="E3043" t="s">
        <v>9</v>
      </c>
      <c r="F3043" s="1" t="s">
        <v>4</v>
      </c>
      <c r="G3043" s="1">
        <v>46043</v>
      </c>
      <c r="H3043" t="s">
        <v>41</v>
      </c>
      <c r="I3043" s="2">
        <v>2800</v>
      </c>
      <c r="J3043" t="s">
        <v>852</v>
      </c>
      <c r="K3043" s="7">
        <v>46023</v>
      </c>
    </row>
    <row r="3044" spans="1:11" hidden="1">
      <c r="A3044" t="s">
        <v>39</v>
      </c>
      <c r="B3044" t="s">
        <v>40</v>
      </c>
      <c r="C3044" t="s">
        <v>14</v>
      </c>
      <c r="D3044">
        <v>10027612</v>
      </c>
      <c r="E3044" t="s">
        <v>9</v>
      </c>
      <c r="F3044" s="1" t="s">
        <v>5</v>
      </c>
      <c r="G3044" s="1">
        <v>45923</v>
      </c>
      <c r="H3044" t="s">
        <v>41</v>
      </c>
      <c r="I3044" s="2">
        <v>192.66</v>
      </c>
      <c r="J3044" t="s">
        <v>943</v>
      </c>
      <c r="K3044" s="7">
        <v>45901</v>
      </c>
    </row>
    <row r="3045" spans="1:11" hidden="1">
      <c r="A3045" t="s">
        <v>39</v>
      </c>
      <c r="B3045" t="s">
        <v>63</v>
      </c>
      <c r="C3045" t="s">
        <v>14</v>
      </c>
      <c r="E3045" t="s">
        <v>9</v>
      </c>
      <c r="F3045" s="1" t="s">
        <v>2</v>
      </c>
      <c r="G3045" s="1">
        <v>45903</v>
      </c>
      <c r="H3045" t="s">
        <v>41</v>
      </c>
      <c r="I3045" s="2">
        <v>187.89</v>
      </c>
      <c r="J3045" t="s">
        <v>1707</v>
      </c>
      <c r="K3045" s="7">
        <v>45901</v>
      </c>
    </row>
    <row r="3046" spans="1:11">
      <c r="A3046" t="s">
        <v>39</v>
      </c>
      <c r="B3046" t="s">
        <v>47</v>
      </c>
      <c r="C3046" t="s">
        <v>12</v>
      </c>
      <c r="E3046" t="s">
        <v>9</v>
      </c>
      <c r="F3046" s="1" t="s">
        <v>3</v>
      </c>
      <c r="G3046" s="1">
        <v>46066</v>
      </c>
      <c r="H3046" t="s">
        <v>41</v>
      </c>
      <c r="I3046" s="2">
        <v>969.45</v>
      </c>
      <c r="J3046" s="47" t="s">
        <v>1708</v>
      </c>
      <c r="K3046" s="7">
        <v>46054</v>
      </c>
    </row>
    <row r="3047" spans="1:11" hidden="1">
      <c r="A3047" t="s">
        <v>39</v>
      </c>
      <c r="B3047" t="s">
        <v>45</v>
      </c>
      <c r="C3047" t="s">
        <v>14</v>
      </c>
      <c r="E3047" t="s">
        <v>9</v>
      </c>
      <c r="F3047" s="1" t="s">
        <v>3</v>
      </c>
      <c r="G3047" s="1">
        <v>45971</v>
      </c>
      <c r="H3047" t="s">
        <v>41</v>
      </c>
      <c r="I3047" s="2">
        <v>182.38</v>
      </c>
      <c r="J3047" t="s">
        <v>213</v>
      </c>
      <c r="K3047" s="7">
        <v>45962</v>
      </c>
    </row>
    <row r="3048" spans="1:11" hidden="1">
      <c r="A3048" t="s">
        <v>39</v>
      </c>
      <c r="B3048" t="s">
        <v>63</v>
      </c>
      <c r="C3048" t="s">
        <v>12</v>
      </c>
      <c r="E3048" t="s">
        <v>9</v>
      </c>
      <c r="F3048" s="1" t="s">
        <v>3</v>
      </c>
      <c r="G3048" s="1">
        <v>46066</v>
      </c>
      <c r="H3048" t="s">
        <v>41</v>
      </c>
      <c r="I3048" s="2">
        <v>261</v>
      </c>
      <c r="J3048" s="47" t="s">
        <v>1709</v>
      </c>
      <c r="K3048" s="7">
        <v>46054</v>
      </c>
    </row>
    <row r="3049" spans="1:11" hidden="1">
      <c r="A3049" t="s">
        <v>39</v>
      </c>
      <c r="B3049" t="s">
        <v>40</v>
      </c>
      <c r="C3049" t="s">
        <v>14</v>
      </c>
      <c r="D3049">
        <v>10027025</v>
      </c>
      <c r="E3049" t="s">
        <v>9</v>
      </c>
      <c r="F3049" s="1" t="s">
        <v>3</v>
      </c>
      <c r="G3049" s="1">
        <v>45846</v>
      </c>
      <c r="H3049" t="s">
        <v>41</v>
      </c>
      <c r="I3049" s="2">
        <v>180</v>
      </c>
      <c r="J3049" t="s">
        <v>1710</v>
      </c>
      <c r="K3049" s="7">
        <v>45839</v>
      </c>
    </row>
    <row r="3050" spans="1:11" hidden="1">
      <c r="A3050" t="s">
        <v>39</v>
      </c>
      <c r="B3050" t="s">
        <v>40</v>
      </c>
      <c r="C3050" t="s">
        <v>14</v>
      </c>
      <c r="E3050" t="s">
        <v>9</v>
      </c>
      <c r="F3050" s="1" t="s">
        <v>3</v>
      </c>
      <c r="G3050" s="1">
        <v>45936</v>
      </c>
      <c r="H3050" t="s">
        <v>41</v>
      </c>
      <c r="I3050" s="2">
        <v>175</v>
      </c>
      <c r="J3050" s="47" t="s">
        <v>1646</v>
      </c>
      <c r="K3050" s="7">
        <v>45931</v>
      </c>
    </row>
    <row r="3051" spans="1:11" hidden="1">
      <c r="A3051" t="s">
        <v>39</v>
      </c>
      <c r="B3051" t="s">
        <v>45</v>
      </c>
      <c r="C3051" t="s">
        <v>14</v>
      </c>
      <c r="E3051" t="s">
        <v>9</v>
      </c>
      <c r="F3051" s="1" t="s">
        <v>2</v>
      </c>
      <c r="G3051" s="1">
        <v>45904</v>
      </c>
      <c r="H3051" t="s">
        <v>41</v>
      </c>
      <c r="I3051" s="2">
        <v>174.92</v>
      </c>
      <c r="J3051" t="s">
        <v>1711</v>
      </c>
      <c r="K3051" s="7">
        <v>45901</v>
      </c>
    </row>
    <row r="3052" spans="1:11" hidden="1">
      <c r="A3052" t="s">
        <v>39</v>
      </c>
      <c r="B3052" t="s">
        <v>40</v>
      </c>
      <c r="C3052" t="s">
        <v>14</v>
      </c>
      <c r="E3052" t="s">
        <v>9</v>
      </c>
      <c r="F3052" s="1" t="s">
        <v>3</v>
      </c>
      <c r="G3052" s="1">
        <v>46000</v>
      </c>
      <c r="H3052" t="s">
        <v>41</v>
      </c>
      <c r="I3052" s="2">
        <v>173</v>
      </c>
      <c r="J3052" t="s">
        <v>1712</v>
      </c>
      <c r="K3052" s="7">
        <v>45992</v>
      </c>
    </row>
    <row r="3053" spans="1:11" hidden="1">
      <c r="A3053" t="s">
        <v>39</v>
      </c>
      <c r="B3053" t="s">
        <v>40</v>
      </c>
      <c r="C3053" t="s">
        <v>14</v>
      </c>
      <c r="E3053" t="s">
        <v>9</v>
      </c>
      <c r="F3053" s="1" t="s">
        <v>5</v>
      </c>
      <c r="G3053" s="1">
        <v>45894</v>
      </c>
      <c r="H3053" t="s">
        <v>64</v>
      </c>
      <c r="I3053" s="2">
        <v>171.62</v>
      </c>
      <c r="J3053" t="s">
        <v>1713</v>
      </c>
      <c r="K3053" s="7">
        <v>45870</v>
      </c>
    </row>
    <row r="3054" spans="1:11" hidden="1">
      <c r="A3054" t="s">
        <v>39</v>
      </c>
      <c r="B3054" t="s">
        <v>40</v>
      </c>
      <c r="C3054" t="s">
        <v>14</v>
      </c>
      <c r="E3054" t="s">
        <v>9</v>
      </c>
      <c r="F3054" s="1" t="s">
        <v>4</v>
      </c>
      <c r="G3054" s="1">
        <v>46043</v>
      </c>
      <c r="H3054" t="s">
        <v>41</v>
      </c>
      <c r="I3054" s="2">
        <v>2725.2</v>
      </c>
      <c r="J3054" t="s">
        <v>1714</v>
      </c>
      <c r="K3054" s="7">
        <v>46023</v>
      </c>
    </row>
    <row r="3055" spans="1:11" hidden="1">
      <c r="A3055" t="s">
        <v>39</v>
      </c>
      <c r="B3055" t="s">
        <v>47</v>
      </c>
      <c r="C3055" t="s">
        <v>14</v>
      </c>
      <c r="E3055" t="s">
        <v>9</v>
      </c>
      <c r="F3055" s="1" t="s">
        <v>4</v>
      </c>
      <c r="G3055" s="1">
        <v>46043</v>
      </c>
      <c r="H3055" t="s">
        <v>41</v>
      </c>
      <c r="I3055" s="2">
        <v>2637.45</v>
      </c>
      <c r="J3055" t="s">
        <v>1715</v>
      </c>
      <c r="K3055" s="7">
        <v>46023</v>
      </c>
    </row>
    <row r="3056" spans="1:11" hidden="1">
      <c r="A3056" t="s">
        <v>39</v>
      </c>
      <c r="B3056" t="s">
        <v>40</v>
      </c>
      <c r="C3056" t="s">
        <v>14</v>
      </c>
      <c r="E3056" t="s">
        <v>9</v>
      </c>
      <c r="F3056" s="1" t="s">
        <v>3</v>
      </c>
      <c r="G3056" s="1">
        <v>45881</v>
      </c>
      <c r="H3056" t="s">
        <v>41</v>
      </c>
      <c r="I3056" s="2">
        <v>169.5</v>
      </c>
      <c r="J3056" t="s">
        <v>1716</v>
      </c>
      <c r="K3056" s="7">
        <v>45870</v>
      </c>
    </row>
    <row r="3057" spans="1:11" hidden="1">
      <c r="A3057" t="s">
        <v>39</v>
      </c>
      <c r="B3057" t="s">
        <v>63</v>
      </c>
      <c r="C3057" t="s">
        <v>14</v>
      </c>
      <c r="E3057" t="s">
        <v>9</v>
      </c>
      <c r="F3057" s="1" t="s">
        <v>3</v>
      </c>
      <c r="G3057" s="1">
        <v>45910</v>
      </c>
      <c r="H3057" t="s">
        <v>41</v>
      </c>
      <c r="I3057" s="2">
        <v>165</v>
      </c>
      <c r="J3057" t="s">
        <v>1717</v>
      </c>
      <c r="K3057" s="7">
        <v>45901</v>
      </c>
    </row>
    <row r="3058" spans="1:11" hidden="1">
      <c r="A3058" t="s">
        <v>39</v>
      </c>
      <c r="B3058" t="s">
        <v>40</v>
      </c>
      <c r="C3058" t="s">
        <v>14</v>
      </c>
      <c r="E3058" t="s">
        <v>9</v>
      </c>
      <c r="F3058" s="1" t="s">
        <v>3</v>
      </c>
      <c r="G3058" s="1">
        <v>45819</v>
      </c>
      <c r="H3058" t="s">
        <v>41</v>
      </c>
      <c r="I3058" s="2">
        <v>164.5</v>
      </c>
      <c r="J3058" t="s">
        <v>1718</v>
      </c>
      <c r="K3058" s="7">
        <v>45809</v>
      </c>
    </row>
    <row r="3059" spans="1:11" hidden="1">
      <c r="A3059" t="s">
        <v>39</v>
      </c>
      <c r="B3059" t="s">
        <v>40</v>
      </c>
      <c r="C3059" t="s">
        <v>14</v>
      </c>
      <c r="E3059" t="s">
        <v>9</v>
      </c>
      <c r="F3059" s="1" t="s">
        <v>4</v>
      </c>
      <c r="G3059" s="1">
        <v>46043</v>
      </c>
      <c r="H3059" t="s">
        <v>41</v>
      </c>
      <c r="I3059" s="2">
        <v>2436.4</v>
      </c>
      <c r="J3059" t="s">
        <v>1719</v>
      </c>
      <c r="K3059" s="7">
        <v>46023</v>
      </c>
    </row>
    <row r="3060" spans="1:11" hidden="1">
      <c r="A3060" t="s">
        <v>39</v>
      </c>
      <c r="B3060" t="s">
        <v>40</v>
      </c>
      <c r="C3060" t="s">
        <v>14</v>
      </c>
      <c r="E3060" t="s">
        <v>9</v>
      </c>
      <c r="F3060" s="1" t="s">
        <v>5</v>
      </c>
      <c r="G3060" s="1">
        <v>45797</v>
      </c>
      <c r="H3060" t="s">
        <v>41</v>
      </c>
      <c r="I3060" s="2">
        <v>163.80000000000001</v>
      </c>
      <c r="J3060" t="s">
        <v>808</v>
      </c>
      <c r="K3060" s="7">
        <v>45778</v>
      </c>
    </row>
    <row r="3061" spans="1:11" hidden="1">
      <c r="A3061" t="s">
        <v>114</v>
      </c>
      <c r="B3061" t="s">
        <v>63</v>
      </c>
      <c r="C3061" t="s">
        <v>14</v>
      </c>
      <c r="E3061" t="s">
        <v>9</v>
      </c>
      <c r="F3061" s="1" t="s">
        <v>3</v>
      </c>
      <c r="G3061" s="1">
        <v>46066</v>
      </c>
      <c r="H3061" t="s">
        <v>64</v>
      </c>
      <c r="I3061" s="2">
        <f>91330/496</f>
        <v>184.13306451612902</v>
      </c>
      <c r="J3061" s="47" t="s">
        <v>283</v>
      </c>
      <c r="K3061" s="7">
        <v>46054</v>
      </c>
    </row>
    <row r="3062" spans="1:11" hidden="1">
      <c r="A3062" t="s">
        <v>99</v>
      </c>
      <c r="B3062" t="s">
        <v>63</v>
      </c>
      <c r="C3062" t="s">
        <v>14</v>
      </c>
      <c r="E3062" t="s">
        <v>9</v>
      </c>
      <c r="F3062" s="1" t="s">
        <v>3</v>
      </c>
      <c r="G3062" s="1">
        <v>46067</v>
      </c>
      <c r="H3062" t="s">
        <v>41</v>
      </c>
      <c r="I3062" s="2">
        <v>14449.73</v>
      </c>
      <c r="J3062" t="s">
        <v>499</v>
      </c>
      <c r="K3062" s="7">
        <v>46054</v>
      </c>
    </row>
    <row r="3063" spans="1:11" hidden="1">
      <c r="A3063" t="s">
        <v>39</v>
      </c>
      <c r="B3063" t="s">
        <v>40</v>
      </c>
      <c r="C3063" t="s">
        <v>14</v>
      </c>
      <c r="E3063" t="s">
        <v>9</v>
      </c>
      <c r="F3063" s="1" t="s">
        <v>5</v>
      </c>
      <c r="G3063" s="1">
        <v>46049</v>
      </c>
      <c r="H3063" t="s">
        <v>41</v>
      </c>
      <c r="I3063" s="2">
        <v>160.18</v>
      </c>
      <c r="J3063" t="s">
        <v>1720</v>
      </c>
      <c r="K3063" s="7">
        <v>46023</v>
      </c>
    </row>
    <row r="3064" spans="1:11" hidden="1">
      <c r="A3064" t="s">
        <v>39</v>
      </c>
      <c r="B3064" t="s">
        <v>45</v>
      </c>
      <c r="C3064" t="s">
        <v>14</v>
      </c>
      <c r="E3064" t="s">
        <v>9</v>
      </c>
      <c r="F3064" s="1" t="s">
        <v>2</v>
      </c>
      <c r="G3064" s="1">
        <v>45877</v>
      </c>
      <c r="H3064" t="s">
        <v>41</v>
      </c>
      <c r="I3064" s="2">
        <v>158.16</v>
      </c>
      <c r="J3064" t="s">
        <v>1289</v>
      </c>
      <c r="K3064" s="7">
        <v>45870</v>
      </c>
    </row>
    <row r="3065" spans="1:11" hidden="1">
      <c r="A3065" t="s">
        <v>39</v>
      </c>
      <c r="B3065" t="s">
        <v>40</v>
      </c>
      <c r="C3065" t="s">
        <v>14</v>
      </c>
      <c r="E3065" t="s">
        <v>9</v>
      </c>
      <c r="F3065" s="1" t="s">
        <v>5</v>
      </c>
      <c r="G3065" s="1">
        <v>46051</v>
      </c>
      <c r="H3065" t="s">
        <v>41</v>
      </c>
      <c r="I3065" s="2">
        <v>158</v>
      </c>
      <c r="J3065" t="s">
        <v>1721</v>
      </c>
      <c r="K3065" s="7">
        <v>46023</v>
      </c>
    </row>
    <row r="3066" spans="1:11" hidden="1">
      <c r="A3066" t="s">
        <v>39</v>
      </c>
      <c r="B3066" t="s">
        <v>40</v>
      </c>
      <c r="C3066" t="s">
        <v>14</v>
      </c>
      <c r="E3066" t="s">
        <v>9</v>
      </c>
      <c r="F3066" s="1" t="s">
        <v>4</v>
      </c>
      <c r="G3066" s="1">
        <v>46043</v>
      </c>
      <c r="H3066" t="s">
        <v>41</v>
      </c>
      <c r="I3066" s="2">
        <v>2271</v>
      </c>
      <c r="J3066" t="s">
        <v>210</v>
      </c>
      <c r="K3066" s="7">
        <v>46023</v>
      </c>
    </row>
    <row r="3067" spans="1:11" hidden="1">
      <c r="A3067" t="s">
        <v>39</v>
      </c>
      <c r="B3067" t="s">
        <v>40</v>
      </c>
      <c r="C3067" t="s">
        <v>14</v>
      </c>
      <c r="D3067">
        <v>10027367</v>
      </c>
      <c r="E3067" t="s">
        <v>9</v>
      </c>
      <c r="F3067" s="1" t="s">
        <v>5</v>
      </c>
      <c r="G3067" s="1">
        <v>45892</v>
      </c>
      <c r="H3067" t="s">
        <v>41</v>
      </c>
      <c r="I3067" s="2">
        <v>150.5</v>
      </c>
      <c r="J3067" t="s">
        <v>1722</v>
      </c>
      <c r="K3067" s="7">
        <v>45870</v>
      </c>
    </row>
    <row r="3068" spans="1:11" hidden="1">
      <c r="A3068" t="s">
        <v>39</v>
      </c>
      <c r="B3068" t="s">
        <v>40</v>
      </c>
      <c r="C3068" t="s">
        <v>14</v>
      </c>
      <c r="E3068" t="s">
        <v>9</v>
      </c>
      <c r="F3068" s="1" t="s">
        <v>3</v>
      </c>
      <c r="G3068" s="1">
        <v>46038</v>
      </c>
      <c r="H3068" t="s">
        <v>41</v>
      </c>
      <c r="I3068" s="2">
        <v>150.5</v>
      </c>
      <c r="J3068" t="s">
        <v>1723</v>
      </c>
      <c r="K3068" s="7">
        <v>46023</v>
      </c>
    </row>
    <row r="3069" spans="1:11" hidden="1">
      <c r="A3069" t="s">
        <v>39</v>
      </c>
      <c r="B3069" t="s">
        <v>40</v>
      </c>
      <c r="C3069" t="s">
        <v>14</v>
      </c>
      <c r="E3069" t="s">
        <v>9</v>
      </c>
      <c r="F3069" s="1" t="s">
        <v>2</v>
      </c>
      <c r="G3069" s="1">
        <v>45813</v>
      </c>
      <c r="H3069" t="s">
        <v>41</v>
      </c>
      <c r="I3069" s="2">
        <v>150</v>
      </c>
      <c r="J3069" t="s">
        <v>1127</v>
      </c>
      <c r="K3069" s="7">
        <v>45809</v>
      </c>
    </row>
    <row r="3070" spans="1:11" hidden="1">
      <c r="A3070" t="s">
        <v>39</v>
      </c>
      <c r="B3070" t="s">
        <v>40</v>
      </c>
      <c r="C3070" t="s">
        <v>14</v>
      </c>
      <c r="E3070" t="s">
        <v>9</v>
      </c>
      <c r="F3070" s="1" t="s">
        <v>4</v>
      </c>
      <c r="G3070" s="1">
        <v>46043</v>
      </c>
      <c r="H3070" t="s">
        <v>41</v>
      </c>
      <c r="I3070" s="2">
        <v>1355</v>
      </c>
      <c r="J3070" t="s">
        <v>1724</v>
      </c>
      <c r="K3070" s="7">
        <v>46023</v>
      </c>
    </row>
    <row r="3071" spans="1:11" hidden="1">
      <c r="A3071" t="s">
        <v>39</v>
      </c>
      <c r="B3071" t="s">
        <v>47</v>
      </c>
      <c r="C3071" t="s">
        <v>14</v>
      </c>
      <c r="E3071" t="s">
        <v>9</v>
      </c>
      <c r="F3071" s="1" t="s">
        <v>4</v>
      </c>
      <c r="G3071" s="1">
        <v>46043</v>
      </c>
      <c r="H3071" t="s">
        <v>64</v>
      </c>
      <c r="I3071" s="2">
        <f>490812.35/496</f>
        <v>989.54102822580637</v>
      </c>
      <c r="J3071" s="47" t="s">
        <v>1725</v>
      </c>
      <c r="K3071" s="7">
        <v>46023</v>
      </c>
    </row>
    <row r="3072" spans="1:11" hidden="1">
      <c r="A3072" t="s">
        <v>39</v>
      </c>
      <c r="B3072" t="s">
        <v>40</v>
      </c>
      <c r="C3072" t="s">
        <v>14</v>
      </c>
      <c r="E3072" t="s">
        <v>9</v>
      </c>
      <c r="F3072" s="1" t="s">
        <v>5</v>
      </c>
      <c r="G3072" s="1">
        <v>45828</v>
      </c>
      <c r="H3072" t="s">
        <v>41</v>
      </c>
      <c r="I3072" s="2">
        <v>150</v>
      </c>
      <c r="J3072" t="s">
        <v>1726</v>
      </c>
      <c r="K3072" s="7">
        <v>45809</v>
      </c>
    </row>
    <row r="3073" spans="1:11" hidden="1">
      <c r="A3073" t="s">
        <v>39</v>
      </c>
      <c r="B3073" t="s">
        <v>40</v>
      </c>
      <c r="C3073" t="s">
        <v>14</v>
      </c>
      <c r="D3073">
        <v>10027018</v>
      </c>
      <c r="E3073" t="s">
        <v>9</v>
      </c>
      <c r="F3073" s="1" t="s">
        <v>3</v>
      </c>
      <c r="G3073" s="1">
        <v>45845</v>
      </c>
      <c r="H3073" t="s">
        <v>41</v>
      </c>
      <c r="I3073" s="2">
        <v>150</v>
      </c>
      <c r="J3073" t="s">
        <v>1639</v>
      </c>
      <c r="K3073" s="7">
        <v>45839</v>
      </c>
    </row>
    <row r="3074" spans="1:11" hidden="1">
      <c r="A3074" t="s">
        <v>39</v>
      </c>
      <c r="B3074" t="s">
        <v>47</v>
      </c>
      <c r="C3074" t="s">
        <v>14</v>
      </c>
      <c r="E3074" t="s">
        <v>9</v>
      </c>
      <c r="F3074" s="1" t="s">
        <v>4</v>
      </c>
      <c r="G3074" s="1">
        <v>46043</v>
      </c>
      <c r="H3074" t="s">
        <v>41</v>
      </c>
      <c r="I3074" s="2">
        <v>405.54</v>
      </c>
      <c r="J3074" t="s">
        <v>1033</v>
      </c>
      <c r="K3074" s="7">
        <v>46023</v>
      </c>
    </row>
    <row r="3075" spans="1:11" hidden="1">
      <c r="A3075" t="s">
        <v>39</v>
      </c>
      <c r="B3075" t="s">
        <v>40</v>
      </c>
      <c r="C3075" t="s">
        <v>14</v>
      </c>
      <c r="D3075">
        <v>10027189</v>
      </c>
      <c r="E3075" t="s">
        <v>9</v>
      </c>
      <c r="F3075" s="1" t="s">
        <v>5</v>
      </c>
      <c r="G3075" s="1">
        <v>45861</v>
      </c>
      <c r="H3075" t="s">
        <v>41</v>
      </c>
      <c r="I3075" s="2">
        <v>150</v>
      </c>
      <c r="J3075" t="s">
        <v>1597</v>
      </c>
      <c r="K3075" s="7">
        <v>45839</v>
      </c>
    </row>
    <row r="3076" spans="1:11" hidden="1">
      <c r="A3076" t="s">
        <v>39</v>
      </c>
      <c r="B3076" t="s">
        <v>40</v>
      </c>
      <c r="C3076" t="s">
        <v>14</v>
      </c>
      <c r="D3076">
        <v>10027295</v>
      </c>
      <c r="E3076" t="s">
        <v>9</v>
      </c>
      <c r="F3076" s="1" t="s">
        <v>3</v>
      </c>
      <c r="G3076" s="1">
        <v>45875</v>
      </c>
      <c r="H3076" t="s">
        <v>41</v>
      </c>
      <c r="I3076" s="2">
        <v>150</v>
      </c>
      <c r="J3076" t="s">
        <v>1636</v>
      </c>
      <c r="K3076" s="7">
        <v>45870</v>
      </c>
    </row>
    <row r="3077" spans="1:11" hidden="1">
      <c r="A3077" t="s">
        <v>39</v>
      </c>
      <c r="B3077" t="s">
        <v>40</v>
      </c>
      <c r="C3077" t="s">
        <v>14</v>
      </c>
      <c r="E3077" t="s">
        <v>9</v>
      </c>
      <c r="F3077" s="1" t="s">
        <v>4</v>
      </c>
      <c r="G3077" s="1">
        <v>46043</v>
      </c>
      <c r="H3077" t="s">
        <v>41</v>
      </c>
      <c r="I3077" s="2">
        <v>400</v>
      </c>
      <c r="J3077" s="47" t="s">
        <v>1727</v>
      </c>
      <c r="K3077" s="7">
        <v>46023</v>
      </c>
    </row>
    <row r="3078" spans="1:11" hidden="1">
      <c r="A3078" t="s">
        <v>39</v>
      </c>
      <c r="B3078" t="s">
        <v>40</v>
      </c>
      <c r="C3078" t="s">
        <v>14</v>
      </c>
      <c r="D3078">
        <v>10027438</v>
      </c>
      <c r="E3078" t="s">
        <v>9</v>
      </c>
      <c r="F3078" s="1" t="s">
        <v>2</v>
      </c>
      <c r="G3078" s="1">
        <v>45901</v>
      </c>
      <c r="H3078" t="s">
        <v>41</v>
      </c>
      <c r="I3078" s="2">
        <v>150</v>
      </c>
      <c r="J3078" t="s">
        <v>1728</v>
      </c>
      <c r="K3078" s="7">
        <v>45901</v>
      </c>
    </row>
    <row r="3079" spans="1:11" hidden="1">
      <c r="A3079" t="s">
        <v>39</v>
      </c>
      <c r="B3079" t="s">
        <v>40</v>
      </c>
      <c r="C3079" t="s">
        <v>14</v>
      </c>
      <c r="E3079" t="s">
        <v>9</v>
      </c>
      <c r="F3079" s="1" t="s">
        <v>2</v>
      </c>
      <c r="G3079" s="1">
        <v>45902</v>
      </c>
      <c r="H3079" t="s">
        <v>41</v>
      </c>
      <c r="I3079" s="2">
        <v>150</v>
      </c>
      <c r="J3079" t="s">
        <v>1729</v>
      </c>
      <c r="K3079" s="7">
        <v>45901</v>
      </c>
    </row>
    <row r="3080" spans="1:11" hidden="1">
      <c r="A3080" t="s">
        <v>39</v>
      </c>
      <c r="B3080" t="s">
        <v>40</v>
      </c>
      <c r="C3080" t="s">
        <v>14</v>
      </c>
      <c r="D3080">
        <v>10027627</v>
      </c>
      <c r="E3080" t="s">
        <v>9</v>
      </c>
      <c r="F3080" s="1" t="s">
        <v>5</v>
      </c>
      <c r="G3080" s="1">
        <v>45926</v>
      </c>
      <c r="H3080" t="s">
        <v>41</v>
      </c>
      <c r="I3080" s="2">
        <v>150</v>
      </c>
      <c r="J3080" t="s">
        <v>1270</v>
      </c>
      <c r="K3080" s="7">
        <v>45901</v>
      </c>
    </row>
    <row r="3081" spans="1:11" hidden="1">
      <c r="A3081" t="s">
        <v>39</v>
      </c>
      <c r="B3081" t="s">
        <v>40</v>
      </c>
      <c r="C3081" t="s">
        <v>14</v>
      </c>
      <c r="D3081">
        <v>10027897</v>
      </c>
      <c r="E3081" t="s">
        <v>9</v>
      </c>
      <c r="F3081" s="1" t="s">
        <v>2</v>
      </c>
      <c r="G3081" s="1">
        <v>45965</v>
      </c>
      <c r="H3081" t="s">
        <v>41</v>
      </c>
      <c r="I3081" s="2">
        <v>150</v>
      </c>
      <c r="J3081" t="s">
        <v>1730</v>
      </c>
      <c r="K3081" s="7">
        <v>45962</v>
      </c>
    </row>
    <row r="3082" spans="1:11" hidden="1">
      <c r="A3082" t="s">
        <v>39</v>
      </c>
      <c r="B3082" t="s">
        <v>40</v>
      </c>
      <c r="C3082" t="s">
        <v>14</v>
      </c>
      <c r="E3082" t="s">
        <v>9</v>
      </c>
      <c r="F3082" s="1" t="s">
        <v>4</v>
      </c>
      <c r="G3082" s="1">
        <v>46043</v>
      </c>
      <c r="H3082" t="s">
        <v>41</v>
      </c>
      <c r="I3082" s="2">
        <v>242.52</v>
      </c>
      <c r="J3082" s="47" t="s">
        <v>1731</v>
      </c>
      <c r="K3082" s="7">
        <v>46023</v>
      </c>
    </row>
    <row r="3083" spans="1:11" hidden="1">
      <c r="A3083" t="s">
        <v>39</v>
      </c>
      <c r="B3083" t="s">
        <v>40</v>
      </c>
      <c r="C3083" t="s">
        <v>14</v>
      </c>
      <c r="E3083" t="s">
        <v>9</v>
      </c>
      <c r="F3083" s="1" t="s">
        <v>5</v>
      </c>
      <c r="G3083" s="1">
        <v>45986</v>
      </c>
      <c r="H3083" t="s">
        <v>41</v>
      </c>
      <c r="I3083" s="2">
        <v>150</v>
      </c>
      <c r="J3083" t="s">
        <v>1732</v>
      </c>
      <c r="K3083" s="7">
        <v>45962</v>
      </c>
    </row>
    <row r="3084" spans="1:11" hidden="1">
      <c r="A3084" t="s">
        <v>39</v>
      </c>
      <c r="B3084" t="s">
        <v>40</v>
      </c>
      <c r="C3084" t="s">
        <v>14</v>
      </c>
      <c r="E3084" t="s">
        <v>9</v>
      </c>
      <c r="F3084" s="1" t="s">
        <v>2</v>
      </c>
      <c r="G3084" s="1">
        <v>45996</v>
      </c>
      <c r="H3084" t="s">
        <v>41</v>
      </c>
      <c r="I3084" s="2">
        <v>150</v>
      </c>
      <c r="J3084" s="47" t="s">
        <v>1733</v>
      </c>
      <c r="K3084" s="7">
        <v>45992</v>
      </c>
    </row>
    <row r="3085" spans="1:11" hidden="1">
      <c r="A3085" t="s">
        <v>39</v>
      </c>
      <c r="B3085" t="s">
        <v>40</v>
      </c>
      <c r="C3085" t="s">
        <v>14</v>
      </c>
      <c r="E3085" t="s">
        <v>9</v>
      </c>
      <c r="F3085" s="1" t="s">
        <v>2</v>
      </c>
      <c r="G3085" s="1">
        <v>45996</v>
      </c>
      <c r="H3085" t="s">
        <v>41</v>
      </c>
      <c r="I3085" s="2">
        <v>150</v>
      </c>
      <c r="J3085" t="s">
        <v>1734</v>
      </c>
      <c r="K3085" s="7">
        <v>45992</v>
      </c>
    </row>
    <row r="3086" spans="1:11" hidden="1">
      <c r="A3086" t="s">
        <v>39</v>
      </c>
      <c r="B3086" t="s">
        <v>40</v>
      </c>
      <c r="C3086" t="s">
        <v>14</v>
      </c>
      <c r="E3086" t="s">
        <v>9</v>
      </c>
      <c r="F3086" s="1" t="s">
        <v>3</v>
      </c>
      <c r="G3086" s="1">
        <v>45999</v>
      </c>
      <c r="H3086" t="s">
        <v>41</v>
      </c>
      <c r="I3086" s="2">
        <v>150</v>
      </c>
      <c r="J3086" s="47" t="s">
        <v>1733</v>
      </c>
      <c r="K3086" s="7">
        <v>45992</v>
      </c>
    </row>
    <row r="3087" spans="1:11" hidden="1">
      <c r="A3087" t="s">
        <v>39</v>
      </c>
      <c r="B3087" t="s">
        <v>40</v>
      </c>
      <c r="C3087" t="s">
        <v>14</v>
      </c>
      <c r="E3087" t="s">
        <v>9</v>
      </c>
      <c r="F3087" s="1" t="s">
        <v>3</v>
      </c>
      <c r="G3087" s="1">
        <v>46000</v>
      </c>
      <c r="H3087" t="s">
        <v>41</v>
      </c>
      <c r="I3087" s="2">
        <v>150</v>
      </c>
      <c r="J3087" s="47" t="s">
        <v>1735</v>
      </c>
      <c r="K3087" s="7">
        <v>45992</v>
      </c>
    </row>
    <row r="3088" spans="1:11" hidden="1">
      <c r="A3088" t="s">
        <v>39</v>
      </c>
      <c r="B3088" t="s">
        <v>40</v>
      </c>
      <c r="C3088" t="s">
        <v>14</v>
      </c>
      <c r="D3088">
        <v>10028325</v>
      </c>
      <c r="E3088" t="s">
        <v>9</v>
      </c>
      <c r="F3088" s="1" t="s">
        <v>4</v>
      </c>
      <c r="G3088" s="1">
        <v>46043</v>
      </c>
      <c r="H3088" t="s">
        <v>41</v>
      </c>
      <c r="I3088" s="2">
        <v>100</v>
      </c>
      <c r="J3088" t="s">
        <v>1736</v>
      </c>
      <c r="K3088" s="7">
        <v>46023</v>
      </c>
    </row>
    <row r="3089" spans="1:11" hidden="1">
      <c r="A3089" t="s">
        <v>114</v>
      </c>
      <c r="B3089" t="s">
        <v>63</v>
      </c>
      <c r="C3089" t="s">
        <v>13</v>
      </c>
      <c r="E3089" t="s">
        <v>9</v>
      </c>
      <c r="F3089" s="1" t="s">
        <v>4</v>
      </c>
      <c r="G3089" s="1">
        <v>46044</v>
      </c>
      <c r="H3089" t="s">
        <v>41</v>
      </c>
      <c r="I3089" s="2">
        <v>10435.67</v>
      </c>
      <c r="J3089" t="s">
        <v>517</v>
      </c>
      <c r="K3089" s="7">
        <v>46023</v>
      </c>
    </row>
    <row r="3090" spans="1:11" hidden="1">
      <c r="A3090" t="s">
        <v>39</v>
      </c>
      <c r="B3090" t="s">
        <v>47</v>
      </c>
      <c r="C3090" t="s">
        <v>13</v>
      </c>
      <c r="E3090" t="s">
        <v>9</v>
      </c>
      <c r="F3090" s="1" t="s">
        <v>4</v>
      </c>
      <c r="G3090" s="1">
        <v>46044</v>
      </c>
      <c r="H3090" t="s">
        <v>41</v>
      </c>
      <c r="I3090" s="2">
        <v>5411.08</v>
      </c>
      <c r="J3090" t="s">
        <v>420</v>
      </c>
      <c r="K3090" s="7">
        <v>46023</v>
      </c>
    </row>
    <row r="3091" spans="1:11" hidden="1">
      <c r="A3091" t="s">
        <v>114</v>
      </c>
      <c r="B3091" t="s">
        <v>63</v>
      </c>
      <c r="C3091" t="s">
        <v>12</v>
      </c>
      <c r="E3091" t="s">
        <v>9</v>
      </c>
      <c r="F3091" s="1" t="s">
        <v>5</v>
      </c>
      <c r="G3091" s="1">
        <v>45800</v>
      </c>
      <c r="H3091" t="s">
        <v>41</v>
      </c>
      <c r="I3091" s="2">
        <v>146.9</v>
      </c>
      <c r="J3091" t="s">
        <v>1737</v>
      </c>
      <c r="K3091" s="7">
        <v>45778</v>
      </c>
    </row>
    <row r="3092" spans="1:11" hidden="1">
      <c r="A3092" t="s">
        <v>56</v>
      </c>
      <c r="B3092" t="s">
        <v>40</v>
      </c>
      <c r="C3092" t="s">
        <v>14</v>
      </c>
      <c r="D3092">
        <v>10866</v>
      </c>
      <c r="E3092" t="s">
        <v>9</v>
      </c>
      <c r="F3092" s="1" t="s">
        <v>5</v>
      </c>
      <c r="G3092" s="1">
        <v>45986</v>
      </c>
      <c r="H3092" t="s">
        <v>41</v>
      </c>
      <c r="I3092" s="2">
        <v>146</v>
      </c>
      <c r="J3092" t="s">
        <v>1050</v>
      </c>
      <c r="K3092" s="7">
        <v>45962</v>
      </c>
    </row>
    <row r="3093" spans="1:11" hidden="1">
      <c r="A3093" t="s">
        <v>56</v>
      </c>
      <c r="B3093" t="s">
        <v>40</v>
      </c>
      <c r="C3093" t="s">
        <v>14</v>
      </c>
      <c r="D3093">
        <v>10874</v>
      </c>
      <c r="E3093" t="s">
        <v>9</v>
      </c>
      <c r="F3093" s="1" t="s">
        <v>4</v>
      </c>
      <c r="G3093" s="1">
        <v>46044</v>
      </c>
      <c r="H3093" t="s">
        <v>41</v>
      </c>
      <c r="I3093" s="2">
        <v>5000</v>
      </c>
      <c r="J3093" t="s">
        <v>781</v>
      </c>
      <c r="K3093" s="7">
        <v>46023</v>
      </c>
    </row>
    <row r="3094" spans="1:11" hidden="1">
      <c r="A3094" t="s">
        <v>56</v>
      </c>
      <c r="B3094" t="s">
        <v>40</v>
      </c>
      <c r="C3094" t="s">
        <v>14</v>
      </c>
      <c r="D3094">
        <v>10875</v>
      </c>
      <c r="E3094" t="s">
        <v>9</v>
      </c>
      <c r="F3094" s="1" t="s">
        <v>4</v>
      </c>
      <c r="G3094" s="1">
        <v>46044</v>
      </c>
      <c r="H3094" t="s">
        <v>41</v>
      </c>
      <c r="I3094" s="2">
        <v>5000</v>
      </c>
      <c r="J3094" t="s">
        <v>781</v>
      </c>
      <c r="K3094" s="7">
        <v>46023</v>
      </c>
    </row>
    <row r="3095" spans="1:11" hidden="1">
      <c r="A3095" t="s">
        <v>56</v>
      </c>
      <c r="B3095" t="s">
        <v>40</v>
      </c>
      <c r="C3095" t="s">
        <v>14</v>
      </c>
      <c r="D3095">
        <v>10876</v>
      </c>
      <c r="E3095" t="s">
        <v>9</v>
      </c>
      <c r="F3095" s="1" t="s">
        <v>4</v>
      </c>
      <c r="G3095" s="1">
        <v>46044</v>
      </c>
      <c r="H3095" t="s">
        <v>41</v>
      </c>
      <c r="I3095" s="2">
        <v>5000</v>
      </c>
      <c r="J3095" t="s">
        <v>781</v>
      </c>
      <c r="K3095" s="7">
        <v>46023</v>
      </c>
    </row>
    <row r="3096" spans="1:11" hidden="1">
      <c r="A3096" t="s">
        <v>56</v>
      </c>
      <c r="B3096" t="s">
        <v>40</v>
      </c>
      <c r="C3096" t="s">
        <v>14</v>
      </c>
      <c r="D3096">
        <v>10877</v>
      </c>
      <c r="E3096" t="s">
        <v>9</v>
      </c>
      <c r="F3096" s="1" t="s">
        <v>4</v>
      </c>
      <c r="G3096" s="1">
        <v>46044</v>
      </c>
      <c r="H3096" t="s">
        <v>41</v>
      </c>
      <c r="I3096" s="2">
        <v>5000</v>
      </c>
      <c r="J3096" t="s">
        <v>781</v>
      </c>
      <c r="K3096" s="7">
        <v>46023</v>
      </c>
    </row>
    <row r="3097" spans="1:11" hidden="1">
      <c r="A3097" t="s">
        <v>39</v>
      </c>
      <c r="B3097" t="s">
        <v>40</v>
      </c>
      <c r="C3097" t="s">
        <v>14</v>
      </c>
      <c r="E3097" t="s">
        <v>9</v>
      </c>
      <c r="F3097" s="1" t="s">
        <v>5</v>
      </c>
      <c r="G3097" s="1">
        <v>46049</v>
      </c>
      <c r="H3097" t="s">
        <v>41</v>
      </c>
      <c r="I3097" s="2">
        <v>134</v>
      </c>
      <c r="J3097" t="s">
        <v>663</v>
      </c>
      <c r="K3097" s="7">
        <v>46023</v>
      </c>
    </row>
    <row r="3098" spans="1:11" hidden="1">
      <c r="A3098" t="s">
        <v>39</v>
      </c>
      <c r="B3098" t="s">
        <v>40</v>
      </c>
      <c r="C3098" t="s">
        <v>14</v>
      </c>
      <c r="D3098">
        <v>10027694</v>
      </c>
      <c r="E3098" t="s">
        <v>9</v>
      </c>
      <c r="F3098" s="1" t="s">
        <v>2</v>
      </c>
      <c r="G3098" s="1">
        <v>45932</v>
      </c>
      <c r="H3098" t="s">
        <v>41</v>
      </c>
      <c r="I3098" s="2">
        <v>131.52000000000001</v>
      </c>
      <c r="J3098" t="s">
        <v>1738</v>
      </c>
      <c r="K3098" s="7">
        <v>45931</v>
      </c>
    </row>
    <row r="3099" spans="1:11" hidden="1">
      <c r="A3099" t="s">
        <v>39</v>
      </c>
      <c r="B3099" t="s">
        <v>45</v>
      </c>
      <c r="C3099" t="s">
        <v>14</v>
      </c>
      <c r="D3099">
        <v>10026729</v>
      </c>
      <c r="E3099" t="s">
        <v>9</v>
      </c>
      <c r="F3099" s="1" t="s">
        <v>6</v>
      </c>
      <c r="G3099" s="1">
        <v>45808</v>
      </c>
      <c r="H3099" t="s">
        <v>41</v>
      </c>
      <c r="I3099" s="2">
        <v>129.41</v>
      </c>
      <c r="J3099" t="s">
        <v>80</v>
      </c>
      <c r="K3099" s="7">
        <v>45778</v>
      </c>
    </row>
    <row r="3100" spans="1:11" hidden="1">
      <c r="A3100" t="s">
        <v>39</v>
      </c>
      <c r="B3100" t="s">
        <v>40</v>
      </c>
      <c r="C3100" t="s">
        <v>14</v>
      </c>
      <c r="E3100" t="s">
        <v>9</v>
      </c>
      <c r="F3100" s="1" t="s">
        <v>4</v>
      </c>
      <c r="G3100" s="1">
        <v>46044</v>
      </c>
      <c r="H3100" t="s">
        <v>41</v>
      </c>
      <c r="I3100" s="2">
        <v>4042</v>
      </c>
      <c r="J3100" t="s">
        <v>1739</v>
      </c>
      <c r="K3100" s="7">
        <v>46023</v>
      </c>
    </row>
    <row r="3101" spans="1:11" hidden="1">
      <c r="A3101" t="s">
        <v>39</v>
      </c>
      <c r="B3101" t="s">
        <v>45</v>
      </c>
      <c r="C3101" t="s">
        <v>14</v>
      </c>
      <c r="E3101" t="s">
        <v>8</v>
      </c>
      <c r="F3101" s="1" t="s">
        <v>5</v>
      </c>
      <c r="G3101" s="1"/>
      <c r="H3101" t="s">
        <v>41</v>
      </c>
      <c r="I3101" s="2">
        <v>277500</v>
      </c>
      <c r="J3101" t="s">
        <v>1740</v>
      </c>
      <c r="K3101" s="7">
        <v>46054</v>
      </c>
    </row>
    <row r="3102" spans="1:11" hidden="1">
      <c r="A3102" t="s">
        <v>39</v>
      </c>
      <c r="B3102" t="s">
        <v>40</v>
      </c>
      <c r="C3102" t="s">
        <v>14</v>
      </c>
      <c r="D3102">
        <v>10028344</v>
      </c>
      <c r="E3102" t="s">
        <v>9</v>
      </c>
      <c r="F3102" s="1" t="s">
        <v>4</v>
      </c>
      <c r="G3102" s="1">
        <v>46044</v>
      </c>
      <c r="H3102" t="s">
        <v>41</v>
      </c>
      <c r="I3102" s="2">
        <v>3159.07</v>
      </c>
      <c r="J3102" t="s">
        <v>375</v>
      </c>
      <c r="K3102" s="7">
        <v>46023</v>
      </c>
    </row>
    <row r="3103" spans="1:11" hidden="1">
      <c r="A3103" t="s">
        <v>39</v>
      </c>
      <c r="B3103" t="s">
        <v>40</v>
      </c>
      <c r="C3103" t="s">
        <v>14</v>
      </c>
      <c r="D3103">
        <v>10028340</v>
      </c>
      <c r="E3103" t="s">
        <v>9</v>
      </c>
      <c r="F3103" s="1" t="s">
        <v>4</v>
      </c>
      <c r="G3103" s="1">
        <v>46044</v>
      </c>
      <c r="H3103" t="s">
        <v>41</v>
      </c>
      <c r="I3103" s="2">
        <v>55</v>
      </c>
      <c r="J3103" t="s">
        <v>1741</v>
      </c>
      <c r="K3103" s="7">
        <v>46023</v>
      </c>
    </row>
    <row r="3104" spans="1:11">
      <c r="A3104" t="s">
        <v>39</v>
      </c>
      <c r="B3104" t="s">
        <v>47</v>
      </c>
      <c r="C3104" t="s">
        <v>14</v>
      </c>
      <c r="E3104" t="s">
        <v>8</v>
      </c>
      <c r="F3104" s="1" t="s">
        <v>2</v>
      </c>
      <c r="G3104" s="1"/>
      <c r="H3104" t="s">
        <v>41</v>
      </c>
      <c r="I3104" s="2">
        <v>158461.71</v>
      </c>
      <c r="J3104" t="s">
        <v>1742</v>
      </c>
      <c r="K3104" s="7">
        <v>46054</v>
      </c>
    </row>
    <row r="3105" spans="1:11" hidden="1">
      <c r="A3105" t="s">
        <v>39</v>
      </c>
      <c r="B3105" t="s">
        <v>45</v>
      </c>
      <c r="C3105" t="s">
        <v>12</v>
      </c>
      <c r="E3105" t="s">
        <v>8</v>
      </c>
      <c r="F3105" s="1" t="s">
        <v>4</v>
      </c>
      <c r="G3105" s="1"/>
      <c r="H3105" t="s">
        <v>41</v>
      </c>
      <c r="I3105" s="2">
        <v>119812</v>
      </c>
      <c r="J3105" t="s">
        <v>1743</v>
      </c>
      <c r="K3105" s="7">
        <v>46054</v>
      </c>
    </row>
    <row r="3106" spans="1:11" hidden="1">
      <c r="A3106" t="s">
        <v>39</v>
      </c>
      <c r="B3106" t="s">
        <v>45</v>
      </c>
      <c r="C3106" t="s">
        <v>14</v>
      </c>
      <c r="E3106" t="s">
        <v>8</v>
      </c>
      <c r="F3106" s="1" t="s">
        <v>5</v>
      </c>
      <c r="G3106" s="1"/>
      <c r="H3106" t="s">
        <v>41</v>
      </c>
      <c r="I3106" s="2">
        <v>105349</v>
      </c>
      <c r="J3106" t="s">
        <v>658</v>
      </c>
      <c r="K3106" s="7">
        <v>46054</v>
      </c>
    </row>
    <row r="3107" spans="1:11">
      <c r="A3107" t="s">
        <v>39</v>
      </c>
      <c r="B3107" t="s">
        <v>47</v>
      </c>
      <c r="C3107" t="s">
        <v>14</v>
      </c>
      <c r="E3107" t="s">
        <v>8</v>
      </c>
      <c r="F3107" s="1" t="s">
        <v>4</v>
      </c>
      <c r="G3107" s="1"/>
      <c r="H3107" t="s">
        <v>41</v>
      </c>
      <c r="I3107" s="2">
        <v>97321.32</v>
      </c>
      <c r="J3107" t="s">
        <v>257</v>
      </c>
      <c r="K3107" s="7">
        <v>46054</v>
      </c>
    </row>
    <row r="3108" spans="1:11" hidden="1">
      <c r="A3108" t="s">
        <v>56</v>
      </c>
      <c r="B3108" t="s">
        <v>40</v>
      </c>
      <c r="C3108" t="s">
        <v>12</v>
      </c>
      <c r="E3108" t="s">
        <v>8</v>
      </c>
      <c r="F3108" s="1" t="s">
        <v>2</v>
      </c>
      <c r="G3108" s="1"/>
      <c r="H3108" t="s">
        <v>41</v>
      </c>
      <c r="I3108" s="2">
        <v>70000</v>
      </c>
      <c r="J3108" t="s">
        <v>186</v>
      </c>
      <c r="K3108" s="7">
        <v>46054</v>
      </c>
    </row>
    <row r="3109" spans="1:11" hidden="1">
      <c r="A3109" t="s">
        <v>39</v>
      </c>
      <c r="B3109" t="s">
        <v>45</v>
      </c>
      <c r="C3109" t="s">
        <v>14</v>
      </c>
      <c r="E3109" t="s">
        <v>8</v>
      </c>
      <c r="F3109" s="1" t="s">
        <v>2</v>
      </c>
      <c r="G3109" s="1"/>
      <c r="H3109" t="s">
        <v>41</v>
      </c>
      <c r="I3109" s="2">
        <v>68607</v>
      </c>
      <c r="J3109" t="s">
        <v>1593</v>
      </c>
      <c r="K3109" s="7">
        <v>46054</v>
      </c>
    </row>
    <row r="3110" spans="1:11" hidden="1">
      <c r="A3110" t="s">
        <v>39</v>
      </c>
      <c r="B3110" t="s">
        <v>40</v>
      </c>
      <c r="C3110" t="s">
        <v>14</v>
      </c>
      <c r="E3110" t="s">
        <v>8</v>
      </c>
      <c r="F3110" s="1" t="s">
        <v>2</v>
      </c>
      <c r="G3110" s="1"/>
      <c r="H3110" t="s">
        <v>41</v>
      </c>
      <c r="I3110" s="2">
        <v>60000</v>
      </c>
      <c r="J3110" t="s">
        <v>1488</v>
      </c>
      <c r="K3110" s="7">
        <v>46054</v>
      </c>
    </row>
    <row r="3111" spans="1:11" hidden="1">
      <c r="A3111" t="s">
        <v>39</v>
      </c>
      <c r="B3111" t="s">
        <v>40</v>
      </c>
      <c r="C3111" t="s">
        <v>14</v>
      </c>
      <c r="D3111">
        <v>10027623</v>
      </c>
      <c r="E3111" t="s">
        <v>9</v>
      </c>
      <c r="F3111" s="1" t="s">
        <v>5</v>
      </c>
      <c r="G3111" s="1">
        <v>45925</v>
      </c>
      <c r="H3111" t="s">
        <v>41</v>
      </c>
      <c r="I3111" s="2">
        <v>125</v>
      </c>
      <c r="J3111" t="s">
        <v>1744</v>
      </c>
      <c r="K3111" s="7">
        <v>45901</v>
      </c>
    </row>
    <row r="3112" spans="1:11" hidden="1">
      <c r="A3112" t="s">
        <v>39</v>
      </c>
      <c r="B3112" t="s">
        <v>40</v>
      </c>
      <c r="C3112" t="s">
        <v>14</v>
      </c>
      <c r="E3112" t="s">
        <v>8</v>
      </c>
      <c r="F3112" s="1" t="s">
        <v>4</v>
      </c>
      <c r="G3112" s="1"/>
      <c r="H3112" t="s">
        <v>41</v>
      </c>
      <c r="I3112" s="2">
        <v>60000</v>
      </c>
      <c r="J3112" t="s">
        <v>1488</v>
      </c>
      <c r="K3112" s="7">
        <v>46054</v>
      </c>
    </row>
    <row r="3113" spans="1:11" hidden="1">
      <c r="A3113" t="s">
        <v>39</v>
      </c>
      <c r="B3113" t="s">
        <v>40</v>
      </c>
      <c r="C3113" t="s">
        <v>14</v>
      </c>
      <c r="E3113" t="s">
        <v>8</v>
      </c>
      <c r="F3113" s="1" t="s">
        <v>5</v>
      </c>
      <c r="G3113" s="1"/>
      <c r="H3113" t="s">
        <v>41</v>
      </c>
      <c r="I3113" s="2">
        <v>60000</v>
      </c>
      <c r="J3113" t="s">
        <v>1488</v>
      </c>
      <c r="K3113" s="7">
        <v>46054</v>
      </c>
    </row>
    <row r="3114" spans="1:11">
      <c r="A3114" t="s">
        <v>39</v>
      </c>
      <c r="B3114" t="s">
        <v>47</v>
      </c>
      <c r="C3114" t="s">
        <v>13</v>
      </c>
      <c r="E3114" t="s">
        <v>8</v>
      </c>
      <c r="F3114" s="1" t="s">
        <v>2</v>
      </c>
      <c r="G3114" s="1"/>
      <c r="H3114" t="s">
        <v>41</v>
      </c>
      <c r="I3114" s="2">
        <v>57269.760000000002</v>
      </c>
      <c r="J3114" t="s">
        <v>61</v>
      </c>
      <c r="K3114" s="7">
        <v>46054</v>
      </c>
    </row>
    <row r="3115" spans="1:11" hidden="1">
      <c r="A3115" t="s">
        <v>39</v>
      </c>
      <c r="B3115" t="s">
        <v>45</v>
      </c>
      <c r="C3115" t="s">
        <v>14</v>
      </c>
      <c r="E3115" t="s">
        <v>8</v>
      </c>
      <c r="F3115" s="1" t="s">
        <v>2</v>
      </c>
      <c r="G3115" s="1"/>
      <c r="H3115" t="s">
        <v>41</v>
      </c>
      <c r="I3115" s="2">
        <v>56683</v>
      </c>
      <c r="J3115" t="s">
        <v>1745</v>
      </c>
      <c r="K3115" s="7">
        <v>46054</v>
      </c>
    </row>
    <row r="3116" spans="1:11" hidden="1">
      <c r="A3116" t="s">
        <v>114</v>
      </c>
      <c r="B3116" t="s">
        <v>63</v>
      </c>
      <c r="C3116" t="s">
        <v>14</v>
      </c>
      <c r="E3116" t="s">
        <v>8</v>
      </c>
      <c r="F3116" s="1" t="s">
        <v>5</v>
      </c>
      <c r="G3116" s="1"/>
      <c r="H3116" t="s">
        <v>41</v>
      </c>
      <c r="I3116" s="2">
        <v>54548.5</v>
      </c>
      <c r="J3116" t="s">
        <v>1746</v>
      </c>
      <c r="K3116" s="7">
        <v>46054</v>
      </c>
    </row>
    <row r="3117" spans="1:11">
      <c r="A3117" t="s">
        <v>39</v>
      </c>
      <c r="B3117" t="s">
        <v>47</v>
      </c>
      <c r="C3117" t="s">
        <v>13</v>
      </c>
      <c r="E3117" t="s">
        <v>8</v>
      </c>
      <c r="F3117" s="1" t="s">
        <v>4</v>
      </c>
      <c r="G3117" s="1"/>
      <c r="H3117" t="s">
        <v>41</v>
      </c>
      <c r="I3117" s="2">
        <v>54056.09</v>
      </c>
      <c r="J3117" t="s">
        <v>61</v>
      </c>
      <c r="K3117" s="7">
        <v>46054</v>
      </c>
    </row>
    <row r="3118" spans="1:11" hidden="1">
      <c r="A3118" t="s">
        <v>39</v>
      </c>
      <c r="B3118" t="s">
        <v>45</v>
      </c>
      <c r="C3118" t="s">
        <v>14</v>
      </c>
      <c r="D3118">
        <v>10026670</v>
      </c>
      <c r="E3118" t="s">
        <v>9</v>
      </c>
      <c r="F3118" s="1" t="s">
        <v>5</v>
      </c>
      <c r="G3118" s="1">
        <v>45797</v>
      </c>
      <c r="H3118" t="s">
        <v>41</v>
      </c>
      <c r="I3118" s="2">
        <v>123.63</v>
      </c>
      <c r="J3118" t="s">
        <v>1747</v>
      </c>
      <c r="K3118" s="7">
        <v>45778</v>
      </c>
    </row>
    <row r="3119" spans="1:11" hidden="1">
      <c r="A3119" t="s">
        <v>39</v>
      </c>
      <c r="B3119" t="s">
        <v>40</v>
      </c>
      <c r="C3119" t="s">
        <v>14</v>
      </c>
      <c r="D3119">
        <v>10027306</v>
      </c>
      <c r="E3119" t="s">
        <v>9</v>
      </c>
      <c r="F3119" s="1" t="s">
        <v>3</v>
      </c>
      <c r="G3119" s="1">
        <v>45882</v>
      </c>
      <c r="H3119" t="s">
        <v>41</v>
      </c>
      <c r="I3119" s="2">
        <v>123.5</v>
      </c>
      <c r="J3119" t="s">
        <v>1570</v>
      </c>
      <c r="K3119" s="7">
        <v>45870</v>
      </c>
    </row>
    <row r="3120" spans="1:11">
      <c r="A3120" t="s">
        <v>39</v>
      </c>
      <c r="B3120" t="s">
        <v>47</v>
      </c>
      <c r="C3120" t="s">
        <v>14</v>
      </c>
      <c r="E3120" t="s">
        <v>8</v>
      </c>
      <c r="F3120" s="1" t="s">
        <v>2</v>
      </c>
      <c r="G3120" s="1"/>
      <c r="H3120" t="s">
        <v>41</v>
      </c>
      <c r="I3120" s="2">
        <v>47965.2</v>
      </c>
      <c r="J3120" t="s">
        <v>1748</v>
      </c>
      <c r="K3120" s="7">
        <v>46054</v>
      </c>
    </row>
    <row r="3121" spans="1:11" hidden="1">
      <c r="A3121" t="s">
        <v>39</v>
      </c>
      <c r="B3121" t="s">
        <v>40</v>
      </c>
      <c r="C3121" t="s">
        <v>14</v>
      </c>
      <c r="D3121">
        <v>10026506</v>
      </c>
      <c r="E3121" t="s">
        <v>9</v>
      </c>
      <c r="F3121" s="1" t="s">
        <v>3</v>
      </c>
      <c r="G3121" s="1">
        <v>45783</v>
      </c>
      <c r="H3121" t="s">
        <v>64</v>
      </c>
      <c r="I3121" s="2">
        <f>62100/508</f>
        <v>122.24409448818898</v>
      </c>
      <c r="J3121" t="s">
        <v>1626</v>
      </c>
      <c r="K3121" s="7">
        <v>45778</v>
      </c>
    </row>
    <row r="3122" spans="1:11">
      <c r="A3122" t="s">
        <v>39</v>
      </c>
      <c r="B3122" t="s">
        <v>47</v>
      </c>
      <c r="C3122" t="s">
        <v>14</v>
      </c>
      <c r="E3122" t="s">
        <v>8</v>
      </c>
      <c r="F3122" s="1" t="s">
        <v>2</v>
      </c>
      <c r="G3122" s="1"/>
      <c r="H3122" t="s">
        <v>41</v>
      </c>
      <c r="I3122" s="2">
        <v>43981.77</v>
      </c>
      <c r="J3122" t="s">
        <v>1748</v>
      </c>
      <c r="K3122" s="7">
        <v>46054</v>
      </c>
    </row>
    <row r="3123" spans="1:11">
      <c r="A3123" t="s">
        <v>39</v>
      </c>
      <c r="B3123" t="s">
        <v>47</v>
      </c>
      <c r="C3123" t="s">
        <v>14</v>
      </c>
      <c r="E3123" t="s">
        <v>8</v>
      </c>
      <c r="F3123" s="1" t="s">
        <v>2</v>
      </c>
      <c r="G3123" s="1"/>
      <c r="H3123" t="s">
        <v>41</v>
      </c>
      <c r="I3123" s="2">
        <v>42003.75</v>
      </c>
      <c r="J3123" t="s">
        <v>1748</v>
      </c>
      <c r="K3123" s="7">
        <v>46054</v>
      </c>
    </row>
    <row r="3124" spans="1:11" hidden="1">
      <c r="A3124" t="s">
        <v>39</v>
      </c>
      <c r="B3124" t="s">
        <v>45</v>
      </c>
      <c r="C3124" t="s">
        <v>14</v>
      </c>
      <c r="E3124" t="s">
        <v>8</v>
      </c>
      <c r="F3124" s="1" t="s">
        <v>2</v>
      </c>
      <c r="G3124" s="1"/>
      <c r="H3124" t="s">
        <v>41</v>
      </c>
      <c r="I3124" s="2">
        <v>41900</v>
      </c>
      <c r="J3124" t="s">
        <v>1749</v>
      </c>
      <c r="K3124" s="7">
        <v>46054</v>
      </c>
    </row>
    <row r="3125" spans="1:11" hidden="1">
      <c r="A3125" t="s">
        <v>39</v>
      </c>
      <c r="B3125" t="s">
        <v>63</v>
      </c>
      <c r="C3125" t="s">
        <v>13</v>
      </c>
      <c r="E3125" t="s">
        <v>8</v>
      </c>
      <c r="F3125" s="1" t="s">
        <v>4</v>
      </c>
      <c r="G3125" s="1"/>
      <c r="H3125" t="s">
        <v>41</v>
      </c>
      <c r="I3125" s="2">
        <v>37894.370000000003</v>
      </c>
      <c r="J3125" t="s">
        <v>1750</v>
      </c>
      <c r="K3125" s="7">
        <v>46054</v>
      </c>
    </row>
    <row r="3126" spans="1:11" hidden="1">
      <c r="A3126" t="s">
        <v>39</v>
      </c>
      <c r="B3126" t="s">
        <v>63</v>
      </c>
      <c r="C3126" t="s">
        <v>13</v>
      </c>
      <c r="E3126" t="s">
        <v>8</v>
      </c>
      <c r="F3126" s="1" t="s">
        <v>2</v>
      </c>
      <c r="G3126" s="1"/>
      <c r="H3126" t="s">
        <v>41</v>
      </c>
      <c r="I3126" s="2">
        <v>36955.56</v>
      </c>
      <c r="J3126" t="s">
        <v>1049</v>
      </c>
      <c r="K3126" s="7">
        <v>46054</v>
      </c>
    </row>
    <row r="3127" spans="1:11" hidden="1">
      <c r="A3127" t="s">
        <v>39</v>
      </c>
      <c r="B3127" t="s">
        <v>63</v>
      </c>
      <c r="C3127" t="s">
        <v>14</v>
      </c>
      <c r="E3127" t="s">
        <v>8</v>
      </c>
      <c r="F3127" s="1" t="s">
        <v>2</v>
      </c>
      <c r="G3127" s="1"/>
      <c r="H3127" t="s">
        <v>41</v>
      </c>
      <c r="I3127" s="2">
        <v>29553.48</v>
      </c>
      <c r="J3127" t="s">
        <v>65</v>
      </c>
      <c r="K3127" s="7">
        <v>46054</v>
      </c>
    </row>
    <row r="3128" spans="1:11" hidden="1">
      <c r="A3128" t="s">
        <v>56</v>
      </c>
      <c r="B3128" t="s">
        <v>40</v>
      </c>
      <c r="C3128" t="s">
        <v>14</v>
      </c>
      <c r="E3128" t="s">
        <v>8</v>
      </c>
      <c r="F3128" s="1" t="s">
        <v>2</v>
      </c>
      <c r="G3128" s="1"/>
      <c r="H3128" t="s">
        <v>41</v>
      </c>
      <c r="I3128" s="2">
        <v>25000</v>
      </c>
      <c r="J3128" t="s">
        <v>1489</v>
      </c>
      <c r="K3128" s="7">
        <v>46054</v>
      </c>
    </row>
    <row r="3129" spans="1:11" hidden="1">
      <c r="A3129" t="s">
        <v>39</v>
      </c>
      <c r="B3129" t="s">
        <v>40</v>
      </c>
      <c r="C3129" t="s">
        <v>14</v>
      </c>
      <c r="D3129">
        <v>10027774</v>
      </c>
      <c r="E3129" t="s">
        <v>9</v>
      </c>
      <c r="F3129" s="1" t="s">
        <v>3</v>
      </c>
      <c r="G3129" s="1">
        <v>45936</v>
      </c>
      <c r="H3129" t="s">
        <v>41</v>
      </c>
      <c r="I3129" s="2">
        <v>120</v>
      </c>
      <c r="J3129" t="s">
        <v>1751</v>
      </c>
      <c r="K3129" s="7">
        <v>45931</v>
      </c>
    </row>
    <row r="3130" spans="1:11" hidden="1">
      <c r="A3130" t="s">
        <v>56</v>
      </c>
      <c r="B3130" t="s">
        <v>40</v>
      </c>
      <c r="C3130" t="s">
        <v>14</v>
      </c>
      <c r="E3130" t="s">
        <v>8</v>
      </c>
      <c r="F3130" s="1" t="s">
        <v>4</v>
      </c>
      <c r="G3130" s="1"/>
      <c r="H3130" t="s">
        <v>41</v>
      </c>
      <c r="I3130" s="2">
        <v>25000</v>
      </c>
      <c r="J3130" t="s">
        <v>1489</v>
      </c>
      <c r="K3130" s="7">
        <v>46054</v>
      </c>
    </row>
    <row r="3131" spans="1:11" hidden="1">
      <c r="A3131" t="s">
        <v>56</v>
      </c>
      <c r="B3131" t="s">
        <v>40</v>
      </c>
      <c r="C3131" t="s">
        <v>14</v>
      </c>
      <c r="E3131" t="s">
        <v>8</v>
      </c>
      <c r="F3131" s="1" t="s">
        <v>5</v>
      </c>
      <c r="G3131" s="1"/>
      <c r="H3131" t="s">
        <v>41</v>
      </c>
      <c r="I3131" s="2">
        <v>25000</v>
      </c>
      <c r="J3131" t="s">
        <v>1489</v>
      </c>
      <c r="K3131" s="7">
        <v>46054</v>
      </c>
    </row>
    <row r="3132" spans="1:11" hidden="1">
      <c r="A3132" t="s">
        <v>39</v>
      </c>
      <c r="B3132" t="s">
        <v>40</v>
      </c>
      <c r="C3132" t="s">
        <v>14</v>
      </c>
      <c r="E3132" t="s">
        <v>9</v>
      </c>
      <c r="F3132" s="1" t="s">
        <v>5</v>
      </c>
      <c r="G3132" s="1">
        <v>45986</v>
      </c>
      <c r="H3132" t="s">
        <v>41</v>
      </c>
      <c r="I3132" s="2">
        <v>120</v>
      </c>
      <c r="J3132" t="s">
        <v>1752</v>
      </c>
      <c r="K3132" s="7">
        <v>45962</v>
      </c>
    </row>
    <row r="3133" spans="1:11" hidden="1">
      <c r="A3133" t="s">
        <v>39</v>
      </c>
      <c r="B3133" t="s">
        <v>63</v>
      </c>
      <c r="C3133" t="s">
        <v>12</v>
      </c>
      <c r="E3133" t="s">
        <v>9</v>
      </c>
      <c r="F3133" s="1" t="s">
        <v>4</v>
      </c>
      <c r="G3133" s="1">
        <v>46045</v>
      </c>
      <c r="H3133" t="s">
        <v>41</v>
      </c>
      <c r="I3133" s="2">
        <v>201436.02</v>
      </c>
      <c r="J3133" t="s">
        <v>595</v>
      </c>
      <c r="K3133" s="7">
        <v>46023</v>
      </c>
    </row>
    <row r="3134" spans="1:11" hidden="1">
      <c r="A3134" t="s">
        <v>39</v>
      </c>
      <c r="B3134" t="s">
        <v>45</v>
      </c>
      <c r="C3134" t="s">
        <v>13</v>
      </c>
      <c r="E3134" t="s">
        <v>8</v>
      </c>
      <c r="F3134" s="1" t="s">
        <v>5</v>
      </c>
      <c r="G3134" s="1"/>
      <c r="H3134" t="s">
        <v>41</v>
      </c>
      <c r="I3134" s="2">
        <v>23144</v>
      </c>
      <c r="J3134" t="s">
        <v>1753</v>
      </c>
      <c r="K3134" s="7">
        <v>46054</v>
      </c>
    </row>
    <row r="3135" spans="1:11" hidden="1">
      <c r="A3135" t="s">
        <v>39</v>
      </c>
      <c r="B3135" t="s">
        <v>63</v>
      </c>
      <c r="C3135" t="s">
        <v>13</v>
      </c>
      <c r="E3135" t="s">
        <v>8</v>
      </c>
      <c r="F3135" s="1" t="s">
        <v>5</v>
      </c>
      <c r="G3135" s="1"/>
      <c r="H3135" t="s">
        <v>41</v>
      </c>
      <c r="I3135" s="2">
        <v>20899.349999999999</v>
      </c>
      <c r="J3135" t="s">
        <v>1070</v>
      </c>
      <c r="K3135" s="7">
        <v>46054</v>
      </c>
    </row>
    <row r="3136" spans="1:11" hidden="1">
      <c r="A3136" t="s">
        <v>99</v>
      </c>
      <c r="B3136" t="s">
        <v>63</v>
      </c>
      <c r="C3136" t="s">
        <v>14</v>
      </c>
      <c r="E3136" t="s">
        <v>8</v>
      </c>
      <c r="F3136" s="1" t="s">
        <v>2</v>
      </c>
      <c r="G3136" s="1">
        <v>46059</v>
      </c>
      <c r="H3136" t="s">
        <v>41</v>
      </c>
      <c r="I3136" s="2">
        <v>20000</v>
      </c>
      <c r="J3136" t="s">
        <v>637</v>
      </c>
      <c r="K3136" s="7">
        <v>46054</v>
      </c>
    </row>
    <row r="3137" spans="1:11" hidden="1">
      <c r="A3137" t="s">
        <v>39</v>
      </c>
      <c r="B3137" t="s">
        <v>40</v>
      </c>
      <c r="C3137" t="s">
        <v>14</v>
      </c>
      <c r="D3137">
        <v>10027610</v>
      </c>
      <c r="E3137" t="s">
        <v>9</v>
      </c>
      <c r="F3137" s="1" t="s">
        <v>5</v>
      </c>
      <c r="G3137" s="1">
        <v>45923</v>
      </c>
      <c r="H3137" t="s">
        <v>41</v>
      </c>
      <c r="I3137" s="2">
        <v>119</v>
      </c>
      <c r="J3137" t="s">
        <v>1016</v>
      </c>
      <c r="K3137" s="7">
        <v>45901</v>
      </c>
    </row>
    <row r="3138" spans="1:11" hidden="1">
      <c r="A3138" t="s">
        <v>99</v>
      </c>
      <c r="B3138" t="s">
        <v>63</v>
      </c>
      <c r="C3138" t="s">
        <v>14</v>
      </c>
      <c r="E3138" t="s">
        <v>8</v>
      </c>
      <c r="F3138" s="1" t="s">
        <v>4</v>
      </c>
      <c r="G3138" s="1">
        <v>46073</v>
      </c>
      <c r="H3138" t="s">
        <v>41</v>
      </c>
      <c r="I3138" s="2">
        <v>20000</v>
      </c>
      <c r="J3138" t="s">
        <v>1628</v>
      </c>
      <c r="K3138" s="7">
        <v>46054</v>
      </c>
    </row>
    <row r="3139" spans="1:11" hidden="1">
      <c r="A3139" t="s">
        <v>99</v>
      </c>
      <c r="B3139" t="s">
        <v>63</v>
      </c>
      <c r="C3139" t="s">
        <v>14</v>
      </c>
      <c r="E3139" t="s">
        <v>8</v>
      </c>
      <c r="F3139" s="1" t="s">
        <v>5</v>
      </c>
      <c r="G3139" s="1">
        <v>46080</v>
      </c>
      <c r="H3139" t="s">
        <v>41</v>
      </c>
      <c r="I3139" s="2">
        <v>20000</v>
      </c>
      <c r="J3139" t="s">
        <v>495</v>
      </c>
      <c r="K3139" s="7">
        <v>46054</v>
      </c>
    </row>
    <row r="3140" spans="1:11" hidden="1">
      <c r="A3140" t="s">
        <v>39</v>
      </c>
      <c r="B3140" t="s">
        <v>40</v>
      </c>
      <c r="C3140" t="s">
        <v>14</v>
      </c>
      <c r="D3140">
        <v>10027891</v>
      </c>
      <c r="E3140" t="s">
        <v>9</v>
      </c>
      <c r="F3140" s="1" t="s">
        <v>2</v>
      </c>
      <c r="G3140" s="1">
        <v>45964</v>
      </c>
      <c r="H3140" t="s">
        <v>64</v>
      </c>
      <c r="I3140" s="2">
        <f>60600/510</f>
        <v>118.82352941176471</v>
      </c>
      <c r="J3140" t="s">
        <v>1754</v>
      </c>
      <c r="K3140" s="7">
        <v>45962</v>
      </c>
    </row>
    <row r="3141" spans="1:11">
      <c r="A3141" t="s">
        <v>39</v>
      </c>
      <c r="B3141" t="s">
        <v>47</v>
      </c>
      <c r="C3141" t="s">
        <v>13</v>
      </c>
      <c r="E3141" t="s">
        <v>8</v>
      </c>
      <c r="F3141" s="1" t="s">
        <v>2</v>
      </c>
      <c r="G3141" s="1"/>
      <c r="H3141" t="s">
        <v>41</v>
      </c>
      <c r="I3141" s="2">
        <v>19182.32</v>
      </c>
      <c r="J3141" t="s">
        <v>986</v>
      </c>
      <c r="K3141" s="7">
        <v>46054</v>
      </c>
    </row>
    <row r="3142" spans="1:11" hidden="1">
      <c r="A3142" t="s">
        <v>39</v>
      </c>
      <c r="B3142" t="s">
        <v>63</v>
      </c>
      <c r="C3142" t="s">
        <v>14</v>
      </c>
      <c r="E3142" t="s">
        <v>8</v>
      </c>
      <c r="F3142" s="1" t="s">
        <v>4</v>
      </c>
      <c r="G3142" s="1"/>
      <c r="H3142" t="s">
        <v>41</v>
      </c>
      <c r="I3142" s="2">
        <v>18520.7</v>
      </c>
      <c r="J3142" t="s">
        <v>525</v>
      </c>
      <c r="K3142" s="7">
        <v>46054</v>
      </c>
    </row>
    <row r="3143" spans="1:11">
      <c r="A3143" t="s">
        <v>39</v>
      </c>
      <c r="B3143" t="s">
        <v>47</v>
      </c>
      <c r="C3143" t="s">
        <v>13</v>
      </c>
      <c r="E3143" t="s">
        <v>8</v>
      </c>
      <c r="F3143" s="1" t="s">
        <v>2</v>
      </c>
      <c r="G3143" s="1"/>
      <c r="H3143" t="s">
        <v>41</v>
      </c>
      <c r="I3143" s="2">
        <v>17873.919999999998</v>
      </c>
      <c r="J3143" t="s">
        <v>1755</v>
      </c>
      <c r="K3143" s="7">
        <v>46054</v>
      </c>
    </row>
    <row r="3144" spans="1:11" hidden="1">
      <c r="A3144" t="s">
        <v>114</v>
      </c>
      <c r="B3144" t="s">
        <v>63</v>
      </c>
      <c r="C3144" t="s">
        <v>14</v>
      </c>
      <c r="E3144" t="s">
        <v>8</v>
      </c>
      <c r="F3144" s="1" t="s">
        <v>4</v>
      </c>
      <c r="G3144" s="1"/>
      <c r="H3144" t="s">
        <v>41</v>
      </c>
      <c r="I3144" s="2">
        <v>17260.060000000001</v>
      </c>
      <c r="J3144" t="s">
        <v>1756</v>
      </c>
      <c r="K3144" s="7">
        <v>46054</v>
      </c>
    </row>
    <row r="3145" spans="1:11" hidden="1">
      <c r="A3145" t="s">
        <v>39</v>
      </c>
      <c r="B3145" t="s">
        <v>63</v>
      </c>
      <c r="C3145" t="s">
        <v>13</v>
      </c>
      <c r="E3145" t="s">
        <v>8</v>
      </c>
      <c r="F3145" s="1" t="s">
        <v>2</v>
      </c>
      <c r="G3145" s="1"/>
      <c r="H3145" t="s">
        <v>41</v>
      </c>
      <c r="I3145" s="2">
        <v>16798.22</v>
      </c>
      <c r="J3145" t="s">
        <v>1049</v>
      </c>
      <c r="K3145" s="7">
        <v>46054</v>
      </c>
    </row>
    <row r="3146" spans="1:11" hidden="1">
      <c r="A3146" t="s">
        <v>39</v>
      </c>
      <c r="B3146" t="s">
        <v>63</v>
      </c>
      <c r="C3146" t="s">
        <v>13</v>
      </c>
      <c r="E3146" t="s">
        <v>8</v>
      </c>
      <c r="F3146" s="1" t="s">
        <v>4</v>
      </c>
      <c r="G3146" s="1"/>
      <c r="H3146" t="s">
        <v>41</v>
      </c>
      <c r="I3146" s="2">
        <v>16497.86</v>
      </c>
      <c r="J3146" t="s">
        <v>425</v>
      </c>
      <c r="K3146" s="7">
        <v>46054</v>
      </c>
    </row>
    <row r="3147" spans="1:11">
      <c r="A3147" t="s">
        <v>39</v>
      </c>
      <c r="B3147" t="s">
        <v>47</v>
      </c>
      <c r="C3147" t="s">
        <v>14</v>
      </c>
      <c r="E3147" t="s">
        <v>8</v>
      </c>
      <c r="F3147" s="1" t="s">
        <v>4</v>
      </c>
      <c r="G3147" s="1"/>
      <c r="H3147" t="s">
        <v>41</v>
      </c>
      <c r="I3147" s="2">
        <v>16099</v>
      </c>
      <c r="J3147" t="s">
        <v>257</v>
      </c>
      <c r="K3147" s="7">
        <v>46054</v>
      </c>
    </row>
    <row r="3148" spans="1:11" hidden="1">
      <c r="A3148" t="s">
        <v>39</v>
      </c>
      <c r="B3148" t="s">
        <v>63</v>
      </c>
      <c r="C3148" t="s">
        <v>12</v>
      </c>
      <c r="D3148">
        <v>10027067</v>
      </c>
      <c r="E3148" t="s">
        <v>9</v>
      </c>
      <c r="F3148" s="1" t="s">
        <v>3</v>
      </c>
      <c r="G3148" s="1">
        <v>45847</v>
      </c>
      <c r="H3148" t="s">
        <v>41</v>
      </c>
      <c r="I3148" s="2">
        <v>118.65</v>
      </c>
      <c r="J3148" t="s">
        <v>1757</v>
      </c>
      <c r="K3148" s="7">
        <v>45839</v>
      </c>
    </row>
    <row r="3149" spans="1:11">
      <c r="A3149" t="s">
        <v>39</v>
      </c>
      <c r="B3149" t="s">
        <v>47</v>
      </c>
      <c r="C3149" t="s">
        <v>14</v>
      </c>
      <c r="E3149" t="s">
        <v>8</v>
      </c>
      <c r="F3149" s="1" t="s">
        <v>4</v>
      </c>
      <c r="G3149" s="1"/>
      <c r="H3149" t="s">
        <v>41</v>
      </c>
      <c r="I3149" s="2">
        <v>15339.52</v>
      </c>
      <c r="J3149" t="s">
        <v>725</v>
      </c>
      <c r="K3149" s="7">
        <v>46054</v>
      </c>
    </row>
    <row r="3150" spans="1:11">
      <c r="A3150" t="s">
        <v>39</v>
      </c>
      <c r="B3150" t="s">
        <v>47</v>
      </c>
      <c r="C3150" t="s">
        <v>14</v>
      </c>
      <c r="E3150" t="s">
        <v>8</v>
      </c>
      <c r="F3150" s="1" t="s">
        <v>4</v>
      </c>
      <c r="G3150" s="1"/>
      <c r="H3150" t="s">
        <v>41</v>
      </c>
      <c r="I3150" s="2">
        <v>14598.83</v>
      </c>
      <c r="J3150" t="s">
        <v>712</v>
      </c>
      <c r="K3150" s="7">
        <v>46054</v>
      </c>
    </row>
    <row r="3151" spans="1:11">
      <c r="A3151" t="s">
        <v>39</v>
      </c>
      <c r="B3151" t="s">
        <v>47</v>
      </c>
      <c r="C3151" t="s">
        <v>13</v>
      </c>
      <c r="E3151" t="s">
        <v>8</v>
      </c>
      <c r="F3151" s="1" t="s">
        <v>4</v>
      </c>
      <c r="G3151" s="1"/>
      <c r="H3151" t="s">
        <v>41</v>
      </c>
      <c r="I3151" s="2">
        <v>14465.56</v>
      </c>
      <c r="J3151" t="s">
        <v>1758</v>
      </c>
      <c r="K3151" s="7">
        <v>46054</v>
      </c>
    </row>
    <row r="3152" spans="1:11" hidden="1">
      <c r="A3152" t="s">
        <v>39</v>
      </c>
      <c r="B3152" t="s">
        <v>63</v>
      </c>
      <c r="C3152" t="s">
        <v>13</v>
      </c>
      <c r="E3152" t="s">
        <v>8</v>
      </c>
      <c r="F3152" s="1" t="s">
        <v>5</v>
      </c>
      <c r="G3152" s="1"/>
      <c r="H3152" t="s">
        <v>41</v>
      </c>
      <c r="I3152" s="2">
        <v>13475.25</v>
      </c>
      <c r="J3152" t="s">
        <v>1070</v>
      </c>
      <c r="K3152" s="7">
        <v>46054</v>
      </c>
    </row>
    <row r="3153" spans="1:11" hidden="1">
      <c r="A3153" t="s">
        <v>39</v>
      </c>
      <c r="B3153" t="s">
        <v>40</v>
      </c>
      <c r="C3153" t="s">
        <v>14</v>
      </c>
      <c r="E3153" t="s">
        <v>9</v>
      </c>
      <c r="F3153" s="1" t="s">
        <v>5</v>
      </c>
      <c r="G3153" s="1">
        <v>45894</v>
      </c>
      <c r="H3153" t="s">
        <v>41</v>
      </c>
      <c r="I3153" s="2">
        <v>113</v>
      </c>
      <c r="J3153" t="s">
        <v>1759</v>
      </c>
      <c r="K3153" s="7">
        <v>45870</v>
      </c>
    </row>
    <row r="3154" spans="1:11" hidden="1">
      <c r="A3154" t="s">
        <v>39</v>
      </c>
      <c r="B3154" t="s">
        <v>63</v>
      </c>
      <c r="C3154" t="s">
        <v>14</v>
      </c>
      <c r="E3154" t="s">
        <v>8</v>
      </c>
      <c r="F3154" s="1" t="s">
        <v>4</v>
      </c>
      <c r="G3154" s="1"/>
      <c r="H3154" t="s">
        <v>41</v>
      </c>
      <c r="I3154" s="2">
        <v>8627.9</v>
      </c>
      <c r="J3154" t="s">
        <v>595</v>
      </c>
      <c r="K3154" s="7">
        <v>46054</v>
      </c>
    </row>
    <row r="3155" spans="1:11" hidden="1">
      <c r="A3155" t="s">
        <v>39</v>
      </c>
      <c r="B3155" t="s">
        <v>40</v>
      </c>
      <c r="C3155" t="s">
        <v>14</v>
      </c>
      <c r="E3155" t="s">
        <v>9</v>
      </c>
      <c r="F3155" s="1" t="s">
        <v>3</v>
      </c>
      <c r="G3155" s="1">
        <v>45818</v>
      </c>
      <c r="H3155" t="s">
        <v>41</v>
      </c>
      <c r="I3155" s="2">
        <v>111</v>
      </c>
      <c r="J3155" t="s">
        <v>1406</v>
      </c>
      <c r="K3155" s="7">
        <v>45809</v>
      </c>
    </row>
    <row r="3156" spans="1:11" hidden="1">
      <c r="A3156" t="s">
        <v>39</v>
      </c>
      <c r="B3156" t="s">
        <v>63</v>
      </c>
      <c r="C3156" t="s">
        <v>13</v>
      </c>
      <c r="E3156" t="s">
        <v>8</v>
      </c>
      <c r="F3156" s="1" t="s">
        <v>4</v>
      </c>
      <c r="G3156" s="1"/>
      <c r="H3156" t="s">
        <v>41</v>
      </c>
      <c r="I3156" s="2">
        <v>7789.94</v>
      </c>
      <c r="J3156" t="s">
        <v>731</v>
      </c>
      <c r="K3156" s="7">
        <v>46054</v>
      </c>
    </row>
    <row r="3157" spans="1:11" hidden="1">
      <c r="A3157" t="s">
        <v>39</v>
      </c>
      <c r="B3157" t="s">
        <v>63</v>
      </c>
      <c r="C3157" t="s">
        <v>13</v>
      </c>
      <c r="E3157" t="s">
        <v>8</v>
      </c>
      <c r="F3157" s="1" t="s">
        <v>4</v>
      </c>
      <c r="G3157" s="1"/>
      <c r="H3157" t="s">
        <v>41</v>
      </c>
      <c r="I3157" s="2">
        <v>7711.28</v>
      </c>
      <c r="J3157" t="s">
        <v>1760</v>
      </c>
      <c r="K3157" s="7">
        <v>46054</v>
      </c>
    </row>
    <row r="3158" spans="1:11" hidden="1">
      <c r="A3158" t="s">
        <v>39</v>
      </c>
      <c r="B3158" t="s">
        <v>63</v>
      </c>
      <c r="C3158" t="s">
        <v>14</v>
      </c>
      <c r="E3158" t="s">
        <v>8</v>
      </c>
      <c r="F3158" s="1" t="s">
        <v>4</v>
      </c>
      <c r="G3158" s="1"/>
      <c r="H3158" t="s">
        <v>41</v>
      </c>
      <c r="I3158" s="2">
        <v>5780.06</v>
      </c>
      <c r="J3158" t="s">
        <v>1761</v>
      </c>
      <c r="K3158" s="7">
        <v>46054</v>
      </c>
    </row>
    <row r="3159" spans="1:11" hidden="1">
      <c r="A3159" t="s">
        <v>114</v>
      </c>
      <c r="B3159" t="s">
        <v>63</v>
      </c>
      <c r="C3159" t="s">
        <v>13</v>
      </c>
      <c r="E3159" t="s">
        <v>8</v>
      </c>
      <c r="F3159" s="1" t="s">
        <v>4</v>
      </c>
      <c r="G3159" s="1"/>
      <c r="H3159" t="s">
        <v>41</v>
      </c>
      <c r="I3159" s="2">
        <v>5451.45</v>
      </c>
      <c r="J3159" t="s">
        <v>1762</v>
      </c>
      <c r="K3159" s="7">
        <v>46054</v>
      </c>
    </row>
    <row r="3160" spans="1:11" hidden="1">
      <c r="A3160" t="s">
        <v>114</v>
      </c>
      <c r="B3160" t="s">
        <v>63</v>
      </c>
      <c r="C3160" t="s">
        <v>14</v>
      </c>
      <c r="E3160" t="s">
        <v>8</v>
      </c>
      <c r="F3160" s="1" t="s">
        <v>4</v>
      </c>
      <c r="G3160" s="1"/>
      <c r="H3160" t="s">
        <v>41</v>
      </c>
      <c r="I3160" s="2">
        <v>5421.32</v>
      </c>
      <c r="J3160" t="s">
        <v>133</v>
      </c>
      <c r="K3160" s="7">
        <v>46054</v>
      </c>
    </row>
    <row r="3161" spans="1:11" hidden="1">
      <c r="A3161" t="s">
        <v>39</v>
      </c>
      <c r="B3161" t="s">
        <v>40</v>
      </c>
      <c r="C3161" t="s">
        <v>14</v>
      </c>
      <c r="D3161">
        <v>10027711</v>
      </c>
      <c r="E3161" t="s">
        <v>9</v>
      </c>
      <c r="F3161" s="1" t="s">
        <v>3</v>
      </c>
      <c r="G3161" s="1">
        <v>45936</v>
      </c>
      <c r="H3161" t="s">
        <v>41</v>
      </c>
      <c r="I3161" s="2">
        <v>111</v>
      </c>
      <c r="J3161" t="s">
        <v>1685</v>
      </c>
      <c r="K3161" s="7">
        <v>45931</v>
      </c>
    </row>
    <row r="3162" spans="1:11" hidden="1">
      <c r="A3162" t="s">
        <v>39</v>
      </c>
      <c r="B3162" t="s">
        <v>45</v>
      </c>
      <c r="C3162" t="s">
        <v>14</v>
      </c>
      <c r="E3162" t="s">
        <v>9</v>
      </c>
      <c r="F3162" s="1" t="s">
        <v>4</v>
      </c>
      <c r="G3162" s="1">
        <v>46045</v>
      </c>
      <c r="H3162" t="s">
        <v>41</v>
      </c>
      <c r="I3162" s="2">
        <v>136911.67999999999</v>
      </c>
      <c r="J3162" t="s">
        <v>1763</v>
      </c>
      <c r="K3162" s="7">
        <v>46023</v>
      </c>
    </row>
    <row r="3163" spans="1:11" hidden="1">
      <c r="A3163" t="s">
        <v>39</v>
      </c>
      <c r="B3163" t="s">
        <v>63</v>
      </c>
      <c r="C3163" t="s">
        <v>14</v>
      </c>
      <c r="E3163" t="s">
        <v>8</v>
      </c>
      <c r="F3163" s="1" t="s">
        <v>4</v>
      </c>
      <c r="G3163" s="1"/>
      <c r="H3163" t="s">
        <v>41</v>
      </c>
      <c r="I3163" s="2">
        <v>4460</v>
      </c>
      <c r="J3163" t="s">
        <v>371</v>
      </c>
      <c r="K3163" s="7">
        <v>46054</v>
      </c>
    </row>
    <row r="3164" spans="1:11" hidden="1">
      <c r="A3164" t="s">
        <v>39</v>
      </c>
      <c r="B3164" t="s">
        <v>40</v>
      </c>
      <c r="C3164" t="s">
        <v>14</v>
      </c>
      <c r="E3164" t="s">
        <v>9</v>
      </c>
      <c r="F3164" s="1" t="s">
        <v>6</v>
      </c>
      <c r="G3164" s="1">
        <v>45804</v>
      </c>
      <c r="H3164" t="s">
        <v>41</v>
      </c>
      <c r="I3164" s="2">
        <v>109.49</v>
      </c>
      <c r="J3164" t="s">
        <v>1568</v>
      </c>
      <c r="K3164" s="7">
        <v>45778</v>
      </c>
    </row>
    <row r="3165" spans="1:11" hidden="1">
      <c r="A3165" t="s">
        <v>39</v>
      </c>
      <c r="B3165" t="s">
        <v>40</v>
      </c>
      <c r="C3165" t="s">
        <v>14</v>
      </c>
      <c r="E3165" t="s">
        <v>9</v>
      </c>
      <c r="F3165" s="1" t="s">
        <v>5</v>
      </c>
      <c r="G3165" s="1">
        <v>45797</v>
      </c>
      <c r="H3165" t="s">
        <v>41</v>
      </c>
      <c r="I3165" s="2">
        <f>54450/508</f>
        <v>107.18503937007874</v>
      </c>
      <c r="J3165" t="s">
        <v>1764</v>
      </c>
      <c r="K3165" s="7">
        <v>45778</v>
      </c>
    </row>
    <row r="3166" spans="1:11" hidden="1">
      <c r="A3166" t="s">
        <v>39</v>
      </c>
      <c r="B3166" t="s">
        <v>45</v>
      </c>
      <c r="C3166" t="s">
        <v>14</v>
      </c>
      <c r="E3166" t="s">
        <v>9</v>
      </c>
      <c r="F3166" s="1" t="s">
        <v>4</v>
      </c>
      <c r="G3166" s="1">
        <v>46045</v>
      </c>
      <c r="H3166" t="s">
        <v>41</v>
      </c>
      <c r="I3166" s="2">
        <v>60000</v>
      </c>
      <c r="J3166" t="s">
        <v>164</v>
      </c>
      <c r="K3166" s="7">
        <v>46023</v>
      </c>
    </row>
    <row r="3167" spans="1:11" hidden="1">
      <c r="A3167" t="s">
        <v>56</v>
      </c>
      <c r="B3167" t="s">
        <v>40</v>
      </c>
      <c r="C3167" t="s">
        <v>14</v>
      </c>
      <c r="D3167">
        <v>10878</v>
      </c>
      <c r="E3167" t="s">
        <v>9</v>
      </c>
      <c r="F3167" s="1" t="s">
        <v>4</v>
      </c>
      <c r="G3167" s="1">
        <v>46045</v>
      </c>
      <c r="H3167" t="s">
        <v>41</v>
      </c>
      <c r="I3167" s="2">
        <v>8000</v>
      </c>
      <c r="J3167" t="s">
        <v>1765</v>
      </c>
      <c r="K3167" s="7">
        <v>46023</v>
      </c>
    </row>
    <row r="3168" spans="1:11" hidden="1">
      <c r="A3168" t="s">
        <v>39</v>
      </c>
      <c r="B3168" t="s">
        <v>63</v>
      </c>
      <c r="C3168" t="s">
        <v>12</v>
      </c>
      <c r="E3168" t="s">
        <v>9</v>
      </c>
      <c r="F3168" s="1" t="s">
        <v>3</v>
      </c>
      <c r="G3168" s="1">
        <v>45909</v>
      </c>
      <c r="H3168" t="s">
        <v>64</v>
      </c>
      <c r="I3168" s="2">
        <v>101.7</v>
      </c>
      <c r="J3168" t="s">
        <v>1766</v>
      </c>
      <c r="K3168" s="7">
        <v>45901</v>
      </c>
    </row>
    <row r="3169" spans="1:11" hidden="1">
      <c r="A3169" t="s">
        <v>39</v>
      </c>
      <c r="B3169" t="s">
        <v>40</v>
      </c>
      <c r="C3169" t="s">
        <v>14</v>
      </c>
      <c r="E3169" t="s">
        <v>9</v>
      </c>
      <c r="F3169" s="1" t="s">
        <v>3</v>
      </c>
      <c r="G3169" s="1">
        <v>45910</v>
      </c>
      <c r="H3169" t="s">
        <v>64</v>
      </c>
      <c r="I3169" s="2">
        <f>51867/510</f>
        <v>101.7</v>
      </c>
      <c r="J3169" t="s">
        <v>1767</v>
      </c>
      <c r="K3169" s="7">
        <v>45901</v>
      </c>
    </row>
    <row r="3170" spans="1:11" hidden="1">
      <c r="A3170" t="s">
        <v>39</v>
      </c>
      <c r="B3170" t="s">
        <v>40</v>
      </c>
      <c r="C3170" t="s">
        <v>14</v>
      </c>
      <c r="E3170" t="s">
        <v>9</v>
      </c>
      <c r="F3170" s="1" t="s">
        <v>2</v>
      </c>
      <c r="G3170" s="1">
        <v>46031</v>
      </c>
      <c r="H3170" t="s">
        <v>64</v>
      </c>
      <c r="I3170" s="2">
        <f>50000/496</f>
        <v>100.80645161290323</v>
      </c>
      <c r="J3170" s="47" t="s">
        <v>1768</v>
      </c>
      <c r="K3170" s="7">
        <v>46023</v>
      </c>
    </row>
    <row r="3171" spans="1:11" hidden="1">
      <c r="A3171" t="s">
        <v>39</v>
      </c>
      <c r="B3171" t="s">
        <v>40</v>
      </c>
      <c r="C3171" t="s">
        <v>14</v>
      </c>
      <c r="E3171" t="s">
        <v>9</v>
      </c>
      <c r="F3171" s="1" t="s">
        <v>5</v>
      </c>
      <c r="G3171" s="1">
        <v>45834</v>
      </c>
      <c r="H3171" t="s">
        <v>41</v>
      </c>
      <c r="I3171" s="2">
        <v>100</v>
      </c>
      <c r="J3171" t="s">
        <v>310</v>
      </c>
      <c r="K3171" s="7">
        <v>45809</v>
      </c>
    </row>
    <row r="3172" spans="1:11" hidden="1">
      <c r="A3172" t="s">
        <v>39</v>
      </c>
      <c r="B3172" t="s">
        <v>40</v>
      </c>
      <c r="C3172" t="s">
        <v>14</v>
      </c>
      <c r="D3172">
        <v>10027027</v>
      </c>
      <c r="E3172" t="s">
        <v>9</v>
      </c>
      <c r="F3172" s="1" t="s">
        <v>3</v>
      </c>
      <c r="G3172" s="1">
        <v>45846</v>
      </c>
      <c r="H3172" t="s">
        <v>41</v>
      </c>
      <c r="I3172" s="2">
        <v>100</v>
      </c>
      <c r="J3172" t="s">
        <v>1769</v>
      </c>
      <c r="K3172" s="7">
        <v>45839</v>
      </c>
    </row>
    <row r="3173" spans="1:11" hidden="1">
      <c r="A3173" t="s">
        <v>39</v>
      </c>
      <c r="B3173" t="s">
        <v>40</v>
      </c>
      <c r="C3173" t="s">
        <v>14</v>
      </c>
      <c r="E3173" t="s">
        <v>9</v>
      </c>
      <c r="F3173" s="1" t="s">
        <v>4</v>
      </c>
      <c r="G3173" s="1">
        <v>46045</v>
      </c>
      <c r="H3173" t="s">
        <v>41</v>
      </c>
      <c r="I3173" s="2">
        <v>5920</v>
      </c>
      <c r="J3173" t="s">
        <v>1284</v>
      </c>
      <c r="K3173" s="7">
        <v>46023</v>
      </c>
    </row>
    <row r="3174" spans="1:11" hidden="1">
      <c r="A3174" t="s">
        <v>39</v>
      </c>
      <c r="B3174" t="s">
        <v>40</v>
      </c>
      <c r="C3174" t="s">
        <v>14</v>
      </c>
      <c r="E3174" t="s">
        <v>9</v>
      </c>
      <c r="F3174" s="1" t="s">
        <v>2</v>
      </c>
      <c r="G3174" s="1">
        <v>45874</v>
      </c>
      <c r="H3174" t="s">
        <v>41</v>
      </c>
      <c r="I3174" s="2">
        <v>100</v>
      </c>
      <c r="J3174" t="s">
        <v>1770</v>
      </c>
      <c r="K3174" s="7">
        <v>45870</v>
      </c>
    </row>
    <row r="3175" spans="1:11" hidden="1">
      <c r="A3175" t="s">
        <v>39</v>
      </c>
      <c r="B3175" t="s">
        <v>47</v>
      </c>
      <c r="C3175" t="s">
        <v>13</v>
      </c>
      <c r="E3175" t="s">
        <v>9</v>
      </c>
      <c r="F3175" s="1" t="s">
        <v>4</v>
      </c>
      <c r="G3175" s="1">
        <v>46045</v>
      </c>
      <c r="H3175" t="s">
        <v>41</v>
      </c>
      <c r="I3175" s="2">
        <v>5141.7</v>
      </c>
      <c r="J3175" t="s">
        <v>1771</v>
      </c>
      <c r="K3175" s="7">
        <v>46023</v>
      </c>
    </row>
    <row r="3176" spans="1:11" hidden="1">
      <c r="A3176" t="s">
        <v>39</v>
      </c>
      <c r="B3176" t="s">
        <v>40</v>
      </c>
      <c r="C3176" t="s">
        <v>14</v>
      </c>
      <c r="E3176" t="s">
        <v>9</v>
      </c>
      <c r="F3176" s="1" t="s">
        <v>3</v>
      </c>
      <c r="G3176" s="1">
        <v>45908</v>
      </c>
      <c r="H3176" t="s">
        <v>41</v>
      </c>
      <c r="I3176" s="2">
        <v>100</v>
      </c>
      <c r="J3176" t="s">
        <v>1772</v>
      </c>
      <c r="K3176" s="7">
        <v>45901</v>
      </c>
    </row>
    <row r="3177" spans="1:11" hidden="1">
      <c r="A3177" t="s">
        <v>39</v>
      </c>
      <c r="B3177" t="s">
        <v>40</v>
      </c>
      <c r="C3177" t="s">
        <v>14</v>
      </c>
      <c r="E3177" t="s">
        <v>9</v>
      </c>
      <c r="F3177" s="1" t="s">
        <v>3</v>
      </c>
      <c r="G3177" s="1">
        <v>45910</v>
      </c>
      <c r="H3177" t="s">
        <v>41</v>
      </c>
      <c r="I3177" s="2">
        <v>100</v>
      </c>
      <c r="J3177" t="s">
        <v>1773</v>
      </c>
      <c r="K3177" s="7">
        <v>45901</v>
      </c>
    </row>
    <row r="3178" spans="1:11" hidden="1">
      <c r="A3178" t="s">
        <v>39</v>
      </c>
      <c r="B3178" t="s">
        <v>63</v>
      </c>
      <c r="C3178" t="s">
        <v>14</v>
      </c>
      <c r="E3178" t="s">
        <v>9</v>
      </c>
      <c r="F3178" s="1" t="s">
        <v>4</v>
      </c>
      <c r="G3178" s="1">
        <v>46045</v>
      </c>
      <c r="H3178" t="s">
        <v>41</v>
      </c>
      <c r="I3178" s="2">
        <v>2285.9299999999998</v>
      </c>
      <c r="J3178" t="s">
        <v>595</v>
      </c>
      <c r="K3178" s="7">
        <v>46023</v>
      </c>
    </row>
    <row r="3179" spans="1:11" hidden="1">
      <c r="A3179" t="s">
        <v>39</v>
      </c>
      <c r="B3179" t="s">
        <v>47</v>
      </c>
      <c r="C3179" t="s">
        <v>14</v>
      </c>
      <c r="E3179" t="s">
        <v>9</v>
      </c>
      <c r="F3179" s="1" t="s">
        <v>4</v>
      </c>
      <c r="G3179" s="1">
        <v>46045</v>
      </c>
      <c r="H3179" t="s">
        <v>41</v>
      </c>
      <c r="I3179" s="2">
        <v>2270.48</v>
      </c>
      <c r="J3179" t="s">
        <v>578</v>
      </c>
      <c r="K3179" s="7">
        <v>46023</v>
      </c>
    </row>
    <row r="3180" spans="1:11" hidden="1">
      <c r="A3180" t="s">
        <v>39</v>
      </c>
      <c r="B3180" t="s">
        <v>40</v>
      </c>
      <c r="C3180" t="s">
        <v>14</v>
      </c>
      <c r="D3180">
        <v>10027680</v>
      </c>
      <c r="E3180" t="s">
        <v>9</v>
      </c>
      <c r="F3180" s="1" t="s">
        <v>5</v>
      </c>
      <c r="G3180" s="1">
        <v>45922</v>
      </c>
      <c r="H3180" t="s">
        <v>41</v>
      </c>
      <c r="I3180" s="2">
        <v>100</v>
      </c>
      <c r="J3180" t="s">
        <v>1774</v>
      </c>
      <c r="K3180" s="7">
        <v>45901</v>
      </c>
    </row>
    <row r="3181" spans="1:11" hidden="1">
      <c r="A3181" t="s">
        <v>39</v>
      </c>
      <c r="B3181" t="s">
        <v>40</v>
      </c>
      <c r="C3181" t="s">
        <v>14</v>
      </c>
      <c r="E3181" t="s">
        <v>9</v>
      </c>
      <c r="F3181" s="1" t="s">
        <v>5</v>
      </c>
      <c r="G3181" s="1">
        <v>45925</v>
      </c>
      <c r="H3181" t="s">
        <v>41</v>
      </c>
      <c r="I3181" s="2">
        <v>100</v>
      </c>
      <c r="J3181" t="s">
        <v>1775</v>
      </c>
      <c r="K3181" s="7">
        <v>45901</v>
      </c>
    </row>
    <row r="3182" spans="1:11" hidden="1">
      <c r="A3182" t="s">
        <v>39</v>
      </c>
      <c r="B3182" t="s">
        <v>40</v>
      </c>
      <c r="C3182" t="s">
        <v>14</v>
      </c>
      <c r="D3182">
        <v>10027630</v>
      </c>
      <c r="E3182" t="s">
        <v>9</v>
      </c>
      <c r="F3182" s="1" t="s">
        <v>5</v>
      </c>
      <c r="G3182" s="1">
        <v>45926</v>
      </c>
      <c r="H3182" t="s">
        <v>41</v>
      </c>
      <c r="I3182" s="2">
        <v>100</v>
      </c>
      <c r="J3182" t="s">
        <v>1776</v>
      </c>
      <c r="K3182" s="7">
        <v>45901</v>
      </c>
    </row>
    <row r="3183" spans="1:11" hidden="1">
      <c r="A3183" t="s">
        <v>39</v>
      </c>
      <c r="B3183" t="s">
        <v>40</v>
      </c>
      <c r="C3183" t="s">
        <v>14</v>
      </c>
      <c r="D3183">
        <v>10027773</v>
      </c>
      <c r="E3183" t="s">
        <v>9</v>
      </c>
      <c r="F3183" s="1" t="s">
        <v>6</v>
      </c>
      <c r="G3183" s="1">
        <v>45929</v>
      </c>
      <c r="H3183" t="s">
        <v>41</v>
      </c>
      <c r="I3183" s="2">
        <v>100</v>
      </c>
      <c r="J3183" t="s">
        <v>1751</v>
      </c>
      <c r="K3183" s="7">
        <v>45901</v>
      </c>
    </row>
    <row r="3184" spans="1:11" hidden="1">
      <c r="A3184" t="s">
        <v>39</v>
      </c>
      <c r="B3184" t="s">
        <v>40</v>
      </c>
      <c r="C3184" t="s">
        <v>14</v>
      </c>
      <c r="D3184">
        <v>10027677</v>
      </c>
      <c r="E3184" t="s">
        <v>9</v>
      </c>
      <c r="F3184" s="1" t="s">
        <v>6</v>
      </c>
      <c r="G3184" s="1">
        <v>45930</v>
      </c>
      <c r="H3184" t="s">
        <v>41</v>
      </c>
      <c r="I3184" s="2">
        <v>100</v>
      </c>
      <c r="J3184" t="s">
        <v>1062</v>
      </c>
      <c r="K3184" s="7">
        <v>45901</v>
      </c>
    </row>
    <row r="3185" spans="1:11" hidden="1">
      <c r="A3185" t="s">
        <v>39</v>
      </c>
      <c r="B3185" t="s">
        <v>40</v>
      </c>
      <c r="C3185" t="s">
        <v>14</v>
      </c>
      <c r="D3185">
        <v>10027734</v>
      </c>
      <c r="E3185" t="s">
        <v>9</v>
      </c>
      <c r="F3185" s="1" t="s">
        <v>3</v>
      </c>
      <c r="G3185" s="1">
        <v>45939</v>
      </c>
      <c r="H3185" t="s">
        <v>41</v>
      </c>
      <c r="I3185" s="2">
        <v>100</v>
      </c>
      <c r="J3185" t="s">
        <v>1777</v>
      </c>
      <c r="K3185" s="7">
        <v>45931</v>
      </c>
    </row>
    <row r="3186" spans="1:11" hidden="1">
      <c r="A3186" t="s">
        <v>39</v>
      </c>
      <c r="B3186" t="s">
        <v>47</v>
      </c>
      <c r="C3186" t="s">
        <v>14</v>
      </c>
      <c r="E3186" t="s">
        <v>9</v>
      </c>
      <c r="F3186" s="1" t="s">
        <v>4</v>
      </c>
      <c r="G3186" s="1">
        <v>46045</v>
      </c>
      <c r="H3186" t="s">
        <v>41</v>
      </c>
      <c r="I3186" s="2">
        <v>1490.13</v>
      </c>
      <c r="J3186" t="s">
        <v>1778</v>
      </c>
      <c r="K3186" s="7">
        <v>46023</v>
      </c>
    </row>
    <row r="3187" spans="1:11" hidden="1">
      <c r="A3187" t="s">
        <v>56</v>
      </c>
      <c r="B3187" t="s">
        <v>40</v>
      </c>
      <c r="C3187" t="s">
        <v>14</v>
      </c>
      <c r="E3187" t="s">
        <v>9</v>
      </c>
      <c r="F3187" s="1" t="s">
        <v>4</v>
      </c>
      <c r="G3187" s="1">
        <v>46045</v>
      </c>
      <c r="H3187" t="s">
        <v>41</v>
      </c>
      <c r="I3187" s="2">
        <v>1000</v>
      </c>
      <c r="J3187" s="47" t="s">
        <v>283</v>
      </c>
      <c r="K3187" s="7">
        <v>46023</v>
      </c>
    </row>
    <row r="3188" spans="1:11" hidden="1">
      <c r="A3188" t="s">
        <v>39</v>
      </c>
      <c r="B3188" t="s">
        <v>40</v>
      </c>
      <c r="C3188" t="s">
        <v>14</v>
      </c>
      <c r="E3188" t="s">
        <v>9</v>
      </c>
      <c r="F3188" s="1" t="s">
        <v>5</v>
      </c>
      <c r="G3188" s="1">
        <v>45986</v>
      </c>
      <c r="H3188" t="s">
        <v>41</v>
      </c>
      <c r="I3188" s="2">
        <v>100</v>
      </c>
      <c r="J3188" t="s">
        <v>1779</v>
      </c>
      <c r="K3188" s="7">
        <v>45962</v>
      </c>
    </row>
    <row r="3189" spans="1:11" hidden="1">
      <c r="A3189" t="s">
        <v>114</v>
      </c>
      <c r="B3189" t="s">
        <v>63</v>
      </c>
      <c r="C3189" t="s">
        <v>13</v>
      </c>
      <c r="E3189" t="s">
        <v>8</v>
      </c>
      <c r="F3189" s="1" t="s">
        <v>5</v>
      </c>
      <c r="G3189" s="1"/>
      <c r="H3189" t="s">
        <v>41</v>
      </c>
      <c r="I3189" s="2">
        <v>4153.4399999999996</v>
      </c>
      <c r="J3189" t="s">
        <v>156</v>
      </c>
      <c r="K3189" s="7">
        <v>46054</v>
      </c>
    </row>
    <row r="3190" spans="1:11" hidden="1">
      <c r="A3190" t="s">
        <v>39</v>
      </c>
      <c r="B3190" t="s">
        <v>63</v>
      </c>
      <c r="C3190" t="s">
        <v>13</v>
      </c>
      <c r="E3190" t="s">
        <v>8</v>
      </c>
      <c r="F3190" s="1" t="s">
        <v>5</v>
      </c>
      <c r="G3190" s="1"/>
      <c r="H3190" t="s">
        <v>41</v>
      </c>
      <c r="I3190" s="2">
        <v>4082.49</v>
      </c>
      <c r="J3190" t="s">
        <v>537</v>
      </c>
      <c r="K3190" s="7">
        <v>46054</v>
      </c>
    </row>
    <row r="3191" spans="1:11" hidden="1">
      <c r="A3191" t="s">
        <v>114</v>
      </c>
      <c r="B3191" t="s">
        <v>63</v>
      </c>
      <c r="C3191" t="s">
        <v>13</v>
      </c>
      <c r="E3191" t="s">
        <v>8</v>
      </c>
      <c r="F3191" s="1" t="s">
        <v>5</v>
      </c>
      <c r="G3191" s="1"/>
      <c r="H3191" t="s">
        <v>41</v>
      </c>
      <c r="I3191" s="2">
        <v>4074.02</v>
      </c>
      <c r="J3191" t="s">
        <v>156</v>
      </c>
      <c r="K3191" s="7">
        <v>46054</v>
      </c>
    </row>
    <row r="3192" spans="1:11" hidden="1">
      <c r="A3192" t="s">
        <v>114</v>
      </c>
      <c r="B3192" t="s">
        <v>63</v>
      </c>
      <c r="C3192" t="s">
        <v>14</v>
      </c>
      <c r="E3192" t="s">
        <v>8</v>
      </c>
      <c r="F3192" s="1" t="s">
        <v>5</v>
      </c>
      <c r="G3192" s="1"/>
      <c r="H3192" t="s">
        <v>41</v>
      </c>
      <c r="I3192" s="2">
        <v>3922.94</v>
      </c>
      <c r="J3192" t="s">
        <v>1756</v>
      </c>
      <c r="K3192" s="7">
        <v>46054</v>
      </c>
    </row>
    <row r="3193" spans="1:11" hidden="1">
      <c r="A3193" t="s">
        <v>39</v>
      </c>
      <c r="B3193" t="s">
        <v>40</v>
      </c>
      <c r="C3193" t="s">
        <v>14</v>
      </c>
      <c r="E3193" t="s">
        <v>9</v>
      </c>
      <c r="F3193" s="1" t="s">
        <v>2</v>
      </c>
      <c r="G3193" s="1">
        <v>45993</v>
      </c>
      <c r="H3193" t="s">
        <v>41</v>
      </c>
      <c r="I3193" s="2">
        <v>100</v>
      </c>
      <c r="J3193" s="47" t="s">
        <v>1779</v>
      </c>
      <c r="K3193" s="7">
        <v>45992</v>
      </c>
    </row>
    <row r="3194" spans="1:11" hidden="1">
      <c r="A3194" t="s">
        <v>39</v>
      </c>
      <c r="B3194" t="s">
        <v>40</v>
      </c>
      <c r="C3194" t="s">
        <v>14</v>
      </c>
      <c r="E3194" t="s">
        <v>9</v>
      </c>
      <c r="F3194" s="1" t="s">
        <v>2</v>
      </c>
      <c r="G3194" s="1">
        <v>45994</v>
      </c>
      <c r="H3194" t="s">
        <v>41</v>
      </c>
      <c r="I3194" s="2">
        <v>100</v>
      </c>
      <c r="J3194" t="s">
        <v>1779</v>
      </c>
      <c r="K3194" s="7">
        <v>45992</v>
      </c>
    </row>
    <row r="3195" spans="1:11" hidden="1">
      <c r="A3195" t="s">
        <v>39</v>
      </c>
      <c r="B3195" t="s">
        <v>40</v>
      </c>
      <c r="C3195" t="s">
        <v>14</v>
      </c>
      <c r="E3195" t="s">
        <v>9</v>
      </c>
      <c r="F3195" s="1" t="s">
        <v>3</v>
      </c>
      <c r="G3195" s="1">
        <v>46000</v>
      </c>
      <c r="H3195" t="s">
        <v>41</v>
      </c>
      <c r="I3195" s="2">
        <v>100</v>
      </c>
      <c r="J3195" t="s">
        <v>1780</v>
      </c>
      <c r="K3195" s="7">
        <v>45992</v>
      </c>
    </row>
    <row r="3196" spans="1:11" hidden="1">
      <c r="A3196" t="s">
        <v>39</v>
      </c>
      <c r="B3196" t="s">
        <v>40</v>
      </c>
      <c r="C3196" t="s">
        <v>14</v>
      </c>
      <c r="E3196" t="s">
        <v>9</v>
      </c>
      <c r="F3196" s="1" t="s">
        <v>4</v>
      </c>
      <c r="G3196" s="1">
        <v>46045</v>
      </c>
      <c r="H3196" t="s">
        <v>41</v>
      </c>
      <c r="I3196" s="2">
        <v>1000</v>
      </c>
      <c r="J3196" t="s">
        <v>1781</v>
      </c>
      <c r="K3196" s="7">
        <v>46023</v>
      </c>
    </row>
    <row r="3197" spans="1:11" hidden="1">
      <c r="A3197" t="s">
        <v>39</v>
      </c>
      <c r="B3197" t="s">
        <v>40</v>
      </c>
      <c r="C3197" t="s">
        <v>14</v>
      </c>
      <c r="E3197" t="s">
        <v>9</v>
      </c>
      <c r="F3197" s="1" t="s">
        <v>4</v>
      </c>
      <c r="G3197" s="1">
        <v>46045</v>
      </c>
      <c r="H3197" t="s">
        <v>41</v>
      </c>
      <c r="I3197" s="2">
        <v>110</v>
      </c>
      <c r="J3197" t="s">
        <v>1782</v>
      </c>
      <c r="K3197" s="7">
        <v>46023</v>
      </c>
    </row>
    <row r="3198" spans="1:11" hidden="1">
      <c r="A3198" t="s">
        <v>39</v>
      </c>
      <c r="B3198" t="s">
        <v>40</v>
      </c>
      <c r="C3198" t="s">
        <v>14</v>
      </c>
      <c r="E3198" t="s">
        <v>9</v>
      </c>
      <c r="F3198" s="1" t="s">
        <v>5</v>
      </c>
      <c r="G3198" s="1">
        <v>46049</v>
      </c>
      <c r="H3198" t="s">
        <v>41</v>
      </c>
      <c r="I3198" s="2">
        <v>100</v>
      </c>
      <c r="J3198" s="47" t="s">
        <v>283</v>
      </c>
      <c r="K3198" s="7">
        <v>46023</v>
      </c>
    </row>
    <row r="3199" spans="1:11" hidden="1">
      <c r="A3199" t="s">
        <v>39</v>
      </c>
      <c r="B3199" t="s">
        <v>40</v>
      </c>
      <c r="C3199" t="s">
        <v>14</v>
      </c>
      <c r="D3199">
        <v>10027896</v>
      </c>
      <c r="E3199" t="s">
        <v>9</v>
      </c>
      <c r="F3199" s="1" t="s">
        <v>2</v>
      </c>
      <c r="G3199" s="1">
        <v>45966</v>
      </c>
      <c r="H3199" t="s">
        <v>64</v>
      </c>
      <c r="I3199" s="2">
        <f>50550/510</f>
        <v>99.117647058823536</v>
      </c>
      <c r="J3199" t="s">
        <v>1754</v>
      </c>
      <c r="K3199" s="7">
        <v>45962</v>
      </c>
    </row>
    <row r="3200" spans="1:11" hidden="1">
      <c r="A3200" t="s">
        <v>39</v>
      </c>
      <c r="B3200" t="s">
        <v>45</v>
      </c>
      <c r="C3200" t="s">
        <v>12</v>
      </c>
      <c r="E3200" t="s">
        <v>9</v>
      </c>
      <c r="F3200" s="1" t="s">
        <v>2</v>
      </c>
      <c r="G3200" s="1">
        <v>45873</v>
      </c>
      <c r="H3200" t="s">
        <v>64</v>
      </c>
      <c r="I3200" s="2">
        <f>50000/510</f>
        <v>98.039215686274517</v>
      </c>
      <c r="J3200" s="47" t="s">
        <v>283</v>
      </c>
      <c r="K3200" s="7">
        <v>45870</v>
      </c>
    </row>
    <row r="3201" spans="1:11" hidden="1">
      <c r="A3201" t="s">
        <v>39</v>
      </c>
      <c r="B3201" t="s">
        <v>47</v>
      </c>
      <c r="C3201" t="s">
        <v>14</v>
      </c>
      <c r="E3201" t="s">
        <v>9</v>
      </c>
      <c r="F3201" s="1" t="s">
        <v>4</v>
      </c>
      <c r="G3201" s="1">
        <v>46045</v>
      </c>
      <c r="H3201" t="s">
        <v>41</v>
      </c>
      <c r="I3201" s="2">
        <v>80.459999999999994</v>
      </c>
      <c r="J3201" t="s">
        <v>1783</v>
      </c>
      <c r="K3201" s="7">
        <v>46023</v>
      </c>
    </row>
    <row r="3202" spans="1:11" hidden="1">
      <c r="A3202" t="s">
        <v>99</v>
      </c>
      <c r="B3202" t="s">
        <v>63</v>
      </c>
      <c r="C3202" t="s">
        <v>14</v>
      </c>
      <c r="E3202" t="s">
        <v>9</v>
      </c>
      <c r="F3202" s="1" t="s">
        <v>4</v>
      </c>
      <c r="G3202" s="1">
        <v>46046</v>
      </c>
      <c r="H3202" t="s">
        <v>41</v>
      </c>
      <c r="I3202" s="2">
        <v>9132.08</v>
      </c>
      <c r="J3202" t="s">
        <v>1628</v>
      </c>
      <c r="K3202" s="7">
        <v>46023</v>
      </c>
    </row>
    <row r="3203" spans="1:11" hidden="1">
      <c r="A3203" t="s">
        <v>39</v>
      </c>
      <c r="B3203" t="s">
        <v>40</v>
      </c>
      <c r="C3203" t="s">
        <v>14</v>
      </c>
      <c r="E3203" t="s">
        <v>9</v>
      </c>
      <c r="F3203" s="1" t="s">
        <v>2</v>
      </c>
      <c r="G3203" s="1">
        <v>45996</v>
      </c>
      <c r="H3203" t="s">
        <v>41</v>
      </c>
      <c r="I3203" s="2">
        <v>95.5</v>
      </c>
      <c r="J3203" s="47" t="s">
        <v>1784</v>
      </c>
      <c r="K3203" s="7">
        <v>45992</v>
      </c>
    </row>
    <row r="3204" spans="1:11" hidden="1">
      <c r="A3204" t="s">
        <v>99</v>
      </c>
      <c r="B3204" t="s">
        <v>63</v>
      </c>
      <c r="C3204" t="s">
        <v>14</v>
      </c>
      <c r="E3204" t="s">
        <v>8</v>
      </c>
      <c r="F3204" s="1" t="s">
        <v>3</v>
      </c>
      <c r="G3204" s="1">
        <v>46066</v>
      </c>
      <c r="H3204" t="s">
        <v>41</v>
      </c>
      <c r="I3204" s="2">
        <v>20000</v>
      </c>
      <c r="J3204" t="s">
        <v>499</v>
      </c>
      <c r="K3204" s="7">
        <v>46054</v>
      </c>
    </row>
    <row r="3205" spans="1:11">
      <c r="A3205" t="s">
        <v>39</v>
      </c>
      <c r="B3205" t="s">
        <v>47</v>
      </c>
      <c r="C3205" t="s">
        <v>12</v>
      </c>
      <c r="E3205" t="s">
        <v>8</v>
      </c>
      <c r="F3205" s="1" t="s">
        <v>3</v>
      </c>
      <c r="G3205" s="1"/>
      <c r="H3205" t="s">
        <v>41</v>
      </c>
      <c r="I3205" s="2">
        <v>268167</v>
      </c>
      <c r="J3205" t="s">
        <v>371</v>
      </c>
      <c r="K3205" s="7">
        <v>46054</v>
      </c>
    </row>
    <row r="3206" spans="1:11" hidden="1">
      <c r="A3206" t="s">
        <v>39</v>
      </c>
      <c r="B3206" t="s">
        <v>45</v>
      </c>
      <c r="C3206" t="s">
        <v>12</v>
      </c>
      <c r="E3206" t="s">
        <v>8</v>
      </c>
      <c r="F3206" s="1" t="s">
        <v>3</v>
      </c>
      <c r="G3206" s="1"/>
      <c r="H3206" t="s">
        <v>41</v>
      </c>
      <c r="I3206" s="2">
        <v>187838.41</v>
      </c>
      <c r="J3206" t="s">
        <v>51</v>
      </c>
      <c r="K3206" s="7">
        <v>46054</v>
      </c>
    </row>
    <row r="3207" spans="1:11" hidden="1">
      <c r="A3207" t="s">
        <v>39</v>
      </c>
      <c r="B3207" t="s">
        <v>40</v>
      </c>
      <c r="C3207" t="s">
        <v>14</v>
      </c>
      <c r="E3207" t="s">
        <v>8</v>
      </c>
      <c r="F3207" s="1" t="s">
        <v>3</v>
      </c>
      <c r="G3207" s="1"/>
      <c r="H3207" t="s">
        <v>41</v>
      </c>
      <c r="I3207" s="2">
        <v>60000</v>
      </c>
      <c r="J3207" t="s">
        <v>1488</v>
      </c>
      <c r="K3207" s="7">
        <v>46054</v>
      </c>
    </row>
    <row r="3208" spans="1:11" hidden="1">
      <c r="A3208" t="s">
        <v>114</v>
      </c>
      <c r="B3208" t="s">
        <v>63</v>
      </c>
      <c r="C3208" t="s">
        <v>14</v>
      </c>
      <c r="E3208" t="s">
        <v>8</v>
      </c>
      <c r="F3208" s="1" t="s">
        <v>3</v>
      </c>
      <c r="G3208" s="1"/>
      <c r="H3208" t="s">
        <v>41</v>
      </c>
      <c r="I3208" s="2">
        <v>54011.92</v>
      </c>
      <c r="J3208" t="s">
        <v>1785</v>
      </c>
      <c r="K3208" s="7">
        <v>46054</v>
      </c>
    </row>
    <row r="3209" spans="1:11">
      <c r="A3209" t="s">
        <v>39</v>
      </c>
      <c r="B3209" t="s">
        <v>47</v>
      </c>
      <c r="C3209" t="s">
        <v>14</v>
      </c>
      <c r="E3209" t="s">
        <v>8</v>
      </c>
      <c r="F3209" s="1" t="s">
        <v>3</v>
      </c>
      <c r="G3209" s="1"/>
      <c r="H3209" t="s">
        <v>41</v>
      </c>
      <c r="I3209" s="2">
        <v>50544.13</v>
      </c>
      <c r="J3209" t="s">
        <v>1786</v>
      </c>
      <c r="K3209" s="7">
        <v>46054</v>
      </c>
    </row>
    <row r="3210" spans="1:11" hidden="1">
      <c r="A3210" t="s">
        <v>39</v>
      </c>
      <c r="B3210" t="s">
        <v>45</v>
      </c>
      <c r="C3210" t="s">
        <v>14</v>
      </c>
      <c r="E3210" t="s">
        <v>8</v>
      </c>
      <c r="F3210" s="1" t="s">
        <v>3</v>
      </c>
      <c r="G3210" s="1"/>
      <c r="H3210" t="s">
        <v>41</v>
      </c>
      <c r="I3210" s="2">
        <v>46109</v>
      </c>
      <c r="J3210" t="s">
        <v>1787</v>
      </c>
      <c r="K3210" s="7">
        <v>46054</v>
      </c>
    </row>
    <row r="3211" spans="1:11" hidden="1">
      <c r="A3211" t="s">
        <v>56</v>
      </c>
      <c r="B3211" t="s">
        <v>40</v>
      </c>
      <c r="C3211" t="s">
        <v>14</v>
      </c>
      <c r="E3211" t="s">
        <v>8</v>
      </c>
      <c r="F3211" s="1" t="s">
        <v>3</v>
      </c>
      <c r="G3211" s="1"/>
      <c r="H3211" t="s">
        <v>41</v>
      </c>
      <c r="I3211" s="2">
        <v>25000</v>
      </c>
      <c r="J3211" t="s">
        <v>1489</v>
      </c>
      <c r="K3211" s="7">
        <v>46054</v>
      </c>
    </row>
    <row r="3212" spans="1:11" hidden="1">
      <c r="A3212" t="s">
        <v>39</v>
      </c>
      <c r="B3212" t="s">
        <v>63</v>
      </c>
      <c r="C3212" t="s">
        <v>13</v>
      </c>
      <c r="E3212" t="s">
        <v>8</v>
      </c>
      <c r="F3212" s="1" t="s">
        <v>3</v>
      </c>
      <c r="G3212" s="1"/>
      <c r="H3212" t="s">
        <v>41</v>
      </c>
      <c r="I3212" s="2">
        <v>25000</v>
      </c>
      <c r="J3212" t="s">
        <v>201</v>
      </c>
      <c r="K3212" s="7">
        <v>46054</v>
      </c>
    </row>
    <row r="3213" spans="1:11" hidden="1">
      <c r="A3213" t="s">
        <v>39</v>
      </c>
      <c r="B3213" t="s">
        <v>63</v>
      </c>
      <c r="C3213" t="s">
        <v>13</v>
      </c>
      <c r="E3213" t="s">
        <v>8</v>
      </c>
      <c r="F3213" s="1" t="s">
        <v>3</v>
      </c>
      <c r="G3213" s="1"/>
      <c r="H3213" t="s">
        <v>41</v>
      </c>
      <c r="I3213" s="2">
        <v>24118.97</v>
      </c>
      <c r="J3213" t="s">
        <v>241</v>
      </c>
      <c r="K3213" s="7">
        <v>46054</v>
      </c>
    </row>
    <row r="3214" spans="1:11">
      <c r="A3214" t="s">
        <v>39</v>
      </c>
      <c r="B3214" t="s">
        <v>47</v>
      </c>
      <c r="C3214" t="s">
        <v>13</v>
      </c>
      <c r="E3214" t="s">
        <v>8</v>
      </c>
      <c r="F3214" s="1" t="s">
        <v>3</v>
      </c>
      <c r="G3214" s="1"/>
      <c r="H3214" t="s">
        <v>41</v>
      </c>
      <c r="I3214" s="2">
        <v>19875.95</v>
      </c>
      <c r="J3214" t="s">
        <v>595</v>
      </c>
      <c r="K3214" s="7">
        <v>46054</v>
      </c>
    </row>
    <row r="3215" spans="1:11" hidden="1">
      <c r="A3215" t="s">
        <v>39</v>
      </c>
      <c r="B3215" t="s">
        <v>63</v>
      </c>
      <c r="C3215" t="s">
        <v>14</v>
      </c>
      <c r="E3215" t="s">
        <v>8</v>
      </c>
      <c r="F3215" s="1" t="s">
        <v>3</v>
      </c>
      <c r="G3215" s="1"/>
      <c r="H3215" t="s">
        <v>41</v>
      </c>
      <c r="I3215" s="2">
        <v>16082.59</v>
      </c>
      <c r="J3215" t="s">
        <v>595</v>
      </c>
      <c r="K3215" s="7">
        <v>46054</v>
      </c>
    </row>
    <row r="3216" spans="1:11" hidden="1">
      <c r="A3216" t="s">
        <v>39</v>
      </c>
      <c r="B3216" t="s">
        <v>45</v>
      </c>
      <c r="C3216" t="s">
        <v>13</v>
      </c>
      <c r="E3216" t="s">
        <v>8</v>
      </c>
      <c r="F3216" s="1" t="s">
        <v>3</v>
      </c>
      <c r="G3216" s="1"/>
      <c r="H3216" t="s">
        <v>41</v>
      </c>
      <c r="I3216" s="2">
        <v>12232</v>
      </c>
      <c r="J3216" t="s">
        <v>1788</v>
      </c>
      <c r="K3216" s="7">
        <v>46054</v>
      </c>
    </row>
    <row r="3217" spans="1:11" hidden="1">
      <c r="A3217" t="s">
        <v>39</v>
      </c>
      <c r="B3217" t="s">
        <v>63</v>
      </c>
      <c r="C3217" t="s">
        <v>14</v>
      </c>
      <c r="E3217" t="s">
        <v>8</v>
      </c>
      <c r="F3217" s="1" t="s">
        <v>3</v>
      </c>
      <c r="G3217" s="1"/>
      <c r="H3217" t="s">
        <v>41</v>
      </c>
      <c r="I3217" s="2">
        <v>8321.5300000000007</v>
      </c>
      <c r="J3217" t="s">
        <v>1333</v>
      </c>
      <c r="K3217" s="7">
        <v>46054</v>
      </c>
    </row>
    <row r="3218" spans="1:11" hidden="1">
      <c r="A3218" t="s">
        <v>39</v>
      </c>
      <c r="B3218" t="s">
        <v>40</v>
      </c>
      <c r="C3218" t="s">
        <v>14</v>
      </c>
      <c r="E3218" t="s">
        <v>9</v>
      </c>
      <c r="F3218" s="1" t="s">
        <v>2</v>
      </c>
      <c r="G3218" s="1">
        <v>45996</v>
      </c>
      <c r="H3218" t="s">
        <v>41</v>
      </c>
      <c r="I3218" s="2">
        <v>95.5</v>
      </c>
      <c r="J3218" s="47" t="s">
        <v>1784</v>
      </c>
      <c r="K3218" s="7">
        <v>45992</v>
      </c>
    </row>
    <row r="3219" spans="1:11" hidden="1">
      <c r="A3219" t="s">
        <v>39</v>
      </c>
      <c r="B3219" t="s">
        <v>47</v>
      </c>
      <c r="C3219" t="s">
        <v>14</v>
      </c>
      <c r="E3219" t="s">
        <v>9</v>
      </c>
      <c r="F3219" s="1" t="s">
        <v>3</v>
      </c>
      <c r="G3219" s="1">
        <v>45939</v>
      </c>
      <c r="H3219" t="s">
        <v>41</v>
      </c>
      <c r="I3219" s="2">
        <v>92.07</v>
      </c>
      <c r="J3219" t="s">
        <v>194</v>
      </c>
      <c r="K3219" s="7">
        <v>45931</v>
      </c>
    </row>
    <row r="3220" spans="1:11" hidden="1">
      <c r="A3220" t="s">
        <v>39</v>
      </c>
      <c r="B3220" t="s">
        <v>45</v>
      </c>
      <c r="C3220" t="s">
        <v>14</v>
      </c>
      <c r="E3220" t="s">
        <v>9</v>
      </c>
      <c r="F3220" s="1" t="s">
        <v>2</v>
      </c>
      <c r="G3220" s="1">
        <v>45932</v>
      </c>
      <c r="H3220" t="s">
        <v>41</v>
      </c>
      <c r="I3220" s="2">
        <v>91.2</v>
      </c>
      <c r="J3220" t="s">
        <v>1789</v>
      </c>
      <c r="K3220" s="7">
        <v>45931</v>
      </c>
    </row>
    <row r="3221" spans="1:11" hidden="1">
      <c r="A3221" t="s">
        <v>39</v>
      </c>
      <c r="B3221" t="s">
        <v>40</v>
      </c>
      <c r="C3221" t="s">
        <v>14</v>
      </c>
      <c r="E3221" t="s">
        <v>9</v>
      </c>
      <c r="F3221" s="1" t="s">
        <v>6</v>
      </c>
      <c r="G3221" s="1">
        <v>45868</v>
      </c>
      <c r="H3221" t="s">
        <v>41</v>
      </c>
      <c r="I3221" s="2">
        <v>82.44</v>
      </c>
      <c r="J3221" t="s">
        <v>1790</v>
      </c>
      <c r="K3221" s="7">
        <v>45839</v>
      </c>
    </row>
    <row r="3222" spans="1:11" hidden="1">
      <c r="A3222" t="s">
        <v>114</v>
      </c>
      <c r="B3222" t="s">
        <v>63</v>
      </c>
      <c r="C3222" t="s">
        <v>14</v>
      </c>
      <c r="D3222">
        <v>15167</v>
      </c>
      <c r="E3222" t="s">
        <v>9</v>
      </c>
      <c r="F3222" s="1" t="s">
        <v>3</v>
      </c>
      <c r="G3222" s="1">
        <v>45820</v>
      </c>
      <c r="H3222" t="s">
        <v>41</v>
      </c>
      <c r="I3222" s="2">
        <v>81.239999999999995</v>
      </c>
      <c r="J3222" t="s">
        <v>254</v>
      </c>
      <c r="K3222" s="7">
        <v>45809</v>
      </c>
    </row>
    <row r="3223" spans="1:11" hidden="1">
      <c r="A3223" t="s">
        <v>39</v>
      </c>
      <c r="B3223" t="s">
        <v>40</v>
      </c>
      <c r="C3223" t="s">
        <v>14</v>
      </c>
      <c r="D3223">
        <v>10028359</v>
      </c>
      <c r="E3223" t="s">
        <v>9</v>
      </c>
      <c r="F3223" s="1" t="s">
        <v>4</v>
      </c>
      <c r="G3223" s="1">
        <v>46046</v>
      </c>
      <c r="H3223" t="s">
        <v>41</v>
      </c>
      <c r="I3223" s="2">
        <v>5008</v>
      </c>
      <c r="J3223" t="s">
        <v>1299</v>
      </c>
      <c r="K3223" s="7">
        <v>46023</v>
      </c>
    </row>
    <row r="3224" spans="1:11" hidden="1">
      <c r="A3224" t="s">
        <v>39</v>
      </c>
      <c r="B3224" t="s">
        <v>40</v>
      </c>
      <c r="C3224" t="s">
        <v>14</v>
      </c>
      <c r="D3224">
        <v>10028364</v>
      </c>
      <c r="E3224" t="s">
        <v>9</v>
      </c>
      <c r="F3224" s="1" t="s">
        <v>4</v>
      </c>
      <c r="G3224" s="1">
        <v>46046</v>
      </c>
      <c r="H3224" t="s">
        <v>41</v>
      </c>
      <c r="I3224" s="2">
        <v>537</v>
      </c>
      <c r="J3224" t="s">
        <v>1791</v>
      </c>
      <c r="K3224" s="7">
        <v>46023</v>
      </c>
    </row>
    <row r="3225" spans="1:11" hidden="1">
      <c r="A3225" t="s">
        <v>39</v>
      </c>
      <c r="B3225" t="s">
        <v>45</v>
      </c>
      <c r="C3225" t="s">
        <v>14</v>
      </c>
      <c r="E3225" t="s">
        <v>9</v>
      </c>
      <c r="F3225" s="1" t="s">
        <v>4</v>
      </c>
      <c r="G3225" s="1">
        <v>46048</v>
      </c>
      <c r="H3225" t="s">
        <v>41</v>
      </c>
      <c r="I3225" s="2">
        <v>1356</v>
      </c>
      <c r="J3225" t="s">
        <v>1792</v>
      </c>
      <c r="K3225" s="7">
        <v>46023</v>
      </c>
    </row>
    <row r="3226" spans="1:11" hidden="1">
      <c r="A3226" t="s">
        <v>39</v>
      </c>
      <c r="B3226" t="s">
        <v>40</v>
      </c>
      <c r="C3226" t="s">
        <v>14</v>
      </c>
      <c r="D3226">
        <v>10027252</v>
      </c>
      <c r="E3226" t="s">
        <v>9</v>
      </c>
      <c r="F3226" s="1" t="s">
        <v>2</v>
      </c>
      <c r="G3226" s="1">
        <v>45873</v>
      </c>
      <c r="H3226" t="s">
        <v>41</v>
      </c>
      <c r="I3226" s="2">
        <v>79.099999999999994</v>
      </c>
      <c r="J3226" t="s">
        <v>1793</v>
      </c>
      <c r="K3226" s="7">
        <v>45870</v>
      </c>
    </row>
    <row r="3227" spans="1:11" hidden="1">
      <c r="A3227" t="s">
        <v>39</v>
      </c>
      <c r="B3227" t="s">
        <v>40</v>
      </c>
      <c r="C3227" t="s">
        <v>14</v>
      </c>
      <c r="E3227" t="s">
        <v>9</v>
      </c>
      <c r="F3227" s="1" t="s">
        <v>2</v>
      </c>
      <c r="G3227" s="1">
        <v>45874</v>
      </c>
      <c r="H3227" t="s">
        <v>41</v>
      </c>
      <c r="I3227" s="2">
        <v>79.099999999999994</v>
      </c>
      <c r="J3227" s="47" t="s">
        <v>1794</v>
      </c>
      <c r="K3227" s="7">
        <v>45870</v>
      </c>
    </row>
    <row r="3228" spans="1:11" hidden="1">
      <c r="A3228" t="s">
        <v>39</v>
      </c>
      <c r="B3228" t="s">
        <v>40</v>
      </c>
      <c r="C3228" t="s">
        <v>14</v>
      </c>
      <c r="E3228" t="s">
        <v>9</v>
      </c>
      <c r="F3228" s="1" t="s">
        <v>3</v>
      </c>
      <c r="G3228" s="1">
        <v>45885</v>
      </c>
      <c r="H3228" t="s">
        <v>41</v>
      </c>
      <c r="I3228" s="2">
        <v>79.099999999999994</v>
      </c>
      <c r="J3228" t="s">
        <v>1795</v>
      </c>
      <c r="K3228" s="7">
        <v>45870</v>
      </c>
    </row>
    <row r="3229" spans="1:11" hidden="1">
      <c r="A3229" t="s">
        <v>39</v>
      </c>
      <c r="B3229" t="s">
        <v>40</v>
      </c>
      <c r="C3229" t="s">
        <v>14</v>
      </c>
      <c r="E3229" t="s">
        <v>9</v>
      </c>
      <c r="F3229" s="1" t="s">
        <v>3</v>
      </c>
      <c r="G3229" s="1">
        <v>45885</v>
      </c>
      <c r="H3229" t="s">
        <v>41</v>
      </c>
      <c r="I3229" s="2">
        <v>79.099999999999994</v>
      </c>
      <c r="J3229" t="s">
        <v>1796</v>
      </c>
      <c r="K3229" s="7">
        <v>45870</v>
      </c>
    </row>
    <row r="3230" spans="1:11">
      <c r="A3230" t="s">
        <v>39</v>
      </c>
      <c r="B3230" t="s">
        <v>47</v>
      </c>
      <c r="C3230" t="s">
        <v>14</v>
      </c>
      <c r="E3230" t="s">
        <v>9</v>
      </c>
      <c r="F3230" s="1" t="s">
        <v>4</v>
      </c>
      <c r="G3230" s="1">
        <v>46069</v>
      </c>
      <c r="H3230" t="s">
        <v>41</v>
      </c>
      <c r="I3230" s="2">
        <v>14465.56</v>
      </c>
      <c r="J3230" s="47" t="s">
        <v>1758</v>
      </c>
      <c r="K3230" s="7">
        <v>46054</v>
      </c>
    </row>
    <row r="3231" spans="1:11" hidden="1">
      <c r="A3231" t="s">
        <v>56</v>
      </c>
      <c r="B3231" t="s">
        <v>40</v>
      </c>
      <c r="C3231" t="s">
        <v>14</v>
      </c>
      <c r="E3231" t="s">
        <v>9</v>
      </c>
      <c r="F3231" s="1" t="s">
        <v>4</v>
      </c>
      <c r="G3231" s="1">
        <v>46069</v>
      </c>
      <c r="H3231" t="s">
        <v>41</v>
      </c>
      <c r="I3231" s="2">
        <v>11188.85</v>
      </c>
      <c r="J3231" s="47" t="s">
        <v>1797</v>
      </c>
      <c r="K3231" s="7">
        <v>46054</v>
      </c>
    </row>
    <row r="3232" spans="1:11" hidden="1">
      <c r="A3232" t="s">
        <v>39</v>
      </c>
      <c r="B3232" t="s">
        <v>63</v>
      </c>
      <c r="C3232" t="s">
        <v>14</v>
      </c>
      <c r="E3232" t="s">
        <v>9</v>
      </c>
      <c r="F3232" s="1" t="s">
        <v>4</v>
      </c>
      <c r="G3232" s="1">
        <v>46069</v>
      </c>
      <c r="H3232" t="s">
        <v>41</v>
      </c>
      <c r="I3232" s="2">
        <v>6535.2</v>
      </c>
      <c r="J3232" s="47" t="s">
        <v>518</v>
      </c>
      <c r="K3232" s="7">
        <v>46054</v>
      </c>
    </row>
    <row r="3233" spans="1:11" hidden="1">
      <c r="A3233" t="s">
        <v>39</v>
      </c>
      <c r="B3233" t="s">
        <v>45</v>
      </c>
      <c r="C3233" t="s">
        <v>14</v>
      </c>
      <c r="D3233">
        <v>10027731</v>
      </c>
      <c r="E3233" t="s">
        <v>9</v>
      </c>
      <c r="F3233" s="1" t="s">
        <v>3</v>
      </c>
      <c r="G3233" s="1">
        <v>45939</v>
      </c>
      <c r="H3233" t="s">
        <v>41</v>
      </c>
      <c r="I3233" s="2">
        <v>76.48</v>
      </c>
      <c r="J3233" t="s">
        <v>1798</v>
      </c>
      <c r="K3233" s="7">
        <v>45931</v>
      </c>
    </row>
    <row r="3234" spans="1:11" hidden="1">
      <c r="A3234" t="s">
        <v>39</v>
      </c>
      <c r="B3234" t="s">
        <v>40</v>
      </c>
      <c r="C3234" t="s">
        <v>14</v>
      </c>
      <c r="E3234" t="s">
        <v>9</v>
      </c>
      <c r="F3234" s="1" t="s">
        <v>4</v>
      </c>
      <c r="G3234" s="1">
        <v>46069</v>
      </c>
      <c r="H3234" t="s">
        <v>41</v>
      </c>
      <c r="I3234" s="2">
        <v>1579</v>
      </c>
      <c r="J3234" s="47" t="s">
        <v>1799</v>
      </c>
      <c r="K3234" s="7">
        <v>46054</v>
      </c>
    </row>
    <row r="3235" spans="1:11" hidden="1">
      <c r="A3235" t="s">
        <v>39</v>
      </c>
      <c r="B3235" t="s">
        <v>63</v>
      </c>
      <c r="C3235" t="s">
        <v>14</v>
      </c>
      <c r="E3235" t="s">
        <v>9</v>
      </c>
      <c r="F3235" s="1" t="s">
        <v>4</v>
      </c>
      <c r="G3235" s="1">
        <v>46069</v>
      </c>
      <c r="H3235" t="s">
        <v>41</v>
      </c>
      <c r="I3235" s="2">
        <v>1004.64</v>
      </c>
      <c r="J3235" s="47" t="s">
        <v>283</v>
      </c>
      <c r="K3235" s="7">
        <v>46054</v>
      </c>
    </row>
    <row r="3236" spans="1:11" hidden="1">
      <c r="A3236" t="s">
        <v>39</v>
      </c>
      <c r="B3236" t="s">
        <v>63</v>
      </c>
      <c r="C3236" t="s">
        <v>14</v>
      </c>
      <c r="E3236" t="s">
        <v>9</v>
      </c>
      <c r="F3236" s="1" t="s">
        <v>4</v>
      </c>
      <c r="G3236" s="1">
        <v>46069</v>
      </c>
      <c r="H3236" t="s">
        <v>41</v>
      </c>
      <c r="I3236" s="2">
        <v>834.3</v>
      </c>
      <c r="J3236" s="47" t="s">
        <v>283</v>
      </c>
      <c r="K3236" s="7">
        <v>46054</v>
      </c>
    </row>
    <row r="3237" spans="1:11" hidden="1">
      <c r="A3237" t="s">
        <v>39</v>
      </c>
      <c r="B3237" t="s">
        <v>40</v>
      </c>
      <c r="C3237" t="s">
        <v>14</v>
      </c>
      <c r="E3237" t="s">
        <v>9</v>
      </c>
      <c r="F3237" s="1" t="s">
        <v>3</v>
      </c>
      <c r="G3237" s="1">
        <v>46038</v>
      </c>
      <c r="H3237" t="s">
        <v>41</v>
      </c>
      <c r="I3237" s="2">
        <v>70</v>
      </c>
      <c r="J3237" s="47" t="s">
        <v>1800</v>
      </c>
      <c r="K3237" s="7">
        <v>46023</v>
      </c>
    </row>
    <row r="3238" spans="1:11" hidden="1">
      <c r="A3238" t="s">
        <v>39</v>
      </c>
      <c r="B3238" t="s">
        <v>63</v>
      </c>
      <c r="C3238" t="s">
        <v>14</v>
      </c>
      <c r="E3238" t="s">
        <v>9</v>
      </c>
      <c r="F3238" s="1" t="s">
        <v>5</v>
      </c>
      <c r="G3238" s="1">
        <v>46051</v>
      </c>
      <c r="H3238" t="s">
        <v>64</v>
      </c>
      <c r="I3238" s="2">
        <f>34171/496</f>
        <v>68.89314516129032</v>
      </c>
      <c r="J3238" t="s">
        <v>1801</v>
      </c>
      <c r="K3238" s="7">
        <v>46023</v>
      </c>
    </row>
    <row r="3239" spans="1:11" hidden="1">
      <c r="A3239" t="s">
        <v>39</v>
      </c>
      <c r="B3239" t="s">
        <v>40</v>
      </c>
      <c r="C3239" t="s">
        <v>14</v>
      </c>
      <c r="E3239" t="s">
        <v>9</v>
      </c>
      <c r="F3239" s="1" t="s">
        <v>5</v>
      </c>
      <c r="G3239" s="1">
        <v>45898</v>
      </c>
      <c r="H3239" t="s">
        <v>41</v>
      </c>
      <c r="I3239" s="2">
        <v>67.12</v>
      </c>
      <c r="J3239" t="s">
        <v>1802</v>
      </c>
      <c r="K3239" s="7">
        <v>45870</v>
      </c>
    </row>
    <row r="3240" spans="1:11" hidden="1">
      <c r="A3240" t="s">
        <v>39</v>
      </c>
      <c r="B3240" t="s">
        <v>63</v>
      </c>
      <c r="C3240" t="s">
        <v>14</v>
      </c>
      <c r="E3240" t="s">
        <v>9</v>
      </c>
      <c r="F3240" s="1" t="s">
        <v>4</v>
      </c>
      <c r="G3240" s="1">
        <v>46069</v>
      </c>
      <c r="H3240" t="s">
        <v>41</v>
      </c>
      <c r="I3240" s="2">
        <v>220</v>
      </c>
      <c r="J3240" s="47" t="s">
        <v>1803</v>
      </c>
      <c r="K3240" s="7">
        <v>46054</v>
      </c>
    </row>
    <row r="3241" spans="1:11">
      <c r="A3241" t="s">
        <v>39</v>
      </c>
      <c r="B3241" t="s">
        <v>47</v>
      </c>
      <c r="C3241" t="s">
        <v>12</v>
      </c>
      <c r="E3241" t="s">
        <v>9</v>
      </c>
      <c r="F3241" s="1" t="s">
        <v>4</v>
      </c>
      <c r="G3241" s="1">
        <v>46070</v>
      </c>
      <c r="H3241" t="s">
        <v>41</v>
      </c>
      <c r="I3241" s="2">
        <v>29246</v>
      </c>
      <c r="J3241" s="47" t="s">
        <v>986</v>
      </c>
      <c r="K3241" s="7">
        <v>46054</v>
      </c>
    </row>
    <row r="3242" spans="1:11" hidden="1">
      <c r="A3242" t="s">
        <v>39</v>
      </c>
      <c r="B3242" t="s">
        <v>40</v>
      </c>
      <c r="C3242" t="s">
        <v>14</v>
      </c>
      <c r="E3242" t="s">
        <v>9</v>
      </c>
      <c r="F3242" s="1" t="s">
        <v>5</v>
      </c>
      <c r="G3242" s="1">
        <v>46050</v>
      </c>
      <c r="H3242" t="s">
        <v>41</v>
      </c>
      <c r="I3242" s="2">
        <v>65</v>
      </c>
      <c r="J3242" t="s">
        <v>972</v>
      </c>
      <c r="K3242" s="7">
        <v>46023</v>
      </c>
    </row>
    <row r="3243" spans="1:11" hidden="1">
      <c r="A3243" t="s">
        <v>39</v>
      </c>
      <c r="B3243" t="s">
        <v>40</v>
      </c>
      <c r="C3243" t="s">
        <v>14</v>
      </c>
      <c r="E3243" t="s">
        <v>9</v>
      </c>
      <c r="F3243" s="1" t="s">
        <v>5</v>
      </c>
      <c r="G3243" s="1">
        <v>45832</v>
      </c>
      <c r="H3243" t="s">
        <v>41</v>
      </c>
      <c r="I3243" s="2">
        <v>60</v>
      </c>
      <c r="J3243" t="s">
        <v>451</v>
      </c>
      <c r="K3243" s="7">
        <v>45809</v>
      </c>
    </row>
    <row r="3244" spans="1:11">
      <c r="A3244" t="s">
        <v>39</v>
      </c>
      <c r="B3244" t="s">
        <v>47</v>
      </c>
      <c r="C3244" t="s">
        <v>13</v>
      </c>
      <c r="E3244" t="s">
        <v>9</v>
      </c>
      <c r="F3244" s="1" t="s">
        <v>4</v>
      </c>
      <c r="G3244" s="1">
        <v>46070</v>
      </c>
      <c r="H3244" t="s">
        <v>41</v>
      </c>
      <c r="I3244" s="2">
        <v>20000</v>
      </c>
      <c r="J3244" s="47" t="s">
        <v>664</v>
      </c>
      <c r="K3244" s="7">
        <v>46054</v>
      </c>
    </row>
    <row r="3245" spans="1:11" hidden="1">
      <c r="A3245" t="s">
        <v>39</v>
      </c>
      <c r="B3245" t="s">
        <v>63</v>
      </c>
      <c r="C3245" t="s">
        <v>12</v>
      </c>
      <c r="D3245" s="6" t="s">
        <v>1804</v>
      </c>
      <c r="E3245" t="s">
        <v>9</v>
      </c>
      <c r="F3245" s="1" t="s">
        <v>5</v>
      </c>
      <c r="G3245" s="1">
        <v>45922</v>
      </c>
      <c r="H3245" t="s">
        <v>64</v>
      </c>
      <c r="I3245" s="2">
        <v>59.568627450980394</v>
      </c>
      <c r="J3245" t="s">
        <v>1805</v>
      </c>
      <c r="K3245" s="7">
        <v>45901</v>
      </c>
    </row>
    <row r="3246" spans="1:11">
      <c r="A3246" t="s">
        <v>39</v>
      </c>
      <c r="B3246" t="s">
        <v>47</v>
      </c>
      <c r="C3246" t="s">
        <v>14</v>
      </c>
      <c r="E3246" t="s">
        <v>9</v>
      </c>
      <c r="F3246" s="1" t="s">
        <v>4</v>
      </c>
      <c r="G3246" s="1">
        <v>46070</v>
      </c>
      <c r="H3246" t="s">
        <v>41</v>
      </c>
      <c r="I3246" s="2">
        <v>11535.66</v>
      </c>
      <c r="J3246" s="47" t="s">
        <v>1485</v>
      </c>
      <c r="K3246" s="7">
        <v>46054</v>
      </c>
    </row>
    <row r="3247" spans="1:11" hidden="1">
      <c r="A3247" t="s">
        <v>39</v>
      </c>
      <c r="B3247" t="s">
        <v>45</v>
      </c>
      <c r="C3247" t="s">
        <v>14</v>
      </c>
      <c r="D3247">
        <v>10026634</v>
      </c>
      <c r="E3247" t="s">
        <v>9</v>
      </c>
      <c r="F3247" s="1" t="s">
        <v>5</v>
      </c>
      <c r="G3247" s="1">
        <v>45798</v>
      </c>
      <c r="H3247" t="s">
        <v>41</v>
      </c>
      <c r="I3247" s="2">
        <v>56.5</v>
      </c>
      <c r="J3247" t="s">
        <v>217</v>
      </c>
      <c r="K3247" s="7">
        <v>45778</v>
      </c>
    </row>
    <row r="3248" spans="1:11" hidden="1">
      <c r="A3248" t="s">
        <v>39</v>
      </c>
      <c r="B3248" t="s">
        <v>63</v>
      </c>
      <c r="C3248" t="s">
        <v>14</v>
      </c>
      <c r="E3248" t="s">
        <v>9</v>
      </c>
      <c r="F3248" s="1" t="s">
        <v>2</v>
      </c>
      <c r="G3248" s="1">
        <v>45904</v>
      </c>
      <c r="H3248" t="s">
        <v>41</v>
      </c>
      <c r="I3248" s="2">
        <v>56.5</v>
      </c>
      <c r="J3248" t="s">
        <v>1806</v>
      </c>
      <c r="K3248" s="7">
        <v>45901</v>
      </c>
    </row>
    <row r="3249" spans="1:11" hidden="1">
      <c r="A3249" t="s">
        <v>39</v>
      </c>
      <c r="B3249" t="s">
        <v>63</v>
      </c>
      <c r="C3249" t="s">
        <v>12</v>
      </c>
      <c r="E3249" t="s">
        <v>9</v>
      </c>
      <c r="F3249" s="1" t="s">
        <v>2</v>
      </c>
      <c r="G3249" s="1">
        <v>45904</v>
      </c>
      <c r="H3249" t="s">
        <v>41</v>
      </c>
      <c r="I3249" s="2">
        <v>56.5</v>
      </c>
      <c r="J3249" t="s">
        <v>1807</v>
      </c>
      <c r="K3249" s="7">
        <v>45901</v>
      </c>
    </row>
    <row r="3250" spans="1:11" hidden="1">
      <c r="A3250" t="s">
        <v>39</v>
      </c>
      <c r="B3250" t="s">
        <v>40</v>
      </c>
      <c r="C3250" t="s">
        <v>14</v>
      </c>
      <c r="E3250" t="s">
        <v>9</v>
      </c>
      <c r="F3250" s="1" t="s">
        <v>6</v>
      </c>
      <c r="G3250" s="1">
        <v>45959</v>
      </c>
      <c r="H3250" t="s">
        <v>64</v>
      </c>
      <c r="I3250" s="2">
        <v>56.166666666666664</v>
      </c>
      <c r="J3250" t="s">
        <v>1808</v>
      </c>
      <c r="K3250" s="7">
        <v>45931</v>
      </c>
    </row>
    <row r="3251" spans="1:11" hidden="1">
      <c r="A3251" t="s">
        <v>39</v>
      </c>
      <c r="B3251" t="s">
        <v>63</v>
      </c>
      <c r="C3251" t="s">
        <v>14</v>
      </c>
      <c r="E3251" t="s">
        <v>9</v>
      </c>
      <c r="F3251" s="1" t="s">
        <v>2</v>
      </c>
      <c r="G3251" s="1">
        <v>45996</v>
      </c>
      <c r="H3251" t="s">
        <v>41</v>
      </c>
      <c r="I3251" s="2">
        <v>56</v>
      </c>
      <c r="J3251" t="s">
        <v>1627</v>
      </c>
      <c r="K3251" s="7">
        <v>45992</v>
      </c>
    </row>
    <row r="3252" spans="1:11" hidden="1">
      <c r="A3252" t="s">
        <v>39</v>
      </c>
      <c r="B3252" t="s">
        <v>63</v>
      </c>
      <c r="C3252" t="s">
        <v>14</v>
      </c>
      <c r="E3252" t="s">
        <v>9</v>
      </c>
      <c r="F3252" s="1" t="s">
        <v>4</v>
      </c>
      <c r="G3252" s="1">
        <v>46070</v>
      </c>
      <c r="H3252" t="s">
        <v>41</v>
      </c>
      <c r="I3252" s="2">
        <v>1699.52</v>
      </c>
      <c r="J3252" s="47" t="s">
        <v>1809</v>
      </c>
      <c r="K3252" s="7">
        <v>46054</v>
      </c>
    </row>
    <row r="3253" spans="1:11" hidden="1">
      <c r="A3253" t="s">
        <v>39</v>
      </c>
      <c r="B3253" t="s">
        <v>63</v>
      </c>
      <c r="C3253" t="s">
        <v>14</v>
      </c>
      <c r="E3253" t="s">
        <v>9</v>
      </c>
      <c r="F3253" s="1" t="s">
        <v>4</v>
      </c>
      <c r="G3253" s="1">
        <v>46070</v>
      </c>
      <c r="H3253" t="s">
        <v>41</v>
      </c>
      <c r="I3253" s="2">
        <v>1011.32</v>
      </c>
      <c r="J3253" s="47" t="s">
        <v>861</v>
      </c>
      <c r="K3253" s="7">
        <v>46054</v>
      </c>
    </row>
    <row r="3254" spans="1:11" hidden="1">
      <c r="A3254" t="s">
        <v>39</v>
      </c>
      <c r="B3254" t="s">
        <v>40</v>
      </c>
      <c r="C3254" t="s">
        <v>14</v>
      </c>
      <c r="D3254">
        <v>10026578</v>
      </c>
      <c r="E3254" t="s">
        <v>9</v>
      </c>
      <c r="F3254" s="1" t="s">
        <v>3</v>
      </c>
      <c r="G3254" s="1">
        <v>45787</v>
      </c>
      <c r="H3254" t="s">
        <v>41</v>
      </c>
      <c r="I3254" s="2">
        <v>50</v>
      </c>
      <c r="J3254" t="s">
        <v>1088</v>
      </c>
      <c r="K3254" s="7">
        <v>45778</v>
      </c>
    </row>
    <row r="3255" spans="1:11" hidden="1">
      <c r="A3255" t="s">
        <v>39</v>
      </c>
      <c r="B3255" t="s">
        <v>40</v>
      </c>
      <c r="C3255" t="s">
        <v>14</v>
      </c>
      <c r="D3255">
        <v>10028116</v>
      </c>
      <c r="E3255" t="s">
        <v>9</v>
      </c>
      <c r="F3255" s="1" t="s">
        <v>3</v>
      </c>
      <c r="G3255" s="1">
        <v>46003</v>
      </c>
      <c r="H3255" t="s">
        <v>64</v>
      </c>
      <c r="I3255" s="2">
        <v>49.313725490196077</v>
      </c>
      <c r="J3255" t="s">
        <v>1221</v>
      </c>
      <c r="K3255" s="7">
        <v>45992</v>
      </c>
    </row>
    <row r="3256" spans="1:11" hidden="1">
      <c r="A3256" t="s">
        <v>39</v>
      </c>
      <c r="B3256" t="s">
        <v>40</v>
      </c>
      <c r="C3256" t="s">
        <v>14</v>
      </c>
      <c r="E3256" t="s">
        <v>9</v>
      </c>
      <c r="F3256" s="1" t="s">
        <v>5</v>
      </c>
      <c r="G3256" s="1">
        <v>45894</v>
      </c>
      <c r="H3256" t="s">
        <v>41</v>
      </c>
      <c r="I3256" s="2">
        <v>45.77</v>
      </c>
      <c r="J3256" t="s">
        <v>1810</v>
      </c>
      <c r="K3256" s="7">
        <v>45870</v>
      </c>
    </row>
    <row r="3257" spans="1:11" hidden="1">
      <c r="A3257" t="s">
        <v>39</v>
      </c>
      <c r="B3257" t="s">
        <v>45</v>
      </c>
      <c r="C3257" t="s">
        <v>13</v>
      </c>
      <c r="E3257" t="s">
        <v>9</v>
      </c>
      <c r="F3257" s="1" t="s">
        <v>5</v>
      </c>
      <c r="G3257" s="1">
        <v>45925</v>
      </c>
      <c r="H3257" t="s">
        <v>41</v>
      </c>
      <c r="I3257" s="2">
        <v>45.77</v>
      </c>
      <c r="J3257" t="s">
        <v>217</v>
      </c>
      <c r="K3257" s="7">
        <v>45901</v>
      </c>
    </row>
    <row r="3258" spans="1:11" hidden="1">
      <c r="A3258" t="s">
        <v>114</v>
      </c>
      <c r="B3258" t="s">
        <v>63</v>
      </c>
      <c r="C3258" t="s">
        <v>12</v>
      </c>
      <c r="E3258" t="s">
        <v>9</v>
      </c>
      <c r="F3258" s="1" t="s">
        <v>2</v>
      </c>
      <c r="G3258" s="1">
        <v>45968</v>
      </c>
      <c r="H3258" t="s">
        <v>41</v>
      </c>
      <c r="I3258" s="2">
        <v>40.81</v>
      </c>
      <c r="J3258" t="s">
        <v>363</v>
      </c>
      <c r="K3258" s="7">
        <v>45962</v>
      </c>
    </row>
    <row r="3259" spans="1:11" hidden="1">
      <c r="A3259" t="s">
        <v>39</v>
      </c>
      <c r="B3259" t="s">
        <v>45</v>
      </c>
      <c r="C3259" t="s">
        <v>14</v>
      </c>
      <c r="E3259" t="s">
        <v>9</v>
      </c>
      <c r="F3259" s="1" t="s">
        <v>2</v>
      </c>
      <c r="G3259" s="1">
        <v>45904</v>
      </c>
      <c r="H3259" t="s">
        <v>41</v>
      </c>
      <c r="I3259" s="2">
        <v>40</v>
      </c>
      <c r="J3259" t="s">
        <v>1811</v>
      </c>
      <c r="K3259" s="7">
        <v>45901</v>
      </c>
    </row>
    <row r="3260" spans="1:11" hidden="1">
      <c r="A3260" t="s">
        <v>39</v>
      </c>
      <c r="B3260" t="s">
        <v>63</v>
      </c>
      <c r="C3260" t="s">
        <v>14</v>
      </c>
      <c r="D3260">
        <v>10026998</v>
      </c>
      <c r="E3260" t="s">
        <v>9</v>
      </c>
      <c r="F3260" s="1" t="s">
        <v>2</v>
      </c>
      <c r="G3260" s="1">
        <v>45841</v>
      </c>
      <c r="H3260" t="s">
        <v>41</v>
      </c>
      <c r="I3260" s="2">
        <v>34.450000000000003</v>
      </c>
      <c r="J3260" t="s">
        <v>127</v>
      </c>
      <c r="K3260" s="7">
        <v>45839</v>
      </c>
    </row>
    <row r="3261" spans="1:11" hidden="1">
      <c r="A3261" t="s">
        <v>39</v>
      </c>
      <c r="B3261" t="s">
        <v>47</v>
      </c>
      <c r="C3261" t="s">
        <v>14</v>
      </c>
      <c r="E3261" t="s">
        <v>9</v>
      </c>
      <c r="F3261" s="1" t="s">
        <v>3</v>
      </c>
      <c r="G3261" s="1">
        <v>45910</v>
      </c>
      <c r="H3261" t="s">
        <v>41</v>
      </c>
      <c r="I3261" s="2">
        <v>31.58</v>
      </c>
      <c r="J3261" t="s">
        <v>1000</v>
      </c>
      <c r="K3261" s="7">
        <v>45901</v>
      </c>
    </row>
    <row r="3262" spans="1:11" hidden="1">
      <c r="A3262" t="s">
        <v>39</v>
      </c>
      <c r="B3262" t="s">
        <v>40</v>
      </c>
      <c r="C3262" t="s">
        <v>14</v>
      </c>
      <c r="E3262" t="s">
        <v>9</v>
      </c>
      <c r="F3262" s="1" t="s">
        <v>4</v>
      </c>
      <c r="G3262" s="1">
        <v>46070</v>
      </c>
      <c r="H3262" t="s">
        <v>41</v>
      </c>
      <c r="I3262" s="2">
        <v>1000</v>
      </c>
      <c r="J3262" s="47" t="s">
        <v>1812</v>
      </c>
      <c r="K3262" s="7">
        <v>46054</v>
      </c>
    </row>
    <row r="3263" spans="1:11" hidden="1">
      <c r="A3263" t="s">
        <v>39</v>
      </c>
      <c r="B3263" t="s">
        <v>40</v>
      </c>
      <c r="C3263" t="s">
        <v>14</v>
      </c>
      <c r="E3263" t="s">
        <v>9</v>
      </c>
      <c r="F3263" s="1" t="s">
        <v>3</v>
      </c>
      <c r="G3263" s="1">
        <v>45883</v>
      </c>
      <c r="H3263" t="s">
        <v>41</v>
      </c>
      <c r="I3263" s="2">
        <v>29.941176470588236</v>
      </c>
      <c r="J3263" t="s">
        <v>1683</v>
      </c>
      <c r="K3263" s="7">
        <v>45870</v>
      </c>
    </row>
    <row r="3264" spans="1:11" hidden="1">
      <c r="A3264" t="s">
        <v>39</v>
      </c>
      <c r="B3264" t="s">
        <v>40</v>
      </c>
      <c r="C3264" t="s">
        <v>14</v>
      </c>
      <c r="E3264" t="s">
        <v>9</v>
      </c>
      <c r="F3264" s="1" t="s">
        <v>5</v>
      </c>
      <c r="G3264" s="1">
        <v>45894</v>
      </c>
      <c r="H3264" t="s">
        <v>41</v>
      </c>
      <c r="I3264" s="2">
        <v>29.38</v>
      </c>
      <c r="J3264" t="s">
        <v>1813</v>
      </c>
      <c r="K3264" s="7">
        <v>45870</v>
      </c>
    </row>
    <row r="3265" spans="1:11" hidden="1">
      <c r="A3265" t="s">
        <v>39</v>
      </c>
      <c r="B3265" t="s">
        <v>47</v>
      </c>
      <c r="C3265" t="s">
        <v>14</v>
      </c>
      <c r="D3265">
        <v>10027211</v>
      </c>
      <c r="E3265" t="s">
        <v>9</v>
      </c>
      <c r="F3265" s="1" t="s">
        <v>6</v>
      </c>
      <c r="G3265" s="1">
        <v>45869</v>
      </c>
      <c r="H3265" t="s">
        <v>41</v>
      </c>
      <c r="I3265" s="2">
        <v>24.44</v>
      </c>
      <c r="J3265" t="s">
        <v>121</v>
      </c>
      <c r="K3265" s="7">
        <v>45839</v>
      </c>
    </row>
    <row r="3266" spans="1:11" hidden="1">
      <c r="A3266" t="s">
        <v>114</v>
      </c>
      <c r="B3266" t="s">
        <v>63</v>
      </c>
      <c r="C3266" t="s">
        <v>12</v>
      </c>
      <c r="E3266" t="s">
        <v>9</v>
      </c>
      <c r="F3266" s="1" t="s">
        <v>3</v>
      </c>
      <c r="G3266" s="1">
        <v>45912</v>
      </c>
      <c r="H3266" t="s">
        <v>41</v>
      </c>
      <c r="I3266" s="2">
        <v>19.61</v>
      </c>
      <c r="J3266" s="47" t="s">
        <v>283</v>
      </c>
      <c r="K3266" s="7">
        <v>45901</v>
      </c>
    </row>
    <row r="3267" spans="1:11" hidden="1">
      <c r="A3267" t="s">
        <v>39</v>
      </c>
      <c r="B3267" t="s">
        <v>40</v>
      </c>
      <c r="C3267" t="s">
        <v>14</v>
      </c>
      <c r="E3267" t="s">
        <v>9</v>
      </c>
      <c r="F3267" s="1" t="s">
        <v>4</v>
      </c>
      <c r="G3267" s="1">
        <v>46070</v>
      </c>
      <c r="H3267" t="s">
        <v>41</v>
      </c>
      <c r="I3267" s="2">
        <v>361.5</v>
      </c>
      <c r="J3267" s="47" t="s">
        <v>1814</v>
      </c>
      <c r="K3267" s="7">
        <v>46054</v>
      </c>
    </row>
    <row r="3268" spans="1:11" hidden="1">
      <c r="A3268" t="s">
        <v>39</v>
      </c>
      <c r="B3268" t="s">
        <v>40</v>
      </c>
      <c r="C3268" t="s">
        <v>14</v>
      </c>
      <c r="E3268" t="s">
        <v>9</v>
      </c>
      <c r="F3268" s="1" t="s">
        <v>2</v>
      </c>
      <c r="G3268" s="1">
        <v>45902</v>
      </c>
      <c r="H3268" t="s">
        <v>41</v>
      </c>
      <c r="I3268" s="2">
        <v>15.82</v>
      </c>
      <c r="J3268" t="s">
        <v>1275</v>
      </c>
      <c r="K3268" s="7">
        <v>45901</v>
      </c>
    </row>
    <row r="3269" spans="1:11" hidden="1">
      <c r="A3269" t="s">
        <v>39</v>
      </c>
      <c r="B3269" t="s">
        <v>40</v>
      </c>
      <c r="C3269" t="s">
        <v>14</v>
      </c>
      <c r="E3269" t="s">
        <v>9</v>
      </c>
      <c r="F3269" s="1" t="s">
        <v>3</v>
      </c>
      <c r="G3269" s="1">
        <v>45910</v>
      </c>
      <c r="H3269" t="s">
        <v>41</v>
      </c>
      <c r="I3269" s="2">
        <v>15</v>
      </c>
      <c r="J3269" t="s">
        <v>1615</v>
      </c>
      <c r="K3269" s="7">
        <v>45901</v>
      </c>
    </row>
    <row r="3270" spans="1:11" hidden="1">
      <c r="A3270" t="s">
        <v>39</v>
      </c>
      <c r="B3270" t="s">
        <v>40</v>
      </c>
      <c r="C3270" t="s">
        <v>14</v>
      </c>
      <c r="E3270" t="s">
        <v>9</v>
      </c>
      <c r="F3270" s="1" t="s">
        <v>2</v>
      </c>
      <c r="G3270" s="1">
        <v>45903</v>
      </c>
      <c r="H3270" t="s">
        <v>64</v>
      </c>
      <c r="I3270" s="2">
        <v>13.480392156862745</v>
      </c>
      <c r="J3270" t="s">
        <v>1815</v>
      </c>
      <c r="K3270" s="7">
        <v>45901</v>
      </c>
    </row>
    <row r="3271" spans="1:11" hidden="1">
      <c r="A3271" t="s">
        <v>39</v>
      </c>
      <c r="B3271" t="s">
        <v>47</v>
      </c>
      <c r="C3271" t="s">
        <v>14</v>
      </c>
      <c r="D3271">
        <v>10026711</v>
      </c>
      <c r="E3271" t="s">
        <v>9</v>
      </c>
      <c r="F3271" s="1" t="s">
        <v>6</v>
      </c>
      <c r="G3271" s="1">
        <v>45805</v>
      </c>
      <c r="H3271" t="s">
        <v>41</v>
      </c>
      <c r="I3271" s="2">
        <v>10.37</v>
      </c>
      <c r="J3271" t="s">
        <v>1304</v>
      </c>
      <c r="K3271" s="7">
        <v>45778</v>
      </c>
    </row>
    <row r="3272" spans="1:11">
      <c r="A3272" t="s">
        <v>39</v>
      </c>
      <c r="B3272" t="s">
        <v>47</v>
      </c>
      <c r="C3272" t="s">
        <v>14</v>
      </c>
      <c r="E3272" t="s">
        <v>9</v>
      </c>
      <c r="F3272" s="1" t="s">
        <v>4</v>
      </c>
      <c r="G3272" s="1">
        <v>46070</v>
      </c>
      <c r="H3272" t="s">
        <v>41</v>
      </c>
      <c r="I3272" s="2">
        <v>249.68</v>
      </c>
      <c r="J3272" s="47" t="s">
        <v>931</v>
      </c>
      <c r="K3272" s="7">
        <v>46054</v>
      </c>
    </row>
    <row r="3273" spans="1:11" hidden="1">
      <c r="A3273" t="s">
        <v>56</v>
      </c>
      <c r="B3273" t="s">
        <v>40</v>
      </c>
      <c r="C3273" t="s">
        <v>14</v>
      </c>
      <c r="E3273" t="s">
        <v>9</v>
      </c>
      <c r="F3273" s="1" t="s">
        <v>3</v>
      </c>
      <c r="G3273" s="1">
        <v>45913</v>
      </c>
      <c r="H3273" t="s">
        <v>41</v>
      </c>
      <c r="I3273" s="2">
        <v>2.94</v>
      </c>
      <c r="J3273" t="s">
        <v>1100</v>
      </c>
      <c r="K3273" s="7">
        <v>45901</v>
      </c>
    </row>
    <row r="3274" spans="1:11" hidden="1">
      <c r="A3274" t="s">
        <v>39</v>
      </c>
      <c r="B3274" t="s">
        <v>45</v>
      </c>
      <c r="C3274" t="s">
        <v>12</v>
      </c>
      <c r="E3274" t="s">
        <v>9</v>
      </c>
      <c r="F3274" s="1" t="s">
        <v>2</v>
      </c>
      <c r="G3274" s="1">
        <v>45873</v>
      </c>
      <c r="H3274" t="s">
        <v>64</v>
      </c>
      <c r="I3274" s="2">
        <f>900/510</f>
        <v>1.7647058823529411</v>
      </c>
      <c r="J3274" s="47" t="s">
        <v>283</v>
      </c>
      <c r="K3274" s="7">
        <v>45870</v>
      </c>
    </row>
    <row r="3275" spans="1:11">
      <c r="A3275" t="s">
        <v>39</v>
      </c>
      <c r="B3275" t="s">
        <v>47</v>
      </c>
      <c r="C3275" t="s">
        <v>13</v>
      </c>
      <c r="E3275" t="s">
        <v>9</v>
      </c>
      <c r="F3275" s="1" t="s">
        <v>4</v>
      </c>
      <c r="G3275" s="1">
        <v>46071</v>
      </c>
      <c r="H3275" t="s">
        <v>41</v>
      </c>
      <c r="I3275" s="2">
        <v>17873.919999999998</v>
      </c>
      <c r="J3275" s="47" t="s">
        <v>1755</v>
      </c>
      <c r="K3275" s="7">
        <v>46054</v>
      </c>
    </row>
    <row r="3276" spans="1:11">
      <c r="A3276" t="s">
        <v>39</v>
      </c>
      <c r="B3276" t="s">
        <v>47</v>
      </c>
      <c r="C3276" t="s">
        <v>13</v>
      </c>
      <c r="E3276" t="s">
        <v>9</v>
      </c>
      <c r="F3276" s="1" t="s">
        <v>4</v>
      </c>
      <c r="G3276" s="1">
        <v>46071</v>
      </c>
      <c r="H3276" t="s">
        <v>41</v>
      </c>
      <c r="I3276" s="2">
        <v>15339.52</v>
      </c>
      <c r="J3276" s="47" t="s">
        <v>725</v>
      </c>
      <c r="K3276" s="7">
        <v>46054</v>
      </c>
    </row>
    <row r="3277" spans="1:11" hidden="1">
      <c r="A3277" t="s">
        <v>39</v>
      </c>
      <c r="B3277" t="s">
        <v>40</v>
      </c>
      <c r="C3277" t="s">
        <v>14</v>
      </c>
      <c r="E3277" t="s">
        <v>9</v>
      </c>
      <c r="F3277" s="1" t="s">
        <v>4</v>
      </c>
      <c r="G3277" s="1">
        <v>46071</v>
      </c>
      <c r="H3277" t="s">
        <v>41</v>
      </c>
      <c r="I3277" s="2">
        <v>589.17999999999995</v>
      </c>
      <c r="J3277" s="47" t="s">
        <v>973</v>
      </c>
      <c r="K3277" s="7">
        <v>46054</v>
      </c>
    </row>
    <row r="3278" spans="1:11">
      <c r="A3278" t="s">
        <v>39</v>
      </c>
      <c r="B3278" t="s">
        <v>47</v>
      </c>
      <c r="C3278" t="s">
        <v>14</v>
      </c>
      <c r="E3278" t="s">
        <v>9</v>
      </c>
      <c r="F3278" s="1" t="s">
        <v>4</v>
      </c>
      <c r="G3278" s="1">
        <v>46071</v>
      </c>
      <c r="H3278" t="s">
        <v>41</v>
      </c>
      <c r="I3278" s="2">
        <v>164.11</v>
      </c>
      <c r="J3278" s="47" t="s">
        <v>1318</v>
      </c>
      <c r="K3278" s="7">
        <v>46054</v>
      </c>
    </row>
    <row r="3279" spans="1:11">
      <c r="A3279" t="s">
        <v>39</v>
      </c>
      <c r="B3279" t="s">
        <v>47</v>
      </c>
      <c r="C3279" t="s">
        <v>14</v>
      </c>
      <c r="E3279" t="s">
        <v>9</v>
      </c>
      <c r="F3279" s="1" t="s">
        <v>4</v>
      </c>
      <c r="G3279" s="1">
        <v>46072</v>
      </c>
      <c r="H3279" t="s">
        <v>41</v>
      </c>
      <c r="I3279" s="2">
        <v>21978.12</v>
      </c>
      <c r="J3279" s="47" t="s">
        <v>241</v>
      </c>
      <c r="K3279" s="7">
        <v>46054</v>
      </c>
    </row>
    <row r="3280" spans="1:11" hidden="1">
      <c r="A3280" t="s">
        <v>114</v>
      </c>
      <c r="B3280" t="s">
        <v>63</v>
      </c>
      <c r="C3280" t="s">
        <v>14</v>
      </c>
      <c r="E3280" t="s">
        <v>9</v>
      </c>
      <c r="F3280" s="1" t="s">
        <v>4</v>
      </c>
      <c r="G3280" s="1">
        <v>46072</v>
      </c>
      <c r="H3280" t="s">
        <v>41</v>
      </c>
      <c r="I3280" s="2">
        <v>20022.14</v>
      </c>
      <c r="J3280" s="47" t="s">
        <v>836</v>
      </c>
      <c r="K3280" s="7">
        <v>46054</v>
      </c>
    </row>
    <row r="3281" spans="1:11" hidden="1">
      <c r="A3281" t="s">
        <v>114</v>
      </c>
      <c r="B3281" t="s">
        <v>63</v>
      </c>
      <c r="C3281" t="s">
        <v>14</v>
      </c>
      <c r="E3281" t="s">
        <v>9</v>
      </c>
      <c r="F3281" s="1" t="s">
        <v>4</v>
      </c>
      <c r="G3281" s="1">
        <v>46072</v>
      </c>
      <c r="H3281" t="s">
        <v>41</v>
      </c>
      <c r="I3281" s="2">
        <v>17743.77</v>
      </c>
      <c r="J3281" s="47" t="s">
        <v>1470</v>
      </c>
      <c r="K3281" s="7">
        <v>46054</v>
      </c>
    </row>
    <row r="3282" spans="1:11" hidden="1">
      <c r="A3282" t="s">
        <v>39</v>
      </c>
      <c r="B3282" t="s">
        <v>40</v>
      </c>
      <c r="C3282" t="s">
        <v>14</v>
      </c>
      <c r="E3282" t="s">
        <v>9</v>
      </c>
      <c r="F3282" s="1" t="s">
        <v>4</v>
      </c>
      <c r="G3282" s="1">
        <v>46072</v>
      </c>
      <c r="H3282" t="s">
        <v>41</v>
      </c>
      <c r="I3282" s="2">
        <v>8400</v>
      </c>
      <c r="J3282" s="47" t="s">
        <v>283</v>
      </c>
      <c r="K3282" s="7">
        <v>46054</v>
      </c>
    </row>
    <row r="3283" spans="1:11" hidden="1">
      <c r="A3283" t="s">
        <v>39</v>
      </c>
      <c r="B3283" t="s">
        <v>63</v>
      </c>
      <c r="C3283" t="s">
        <v>12</v>
      </c>
      <c r="E3283" t="s">
        <v>9</v>
      </c>
      <c r="F3283" s="1" t="s">
        <v>4</v>
      </c>
      <c r="G3283" s="1">
        <v>46072</v>
      </c>
      <c r="H3283" t="s">
        <v>41</v>
      </c>
      <c r="I3283" s="2">
        <v>8340</v>
      </c>
      <c r="J3283" s="47" t="s">
        <v>1816</v>
      </c>
      <c r="K3283" s="7">
        <v>46054</v>
      </c>
    </row>
    <row r="3284" spans="1:11" hidden="1">
      <c r="A3284" t="s">
        <v>39</v>
      </c>
      <c r="B3284" t="s">
        <v>40</v>
      </c>
      <c r="C3284" t="s">
        <v>14</v>
      </c>
      <c r="E3284" t="s">
        <v>9</v>
      </c>
      <c r="F3284" s="1" t="s">
        <v>4</v>
      </c>
      <c r="G3284" s="1">
        <v>46072</v>
      </c>
      <c r="H3284" t="s">
        <v>41</v>
      </c>
      <c r="I3284" s="2">
        <v>5783.09</v>
      </c>
      <c r="J3284" s="47" t="s">
        <v>1817</v>
      </c>
      <c r="K3284" s="7">
        <v>46054</v>
      </c>
    </row>
    <row r="3285" spans="1:11">
      <c r="A3285" t="s">
        <v>39</v>
      </c>
      <c r="B3285" t="s">
        <v>47</v>
      </c>
      <c r="C3285" t="s">
        <v>14</v>
      </c>
      <c r="E3285" t="s">
        <v>9</v>
      </c>
      <c r="F3285" s="1" t="s">
        <v>4</v>
      </c>
      <c r="G3285" s="1">
        <v>46072</v>
      </c>
      <c r="H3285" t="s">
        <v>41</v>
      </c>
      <c r="I3285" s="2">
        <v>5598.76</v>
      </c>
      <c r="J3285" s="47" t="s">
        <v>241</v>
      </c>
      <c r="K3285" s="7">
        <v>46054</v>
      </c>
    </row>
    <row r="3286" spans="1:11">
      <c r="A3286" t="s">
        <v>39</v>
      </c>
      <c r="B3286" t="s">
        <v>47</v>
      </c>
      <c r="C3286" t="s">
        <v>14</v>
      </c>
      <c r="E3286" t="s">
        <v>9</v>
      </c>
      <c r="F3286" s="1" t="s">
        <v>4</v>
      </c>
      <c r="G3286" s="1">
        <v>46072</v>
      </c>
      <c r="H3286" t="s">
        <v>41</v>
      </c>
      <c r="I3286" s="2">
        <v>4018.59</v>
      </c>
      <c r="J3286" s="47" t="s">
        <v>1818</v>
      </c>
      <c r="K3286" s="7">
        <v>46054</v>
      </c>
    </row>
    <row r="3287" spans="1:11" hidden="1">
      <c r="A3287" t="s">
        <v>114</v>
      </c>
      <c r="B3287" t="s">
        <v>63</v>
      </c>
      <c r="C3287" t="s">
        <v>14</v>
      </c>
      <c r="E3287" t="s">
        <v>9</v>
      </c>
      <c r="F3287" s="1" t="s">
        <v>4</v>
      </c>
      <c r="G3287" s="1">
        <v>46072</v>
      </c>
      <c r="H3287" t="s">
        <v>41</v>
      </c>
      <c r="I3287" s="2">
        <v>2761.23</v>
      </c>
      <c r="J3287" s="47" t="s">
        <v>254</v>
      </c>
      <c r="K3287" s="7">
        <v>46054</v>
      </c>
    </row>
    <row r="3288" spans="1:11">
      <c r="A3288" t="s">
        <v>39</v>
      </c>
      <c r="B3288" t="s">
        <v>47</v>
      </c>
      <c r="C3288" t="s">
        <v>12</v>
      </c>
      <c r="E3288" t="s">
        <v>9</v>
      </c>
      <c r="F3288" s="1" t="s">
        <v>4</v>
      </c>
      <c r="G3288" s="1">
        <v>46072</v>
      </c>
      <c r="H3288" t="s">
        <v>41</v>
      </c>
      <c r="I3288" s="2">
        <v>1695</v>
      </c>
      <c r="J3288" s="47" t="s">
        <v>1508</v>
      </c>
      <c r="K3288" s="7">
        <v>46054</v>
      </c>
    </row>
    <row r="3289" spans="1:11" hidden="1">
      <c r="A3289" t="s">
        <v>39</v>
      </c>
      <c r="B3289" t="s">
        <v>40</v>
      </c>
      <c r="C3289" t="s">
        <v>14</v>
      </c>
      <c r="E3289" t="s">
        <v>9</v>
      </c>
      <c r="F3289" s="1" t="s">
        <v>4</v>
      </c>
      <c r="G3289" s="1">
        <v>46072</v>
      </c>
      <c r="H3289" t="s">
        <v>41</v>
      </c>
      <c r="I3289" s="2">
        <v>1519.59</v>
      </c>
      <c r="J3289" s="47" t="s">
        <v>874</v>
      </c>
      <c r="K3289" s="7">
        <v>46054</v>
      </c>
    </row>
    <row r="3290" spans="1:11" hidden="1">
      <c r="A3290" t="s">
        <v>39</v>
      </c>
      <c r="B3290" t="s">
        <v>40</v>
      </c>
      <c r="C3290" t="s">
        <v>14</v>
      </c>
      <c r="E3290" t="s">
        <v>9</v>
      </c>
      <c r="F3290" s="1" t="s">
        <v>4</v>
      </c>
      <c r="G3290" s="1">
        <v>46072</v>
      </c>
      <c r="H3290" t="s">
        <v>41</v>
      </c>
      <c r="I3290" s="2">
        <v>1317</v>
      </c>
      <c r="J3290" s="47" t="s">
        <v>1819</v>
      </c>
      <c r="K3290" s="7">
        <v>46054</v>
      </c>
    </row>
    <row r="3291" spans="1:11" hidden="1">
      <c r="A3291" t="s">
        <v>39</v>
      </c>
      <c r="B3291" t="s">
        <v>40</v>
      </c>
      <c r="C3291" t="s">
        <v>14</v>
      </c>
      <c r="E3291" t="s">
        <v>9</v>
      </c>
      <c r="F3291" s="1" t="s">
        <v>4</v>
      </c>
      <c r="G3291" s="1">
        <v>46072</v>
      </c>
      <c r="H3291" t="s">
        <v>41</v>
      </c>
      <c r="I3291" s="2">
        <v>1000</v>
      </c>
      <c r="J3291" s="47" t="s">
        <v>1820</v>
      </c>
      <c r="K3291" s="7">
        <v>46054</v>
      </c>
    </row>
    <row r="3292" spans="1:11" hidden="1">
      <c r="A3292" t="s">
        <v>39</v>
      </c>
      <c r="B3292" t="s">
        <v>63</v>
      </c>
      <c r="C3292" t="s">
        <v>14</v>
      </c>
      <c r="E3292" t="s">
        <v>9</v>
      </c>
      <c r="F3292" s="1" t="s">
        <v>4</v>
      </c>
      <c r="G3292" s="1">
        <v>46072</v>
      </c>
      <c r="H3292" t="s">
        <v>41</v>
      </c>
      <c r="I3292" s="2">
        <v>602.5</v>
      </c>
      <c r="J3292" s="47" t="s">
        <v>1707</v>
      </c>
      <c r="K3292" s="7">
        <v>46054</v>
      </c>
    </row>
    <row r="3293" spans="1:11" hidden="1">
      <c r="A3293" t="s">
        <v>114</v>
      </c>
      <c r="B3293" t="s">
        <v>63</v>
      </c>
      <c r="C3293" t="s">
        <v>14</v>
      </c>
      <c r="E3293" t="s">
        <v>9</v>
      </c>
      <c r="F3293" s="1" t="s">
        <v>4</v>
      </c>
      <c r="G3293" s="1">
        <v>46072</v>
      </c>
      <c r="H3293" t="s">
        <v>41</v>
      </c>
      <c r="I3293" s="2">
        <v>216.6</v>
      </c>
      <c r="J3293" s="47" t="s">
        <v>1676</v>
      </c>
      <c r="K3293" s="7">
        <v>46054</v>
      </c>
    </row>
    <row r="3294" spans="1:11" hidden="1">
      <c r="A3294" t="s">
        <v>39</v>
      </c>
      <c r="B3294" t="s">
        <v>40</v>
      </c>
      <c r="C3294" t="s">
        <v>14</v>
      </c>
      <c r="E3294" t="s">
        <v>9</v>
      </c>
      <c r="F3294" s="1" t="s">
        <v>4</v>
      </c>
      <c r="G3294" s="1">
        <v>46073</v>
      </c>
      <c r="H3294" t="s">
        <v>41</v>
      </c>
      <c r="I3294" s="2">
        <v>1100</v>
      </c>
      <c r="J3294" s="47" t="s">
        <v>1821</v>
      </c>
      <c r="K3294" s="7">
        <v>46054</v>
      </c>
    </row>
    <row r="3295" spans="1:11" hidden="1">
      <c r="A3295" t="s">
        <v>39</v>
      </c>
      <c r="B3295" t="s">
        <v>40</v>
      </c>
      <c r="C3295" t="s">
        <v>14</v>
      </c>
      <c r="E3295" t="s">
        <v>9</v>
      </c>
      <c r="F3295" s="1" t="s">
        <v>4</v>
      </c>
      <c r="G3295" s="1">
        <v>46073</v>
      </c>
      <c r="H3295" t="s">
        <v>41</v>
      </c>
      <c r="I3295" s="2">
        <v>900</v>
      </c>
      <c r="J3295" s="47" t="s">
        <v>1821</v>
      </c>
      <c r="K3295" s="7">
        <v>46054</v>
      </c>
    </row>
    <row r="3296" spans="1:11" hidden="1">
      <c r="A3296" t="s">
        <v>56</v>
      </c>
      <c r="B3296" t="s">
        <v>40</v>
      </c>
      <c r="C3296" t="s">
        <v>14</v>
      </c>
      <c r="E3296" t="s">
        <v>9</v>
      </c>
      <c r="F3296" s="1" t="s">
        <v>4</v>
      </c>
      <c r="G3296" s="1">
        <v>46073</v>
      </c>
      <c r="H3296" t="s">
        <v>41</v>
      </c>
      <c r="I3296" s="2">
        <v>10000</v>
      </c>
      <c r="J3296" s="47" t="s">
        <v>1822</v>
      </c>
      <c r="K3296" s="7">
        <v>46054</v>
      </c>
    </row>
    <row r="3297" spans="1:11" hidden="1">
      <c r="A3297" t="s">
        <v>56</v>
      </c>
      <c r="B3297" t="s">
        <v>40</v>
      </c>
      <c r="C3297" t="s">
        <v>14</v>
      </c>
      <c r="E3297" t="s">
        <v>9</v>
      </c>
      <c r="F3297" s="1" t="s">
        <v>4</v>
      </c>
      <c r="G3297" s="1">
        <v>46073</v>
      </c>
      <c r="H3297" t="s">
        <v>41</v>
      </c>
      <c r="I3297" s="2">
        <v>4980</v>
      </c>
      <c r="J3297" s="47" t="s">
        <v>1823</v>
      </c>
      <c r="K3297" s="7">
        <v>46054</v>
      </c>
    </row>
    <row r="3298" spans="1:11" hidden="1">
      <c r="A3298" t="s">
        <v>39</v>
      </c>
      <c r="B3298" t="s">
        <v>45</v>
      </c>
      <c r="C3298" t="s">
        <v>13</v>
      </c>
      <c r="E3298" t="s">
        <v>9</v>
      </c>
      <c r="F3298" s="1" t="s">
        <v>4</v>
      </c>
      <c r="G3298" s="1">
        <v>46073</v>
      </c>
      <c r="H3298" t="s">
        <v>41</v>
      </c>
      <c r="I3298" s="2">
        <v>20301.41</v>
      </c>
      <c r="J3298" s="47" t="s">
        <v>1001</v>
      </c>
      <c r="K3298" s="7">
        <v>46054</v>
      </c>
    </row>
    <row r="3299" spans="1:11">
      <c r="A3299" t="s">
        <v>39</v>
      </c>
      <c r="B3299" t="s">
        <v>47</v>
      </c>
      <c r="C3299" t="s">
        <v>14</v>
      </c>
      <c r="E3299" t="s">
        <v>9</v>
      </c>
      <c r="F3299" s="1" t="s">
        <v>4</v>
      </c>
      <c r="G3299" s="1">
        <v>46073</v>
      </c>
      <c r="H3299" t="s">
        <v>41</v>
      </c>
      <c r="I3299" s="2">
        <v>282424</v>
      </c>
      <c r="J3299" s="47" t="s">
        <v>52</v>
      </c>
      <c r="K3299" s="7">
        <v>46054</v>
      </c>
    </row>
    <row r="3300" spans="1:11" hidden="1">
      <c r="A3300" t="s">
        <v>114</v>
      </c>
      <c r="B3300" t="s">
        <v>63</v>
      </c>
      <c r="C3300" t="s">
        <v>14</v>
      </c>
      <c r="E3300" t="s">
        <v>9</v>
      </c>
      <c r="F3300" s="1" t="s">
        <v>4</v>
      </c>
      <c r="G3300" s="1">
        <v>46073</v>
      </c>
      <c r="H3300" t="s">
        <v>41</v>
      </c>
      <c r="I3300" s="2">
        <v>6649.05</v>
      </c>
      <c r="J3300" s="47" t="s">
        <v>797</v>
      </c>
      <c r="K3300" s="7">
        <v>46054</v>
      </c>
    </row>
    <row r="3301" spans="1:11" hidden="1">
      <c r="A3301" t="s">
        <v>39</v>
      </c>
      <c r="B3301" t="s">
        <v>45</v>
      </c>
      <c r="C3301" t="s">
        <v>14</v>
      </c>
      <c r="E3301" t="s">
        <v>9</v>
      </c>
      <c r="F3301" s="1" t="s">
        <v>4</v>
      </c>
      <c r="G3301" s="1">
        <v>46073</v>
      </c>
      <c r="H3301" t="s">
        <v>41</v>
      </c>
      <c r="I3301" s="2">
        <v>35000</v>
      </c>
      <c r="J3301" s="47" t="s">
        <v>164</v>
      </c>
      <c r="K3301" s="7">
        <v>46054</v>
      </c>
    </row>
    <row r="3302" spans="1:11" hidden="1">
      <c r="A3302" t="s">
        <v>39</v>
      </c>
      <c r="B3302" t="s">
        <v>63</v>
      </c>
      <c r="C3302" t="s">
        <v>14</v>
      </c>
      <c r="E3302" t="s">
        <v>9</v>
      </c>
      <c r="F3302" s="1" t="s">
        <v>4</v>
      </c>
      <c r="G3302" s="1">
        <v>46073</v>
      </c>
      <c r="H3302" t="s">
        <v>41</v>
      </c>
      <c r="I3302" s="2">
        <v>4460</v>
      </c>
      <c r="J3302" s="47" t="s">
        <v>371</v>
      </c>
      <c r="K3302" s="7">
        <v>46054</v>
      </c>
    </row>
    <row r="3303" spans="1:11" hidden="1">
      <c r="A3303" t="s">
        <v>39</v>
      </c>
      <c r="B3303" t="s">
        <v>45</v>
      </c>
      <c r="C3303" t="s">
        <v>14</v>
      </c>
      <c r="E3303" t="s">
        <v>9</v>
      </c>
      <c r="F3303" s="1" t="s">
        <v>4</v>
      </c>
      <c r="G3303" s="1">
        <v>46073</v>
      </c>
      <c r="H3303" t="s">
        <v>41</v>
      </c>
      <c r="I3303" s="2">
        <v>7219.22</v>
      </c>
      <c r="J3303" s="47" t="s">
        <v>1824</v>
      </c>
      <c r="K3303" s="7">
        <v>46054</v>
      </c>
    </row>
    <row r="3304" spans="1:11" hidden="1">
      <c r="A3304" t="s">
        <v>39</v>
      </c>
      <c r="B3304" t="s">
        <v>45</v>
      </c>
      <c r="C3304" t="s">
        <v>13</v>
      </c>
      <c r="E3304" t="s">
        <v>9</v>
      </c>
      <c r="F3304" s="1" t="s">
        <v>4</v>
      </c>
      <c r="G3304" s="1">
        <v>46073</v>
      </c>
      <c r="H3304" t="s">
        <v>41</v>
      </c>
      <c r="I3304" s="2">
        <v>1626</v>
      </c>
      <c r="J3304" s="47" t="s">
        <v>217</v>
      </c>
      <c r="K3304" s="7">
        <v>46054</v>
      </c>
    </row>
    <row r="3305" spans="1:11" hidden="1">
      <c r="A3305" t="s">
        <v>39</v>
      </c>
      <c r="B3305" t="s">
        <v>63</v>
      </c>
      <c r="C3305" t="s">
        <v>13</v>
      </c>
      <c r="E3305" t="s">
        <v>9</v>
      </c>
      <c r="F3305" s="1" t="s">
        <v>4</v>
      </c>
      <c r="G3305" s="1">
        <v>46073</v>
      </c>
      <c r="H3305" t="s">
        <v>41</v>
      </c>
      <c r="I3305" s="2">
        <v>23779.14</v>
      </c>
      <c r="J3305" s="47" t="s">
        <v>1825</v>
      </c>
      <c r="K3305" s="7">
        <v>46054</v>
      </c>
    </row>
    <row r="3306" spans="1:11" hidden="1">
      <c r="A3306" t="s">
        <v>39</v>
      </c>
      <c r="B3306" t="s">
        <v>45</v>
      </c>
      <c r="C3306" t="s">
        <v>14</v>
      </c>
      <c r="E3306" t="s">
        <v>9</v>
      </c>
      <c r="F3306" s="1" t="s">
        <v>4</v>
      </c>
      <c r="G3306" s="1">
        <v>46071</v>
      </c>
      <c r="H3306" t="s">
        <v>41</v>
      </c>
      <c r="I3306" s="2">
        <v>2366.54</v>
      </c>
      <c r="J3306" s="47" t="s">
        <v>347</v>
      </c>
      <c r="K3306" s="7">
        <v>46054</v>
      </c>
    </row>
    <row r="3307" spans="1:11" hidden="1">
      <c r="A3307" t="s">
        <v>99</v>
      </c>
      <c r="B3307" t="s">
        <v>63</v>
      </c>
      <c r="C3307" t="s">
        <v>14</v>
      </c>
      <c r="E3307" t="s">
        <v>9</v>
      </c>
      <c r="F3307" s="1" t="s">
        <v>4</v>
      </c>
      <c r="G3307" s="1">
        <v>46074</v>
      </c>
      <c r="H3307" t="s">
        <v>41</v>
      </c>
      <c r="I3307" s="2">
        <v>5778</v>
      </c>
      <c r="J3307" t="s">
        <v>1628</v>
      </c>
      <c r="K3307" s="7">
        <v>46054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4DFF-AA67-4666-8DD4-F1DF759C980C}">
  <dimension ref="A1:H11"/>
  <sheetViews>
    <sheetView showGridLines="0" workbookViewId="0">
      <selection activeCell="F9" sqref="F9"/>
    </sheetView>
  </sheetViews>
  <sheetFormatPr defaultColWidth="11.42578125" defaultRowHeight="14.45"/>
  <cols>
    <col min="1" max="1" width="24.42578125" bestFit="1" customWidth="1"/>
    <col min="2" max="2" width="12.7109375" customWidth="1"/>
    <col min="3" max="3" width="17" bestFit="1" customWidth="1"/>
    <col min="4" max="4" width="12.42578125" customWidth="1"/>
    <col min="5" max="5" width="14.85546875" customWidth="1"/>
    <col min="6" max="6" width="22.140625" customWidth="1"/>
    <col min="7" max="7" width="13.85546875" bestFit="1" customWidth="1"/>
    <col min="8" max="8" width="14.42578125" bestFit="1" customWidth="1"/>
  </cols>
  <sheetData>
    <row r="1" spans="1:8" ht="22.5" customHeight="1" thickBot="1">
      <c r="A1" s="34" t="s">
        <v>1826</v>
      </c>
      <c r="B1" s="35" t="s">
        <v>1827</v>
      </c>
      <c r="C1" s="35" t="s">
        <v>1828</v>
      </c>
      <c r="D1" s="35" t="s">
        <v>1829</v>
      </c>
      <c r="E1" s="36" t="s">
        <v>1830</v>
      </c>
      <c r="F1" s="38" t="s">
        <v>1831</v>
      </c>
      <c r="G1" s="39" t="s">
        <v>1832</v>
      </c>
      <c r="H1" s="40" t="s">
        <v>1833</v>
      </c>
    </row>
    <row r="2" spans="1:8">
      <c r="A2" s="32" t="s">
        <v>40</v>
      </c>
      <c r="B2" s="27">
        <v>430315.16600393702</v>
      </c>
      <c r="C2" s="27">
        <v>532000</v>
      </c>
      <c r="D2" s="27">
        <f>+B2-C2</f>
        <v>-101684.83399606298</v>
      </c>
      <c r="E2" s="28">
        <f>+B2/C2</f>
        <v>0.80886309399236278</v>
      </c>
      <c r="F2" s="37">
        <v>606533.19999999995</v>
      </c>
      <c r="G2" s="27">
        <f>+B2-F2</f>
        <v>-176218.03399606294</v>
      </c>
      <c r="H2" s="28">
        <f>+B2/F2</f>
        <v>0.70946679588839823</v>
      </c>
    </row>
    <row r="3" spans="1:8">
      <c r="A3" s="32" t="s">
        <v>1834</v>
      </c>
      <c r="B3" s="27">
        <v>976832.17618110252</v>
      </c>
      <c r="C3" s="27">
        <v>443356.38000000006</v>
      </c>
      <c r="D3" s="27">
        <f t="shared" ref="D3:D5" si="0">+B3-C3</f>
        <v>533475.79618110252</v>
      </c>
      <c r="E3" s="28">
        <f t="shared" ref="E3:E5" si="1">+B3/C3</f>
        <v>2.2032663118124125</v>
      </c>
      <c r="F3" s="37">
        <v>292000</v>
      </c>
      <c r="G3" s="27">
        <f t="shared" ref="G3:G5" si="2">+B3-F3</f>
        <v>684832.17618110252</v>
      </c>
      <c r="H3" s="28">
        <f t="shared" ref="H3:H6" si="3">+B3/F3</f>
        <v>3.3453156718530908</v>
      </c>
    </row>
    <row r="4" spans="1:8">
      <c r="A4" s="32" t="s">
        <v>63</v>
      </c>
      <c r="B4" s="27">
        <v>616091.55104330729</v>
      </c>
      <c r="C4" s="27">
        <v>698877.85999999987</v>
      </c>
      <c r="D4" s="27">
        <f t="shared" si="0"/>
        <v>-82786.308956692577</v>
      </c>
      <c r="E4" s="28">
        <f t="shared" si="1"/>
        <v>0.88154395253457796</v>
      </c>
      <c r="F4" s="37">
        <v>1248072</v>
      </c>
      <c r="G4" s="27">
        <f t="shared" si="2"/>
        <v>-631980.44895669271</v>
      </c>
      <c r="H4" s="28">
        <f t="shared" si="3"/>
        <v>0.4936346228769713</v>
      </c>
    </row>
    <row r="5" spans="1:8" ht="15" thickBot="1">
      <c r="A5" s="33" t="s">
        <v>45</v>
      </c>
      <c r="B5" s="29">
        <v>1011611.7499999999</v>
      </c>
      <c r="C5" s="29">
        <v>692460.71000000008</v>
      </c>
      <c r="D5" s="29">
        <f t="shared" si="0"/>
        <v>319151.0399999998</v>
      </c>
      <c r="E5" s="30">
        <f t="shared" si="1"/>
        <v>1.4608940772971795</v>
      </c>
      <c r="F5" s="31">
        <v>617508.10000000009</v>
      </c>
      <c r="G5" s="29">
        <f t="shared" si="2"/>
        <v>394103.64999999979</v>
      </c>
      <c r="H5" s="30">
        <f t="shared" si="3"/>
        <v>1.6382161626705782</v>
      </c>
    </row>
    <row r="6" spans="1:8" ht="15" thickBot="1">
      <c r="A6" s="33" t="s">
        <v>1835</v>
      </c>
      <c r="B6" s="43">
        <f>SUM(B2:B5)</f>
        <v>3034850.6432283469</v>
      </c>
      <c r="C6" s="29">
        <f>SUM(C2:C5)</f>
        <v>2366694.9500000002</v>
      </c>
      <c r="D6" s="29">
        <f>SUM(D2:D5)</f>
        <v>668155.69322834676</v>
      </c>
      <c r="E6" s="30">
        <f>+B6/C6</f>
        <v>1.2823159331236782</v>
      </c>
      <c r="F6" s="31">
        <f>SUM(F2:F5)</f>
        <v>2764113.3000000003</v>
      </c>
      <c r="G6" s="29">
        <f>SUM(G2:G5)</f>
        <v>270737.34322834667</v>
      </c>
      <c r="H6" s="30">
        <f t="shared" si="3"/>
        <v>1.0979472669330692</v>
      </c>
    </row>
    <row r="8" spans="1:8">
      <c r="A8" s="44" t="s">
        <v>1836</v>
      </c>
      <c r="B8" s="45">
        <f>+B6</f>
        <v>3034850.6432283469</v>
      </c>
    </row>
    <row r="9" spans="1:8">
      <c r="A9" s="44" t="s">
        <v>1837</v>
      </c>
      <c r="B9" s="45">
        <f>+C6</f>
        <v>2366694.9500000002</v>
      </c>
    </row>
    <row r="10" spans="1:8">
      <c r="A10" s="44" t="s">
        <v>1838</v>
      </c>
      <c r="B10" s="45">
        <f>+B8-B9</f>
        <v>668155.69322834676</v>
      </c>
    </row>
    <row r="11" spans="1:8">
      <c r="A11" s="44" t="s">
        <v>1839</v>
      </c>
      <c r="B11" s="46">
        <f>+B8/B9</f>
        <v>1.2823159331236782</v>
      </c>
    </row>
  </sheetData>
  <pageMargins left="0.7" right="0.7" top="0.75" bottom="0.75" header="0.3" footer="0.3"/>
  <ignoredErrors>
    <ignoredError sqref="E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289C-CD52-4446-8198-E9F48F32FB74}">
  <dimension ref="A3:B19"/>
  <sheetViews>
    <sheetView workbookViewId="0">
      <selection activeCell="L19" sqref="L19"/>
    </sheetView>
  </sheetViews>
  <sheetFormatPr defaultColWidth="11.42578125" defaultRowHeight="14.45"/>
  <cols>
    <col min="1" max="1" width="15.5703125" customWidth="1"/>
    <col min="2" max="2" width="11.42578125" bestFit="1" customWidth="1"/>
    <col min="3" max="3" width="18.7109375" bestFit="1" customWidth="1"/>
  </cols>
  <sheetData>
    <row r="3" spans="1:2">
      <c r="A3" s="3" t="s">
        <v>7</v>
      </c>
      <c r="B3" s="6" t="s">
        <v>16</v>
      </c>
    </row>
    <row r="4" spans="1:2">
      <c r="A4" s="4" t="s">
        <v>9</v>
      </c>
      <c r="B4" s="8">
        <v>2447682.2628427413</v>
      </c>
    </row>
    <row r="5" spans="1:2">
      <c r="A5" s="4" t="s">
        <v>8</v>
      </c>
      <c r="B5" s="8">
        <v>2817793.44</v>
      </c>
    </row>
    <row r="6" spans="1:2">
      <c r="A6" s="4" t="s">
        <v>10</v>
      </c>
      <c r="B6" s="11">
        <v>0.86865212619798748</v>
      </c>
    </row>
    <row r="7" spans="1:2">
      <c r="A7" s="4" t="s">
        <v>11</v>
      </c>
      <c r="B7" s="8">
        <v>-370111.17715725861</v>
      </c>
    </row>
    <row r="12" spans="1:2">
      <c r="A12" s="3" t="s">
        <v>29</v>
      </c>
      <c r="B12" t="s">
        <v>1840</v>
      </c>
    </row>
    <row r="14" spans="1:2">
      <c r="A14" s="3" t="s">
        <v>7</v>
      </c>
      <c r="B14" s="6" t="s">
        <v>16</v>
      </c>
    </row>
    <row r="15" spans="1:2">
      <c r="A15" s="4" t="s">
        <v>9</v>
      </c>
      <c r="B15" s="8">
        <v>2447682.2628427413</v>
      </c>
    </row>
    <row r="16" spans="1:2" hidden="1">
      <c r="A16" s="4" t="s">
        <v>8</v>
      </c>
      <c r="B16" s="8">
        <v>2817793.44</v>
      </c>
    </row>
    <row r="17" spans="1:2" hidden="1">
      <c r="A17" s="4" t="s">
        <v>10</v>
      </c>
      <c r="B17" s="8">
        <v>0.86865212619798748</v>
      </c>
    </row>
    <row r="18" spans="1:2" hidden="1">
      <c r="A18" s="4" t="s">
        <v>11</v>
      </c>
      <c r="B18" s="8">
        <v>-370111.17715725861</v>
      </c>
    </row>
    <row r="19" spans="1:2" hidden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988A-88D1-4AA1-9562-EC2A76669230}">
  <dimension ref="A1:H11"/>
  <sheetViews>
    <sheetView showGridLines="0" workbookViewId="0">
      <selection activeCell="B25" sqref="B25"/>
    </sheetView>
  </sheetViews>
  <sheetFormatPr defaultColWidth="11.42578125" defaultRowHeight="14.45"/>
  <cols>
    <col min="1" max="1" width="24.42578125" bestFit="1" customWidth="1"/>
    <col min="2" max="2" width="12.7109375" customWidth="1"/>
    <col min="3" max="3" width="17" bestFit="1" customWidth="1"/>
    <col min="4" max="4" width="12.42578125" customWidth="1"/>
    <col min="5" max="5" width="14.85546875" customWidth="1"/>
    <col min="6" max="6" width="23.28515625" bestFit="1" customWidth="1"/>
    <col min="7" max="7" width="13.85546875" bestFit="1" customWidth="1"/>
    <col min="8" max="8" width="14.42578125" bestFit="1" customWidth="1"/>
  </cols>
  <sheetData>
    <row r="1" spans="1:8" ht="22.5" customHeight="1">
      <c r="A1" s="34" t="s">
        <v>1826</v>
      </c>
      <c r="B1" s="35" t="s">
        <v>1827</v>
      </c>
      <c r="C1" s="35" t="s">
        <v>1828</v>
      </c>
      <c r="D1" s="35" t="s">
        <v>1829</v>
      </c>
      <c r="E1" s="36" t="s">
        <v>1830</v>
      </c>
      <c r="F1" s="38" t="s">
        <v>1831</v>
      </c>
      <c r="G1" s="39" t="s">
        <v>1832</v>
      </c>
      <c r="H1" s="40" t="s">
        <v>1833</v>
      </c>
    </row>
    <row r="2" spans="1:8">
      <c r="A2" s="32" t="s">
        <v>40</v>
      </c>
      <c r="B2" s="27">
        <v>445006.9373039215</v>
      </c>
      <c r="C2" s="27">
        <v>320000</v>
      </c>
      <c r="D2" s="27">
        <f>+B2-C2</f>
        <v>125006.9373039215</v>
      </c>
      <c r="E2" s="28">
        <f>+B2/C2</f>
        <v>1.3906466790747547</v>
      </c>
      <c r="F2" s="37">
        <v>516620.05</v>
      </c>
      <c r="G2" s="27">
        <f>+B2-F2</f>
        <v>-71613.11269607849</v>
      </c>
      <c r="H2" s="28">
        <f>+B2/F2</f>
        <v>0.86138146845814734</v>
      </c>
    </row>
    <row r="3" spans="1:8">
      <c r="A3" s="32" t="s">
        <v>1834</v>
      </c>
      <c r="B3" s="27">
        <v>1211122.2176470589</v>
      </c>
      <c r="C3" s="27">
        <v>1306313.5</v>
      </c>
      <c r="D3" s="27">
        <f t="shared" ref="D3:D5" si="0">+B3-C3</f>
        <v>-95191.282352941111</v>
      </c>
      <c r="E3" s="28">
        <f t="shared" ref="E3:E5" si="1">+B3/C3</f>
        <v>0.92712983341828659</v>
      </c>
      <c r="F3" s="37">
        <v>292000</v>
      </c>
      <c r="G3" s="27">
        <f t="shared" ref="G3:G5" si="2">+B3-F3</f>
        <v>919122.21764705889</v>
      </c>
      <c r="H3" s="28">
        <f t="shared" ref="H3:H6" si="3">+B3/F3</f>
        <v>4.1476788275584209</v>
      </c>
    </row>
    <row r="4" spans="1:8">
      <c r="A4" s="32" t="s">
        <v>63</v>
      </c>
      <c r="B4" s="27">
        <v>745180.03811764694</v>
      </c>
      <c r="C4" s="27">
        <v>938176.2699999999</v>
      </c>
      <c r="D4" s="27">
        <f t="shared" si="0"/>
        <v>-192996.23188235296</v>
      </c>
      <c r="E4" s="28">
        <f t="shared" si="1"/>
        <v>0.79428574559623755</v>
      </c>
      <c r="F4" s="37">
        <v>1011548.95</v>
      </c>
      <c r="G4" s="27">
        <f t="shared" si="2"/>
        <v>-266368.91188235302</v>
      </c>
      <c r="H4" s="28">
        <f t="shared" si="3"/>
        <v>0.73667224716870794</v>
      </c>
    </row>
    <row r="5" spans="1:8">
      <c r="A5" s="33" t="s">
        <v>45</v>
      </c>
      <c r="B5" s="29">
        <v>598466.31941176474</v>
      </c>
      <c r="C5" s="29">
        <v>883816.70000000007</v>
      </c>
      <c r="D5" s="29">
        <f t="shared" si="0"/>
        <v>-285350.38058823533</v>
      </c>
      <c r="E5" s="30">
        <f t="shared" si="1"/>
        <v>0.67713850554279487</v>
      </c>
      <c r="F5" s="31">
        <v>726615.39999999991</v>
      </c>
      <c r="G5" s="29">
        <f t="shared" si="2"/>
        <v>-128149.08058823517</v>
      </c>
      <c r="H5" s="30">
        <f t="shared" si="3"/>
        <v>0.82363561164787424</v>
      </c>
    </row>
    <row r="6" spans="1:8">
      <c r="A6" s="33" t="s">
        <v>1835</v>
      </c>
      <c r="B6" s="43">
        <f>SUM(B2:B5)</f>
        <v>2999775.5124803921</v>
      </c>
      <c r="C6" s="29">
        <f>SUM(C2:C5)</f>
        <v>3448306.47</v>
      </c>
      <c r="D6" s="29">
        <f>SUM(D2:D5)</f>
        <v>-448530.95751960791</v>
      </c>
      <c r="E6" s="30">
        <f>+B6/C6</f>
        <v>0.86992717688471344</v>
      </c>
      <c r="F6" s="31">
        <f>SUM(F2:F5)</f>
        <v>2546784.4</v>
      </c>
      <c r="G6" s="29">
        <f>SUM(G2:G5)</f>
        <v>452991.11248039221</v>
      </c>
      <c r="H6" s="30">
        <f t="shared" si="3"/>
        <v>1.1778678683913693</v>
      </c>
    </row>
    <row r="8" spans="1:8">
      <c r="A8" s="44" t="s">
        <v>1841</v>
      </c>
      <c r="B8" s="45">
        <f>+B6</f>
        <v>2999775.5124803921</v>
      </c>
    </row>
    <row r="9" spans="1:8">
      <c r="A9" s="44" t="s">
        <v>1837</v>
      </c>
      <c r="B9" s="45">
        <v>3448306.4699999997</v>
      </c>
    </row>
    <row r="10" spans="1:8">
      <c r="A10" s="44" t="s">
        <v>1838</v>
      </c>
      <c r="B10" s="45">
        <f>+B8-B9</f>
        <v>-448530.95751960762</v>
      </c>
    </row>
    <row r="11" spans="1:8">
      <c r="A11" s="44" t="s">
        <v>1839</v>
      </c>
      <c r="B11" s="46">
        <f>+B8/B9</f>
        <v>0.86992717688471355</v>
      </c>
    </row>
  </sheetData>
  <pageMargins left="0.7" right="0.7" top="0.75" bottom="0.75" header="0.3" footer="0.3"/>
  <ignoredErrors>
    <ignoredError sqref="E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6AC1-59C1-42F1-9289-5753F4B0B2B0}">
  <dimension ref="A1:H11"/>
  <sheetViews>
    <sheetView showGridLines="0" workbookViewId="0">
      <selection activeCell="C16" sqref="C16"/>
    </sheetView>
  </sheetViews>
  <sheetFormatPr defaultColWidth="11.42578125" defaultRowHeight="14.45"/>
  <cols>
    <col min="1" max="1" width="24.42578125" bestFit="1" customWidth="1"/>
    <col min="2" max="2" width="12.7109375" customWidth="1"/>
    <col min="3" max="3" width="17" bestFit="1" customWidth="1"/>
    <col min="4" max="4" width="12.42578125" customWidth="1"/>
    <col min="5" max="5" width="14.85546875" customWidth="1"/>
    <col min="6" max="6" width="23.28515625" bestFit="1" customWidth="1"/>
    <col min="7" max="7" width="13.85546875" bestFit="1" customWidth="1"/>
    <col min="8" max="8" width="14.42578125" bestFit="1" customWidth="1"/>
  </cols>
  <sheetData>
    <row r="1" spans="1:8" ht="22.5" customHeight="1" thickBot="1">
      <c r="A1" s="34" t="s">
        <v>1826</v>
      </c>
      <c r="B1" s="35" t="s">
        <v>1827</v>
      </c>
      <c r="C1" s="35" t="s">
        <v>1828</v>
      </c>
      <c r="D1" s="35" t="s">
        <v>1829</v>
      </c>
      <c r="E1" s="36" t="s">
        <v>1830</v>
      </c>
      <c r="F1" s="38" t="s">
        <v>1831</v>
      </c>
      <c r="G1" s="39" t="s">
        <v>1832</v>
      </c>
      <c r="H1" s="40" t="s">
        <v>1833</v>
      </c>
    </row>
    <row r="2" spans="1:8">
      <c r="A2" s="32" t="s">
        <v>40</v>
      </c>
      <c r="B2" s="27">
        <v>333836.10051181103</v>
      </c>
      <c r="C2" s="27">
        <v>532000</v>
      </c>
      <c r="D2" s="27">
        <f>+B2-C2</f>
        <v>-198163.89948818897</v>
      </c>
      <c r="E2" s="28">
        <f>+B2/C2</f>
        <v>0.62751146712746431</v>
      </c>
      <c r="F2" s="37">
        <v>516620.05</v>
      </c>
      <c r="G2" s="27">
        <f>+B2-F2</f>
        <v>-182783.94948818896</v>
      </c>
      <c r="H2" s="28">
        <f>+B2/F2</f>
        <v>0.64619269134407586</v>
      </c>
    </row>
    <row r="3" spans="1:8">
      <c r="A3" s="32" t="s">
        <v>1834</v>
      </c>
      <c r="B3" s="27">
        <v>939955.00801181106</v>
      </c>
      <c r="C3" s="27">
        <v>796786.91999999993</v>
      </c>
      <c r="D3" s="27">
        <f t="shared" ref="D3:D5" si="0">+B3-C3</f>
        <v>143168.08801181114</v>
      </c>
      <c r="E3" s="28">
        <f t="shared" ref="E3:E5" si="1">+B3/C3</f>
        <v>1.1796817749114294</v>
      </c>
      <c r="F3" s="37">
        <v>292000</v>
      </c>
      <c r="G3" s="27">
        <f t="shared" ref="G3:G5" si="2">+B3-F3</f>
        <v>647955.00801181106</v>
      </c>
      <c r="H3" s="28">
        <f t="shared" ref="H3:H6" si="3">+B3/F3</f>
        <v>3.2190240000404486</v>
      </c>
    </row>
    <row r="4" spans="1:8">
      <c r="A4" s="32" t="s">
        <v>63</v>
      </c>
      <c r="B4" s="27">
        <v>899472.51925196848</v>
      </c>
      <c r="C4" s="27">
        <v>806828.78</v>
      </c>
      <c r="D4" s="27">
        <f t="shared" si="0"/>
        <v>92643.739251968451</v>
      </c>
      <c r="E4" s="28">
        <f t="shared" si="1"/>
        <v>1.1148245347073122</v>
      </c>
      <c r="F4" s="37">
        <v>1011548.95</v>
      </c>
      <c r="G4" s="27">
        <f t="shared" si="2"/>
        <v>-112076.43074803147</v>
      </c>
      <c r="H4" s="28">
        <f t="shared" si="3"/>
        <v>0.8892031564581907</v>
      </c>
    </row>
    <row r="5" spans="1:8" ht="15" thickBot="1">
      <c r="A5" s="33" t="s">
        <v>45</v>
      </c>
      <c r="B5" s="29">
        <v>788976.09</v>
      </c>
      <c r="C5" s="29">
        <v>629137.65999999992</v>
      </c>
      <c r="D5" s="29">
        <f t="shared" si="0"/>
        <v>159838.43000000005</v>
      </c>
      <c r="E5" s="30">
        <f t="shared" si="1"/>
        <v>1.2540595487480435</v>
      </c>
      <c r="F5" s="31">
        <v>726615.39999999991</v>
      </c>
      <c r="G5" s="29">
        <f t="shared" si="2"/>
        <v>62360.690000000061</v>
      </c>
      <c r="H5" s="30">
        <f t="shared" si="3"/>
        <v>1.0858235181913294</v>
      </c>
    </row>
    <row r="6" spans="1:8" ht="15" thickBot="1">
      <c r="A6" s="33" t="s">
        <v>1835</v>
      </c>
      <c r="B6" s="43">
        <f>SUM(B2:B5)</f>
        <v>2962239.7177755907</v>
      </c>
      <c r="C6" s="29">
        <f>SUM(C2:C5)</f>
        <v>2764753.3600000003</v>
      </c>
      <c r="D6" s="29">
        <f>SUM(D2:D5)</f>
        <v>197486.35777559067</v>
      </c>
      <c r="E6" s="30">
        <f>+B6/C6</f>
        <v>1.0714300091403417</v>
      </c>
      <c r="F6" s="31">
        <f>SUM(F2:F5)</f>
        <v>2546784.4</v>
      </c>
      <c r="G6" s="29">
        <f>SUM(G2:G5)</f>
        <v>415455.31777559069</v>
      </c>
      <c r="H6" s="30">
        <f t="shared" si="3"/>
        <v>1.1631293633554496</v>
      </c>
    </row>
    <row r="8" spans="1:8">
      <c r="A8" s="44" t="s">
        <v>1842</v>
      </c>
      <c r="B8" s="45">
        <f>+B6</f>
        <v>2962239.7177755907</v>
      </c>
    </row>
    <row r="9" spans="1:8">
      <c r="A9" s="44" t="s">
        <v>1837</v>
      </c>
      <c r="B9" s="45">
        <f>+C6</f>
        <v>2764753.3600000003</v>
      </c>
    </row>
    <row r="10" spans="1:8">
      <c r="A10" s="44" t="s">
        <v>1838</v>
      </c>
      <c r="B10" s="45">
        <f>+B8-B9</f>
        <v>197486.35777559038</v>
      </c>
    </row>
    <row r="11" spans="1:8">
      <c r="A11" s="44" t="s">
        <v>1839</v>
      </c>
      <c r="B11" s="46">
        <f>+B8/B9</f>
        <v>1.0714300091403417</v>
      </c>
    </row>
  </sheetData>
  <pageMargins left="0.7" right="0.7" top="0.75" bottom="0.75" header="0.3" footer="0.3"/>
  <ignoredErrors>
    <ignoredError sqref="E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A0F6-AE67-4508-920F-460FB8364930}">
  <dimension ref="A1:H11"/>
  <sheetViews>
    <sheetView showGridLines="0" workbookViewId="0">
      <selection activeCell="D20" sqref="D20"/>
    </sheetView>
  </sheetViews>
  <sheetFormatPr defaultColWidth="11.42578125" defaultRowHeight="14.45"/>
  <cols>
    <col min="1" max="1" width="25.140625" bestFit="1" customWidth="1"/>
    <col min="2" max="2" width="12.7109375" customWidth="1"/>
    <col min="3" max="3" width="17" bestFit="1" customWidth="1"/>
    <col min="4" max="4" width="12.42578125" customWidth="1"/>
    <col min="5" max="5" width="14.85546875" customWidth="1"/>
    <col min="6" max="6" width="23.28515625" bestFit="1" customWidth="1"/>
    <col min="7" max="7" width="13.85546875" bestFit="1" customWidth="1"/>
    <col min="8" max="8" width="14.42578125" bestFit="1" customWidth="1"/>
  </cols>
  <sheetData>
    <row r="1" spans="1:8" ht="22.5" customHeight="1" thickBot="1">
      <c r="A1" s="34" t="s">
        <v>1826</v>
      </c>
      <c r="B1" s="35" t="s">
        <v>1827</v>
      </c>
      <c r="C1" s="35" t="s">
        <v>1828</v>
      </c>
      <c r="D1" s="35" t="s">
        <v>1829</v>
      </c>
      <c r="E1" s="36" t="s">
        <v>1830</v>
      </c>
      <c r="F1" s="38" t="s">
        <v>1831</v>
      </c>
      <c r="G1" s="39" t="s">
        <v>1832</v>
      </c>
      <c r="H1" s="40" t="s">
        <v>1833</v>
      </c>
    </row>
    <row r="2" spans="1:8">
      <c r="A2" s="32" t="s">
        <v>40</v>
      </c>
      <c r="B2" s="27">
        <v>558435.57231372548</v>
      </c>
      <c r="C2" s="27">
        <v>270000</v>
      </c>
      <c r="D2" s="27">
        <f>+B2-C2</f>
        <v>288435.57231372548</v>
      </c>
      <c r="E2" s="28">
        <f>+B2/C2</f>
        <v>2.0682798974582424</v>
      </c>
      <c r="F2" s="37">
        <v>516620.05</v>
      </c>
      <c r="G2" s="27">
        <f>+B2-F2</f>
        <v>41815.522313725494</v>
      </c>
      <c r="H2" s="28">
        <f>+B2/F2</f>
        <v>1.0809405719226839</v>
      </c>
    </row>
    <row r="3" spans="1:8">
      <c r="A3" s="32" t="s">
        <v>1834</v>
      </c>
      <c r="B3" s="27">
        <v>943473.26035294111</v>
      </c>
      <c r="C3" s="27">
        <v>1642983.2899999996</v>
      </c>
      <c r="D3" s="27">
        <f t="shared" ref="D3:D5" si="0">+B3-C3</f>
        <v>-699510.02964705846</v>
      </c>
      <c r="E3" s="28">
        <f t="shared" ref="E3:E5" si="1">+B3/C3</f>
        <v>0.57424397807048988</v>
      </c>
      <c r="F3" s="37">
        <v>292000</v>
      </c>
      <c r="G3" s="27">
        <f t="shared" ref="G3:G5" si="2">+B3-F3</f>
        <v>651473.26035294111</v>
      </c>
      <c r="H3" s="28">
        <f t="shared" ref="H3:H6" si="3">+B3/F3</f>
        <v>3.2310728094278804</v>
      </c>
    </row>
    <row r="4" spans="1:8">
      <c r="A4" s="32" t="s">
        <v>63</v>
      </c>
      <c r="B4" s="27">
        <v>427823.83750980394</v>
      </c>
      <c r="C4" s="27">
        <v>628165.5199999999</v>
      </c>
      <c r="D4" s="27">
        <f t="shared" si="0"/>
        <v>-200341.68249019596</v>
      </c>
      <c r="E4" s="28">
        <f t="shared" si="1"/>
        <v>0.68106864176468007</v>
      </c>
      <c r="F4" s="37">
        <v>1011548.95</v>
      </c>
      <c r="G4" s="27">
        <f t="shared" si="2"/>
        <v>-583725.11249019601</v>
      </c>
      <c r="H4" s="28">
        <f t="shared" si="3"/>
        <v>0.42293933230794611</v>
      </c>
    </row>
    <row r="5" spans="1:8" ht="15" thickBot="1">
      <c r="A5" s="33" t="s">
        <v>45</v>
      </c>
      <c r="B5" s="29">
        <v>729941.17627450975</v>
      </c>
      <c r="C5" s="29">
        <v>961149.86</v>
      </c>
      <c r="D5" s="29">
        <f t="shared" si="0"/>
        <v>-231208.68372549023</v>
      </c>
      <c r="E5" s="30">
        <f t="shared" si="1"/>
        <v>0.75944574998378478</v>
      </c>
      <c r="F5" s="31">
        <v>726615.39999999991</v>
      </c>
      <c r="G5" s="29">
        <f t="shared" si="2"/>
        <v>3325.7762745098444</v>
      </c>
      <c r="H5" s="30">
        <f t="shared" si="3"/>
        <v>1.0045770792561097</v>
      </c>
    </row>
    <row r="6" spans="1:8" ht="15" thickBot="1">
      <c r="A6" s="33" t="s">
        <v>1835</v>
      </c>
      <c r="B6" s="43">
        <f>SUM(B2:B5)</f>
        <v>2659673.8464509803</v>
      </c>
      <c r="C6" s="29">
        <f>SUM(C2:C5)</f>
        <v>3502298.6699999995</v>
      </c>
      <c r="D6" s="29">
        <f>SUM(D2:D5)</f>
        <v>-842624.82354901917</v>
      </c>
      <c r="E6" s="30">
        <f>+B6/C6</f>
        <v>0.75940806226299962</v>
      </c>
      <c r="F6" s="31">
        <f>SUM(F2:F5)</f>
        <v>2546784.4</v>
      </c>
      <c r="G6" s="29">
        <f>SUM(G2:G5)</f>
        <v>112889.4464509805</v>
      </c>
      <c r="H6" s="30">
        <f t="shared" si="3"/>
        <v>1.0443262674496436</v>
      </c>
    </row>
    <row r="8" spans="1:8">
      <c r="A8" s="44" t="s">
        <v>1843</v>
      </c>
      <c r="B8" s="45">
        <f>+B6</f>
        <v>2659673.8464509803</v>
      </c>
    </row>
    <row r="9" spans="1:8">
      <c r="A9" s="44" t="s">
        <v>1837</v>
      </c>
      <c r="B9" s="45">
        <v>3143597.4999999995</v>
      </c>
    </row>
    <row r="10" spans="1:8">
      <c r="A10" s="44" t="s">
        <v>1838</v>
      </c>
      <c r="B10" s="45">
        <f>+B8-B9</f>
        <v>-483923.65354901925</v>
      </c>
    </row>
    <row r="11" spans="1:8">
      <c r="A11" s="44" t="s">
        <v>1839</v>
      </c>
      <c r="B11" s="46">
        <f>+B8/B9</f>
        <v>0.84606055528768576</v>
      </c>
    </row>
  </sheetData>
  <pageMargins left="0.7" right="0.7" top="0.75" bottom="0.75" header="0.3" footer="0.3"/>
  <ignoredErrors>
    <ignoredError sqref="E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D954-660A-4B1D-880D-24BFED260FE2}">
  <dimension ref="A1:H11"/>
  <sheetViews>
    <sheetView showGridLines="0" workbookViewId="0">
      <selection activeCell="H14" sqref="H14"/>
    </sheetView>
  </sheetViews>
  <sheetFormatPr defaultColWidth="11.42578125" defaultRowHeight="14.45"/>
  <cols>
    <col min="1" max="1" width="25.140625" bestFit="1" customWidth="1"/>
    <col min="2" max="2" width="12.7109375" customWidth="1"/>
    <col min="3" max="3" width="17" bestFit="1" customWidth="1"/>
    <col min="4" max="4" width="12.42578125" customWidth="1"/>
    <col min="5" max="5" width="14.85546875" customWidth="1"/>
    <col min="6" max="6" width="23.28515625" bestFit="1" customWidth="1"/>
    <col min="7" max="7" width="13.85546875" bestFit="1" customWidth="1"/>
    <col min="8" max="8" width="14.42578125" bestFit="1" customWidth="1"/>
  </cols>
  <sheetData>
    <row r="1" spans="1:8" ht="22.5" customHeight="1" thickBot="1">
      <c r="A1" s="34" t="s">
        <v>1826</v>
      </c>
      <c r="B1" s="35" t="s">
        <v>1827</v>
      </c>
      <c r="C1" s="35" t="s">
        <v>1828</v>
      </c>
      <c r="D1" s="35" t="s">
        <v>1829</v>
      </c>
      <c r="E1" s="36" t="s">
        <v>1830</v>
      </c>
      <c r="F1" s="38" t="s">
        <v>1831</v>
      </c>
      <c r="G1" s="39" t="s">
        <v>1832</v>
      </c>
      <c r="H1" s="40" t="s">
        <v>1833</v>
      </c>
    </row>
    <row r="2" spans="1:8">
      <c r="A2" s="32" t="s">
        <v>40</v>
      </c>
      <c r="B2" s="27">
        <v>36977.329411764709</v>
      </c>
      <c r="C2" s="27">
        <v>340000</v>
      </c>
      <c r="D2" s="27">
        <f>+B2-C2</f>
        <v>-303022.67058823531</v>
      </c>
      <c r="E2" s="28">
        <f>+B2/C2</f>
        <v>0.10875685121107267</v>
      </c>
      <c r="F2" s="37">
        <v>516620.05</v>
      </c>
      <c r="G2" s="27">
        <f>+B2-F2</f>
        <v>-479642.7205882353</v>
      </c>
      <c r="H2" s="28">
        <f>+B2/F2</f>
        <v>7.1575482623573577E-2</v>
      </c>
    </row>
    <row r="3" spans="1:8">
      <c r="A3" s="32" t="s">
        <v>1834</v>
      </c>
      <c r="B3" s="27">
        <v>44715.945980392156</v>
      </c>
      <c r="C3" s="27">
        <v>823224.3899999999</v>
      </c>
      <c r="D3" s="27">
        <f t="shared" ref="D3:D5" si="0">+B3-C3</f>
        <v>-778508.44401960773</v>
      </c>
      <c r="E3" s="28">
        <f t="shared" ref="E3:E5" si="1">+B3/C3</f>
        <v>5.431805291919517E-2</v>
      </c>
      <c r="F3" s="37">
        <v>292000</v>
      </c>
      <c r="G3" s="27">
        <f t="shared" ref="G3:G5" si="2">+B3-F3</f>
        <v>-247284.05401960784</v>
      </c>
      <c r="H3" s="28">
        <f t="shared" ref="H3:H6" si="3">+B3/F3</f>
        <v>0.15313680130271287</v>
      </c>
    </row>
    <row r="4" spans="1:8">
      <c r="A4" s="32" t="s">
        <v>63</v>
      </c>
      <c r="B4" s="27">
        <v>167543.44898039216</v>
      </c>
      <c r="C4" s="27">
        <v>919511.97</v>
      </c>
      <c r="D4" s="27">
        <f t="shared" si="0"/>
        <v>-751968.52101960778</v>
      </c>
      <c r="E4" s="28">
        <f t="shared" si="1"/>
        <v>0.18220910053013467</v>
      </c>
      <c r="F4" s="37">
        <v>1011548.95</v>
      </c>
      <c r="G4" s="27">
        <f t="shared" si="2"/>
        <v>-844005.50101960776</v>
      </c>
      <c r="H4" s="28">
        <f t="shared" si="3"/>
        <v>0.16563058958282956</v>
      </c>
    </row>
    <row r="5" spans="1:8" ht="15" thickBot="1">
      <c r="A5" s="33" t="s">
        <v>45</v>
      </c>
      <c r="B5" s="29">
        <v>36133.94</v>
      </c>
      <c r="C5" s="29">
        <v>562319.42999999993</v>
      </c>
      <c r="D5" s="29">
        <f t="shared" si="0"/>
        <v>-526185.49</v>
      </c>
      <c r="E5" s="30">
        <f t="shared" si="1"/>
        <v>6.4258743468992366E-2</v>
      </c>
      <c r="F5" s="31">
        <v>726615.39999999991</v>
      </c>
      <c r="G5" s="29">
        <f t="shared" si="2"/>
        <v>-690481.46</v>
      </c>
      <c r="H5" s="30">
        <f t="shared" si="3"/>
        <v>4.9729113916385487E-2</v>
      </c>
    </row>
    <row r="6" spans="1:8" ht="15" thickBot="1">
      <c r="A6" s="33" t="s">
        <v>1835</v>
      </c>
      <c r="B6" s="43">
        <f>SUM(B2:B5)</f>
        <v>285370.66437254904</v>
      </c>
      <c r="C6" s="29">
        <f>SUM(C2:C5)</f>
        <v>2645055.79</v>
      </c>
      <c r="D6" s="29">
        <f>SUM(D2:D5)</f>
        <v>-2359685.1256274506</v>
      </c>
      <c r="E6" s="30">
        <f>+B6/C6</f>
        <v>0.10788833470032368</v>
      </c>
      <c r="F6" s="31">
        <f>SUM(F2:F5)</f>
        <v>2546784.4</v>
      </c>
      <c r="G6" s="29">
        <f>SUM(G2:G5)</f>
        <v>-2261413.735627451</v>
      </c>
      <c r="H6" s="30">
        <f t="shared" si="3"/>
        <v>0.11205136342618914</v>
      </c>
    </row>
    <row r="8" spans="1:8">
      <c r="A8" s="44" t="s">
        <v>1844</v>
      </c>
      <c r="B8" s="45">
        <f>+B6</f>
        <v>285370.66437254904</v>
      </c>
    </row>
    <row r="9" spans="1:8">
      <c r="A9" s="44" t="s">
        <v>1837</v>
      </c>
      <c r="B9" s="45">
        <f>+C6</f>
        <v>2645055.79</v>
      </c>
    </row>
    <row r="10" spans="1:8">
      <c r="A10" s="44" t="s">
        <v>1838</v>
      </c>
      <c r="B10" s="45">
        <f>+B8-B9</f>
        <v>-2359685.1256274511</v>
      </c>
    </row>
    <row r="11" spans="1:8">
      <c r="A11" s="44" t="s">
        <v>1839</v>
      </c>
      <c r="B11" s="57">
        <f>+B8/B9</f>
        <v>0.10788833470032368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451F-237C-4AF3-BE29-52914DA96D6B}">
  <dimension ref="A1:H11"/>
  <sheetViews>
    <sheetView showGridLines="0" workbookViewId="0">
      <selection activeCell="C19" sqref="C19"/>
    </sheetView>
  </sheetViews>
  <sheetFormatPr defaultColWidth="11.42578125" defaultRowHeight="14.45"/>
  <cols>
    <col min="1" max="1" width="25.140625" bestFit="1" customWidth="1"/>
    <col min="2" max="2" width="12.7109375" customWidth="1"/>
    <col min="3" max="3" width="17" bestFit="1" customWidth="1"/>
    <col min="4" max="4" width="12.42578125" customWidth="1"/>
    <col min="5" max="5" width="14.85546875" customWidth="1"/>
    <col min="6" max="6" width="23.28515625" bestFit="1" customWidth="1"/>
    <col min="7" max="7" width="13.85546875" bestFit="1" customWidth="1"/>
    <col min="8" max="8" width="14.42578125" bestFit="1" customWidth="1"/>
  </cols>
  <sheetData>
    <row r="1" spans="1:8" ht="22.5" customHeight="1" thickBot="1">
      <c r="A1" s="34" t="s">
        <v>1826</v>
      </c>
      <c r="B1" s="35" t="s">
        <v>1827</v>
      </c>
      <c r="C1" s="35" t="s">
        <v>1828</v>
      </c>
      <c r="D1" s="35" t="s">
        <v>1829</v>
      </c>
      <c r="E1" s="36" t="s">
        <v>1830</v>
      </c>
      <c r="F1" s="38" t="s">
        <v>1831</v>
      </c>
      <c r="G1" s="39" t="s">
        <v>1832</v>
      </c>
      <c r="H1" s="40" t="s">
        <v>1833</v>
      </c>
    </row>
    <row r="2" spans="1:8">
      <c r="A2" s="32" t="s">
        <v>40</v>
      </c>
      <c r="B2" s="27">
        <v>630901.98176470597</v>
      </c>
      <c r="C2" s="27">
        <v>380000</v>
      </c>
      <c r="D2" s="27">
        <f>+B2-C2</f>
        <v>250901.98176470597</v>
      </c>
      <c r="E2" s="28">
        <f>+B2/C2</f>
        <v>1.6602683730650156</v>
      </c>
      <c r="F2" s="37">
        <v>516620.05</v>
      </c>
      <c r="G2" s="27">
        <f>+B2-F2</f>
        <v>114281.93176470598</v>
      </c>
      <c r="H2" s="28">
        <f>+B2/F2</f>
        <v>1.2212107945959627</v>
      </c>
    </row>
    <row r="3" spans="1:8">
      <c r="A3" s="32" t="s">
        <v>1834</v>
      </c>
      <c r="B3" s="27">
        <v>1033229.0730588235</v>
      </c>
      <c r="C3" s="27">
        <v>1344655.3599999999</v>
      </c>
      <c r="D3" s="27">
        <f t="shared" ref="D3:D5" si="0">+B3-C3</f>
        <v>-311426.2869411764</v>
      </c>
      <c r="E3" s="28">
        <f t="shared" ref="E3:E5" si="1">+B3/C3</f>
        <v>0.7683969467528271</v>
      </c>
      <c r="F3" s="37">
        <v>292000</v>
      </c>
      <c r="G3" s="27">
        <f t="shared" ref="G3:G5" si="2">+B3-F3</f>
        <v>741229.07305882347</v>
      </c>
      <c r="H3" s="28">
        <f t="shared" ref="H3:H6" si="3">+B3/F3</f>
        <v>3.5384557296535051</v>
      </c>
    </row>
    <row r="4" spans="1:8">
      <c r="A4" s="32" t="s">
        <v>63</v>
      </c>
      <c r="B4" s="27">
        <v>599394.32045098033</v>
      </c>
      <c r="C4" s="27">
        <v>716877.7</v>
      </c>
      <c r="D4" s="27">
        <f t="shared" si="0"/>
        <v>-117483.37954901962</v>
      </c>
      <c r="E4" s="28">
        <f t="shared" si="1"/>
        <v>0.83611796049867415</v>
      </c>
      <c r="F4" s="37">
        <v>1011548.95</v>
      </c>
      <c r="G4" s="27">
        <f t="shared" si="2"/>
        <v>-412154.62954901962</v>
      </c>
      <c r="H4" s="28">
        <f t="shared" si="3"/>
        <v>0.59255097882408991</v>
      </c>
    </row>
    <row r="5" spans="1:8" ht="15" thickBot="1">
      <c r="A5" s="33" t="s">
        <v>45</v>
      </c>
      <c r="B5" s="29">
        <v>951930.79</v>
      </c>
      <c r="C5" s="29">
        <v>784157.58000000007</v>
      </c>
      <c r="D5" s="29">
        <f t="shared" si="0"/>
        <v>167773.20999999996</v>
      </c>
      <c r="E5" s="30">
        <f t="shared" si="1"/>
        <v>1.2139534377771366</v>
      </c>
      <c r="F5" s="31">
        <v>726615.39999999991</v>
      </c>
      <c r="G5" s="29">
        <f t="shared" si="2"/>
        <v>225315.39000000013</v>
      </c>
      <c r="H5" s="30">
        <f t="shared" si="3"/>
        <v>1.3100889273747847</v>
      </c>
    </row>
    <row r="6" spans="1:8" ht="15" thickBot="1">
      <c r="A6" s="33" t="s">
        <v>1835</v>
      </c>
      <c r="B6" s="43">
        <f>SUM(B2:B5)</f>
        <v>3215456.1652745097</v>
      </c>
      <c r="C6" s="29">
        <f>SUM(C2:C5)</f>
        <v>3225690.6399999997</v>
      </c>
      <c r="D6" s="29">
        <f>SUM(D2:D5)</f>
        <v>-10234.474725490087</v>
      </c>
      <c r="E6" s="30">
        <f>+B6/C6</f>
        <v>0.9968271989264631</v>
      </c>
      <c r="F6" s="31">
        <f>SUM(F2:F5)</f>
        <v>2546784.4</v>
      </c>
      <c r="G6" s="29">
        <f>SUM(G2:G5)</f>
        <v>668671.7652745099</v>
      </c>
      <c r="H6" s="30">
        <f t="shared" si="3"/>
        <v>1.2625553090691579</v>
      </c>
    </row>
    <row r="8" spans="1:8">
      <c r="A8" s="44" t="s">
        <v>1844</v>
      </c>
      <c r="B8" s="45">
        <f>+B6</f>
        <v>3215456.1652745097</v>
      </c>
    </row>
    <row r="9" spans="1:8">
      <c r="A9" s="44" t="s">
        <v>1837</v>
      </c>
      <c r="B9" s="45">
        <f>+C6</f>
        <v>3225690.6399999997</v>
      </c>
    </row>
    <row r="10" spans="1:8">
      <c r="A10" s="44" t="s">
        <v>1838</v>
      </c>
      <c r="B10" s="45">
        <f>+B8-B9</f>
        <v>-10234.47472548997</v>
      </c>
    </row>
    <row r="11" spans="1:8">
      <c r="A11" s="44" t="s">
        <v>1839</v>
      </c>
      <c r="B11" s="46">
        <f>+B8/B9</f>
        <v>0.9968271989264631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E98AA0-D5C4-4C89-A0E6-D3738F5714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Monney</dc:creator>
  <cp:keywords/>
  <dc:description/>
  <cp:lastModifiedBy>Monica Diaz Camacho</cp:lastModifiedBy>
  <cp:revision/>
  <dcterms:created xsi:type="dcterms:W3CDTF">2025-05-19T21:17:53Z</dcterms:created>
  <dcterms:modified xsi:type="dcterms:W3CDTF">2026-02-24T20:29:19Z</dcterms:modified>
  <cp:category/>
  <cp:contentStatus/>
</cp:coreProperties>
</file>